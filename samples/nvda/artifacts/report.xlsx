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ameters" sheetId="2" r:id="rId2"/>
    <sheet name="Daily" sheetId="3" r:id="rId3"/>
    <sheet name="Monthly" sheetId="4" r:id="rId4"/>
    <sheet name="MonthlyCalc" sheetId="5" r:id="rId5"/>
    <sheet name="ExecutionLedger" sheetId="6" r:id="rId6"/>
    <sheet name="EventWindows" sheetId="7" r:id="rId7"/>
    <sheet name="Sources" sheetId="8" r:id="rId8"/>
    <sheet name="Macro" sheetId="9" r:id="rId9"/>
    <sheet name="Coverage" sheetId="10" r:id="rId10"/>
    <sheet name="Associations" sheetId="11" r:id="rId11"/>
  </sheets>
  <definedNames>
    <definedName name="_xlnm._FilterDatabase" localSheetId="2" hidden="1">Daily!$A$1:$K$3063</definedName>
  </definedNames>
  <calcPr calcId="124519" fullCalcOnLoad="1"/>
</workbook>
</file>

<file path=xl/sharedStrings.xml><?xml version="1.0" encoding="utf-8"?>
<sst xmlns="http://schemas.openxmlformats.org/spreadsheetml/2006/main" count="15998" uniqueCount="4828">
  <si>
    <t>Evidence · 研究回测底稿</t>
  </si>
  <si>
    <t>NVDA 近五年日线行情回顾与 AI 行业大事件研究（含 2025-01-27 下跌归因）</t>
  </si>
  <si>
    <t>蓝色单元格为输入。Parameters 修改权重、成本与再平衡频率后，MonthlyCalc 与本页公式自动重算。ExecutionLedger 为原研究下一开盘成交快照，不随 Excel 参数更改。</t>
  </si>
  <si>
    <t>所有价格来自有哈希的行情快照。月度估值采用不晚于股票收盘的可用日线；BTC 价格可能来自前一 UTC 日。宏观数据为当前历史版本，仅作事后解释。</t>
  </si>
  <si>
    <t>研究版本</t>
  </si>
  <si>
    <t>15412514d7234a05</t>
  </si>
  <si>
    <t>区间</t>
  </si>
  <si>
    <t>2021-09-28 / 2026-09-29</t>
  </si>
  <si>
    <t>参数</t>
  </si>
  <si>
    <t>可修改数值</t>
  </si>
  <si>
    <t>口径 / 约束</t>
  </si>
  <si>
    <t>初始资金</t>
  </si>
  <si>
    <t>美元</t>
  </si>
  <si>
    <t>交易成本 bps</t>
  </si>
  <si>
    <t>0–100；只按成交额计费，GLD 管理费已体现在价格中</t>
  </si>
  <si>
    <t>再平衡月数</t>
  </si>
  <si>
    <t>0=持有；1=每月；3=每季；12=每年</t>
  </si>
  <si>
    <t>权重合计</t>
  </si>
  <si>
    <t>必须为 100%</t>
  </si>
  <si>
    <t>公式口径</t>
  </si>
  <si>
    <t>月度配置近似</t>
  </si>
  <si>
    <t>上期持仓获得下一期收益，在估值时点近似调仓；不等同于开盘执行台账</t>
  </si>
  <si>
    <t>NVDA</t>
  </si>
  <si>
    <t>Symbol</t>
  </si>
  <si>
    <t>Date</t>
  </si>
  <si>
    <t>Open</t>
  </si>
  <si>
    <t>High</t>
  </si>
  <si>
    <t>Low</t>
  </si>
  <si>
    <t>Close</t>
  </si>
  <si>
    <t>AdjClose</t>
  </si>
  <si>
    <t>Volume</t>
  </si>
  <si>
    <t>Opened UTC</t>
  </si>
  <si>
    <t>Closed UTC</t>
  </si>
  <si>
    <t>Dataset ID</t>
  </si>
  <si>
    <t>2020-08-24</t>
  </si>
  <si>
    <t>2020-08-24T13:30:00+00:00</t>
  </si>
  <si>
    <t>2020-08-24T20:00:00+00:00</t>
  </si>
  <si>
    <t>prices-NVDA-e6d1853924e8</t>
  </si>
  <si>
    <t>2020-08-25</t>
  </si>
  <si>
    <t>2020-08-25T13:30:00+00:00</t>
  </si>
  <si>
    <t>2020-08-25T20:00:00+00:00</t>
  </si>
  <si>
    <t>2020-08-26</t>
  </si>
  <si>
    <t>2020-08-26T13:30:00+00:00</t>
  </si>
  <si>
    <t>2020-08-26T20:00:00+00:00</t>
  </si>
  <si>
    <t>2020-08-27</t>
  </si>
  <si>
    <t>2020-08-27T13:30:00+00:00</t>
  </si>
  <si>
    <t>2020-08-27T20:00:00+00:00</t>
  </si>
  <si>
    <t>2020-08-28</t>
  </si>
  <si>
    <t>2020-08-28T13:30:00+00:00</t>
  </si>
  <si>
    <t>2020-08-28T20:00:00+00:00</t>
  </si>
  <si>
    <t>2020-08-31</t>
  </si>
  <si>
    <t>2020-08-31T13:30:00+00:00</t>
  </si>
  <si>
    <t>2020-08-31T20:00:00+00:00</t>
  </si>
  <si>
    <t>2020-09-01</t>
  </si>
  <si>
    <t>2020-09-01T13:30:00+00:00</t>
  </si>
  <si>
    <t>2020-09-01T20:00:00+00:00</t>
  </si>
  <si>
    <t>2020-09-02</t>
  </si>
  <si>
    <t>2020-09-02T13:30:00+00:00</t>
  </si>
  <si>
    <t>2020-09-02T20:00:00+00:00</t>
  </si>
  <si>
    <t>2020-09-03</t>
  </si>
  <si>
    <t>2020-09-03T13:30:00+00:00</t>
  </si>
  <si>
    <t>2020-09-03T20:00:00+00:00</t>
  </si>
  <si>
    <t>2020-09-04</t>
  </si>
  <si>
    <t>2020-09-04T13:30:00+00:00</t>
  </si>
  <si>
    <t>2020-09-04T20:00:00+00:00</t>
  </si>
  <si>
    <t>2020-09-08</t>
  </si>
  <si>
    <t>2020-09-08T13:30:00+00:00</t>
  </si>
  <si>
    <t>2020-09-08T20:00:00+00:00</t>
  </si>
  <si>
    <t>2020-09-09</t>
  </si>
  <si>
    <t>2020-09-09T13:30:00+00:00</t>
  </si>
  <si>
    <t>2020-09-09T20:00:00+00:00</t>
  </si>
  <si>
    <t>2020-09-10</t>
  </si>
  <si>
    <t>2020-09-10T13:30:00+00:00</t>
  </si>
  <si>
    <t>2020-09-10T20:00:00+00:00</t>
  </si>
  <si>
    <t>2020-09-11</t>
  </si>
  <si>
    <t>2020-09-11T13:30:00+00:00</t>
  </si>
  <si>
    <t>2020-09-11T20:00:00+00:00</t>
  </si>
  <si>
    <t>2020-09-14</t>
  </si>
  <si>
    <t>2020-09-14T13:30:00+00:00</t>
  </si>
  <si>
    <t>2020-09-14T20:00:00+00:00</t>
  </si>
  <si>
    <t>2020-09-15</t>
  </si>
  <si>
    <t>2020-09-15T13:30:00+00:00</t>
  </si>
  <si>
    <t>2020-09-15T20:00:00+00:00</t>
  </si>
  <si>
    <t>2020-09-16</t>
  </si>
  <si>
    <t>2020-09-16T13:30:00+00:00</t>
  </si>
  <si>
    <t>2020-09-16T20:00:00+00:00</t>
  </si>
  <si>
    <t>2020-09-17</t>
  </si>
  <si>
    <t>2020-09-17T13:30:00+00:00</t>
  </si>
  <si>
    <t>2020-09-17T20:00:00+00:00</t>
  </si>
  <si>
    <t>2020-09-18</t>
  </si>
  <si>
    <t>2020-09-18T13:30:00+00:00</t>
  </si>
  <si>
    <t>2020-09-18T20:00:00+00:00</t>
  </si>
  <si>
    <t>2020-09-21</t>
  </si>
  <si>
    <t>2020-09-21T13:30:00+00:00</t>
  </si>
  <si>
    <t>2020-09-21T20:00:00+00:00</t>
  </si>
  <si>
    <t>2020-09-22</t>
  </si>
  <si>
    <t>2020-09-22T13:30:00+00:00</t>
  </si>
  <si>
    <t>2020-09-22T20:00:00+00:00</t>
  </si>
  <si>
    <t>2020-09-23</t>
  </si>
  <si>
    <t>2020-09-23T13:30:00+00:00</t>
  </si>
  <si>
    <t>2020-09-23T20:00:00+00:00</t>
  </si>
  <si>
    <t>2020-09-24</t>
  </si>
  <si>
    <t>2020-09-24T13:30:00+00:00</t>
  </si>
  <si>
    <t>2020-09-24T20:00:00+00:00</t>
  </si>
  <si>
    <t>2020-09-25</t>
  </si>
  <si>
    <t>2020-09-25T13:30:00+00:00</t>
  </si>
  <si>
    <t>2020-09-25T20:00:00+00:00</t>
  </si>
  <si>
    <t>2020-09-28</t>
  </si>
  <si>
    <t>2020-09-28T13:30:00+00:00</t>
  </si>
  <si>
    <t>2020-09-28T20:00:00+00:00</t>
  </si>
  <si>
    <t>2020-09-29</t>
  </si>
  <si>
    <t>2020-09-29T13:30:00+00:00</t>
  </si>
  <si>
    <t>2020-09-29T20:00:00+00:00</t>
  </si>
  <si>
    <t>2020-09-30</t>
  </si>
  <si>
    <t>2020-09-30T13:30:00+00:00</t>
  </si>
  <si>
    <t>2020-09-30T20:00:00+00:00</t>
  </si>
  <si>
    <t>2020-10-01</t>
  </si>
  <si>
    <t>2020-10-01T13:30:00+00:00</t>
  </si>
  <si>
    <t>2020-10-01T20:00:00+00:00</t>
  </si>
  <si>
    <t>2020-10-02</t>
  </si>
  <si>
    <t>2020-10-02T13:30:00+00:00</t>
  </si>
  <si>
    <t>2020-10-02T20:00:00+00:00</t>
  </si>
  <si>
    <t>2020-10-05</t>
  </si>
  <si>
    <t>2020-10-05T13:30:00+00:00</t>
  </si>
  <si>
    <t>2020-10-05T20:00:00+00:00</t>
  </si>
  <si>
    <t>2020-10-06</t>
  </si>
  <si>
    <t>2020-10-06T13:30:00+00:00</t>
  </si>
  <si>
    <t>2020-10-06T20:00:00+00:00</t>
  </si>
  <si>
    <t>2020-10-07</t>
  </si>
  <si>
    <t>2020-10-07T13:30:00+00:00</t>
  </si>
  <si>
    <t>2020-10-07T20:00:00+00:00</t>
  </si>
  <si>
    <t>2020-10-08</t>
  </si>
  <si>
    <t>2020-10-08T13:30:00+00:00</t>
  </si>
  <si>
    <t>2020-10-08T20:00:00+00:00</t>
  </si>
  <si>
    <t>2020-10-09</t>
  </si>
  <si>
    <t>2020-10-09T13:30:00+00:00</t>
  </si>
  <si>
    <t>2020-10-09T20:00:00+00:00</t>
  </si>
  <si>
    <t>2020-10-12</t>
  </si>
  <si>
    <t>2020-10-12T13:30:00+00:00</t>
  </si>
  <si>
    <t>2020-10-12T20:00:00+00:00</t>
  </si>
  <si>
    <t>2020-10-13</t>
  </si>
  <si>
    <t>2020-10-13T13:30:00+00:00</t>
  </si>
  <si>
    <t>2020-10-13T20:00:00+00:00</t>
  </si>
  <si>
    <t>2020-10-14</t>
  </si>
  <si>
    <t>2020-10-14T13:30:00+00:00</t>
  </si>
  <si>
    <t>2020-10-14T20:00:00+00:00</t>
  </si>
  <si>
    <t>2020-10-15</t>
  </si>
  <si>
    <t>2020-10-15T13:30:00+00:00</t>
  </si>
  <si>
    <t>2020-10-15T20:00:00+00:00</t>
  </si>
  <si>
    <t>2020-10-16</t>
  </si>
  <si>
    <t>2020-10-16T13:30:00+00:00</t>
  </si>
  <si>
    <t>2020-10-16T20:00:00+00:00</t>
  </si>
  <si>
    <t>2020-10-19</t>
  </si>
  <si>
    <t>2020-10-19T13:30:00+00:00</t>
  </si>
  <si>
    <t>2020-10-19T20:00:00+00:00</t>
  </si>
  <si>
    <t>2020-10-20</t>
  </si>
  <si>
    <t>2020-10-20T13:30:00+00:00</t>
  </si>
  <si>
    <t>2020-10-20T20:00:00+00:00</t>
  </si>
  <si>
    <t>2020-10-21</t>
  </si>
  <si>
    <t>2020-10-21T13:30:00+00:00</t>
  </si>
  <si>
    <t>2020-10-21T20:00:00+00:00</t>
  </si>
  <si>
    <t>2020-10-22</t>
  </si>
  <si>
    <t>2020-10-22T13:30:00+00:00</t>
  </si>
  <si>
    <t>2020-10-22T20:00:00+00:00</t>
  </si>
  <si>
    <t>2020-10-23</t>
  </si>
  <si>
    <t>2020-10-23T13:30:00+00:00</t>
  </si>
  <si>
    <t>2020-10-23T20:00:00+00:00</t>
  </si>
  <si>
    <t>2020-10-26</t>
  </si>
  <si>
    <t>2020-10-26T13:30:00+00:00</t>
  </si>
  <si>
    <t>2020-10-26T20:00:00+00:00</t>
  </si>
  <si>
    <t>2020-10-27</t>
  </si>
  <si>
    <t>2020-10-27T13:30:00+00:00</t>
  </si>
  <si>
    <t>2020-10-27T20:00:00+00:00</t>
  </si>
  <si>
    <t>2020-10-28</t>
  </si>
  <si>
    <t>2020-10-28T13:30:00+00:00</t>
  </si>
  <si>
    <t>2020-10-28T20:00:00+00:00</t>
  </si>
  <si>
    <t>2020-10-29</t>
  </si>
  <si>
    <t>2020-10-29T13:30:00+00:00</t>
  </si>
  <si>
    <t>2020-10-29T20:00:00+00:00</t>
  </si>
  <si>
    <t>2020-10-30</t>
  </si>
  <si>
    <t>2020-10-30T13:30:00+00:00</t>
  </si>
  <si>
    <t>2020-10-30T20:00:00+00:00</t>
  </si>
  <si>
    <t>2020-11-02</t>
  </si>
  <si>
    <t>2020-11-02T14:30:00+00:00</t>
  </si>
  <si>
    <t>2020-11-02T21:00:00+00:00</t>
  </si>
  <si>
    <t>2020-11-03</t>
  </si>
  <si>
    <t>2020-11-03T14:30:00+00:00</t>
  </si>
  <si>
    <t>2020-11-03T21:00:00+00:00</t>
  </si>
  <si>
    <t>2020-11-04</t>
  </si>
  <si>
    <t>2020-11-04T14:30:00+00:00</t>
  </si>
  <si>
    <t>2020-11-04T21:00:00+00:00</t>
  </si>
  <si>
    <t>2020-11-05</t>
  </si>
  <si>
    <t>2020-11-05T14:30:00+00:00</t>
  </si>
  <si>
    <t>2020-11-05T21:00:00+00:00</t>
  </si>
  <si>
    <t>2020-11-06</t>
  </si>
  <si>
    <t>2020-11-06T14:30:00+00:00</t>
  </si>
  <si>
    <t>2020-11-06T21:00:00+00:00</t>
  </si>
  <si>
    <t>2020-11-09</t>
  </si>
  <si>
    <t>2020-11-09T14:30:00+00:00</t>
  </si>
  <si>
    <t>2020-11-09T21:00:00+00:00</t>
  </si>
  <si>
    <t>2020-11-10</t>
  </si>
  <si>
    <t>2020-11-10T14:30:00+00:00</t>
  </si>
  <si>
    <t>2020-11-10T21:00:00+00:00</t>
  </si>
  <si>
    <t>2020-11-11</t>
  </si>
  <si>
    <t>2020-11-11T14:30:00+00:00</t>
  </si>
  <si>
    <t>2020-11-11T21:00:00+00:00</t>
  </si>
  <si>
    <t>2020-11-12</t>
  </si>
  <si>
    <t>2020-11-12T14:30:00+00:00</t>
  </si>
  <si>
    <t>2020-11-12T21:00:00+00:00</t>
  </si>
  <si>
    <t>2020-11-13</t>
  </si>
  <si>
    <t>2020-11-13T14:30:00+00:00</t>
  </si>
  <si>
    <t>2020-11-13T21:00:00+00:00</t>
  </si>
  <si>
    <t>2020-11-16</t>
  </si>
  <si>
    <t>2020-11-16T14:30:00+00:00</t>
  </si>
  <si>
    <t>2020-11-16T21:00:00+00:00</t>
  </si>
  <si>
    <t>2020-11-17</t>
  </si>
  <si>
    <t>2020-11-17T14:30:00+00:00</t>
  </si>
  <si>
    <t>2020-11-17T21:00:00+00:00</t>
  </si>
  <si>
    <t>2020-11-18</t>
  </si>
  <si>
    <t>2020-11-18T14:30:00+00:00</t>
  </si>
  <si>
    <t>2020-11-18T21:00:00+00:00</t>
  </si>
  <si>
    <t>2020-11-19</t>
  </si>
  <si>
    <t>2020-11-19T14:30:00+00:00</t>
  </si>
  <si>
    <t>2020-11-19T21:00:00+00:00</t>
  </si>
  <si>
    <t>2020-11-20</t>
  </si>
  <si>
    <t>2020-11-20T14:30:00+00:00</t>
  </si>
  <si>
    <t>2020-11-20T21:00:00+00:00</t>
  </si>
  <si>
    <t>2020-11-23</t>
  </si>
  <si>
    <t>2020-11-23T14:30:00+00:00</t>
  </si>
  <si>
    <t>2020-11-23T21:00:00+00:00</t>
  </si>
  <si>
    <t>2020-11-24</t>
  </si>
  <si>
    <t>2020-11-24T14:30:00+00:00</t>
  </si>
  <si>
    <t>2020-11-24T21:00:00+00:00</t>
  </si>
  <si>
    <t>2020-11-25</t>
  </si>
  <si>
    <t>2020-11-25T14:30:00+00:00</t>
  </si>
  <si>
    <t>2020-11-25T21:00:00+00:00</t>
  </si>
  <si>
    <t>2020-11-27</t>
  </si>
  <si>
    <t>2020-11-27T14:30:00+00:00</t>
  </si>
  <si>
    <t>2020-11-27T18:00:00+00:00</t>
  </si>
  <si>
    <t>2020-11-30</t>
  </si>
  <si>
    <t>2020-11-30T14:30:00+00:00</t>
  </si>
  <si>
    <t>2020-11-30T21:00:00+00:00</t>
  </si>
  <si>
    <t>2020-12-01</t>
  </si>
  <si>
    <t>2020-12-01T14:30:00+00:00</t>
  </si>
  <si>
    <t>2020-12-01T21:00:00+00:00</t>
  </si>
  <si>
    <t>2020-12-02</t>
  </si>
  <si>
    <t>2020-12-02T14:30:00+00:00</t>
  </si>
  <si>
    <t>2020-12-02T21:00:00+00:00</t>
  </si>
  <si>
    <t>2020-12-03</t>
  </si>
  <si>
    <t>2020-12-03T14:30:00+00:00</t>
  </si>
  <si>
    <t>2020-12-03T21:00:00+00:00</t>
  </si>
  <si>
    <t>2020-12-04</t>
  </si>
  <si>
    <t>2020-12-04T14:30:00+00:00</t>
  </si>
  <si>
    <t>2020-12-04T21:00:00+00:00</t>
  </si>
  <si>
    <t>2020-12-07</t>
  </si>
  <si>
    <t>2020-12-07T14:30:00+00:00</t>
  </si>
  <si>
    <t>2020-12-07T21:00:00+00:00</t>
  </si>
  <si>
    <t>2020-12-08</t>
  </si>
  <si>
    <t>2020-12-08T14:30:00+00:00</t>
  </si>
  <si>
    <t>2020-12-08T21:00:00+00:00</t>
  </si>
  <si>
    <t>2020-12-09</t>
  </si>
  <si>
    <t>2020-12-09T14:30:00+00:00</t>
  </si>
  <si>
    <t>2020-12-09T21:00:00+00:00</t>
  </si>
  <si>
    <t>2020-12-10</t>
  </si>
  <si>
    <t>2020-12-10T14:30:00+00:00</t>
  </si>
  <si>
    <t>2020-12-10T21:00:00+00:00</t>
  </si>
  <si>
    <t>2020-12-11</t>
  </si>
  <si>
    <t>2020-12-11T14:30:00+00:00</t>
  </si>
  <si>
    <t>2020-12-11T21:00:00+00:00</t>
  </si>
  <si>
    <t>2020-12-14</t>
  </si>
  <si>
    <t>2020-12-14T14:30:00+00:00</t>
  </si>
  <si>
    <t>2020-12-14T21:00:00+00:00</t>
  </si>
  <si>
    <t>2020-12-15</t>
  </si>
  <si>
    <t>2020-12-15T14:30:00+00:00</t>
  </si>
  <si>
    <t>2020-12-15T21:00:00+00:00</t>
  </si>
  <si>
    <t>2020-12-16</t>
  </si>
  <si>
    <t>2020-12-16T14:30:00+00:00</t>
  </si>
  <si>
    <t>2020-12-16T21:00:00+00:00</t>
  </si>
  <si>
    <t>2020-12-17</t>
  </si>
  <si>
    <t>2020-12-17T14:30:00+00:00</t>
  </si>
  <si>
    <t>2020-12-17T21:00:00+00:00</t>
  </si>
  <si>
    <t>2020-12-18</t>
  </si>
  <si>
    <t>2020-12-18T14:30:00+00:00</t>
  </si>
  <si>
    <t>2020-12-18T21:00:00+00:00</t>
  </si>
  <si>
    <t>2020-12-21</t>
  </si>
  <si>
    <t>2020-12-21T14:30:00+00:00</t>
  </si>
  <si>
    <t>2020-12-21T21:00:00+00:00</t>
  </si>
  <si>
    <t>2020-12-22</t>
  </si>
  <si>
    <t>2020-12-22T14:30:00+00:00</t>
  </si>
  <si>
    <t>2020-12-22T21:00:00+00:00</t>
  </si>
  <si>
    <t>2020-12-23</t>
  </si>
  <si>
    <t>2020-12-23T14:30:00+00:00</t>
  </si>
  <si>
    <t>2020-12-23T21:00:00+00:00</t>
  </si>
  <si>
    <t>2020-12-24</t>
  </si>
  <si>
    <t>2020-12-24T14:30:00+00:00</t>
  </si>
  <si>
    <t>2020-12-24T18:00:00+00:00</t>
  </si>
  <si>
    <t>2020-12-28</t>
  </si>
  <si>
    <t>2020-12-28T14:30:00+00:00</t>
  </si>
  <si>
    <t>2020-12-28T21:00:00+00:00</t>
  </si>
  <si>
    <t>2020-12-29</t>
  </si>
  <si>
    <t>2020-12-29T14:30:00+00:00</t>
  </si>
  <si>
    <t>2020-12-29T21:00:00+00:00</t>
  </si>
  <si>
    <t>2020-12-30</t>
  </si>
  <si>
    <t>2020-12-30T14:30:00+00:00</t>
  </si>
  <si>
    <t>2020-12-30T21:00:00+00:00</t>
  </si>
  <si>
    <t>2020-12-31</t>
  </si>
  <si>
    <t>2020-12-31T14:30:00+00:00</t>
  </si>
  <si>
    <t>2020-12-31T21:00:00+00:00</t>
  </si>
  <si>
    <t>2021-01-04</t>
  </si>
  <si>
    <t>2021-01-04T14:30:00+00:00</t>
  </si>
  <si>
    <t>2021-01-04T21:00:00+00:00</t>
  </si>
  <si>
    <t>2021-01-05</t>
  </si>
  <si>
    <t>2021-01-05T14:30:00+00:00</t>
  </si>
  <si>
    <t>2021-01-05T21:00:00+00:00</t>
  </si>
  <si>
    <t>2021-01-06</t>
  </si>
  <si>
    <t>2021-01-06T14:30:00+00:00</t>
  </si>
  <si>
    <t>2021-01-06T21:00:00+00:00</t>
  </si>
  <si>
    <t>2021-01-07</t>
  </si>
  <si>
    <t>2021-01-07T14:30:00+00:00</t>
  </si>
  <si>
    <t>2021-01-07T21:00:00+00:00</t>
  </si>
  <si>
    <t>2021-01-08</t>
  </si>
  <si>
    <t>2021-01-08T14:30:00+00:00</t>
  </si>
  <si>
    <t>2021-01-08T21:00:00+00:00</t>
  </si>
  <si>
    <t>2021-01-11</t>
  </si>
  <si>
    <t>2021-01-11T14:30:00+00:00</t>
  </si>
  <si>
    <t>2021-01-11T21:00:00+00:00</t>
  </si>
  <si>
    <t>2021-01-12</t>
  </si>
  <si>
    <t>2021-01-12T14:30:00+00:00</t>
  </si>
  <si>
    <t>2021-01-12T21:00:00+00:00</t>
  </si>
  <si>
    <t>2021-01-13</t>
  </si>
  <si>
    <t>2021-01-13T14:30:00+00:00</t>
  </si>
  <si>
    <t>2021-01-13T21:00:00+00:00</t>
  </si>
  <si>
    <t>2021-01-14</t>
  </si>
  <si>
    <t>2021-01-14T14:30:00+00:00</t>
  </si>
  <si>
    <t>2021-01-14T21:00:00+00:00</t>
  </si>
  <si>
    <t>2021-01-15</t>
  </si>
  <si>
    <t>2021-01-15T14:30:00+00:00</t>
  </si>
  <si>
    <t>2021-01-15T21:00:00+00:00</t>
  </si>
  <si>
    <t>2021-01-19</t>
  </si>
  <si>
    <t>2021-01-19T14:30:00+00:00</t>
  </si>
  <si>
    <t>2021-01-19T21:00:00+00:00</t>
  </si>
  <si>
    <t>2021-01-20</t>
  </si>
  <si>
    <t>2021-01-20T14:30:00+00:00</t>
  </si>
  <si>
    <t>2021-01-20T21:00:00+00:00</t>
  </si>
  <si>
    <t>2021-01-21</t>
  </si>
  <si>
    <t>2021-01-21T14:30:00+00:00</t>
  </si>
  <si>
    <t>2021-01-21T21:00:00+00:00</t>
  </si>
  <si>
    <t>2021-01-22</t>
  </si>
  <si>
    <t>2021-01-22T14:30:00+00:00</t>
  </si>
  <si>
    <t>2021-01-22T21:00:00+00:00</t>
  </si>
  <si>
    <t>2021-01-25</t>
  </si>
  <si>
    <t>2021-01-25T14:30:00+00:00</t>
  </si>
  <si>
    <t>2021-01-25T21:00:00+00:00</t>
  </si>
  <si>
    <t>2021-01-26</t>
  </si>
  <si>
    <t>2021-01-26T14:30:00+00:00</t>
  </si>
  <si>
    <t>2021-01-26T21:00:00+00:00</t>
  </si>
  <si>
    <t>2021-01-27</t>
  </si>
  <si>
    <t>2021-01-27T14:30:00+00:00</t>
  </si>
  <si>
    <t>2021-01-27T21:00:00+00:00</t>
  </si>
  <si>
    <t>2021-01-28</t>
  </si>
  <si>
    <t>2021-01-28T14:30:00+00:00</t>
  </si>
  <si>
    <t>2021-01-28T21:00:00+00:00</t>
  </si>
  <si>
    <t>2021-01-29</t>
  </si>
  <si>
    <t>2021-01-29T14:30:00+00:00</t>
  </si>
  <si>
    <t>2021-01-29T21:00:00+00:00</t>
  </si>
  <si>
    <t>2021-02-01</t>
  </si>
  <si>
    <t>2021-02-01T14:30:00+00:00</t>
  </si>
  <si>
    <t>2021-02-01T21:00:00+00:00</t>
  </si>
  <si>
    <t>2021-02-02</t>
  </si>
  <si>
    <t>2021-02-02T14:30:00+00:00</t>
  </si>
  <si>
    <t>2021-02-02T21:00:00+00:00</t>
  </si>
  <si>
    <t>2021-02-03</t>
  </si>
  <si>
    <t>2021-02-03T14:30:00+00:00</t>
  </si>
  <si>
    <t>2021-02-03T21:00:00+00:00</t>
  </si>
  <si>
    <t>2021-02-04</t>
  </si>
  <si>
    <t>2021-02-04T14:30:00+00:00</t>
  </si>
  <si>
    <t>2021-02-04T21:00:00+00:00</t>
  </si>
  <si>
    <t>2021-02-05</t>
  </si>
  <si>
    <t>2021-02-05T14:30:00+00:00</t>
  </si>
  <si>
    <t>2021-02-05T21:00:00+00:00</t>
  </si>
  <si>
    <t>2021-02-08</t>
  </si>
  <si>
    <t>2021-02-08T14:30:00+00:00</t>
  </si>
  <si>
    <t>2021-02-08T21:00:00+00:00</t>
  </si>
  <si>
    <t>2021-02-09</t>
  </si>
  <si>
    <t>2021-02-09T14:30:00+00:00</t>
  </si>
  <si>
    <t>2021-02-09T21:00:00+00:00</t>
  </si>
  <si>
    <t>2021-02-10</t>
  </si>
  <si>
    <t>2021-02-10T14:30:00+00:00</t>
  </si>
  <si>
    <t>2021-02-10T21:00:00+00:00</t>
  </si>
  <si>
    <t>2021-02-11</t>
  </si>
  <si>
    <t>2021-02-11T14:30:00+00:00</t>
  </si>
  <si>
    <t>2021-02-11T21:00:00+00:00</t>
  </si>
  <si>
    <t>2021-02-12</t>
  </si>
  <si>
    <t>2021-02-12T14:30:00+00:00</t>
  </si>
  <si>
    <t>2021-02-12T21:00:00+00:00</t>
  </si>
  <si>
    <t>2021-02-16</t>
  </si>
  <si>
    <t>2021-02-16T14:30:00+00:00</t>
  </si>
  <si>
    <t>2021-02-16T21:00:00+00:00</t>
  </si>
  <si>
    <t>2021-02-17</t>
  </si>
  <si>
    <t>2021-02-17T14:30:00+00:00</t>
  </si>
  <si>
    <t>2021-02-17T21:00:00+00:00</t>
  </si>
  <si>
    <t>2021-02-18</t>
  </si>
  <si>
    <t>2021-02-18T14:30:00+00:00</t>
  </si>
  <si>
    <t>2021-02-18T21:00:00+00:00</t>
  </si>
  <si>
    <t>2021-02-19</t>
  </si>
  <si>
    <t>2021-02-19T14:30:00+00:00</t>
  </si>
  <si>
    <t>2021-02-19T21:00:00+00:00</t>
  </si>
  <si>
    <t>2021-02-22</t>
  </si>
  <si>
    <t>2021-02-22T14:30:00+00:00</t>
  </si>
  <si>
    <t>2021-02-22T21:00:00+00:00</t>
  </si>
  <si>
    <t>2021-02-23</t>
  </si>
  <si>
    <t>2021-02-23T14:30:00+00:00</t>
  </si>
  <si>
    <t>2021-02-23T21:00:00+00:00</t>
  </si>
  <si>
    <t>2021-02-24</t>
  </si>
  <si>
    <t>2021-02-24T14:30:00+00:00</t>
  </si>
  <si>
    <t>2021-02-24T21:00:00+00:00</t>
  </si>
  <si>
    <t>2021-02-25</t>
  </si>
  <si>
    <t>2021-02-25T14:30:00+00:00</t>
  </si>
  <si>
    <t>2021-02-25T21:00:00+00:00</t>
  </si>
  <si>
    <t>2021-02-26</t>
  </si>
  <si>
    <t>2021-02-26T14:30:00+00:00</t>
  </si>
  <si>
    <t>2021-02-26T21:00:00+00:00</t>
  </si>
  <si>
    <t>2021-03-01</t>
  </si>
  <si>
    <t>2021-03-01T14:30:00+00:00</t>
  </si>
  <si>
    <t>2021-03-01T21:00:00+00:00</t>
  </si>
  <si>
    <t>2021-03-02</t>
  </si>
  <si>
    <t>2021-03-02T14:30:00+00:00</t>
  </si>
  <si>
    <t>2021-03-02T21:00:00+00:00</t>
  </si>
  <si>
    <t>2021-03-03</t>
  </si>
  <si>
    <t>2021-03-03T14:30:00+00:00</t>
  </si>
  <si>
    <t>2021-03-03T21:00:00+00:00</t>
  </si>
  <si>
    <t>2021-03-04</t>
  </si>
  <si>
    <t>2021-03-04T14:30:00+00:00</t>
  </si>
  <si>
    <t>2021-03-04T21:00:00+00:00</t>
  </si>
  <si>
    <t>2021-03-05</t>
  </si>
  <si>
    <t>2021-03-05T14:30:00+00:00</t>
  </si>
  <si>
    <t>2021-03-05T21:00:00+00:00</t>
  </si>
  <si>
    <t>2021-03-08</t>
  </si>
  <si>
    <t>2021-03-08T14:30:00+00:00</t>
  </si>
  <si>
    <t>2021-03-08T21:00:00+00:00</t>
  </si>
  <si>
    <t>2021-03-09</t>
  </si>
  <si>
    <t>2021-03-09T14:30:00+00:00</t>
  </si>
  <si>
    <t>2021-03-09T21:00:00+00:00</t>
  </si>
  <si>
    <t>2021-03-10</t>
  </si>
  <si>
    <t>2021-03-10T14:30:00+00:00</t>
  </si>
  <si>
    <t>2021-03-10T21:00:00+00:00</t>
  </si>
  <si>
    <t>2021-03-11</t>
  </si>
  <si>
    <t>2021-03-11T14:30:00+00:00</t>
  </si>
  <si>
    <t>2021-03-11T21:00:00+00:00</t>
  </si>
  <si>
    <t>2021-03-12</t>
  </si>
  <si>
    <t>2021-03-12T14:30:00+00:00</t>
  </si>
  <si>
    <t>2021-03-12T21:00:00+00:00</t>
  </si>
  <si>
    <t>2021-03-15</t>
  </si>
  <si>
    <t>2021-03-15T13:30:00+00:00</t>
  </si>
  <si>
    <t>2021-03-15T20:00:00+00:00</t>
  </si>
  <si>
    <t>2021-03-16</t>
  </si>
  <si>
    <t>2021-03-16T13:30:00+00:00</t>
  </si>
  <si>
    <t>2021-03-16T20:00:00+00:00</t>
  </si>
  <si>
    <t>2021-03-17</t>
  </si>
  <si>
    <t>2021-03-17T13:30:00+00:00</t>
  </si>
  <si>
    <t>2021-03-17T20:00:00+00:00</t>
  </si>
  <si>
    <t>2021-03-18</t>
  </si>
  <si>
    <t>2021-03-18T13:30:00+00:00</t>
  </si>
  <si>
    <t>2021-03-18T20:00:00+00:00</t>
  </si>
  <si>
    <t>2021-03-19</t>
  </si>
  <si>
    <t>2021-03-19T13:30:00+00:00</t>
  </si>
  <si>
    <t>2021-03-19T20:00:00+00:00</t>
  </si>
  <si>
    <t>2021-03-22</t>
  </si>
  <si>
    <t>2021-03-22T13:30:00+00:00</t>
  </si>
  <si>
    <t>2021-03-22T20:00:00+00:00</t>
  </si>
  <si>
    <t>2021-03-23</t>
  </si>
  <si>
    <t>2021-03-23T13:30:00+00:00</t>
  </si>
  <si>
    <t>2021-03-23T20:00:00+00:00</t>
  </si>
  <si>
    <t>2021-03-24</t>
  </si>
  <si>
    <t>2021-03-24T13:30:00+00:00</t>
  </si>
  <si>
    <t>2021-03-24T20:00:00+00:00</t>
  </si>
  <si>
    <t>2021-03-25</t>
  </si>
  <si>
    <t>2021-03-25T13:30:00+00:00</t>
  </si>
  <si>
    <t>2021-03-25T20:00:00+00:00</t>
  </si>
  <si>
    <t>2021-03-26</t>
  </si>
  <si>
    <t>2021-03-26T13:30:00+00:00</t>
  </si>
  <si>
    <t>2021-03-26T20:00:00+00:00</t>
  </si>
  <si>
    <t>2021-03-29</t>
  </si>
  <si>
    <t>2021-03-29T13:30:00+00:00</t>
  </si>
  <si>
    <t>2021-03-29T20:00:00+00:00</t>
  </si>
  <si>
    <t>2021-03-30</t>
  </si>
  <si>
    <t>2021-03-30T13:30:00+00:00</t>
  </si>
  <si>
    <t>2021-03-30T20:00:00+00:00</t>
  </si>
  <si>
    <t>2021-03-31</t>
  </si>
  <si>
    <t>2021-03-31T13:30:00+00:00</t>
  </si>
  <si>
    <t>2021-03-31T20:00:00+00:00</t>
  </si>
  <si>
    <t>2021-04-01</t>
  </si>
  <si>
    <t>2021-04-01T13:30:00+00:00</t>
  </si>
  <si>
    <t>2021-04-01T20:00:00+00:00</t>
  </si>
  <si>
    <t>2021-04-05</t>
  </si>
  <si>
    <t>2021-04-05T13:30:00+00:00</t>
  </si>
  <si>
    <t>2021-04-05T20:00:00+00:00</t>
  </si>
  <si>
    <t>2021-04-06</t>
  </si>
  <si>
    <t>2021-04-06T13:30:00+00:00</t>
  </si>
  <si>
    <t>2021-04-06T20:00:00+00:00</t>
  </si>
  <si>
    <t>2021-04-07</t>
  </si>
  <si>
    <t>2021-04-07T13:30:00+00:00</t>
  </si>
  <si>
    <t>2021-04-07T20:00:00+00:00</t>
  </si>
  <si>
    <t>2021-04-08</t>
  </si>
  <si>
    <t>2021-04-08T13:30:00+00:00</t>
  </si>
  <si>
    <t>2021-04-08T20:00:00+00:00</t>
  </si>
  <si>
    <t>2021-04-09</t>
  </si>
  <si>
    <t>2021-04-09T13:30:00+00:00</t>
  </si>
  <si>
    <t>2021-04-09T20:00:00+00:00</t>
  </si>
  <si>
    <t>2021-04-12</t>
  </si>
  <si>
    <t>2021-04-12T13:30:00+00:00</t>
  </si>
  <si>
    <t>2021-04-12T20:00:00+00:00</t>
  </si>
  <si>
    <t>2021-04-13</t>
  </si>
  <si>
    <t>2021-04-13T13:30:00+00:00</t>
  </si>
  <si>
    <t>2021-04-13T20:00:00+00:00</t>
  </si>
  <si>
    <t>2021-04-14</t>
  </si>
  <si>
    <t>2021-04-14T13:30:00+00:00</t>
  </si>
  <si>
    <t>2021-04-14T20:00:00+00:00</t>
  </si>
  <si>
    <t>2021-04-15</t>
  </si>
  <si>
    <t>2021-04-15T13:30:00+00:00</t>
  </si>
  <si>
    <t>2021-04-15T20:00:00+00:00</t>
  </si>
  <si>
    <t>2021-04-16</t>
  </si>
  <si>
    <t>2021-04-16T13:30:00+00:00</t>
  </si>
  <si>
    <t>2021-04-16T20:00:00+00:00</t>
  </si>
  <si>
    <t>2021-04-19</t>
  </si>
  <si>
    <t>2021-04-19T13:30:00+00:00</t>
  </si>
  <si>
    <t>2021-04-19T20:00:00+00:00</t>
  </si>
  <si>
    <t>2021-04-20</t>
  </si>
  <si>
    <t>2021-04-20T13:30:00+00:00</t>
  </si>
  <si>
    <t>2021-04-20T20:00:00+00:00</t>
  </si>
  <si>
    <t>2021-04-21</t>
  </si>
  <si>
    <t>2021-04-21T13:30:00+00:00</t>
  </si>
  <si>
    <t>2021-04-21T20:00:00+00:00</t>
  </si>
  <si>
    <t>2021-04-22</t>
  </si>
  <si>
    <t>2021-04-22T13:30:00+00:00</t>
  </si>
  <si>
    <t>2021-04-22T20:00:00+00:00</t>
  </si>
  <si>
    <t>2021-04-23</t>
  </si>
  <si>
    <t>2021-04-23T13:30:00+00:00</t>
  </si>
  <si>
    <t>2021-04-23T20:00:00+00:00</t>
  </si>
  <si>
    <t>2021-04-26</t>
  </si>
  <si>
    <t>2021-04-26T13:30:00+00:00</t>
  </si>
  <si>
    <t>2021-04-26T20:00:00+00:00</t>
  </si>
  <si>
    <t>2021-04-27</t>
  </si>
  <si>
    <t>2021-04-27T13:30:00+00:00</t>
  </si>
  <si>
    <t>2021-04-27T20:00:00+00:00</t>
  </si>
  <si>
    <t>2021-04-28</t>
  </si>
  <si>
    <t>2021-04-28T13:30:00+00:00</t>
  </si>
  <si>
    <t>2021-04-28T20:00:00+00:00</t>
  </si>
  <si>
    <t>2021-04-29</t>
  </si>
  <si>
    <t>2021-04-29T13:30:00+00:00</t>
  </si>
  <si>
    <t>2021-04-29T20:00:00+00:00</t>
  </si>
  <si>
    <t>2021-04-30</t>
  </si>
  <si>
    <t>2021-04-30T13:30:00+00:00</t>
  </si>
  <si>
    <t>2021-04-30T20:00:00+00:00</t>
  </si>
  <si>
    <t>2021-05-03</t>
  </si>
  <si>
    <t>2021-05-03T13:30:00+00:00</t>
  </si>
  <si>
    <t>2021-05-03T20:00:00+00:00</t>
  </si>
  <si>
    <t>2021-05-04</t>
  </si>
  <si>
    <t>2021-05-04T13:30:00+00:00</t>
  </si>
  <si>
    <t>2021-05-04T20:00:00+00:00</t>
  </si>
  <si>
    <t>2021-05-05</t>
  </si>
  <si>
    <t>2021-05-05T13:30:00+00:00</t>
  </si>
  <si>
    <t>2021-05-05T20:00:00+00:00</t>
  </si>
  <si>
    <t>2021-05-06</t>
  </si>
  <si>
    <t>2021-05-06T13:30:00+00:00</t>
  </si>
  <si>
    <t>2021-05-06T20:00:00+00:00</t>
  </si>
  <si>
    <t>2021-05-07</t>
  </si>
  <si>
    <t>2021-05-07T13:30:00+00:00</t>
  </si>
  <si>
    <t>2021-05-07T20:00:00+00:00</t>
  </si>
  <si>
    <t>2021-05-10</t>
  </si>
  <si>
    <t>2021-05-10T13:30:00+00:00</t>
  </si>
  <si>
    <t>2021-05-10T20:00:00+00:00</t>
  </si>
  <si>
    <t>2021-05-11</t>
  </si>
  <si>
    <t>2021-05-11T13:30:00+00:00</t>
  </si>
  <si>
    <t>2021-05-11T20:00:00+00:00</t>
  </si>
  <si>
    <t>2021-05-12</t>
  </si>
  <si>
    <t>2021-05-12T13:30:00+00:00</t>
  </si>
  <si>
    <t>2021-05-12T20:00:00+00:00</t>
  </si>
  <si>
    <t>2021-05-13</t>
  </si>
  <si>
    <t>2021-05-13T13:30:00+00:00</t>
  </si>
  <si>
    <t>2021-05-13T20:00:00+00:00</t>
  </si>
  <si>
    <t>2021-05-14</t>
  </si>
  <si>
    <t>2021-05-14T13:30:00+00:00</t>
  </si>
  <si>
    <t>2021-05-14T20:00:00+00:00</t>
  </si>
  <si>
    <t>2021-05-17</t>
  </si>
  <si>
    <t>2021-05-17T13:30:00+00:00</t>
  </si>
  <si>
    <t>2021-05-17T20:00:00+00:00</t>
  </si>
  <si>
    <t>2021-05-18</t>
  </si>
  <si>
    <t>2021-05-18T13:30:00+00:00</t>
  </si>
  <si>
    <t>2021-05-18T20:00:00+00:00</t>
  </si>
  <si>
    <t>2021-05-19</t>
  </si>
  <si>
    <t>2021-05-19T13:30:00+00:00</t>
  </si>
  <si>
    <t>2021-05-19T20:00:00+00:00</t>
  </si>
  <si>
    <t>2021-05-20</t>
  </si>
  <si>
    <t>2021-05-20T13:30:00+00:00</t>
  </si>
  <si>
    <t>2021-05-20T20:00:00+00:00</t>
  </si>
  <si>
    <t>2021-05-21</t>
  </si>
  <si>
    <t>2021-05-21T13:30:00+00:00</t>
  </si>
  <si>
    <t>2021-05-21T20:00:00+00:00</t>
  </si>
  <si>
    <t>2021-05-24</t>
  </si>
  <si>
    <t>2021-05-24T13:30:00+00:00</t>
  </si>
  <si>
    <t>2021-05-24T20:00:00+00:00</t>
  </si>
  <si>
    <t>2021-05-25</t>
  </si>
  <si>
    <t>2021-05-25T13:30:00+00:00</t>
  </si>
  <si>
    <t>2021-05-25T20:00:00+00:00</t>
  </si>
  <si>
    <t>2021-05-26</t>
  </si>
  <si>
    <t>2021-05-26T13:30:00+00:00</t>
  </si>
  <si>
    <t>2021-05-26T20:00:00+00:00</t>
  </si>
  <si>
    <t>2021-05-27</t>
  </si>
  <si>
    <t>2021-05-27T13:30:00+00:00</t>
  </si>
  <si>
    <t>2021-05-27T20:00:00+00:00</t>
  </si>
  <si>
    <t>2021-05-28</t>
  </si>
  <si>
    <t>2021-05-28T13:30:00+00:00</t>
  </si>
  <si>
    <t>2021-05-28T20:00:00+00:00</t>
  </si>
  <si>
    <t>2021-06-01</t>
  </si>
  <si>
    <t>2021-06-01T13:30:00+00:00</t>
  </si>
  <si>
    <t>2021-06-01T20:00:00+00:00</t>
  </si>
  <si>
    <t>2021-06-02</t>
  </si>
  <si>
    <t>2021-06-02T13:30:00+00:00</t>
  </si>
  <si>
    <t>2021-06-02T20:00:00+00:00</t>
  </si>
  <si>
    <t>2021-06-03</t>
  </si>
  <si>
    <t>2021-06-03T13:30:00+00:00</t>
  </si>
  <si>
    <t>2021-06-03T20:00:00+00:00</t>
  </si>
  <si>
    <t>2021-06-04</t>
  </si>
  <si>
    <t>2021-06-04T13:30:00+00:00</t>
  </si>
  <si>
    <t>2021-06-04T20:00:00+00:00</t>
  </si>
  <si>
    <t>2021-06-07</t>
  </si>
  <si>
    <t>2021-06-07T13:30:00+00:00</t>
  </si>
  <si>
    <t>2021-06-07T20:00:00+00:00</t>
  </si>
  <si>
    <t>2021-06-08</t>
  </si>
  <si>
    <t>2021-06-08T13:30:00+00:00</t>
  </si>
  <si>
    <t>2021-06-08T20:00:00+00:00</t>
  </si>
  <si>
    <t>2021-06-09</t>
  </si>
  <si>
    <t>2021-06-09T13:30:00+00:00</t>
  </si>
  <si>
    <t>2021-06-09T20:00:00+00:00</t>
  </si>
  <si>
    <t>2021-06-10</t>
  </si>
  <si>
    <t>2021-06-10T13:30:00+00:00</t>
  </si>
  <si>
    <t>2021-06-10T20:00:00+00:00</t>
  </si>
  <si>
    <t>2021-06-11</t>
  </si>
  <si>
    <t>2021-06-11T13:30:00+00:00</t>
  </si>
  <si>
    <t>2021-06-11T20:00:00+00:00</t>
  </si>
  <si>
    <t>2021-06-14</t>
  </si>
  <si>
    <t>2021-06-14T13:30:00+00:00</t>
  </si>
  <si>
    <t>2021-06-14T20:00:00+00:00</t>
  </si>
  <si>
    <t>2021-06-15</t>
  </si>
  <si>
    <t>2021-06-15T13:30:00+00:00</t>
  </si>
  <si>
    <t>2021-06-15T20:00:00+00:00</t>
  </si>
  <si>
    <t>2021-06-16</t>
  </si>
  <si>
    <t>2021-06-16T13:30:00+00:00</t>
  </si>
  <si>
    <t>2021-06-16T20:00:00+00:00</t>
  </si>
  <si>
    <t>2021-06-17</t>
  </si>
  <si>
    <t>2021-06-17T13:30:00+00:00</t>
  </si>
  <si>
    <t>2021-06-17T20:00:00+00:00</t>
  </si>
  <si>
    <t>2021-06-18</t>
  </si>
  <si>
    <t>2021-06-18T13:30:00+00:00</t>
  </si>
  <si>
    <t>2021-06-18T20:00:00+00:00</t>
  </si>
  <si>
    <t>2021-06-21</t>
  </si>
  <si>
    <t>2021-06-21T13:30:00+00:00</t>
  </si>
  <si>
    <t>2021-06-21T20:00:00+00:00</t>
  </si>
  <si>
    <t>2021-06-22</t>
  </si>
  <si>
    <t>2021-06-22T13:30:00+00:00</t>
  </si>
  <si>
    <t>2021-06-22T20:00:00+00:00</t>
  </si>
  <si>
    <t>2021-06-23</t>
  </si>
  <si>
    <t>2021-06-23T13:30:00+00:00</t>
  </si>
  <si>
    <t>2021-06-23T20:00:00+00:00</t>
  </si>
  <si>
    <t>2021-06-24</t>
  </si>
  <si>
    <t>2021-06-24T13:30:00+00:00</t>
  </si>
  <si>
    <t>2021-06-24T20:00:00+00:00</t>
  </si>
  <si>
    <t>2021-06-25</t>
  </si>
  <si>
    <t>2021-06-25T13:30:00+00:00</t>
  </si>
  <si>
    <t>2021-06-25T20:00:00+00:00</t>
  </si>
  <si>
    <t>2021-06-28</t>
  </si>
  <si>
    <t>2021-06-28T13:30:00+00:00</t>
  </si>
  <si>
    <t>2021-06-28T20:00:00+00:00</t>
  </si>
  <si>
    <t>2021-06-29</t>
  </si>
  <si>
    <t>2021-06-29T13:30:00+00:00</t>
  </si>
  <si>
    <t>2021-06-29T20:00:00+00:00</t>
  </si>
  <si>
    <t>2021-06-30</t>
  </si>
  <si>
    <t>2021-06-30T13:30:00+00:00</t>
  </si>
  <si>
    <t>2021-06-30T20:00:00+00:00</t>
  </si>
  <si>
    <t>2021-07-01</t>
  </si>
  <si>
    <t>2021-07-01T13:30:00+00:00</t>
  </si>
  <si>
    <t>2021-07-01T20:00:00+00:00</t>
  </si>
  <si>
    <t>2021-07-02</t>
  </si>
  <si>
    <t>2021-07-02T13:30:00+00:00</t>
  </si>
  <si>
    <t>2021-07-02T20:00:00+00:00</t>
  </si>
  <si>
    <t>2021-07-06</t>
  </si>
  <si>
    <t>2021-07-06T13:30:00+00:00</t>
  </si>
  <si>
    <t>2021-07-06T20:00:00+00:00</t>
  </si>
  <si>
    <t>2021-07-07</t>
  </si>
  <si>
    <t>2021-07-07T13:30:00+00:00</t>
  </si>
  <si>
    <t>2021-07-07T20:00:00+00:00</t>
  </si>
  <si>
    <t>2021-07-08</t>
  </si>
  <si>
    <t>2021-07-08T13:30:00+00:00</t>
  </si>
  <si>
    <t>2021-07-08T20:00:00+00:00</t>
  </si>
  <si>
    <t>2021-07-09</t>
  </si>
  <si>
    <t>2021-07-09T13:30:00+00:00</t>
  </si>
  <si>
    <t>2021-07-09T20:00:00+00:00</t>
  </si>
  <si>
    <t>2021-07-12</t>
  </si>
  <si>
    <t>2021-07-12T13:30:00+00:00</t>
  </si>
  <si>
    <t>2021-07-12T20:00:00+00:00</t>
  </si>
  <si>
    <t>2021-07-13</t>
  </si>
  <si>
    <t>2021-07-13T13:30:00+00:00</t>
  </si>
  <si>
    <t>2021-07-13T20:00:00+00:00</t>
  </si>
  <si>
    <t>2021-07-14</t>
  </si>
  <si>
    <t>2021-07-14T13:30:00+00:00</t>
  </si>
  <si>
    <t>2021-07-14T20:00:00+00:00</t>
  </si>
  <si>
    <t>2021-07-15</t>
  </si>
  <si>
    <t>2021-07-15T13:30:00+00:00</t>
  </si>
  <si>
    <t>2021-07-15T20:00:00+00:00</t>
  </si>
  <si>
    <t>2021-07-16</t>
  </si>
  <si>
    <t>2021-07-16T13:30:00+00:00</t>
  </si>
  <si>
    <t>2021-07-16T20:00:00+00:00</t>
  </si>
  <si>
    <t>2021-07-19</t>
  </si>
  <si>
    <t>2021-07-19T13:30:00+00:00</t>
  </si>
  <si>
    <t>2021-07-19T20:00:00+00:00</t>
  </si>
  <si>
    <t>2021-07-20</t>
  </si>
  <si>
    <t>2021-07-20T13:30:00+00:00</t>
  </si>
  <si>
    <t>2021-07-20T20:00:00+00:00</t>
  </si>
  <si>
    <t>2021-07-21</t>
  </si>
  <si>
    <t>2021-07-21T13:30:00+00:00</t>
  </si>
  <si>
    <t>2021-07-21T20:00:00+00:00</t>
  </si>
  <si>
    <t>2021-07-22</t>
  </si>
  <si>
    <t>2021-07-22T13:30:00+00:00</t>
  </si>
  <si>
    <t>2021-07-22T20:00:00+00:00</t>
  </si>
  <si>
    <t>2021-07-23</t>
  </si>
  <si>
    <t>2021-07-23T13:30:00+00:00</t>
  </si>
  <si>
    <t>2021-07-23T20:00:00+00:00</t>
  </si>
  <si>
    <t>2021-07-26</t>
  </si>
  <si>
    <t>2021-07-26T13:30:00+00:00</t>
  </si>
  <si>
    <t>2021-07-26T20:00:00+00:00</t>
  </si>
  <si>
    <t>2021-07-27</t>
  </si>
  <si>
    <t>2021-07-27T13:30:00+00:00</t>
  </si>
  <si>
    <t>2021-07-27T20:00:00+00:00</t>
  </si>
  <si>
    <t>2021-07-28</t>
  </si>
  <si>
    <t>2021-07-28T13:30:00+00:00</t>
  </si>
  <si>
    <t>2021-07-28T20:00:00+00:00</t>
  </si>
  <si>
    <t>2021-07-29</t>
  </si>
  <si>
    <t>2021-07-29T13:30:00+00:00</t>
  </si>
  <si>
    <t>2021-07-29T20:00:00+00:00</t>
  </si>
  <si>
    <t>2021-07-30</t>
  </si>
  <si>
    <t>2021-07-30T13:30:00+00:00</t>
  </si>
  <si>
    <t>2021-07-30T20:00:00+00:00</t>
  </si>
  <si>
    <t>2021-08-02</t>
  </si>
  <si>
    <t>2021-08-02T13:30:00+00:00</t>
  </si>
  <si>
    <t>2021-08-02T20:00:00+00:00</t>
  </si>
  <si>
    <t>2021-08-03</t>
  </si>
  <si>
    <t>2021-08-03T13:30:00+00:00</t>
  </si>
  <si>
    <t>2021-08-03T20:00:00+00:00</t>
  </si>
  <si>
    <t>2021-08-04</t>
  </si>
  <si>
    <t>2021-08-04T13:30:00+00:00</t>
  </si>
  <si>
    <t>2021-08-04T20:00:00+00:00</t>
  </si>
  <si>
    <t>2021-08-05</t>
  </si>
  <si>
    <t>2021-08-05T13:30:00+00:00</t>
  </si>
  <si>
    <t>2021-08-05T20:00:00+00:00</t>
  </si>
  <si>
    <t>2021-08-06</t>
  </si>
  <si>
    <t>2021-08-06T13:30:00+00:00</t>
  </si>
  <si>
    <t>2021-08-06T20:00:00+00:00</t>
  </si>
  <si>
    <t>2021-08-09</t>
  </si>
  <si>
    <t>2021-08-09T13:30:00+00:00</t>
  </si>
  <si>
    <t>2021-08-09T20:00:00+00:00</t>
  </si>
  <si>
    <t>2021-08-10</t>
  </si>
  <si>
    <t>2021-08-10T13:30:00+00:00</t>
  </si>
  <si>
    <t>2021-08-10T20:00:00+00:00</t>
  </si>
  <si>
    <t>2021-08-11</t>
  </si>
  <si>
    <t>2021-08-11T13:30:00+00:00</t>
  </si>
  <si>
    <t>2021-08-11T20:00:00+00:00</t>
  </si>
  <si>
    <t>2021-08-12</t>
  </si>
  <si>
    <t>2021-08-12T13:30:00+00:00</t>
  </si>
  <si>
    <t>2021-08-12T20:00:00+00:00</t>
  </si>
  <si>
    <t>2021-08-13</t>
  </si>
  <si>
    <t>2021-08-13T13:30:00+00:00</t>
  </si>
  <si>
    <t>2021-08-13T20:00:00+00:00</t>
  </si>
  <si>
    <t>2021-08-16</t>
  </si>
  <si>
    <t>2021-08-16T13:30:00+00:00</t>
  </si>
  <si>
    <t>2021-08-16T20:00:00+00:00</t>
  </si>
  <si>
    <t>2021-08-17</t>
  </si>
  <si>
    <t>2021-08-17T13:30:00+00:00</t>
  </si>
  <si>
    <t>2021-08-17T20:00:00+00:00</t>
  </si>
  <si>
    <t>2021-08-18</t>
  </si>
  <si>
    <t>2021-08-18T13:30:00+00:00</t>
  </si>
  <si>
    <t>2021-08-18T20:00:00+00:00</t>
  </si>
  <si>
    <t>2021-08-19</t>
  </si>
  <si>
    <t>2021-08-19T13:30:00+00:00</t>
  </si>
  <si>
    <t>2021-08-19T20:00:00+00:00</t>
  </si>
  <si>
    <t>2021-08-20</t>
  </si>
  <si>
    <t>2021-08-20T13:30:00+00:00</t>
  </si>
  <si>
    <t>2021-08-20T20:00:00+00:00</t>
  </si>
  <si>
    <t>2021-08-23</t>
  </si>
  <si>
    <t>2021-08-23T13:30:00+00:00</t>
  </si>
  <si>
    <t>2021-08-23T20:00:00+00:00</t>
  </si>
  <si>
    <t>2021-08-24</t>
  </si>
  <si>
    <t>2021-08-24T13:30:00+00:00</t>
  </si>
  <si>
    <t>2021-08-24T20:00:00+00:00</t>
  </si>
  <si>
    <t>2021-08-25</t>
  </si>
  <si>
    <t>2021-08-25T13:30:00+00:00</t>
  </si>
  <si>
    <t>2021-08-25T20:00:00+00:00</t>
  </si>
  <si>
    <t>2021-08-26</t>
  </si>
  <si>
    <t>2021-08-26T13:30:00+00:00</t>
  </si>
  <si>
    <t>2021-08-26T20:00:00+00:00</t>
  </si>
  <si>
    <t>2021-08-27</t>
  </si>
  <si>
    <t>2021-08-27T13:30:00+00:00</t>
  </si>
  <si>
    <t>2021-08-27T20:00:00+00:00</t>
  </si>
  <si>
    <t>2021-08-30</t>
  </si>
  <si>
    <t>2021-08-30T13:30:00+00:00</t>
  </si>
  <si>
    <t>2021-08-30T20:00:00+00:00</t>
  </si>
  <si>
    <t>2021-08-31</t>
  </si>
  <si>
    <t>2021-08-31T13:30:00+00:00</t>
  </si>
  <si>
    <t>2021-08-31T20:00:00+00:00</t>
  </si>
  <si>
    <t>2021-09-01</t>
  </si>
  <si>
    <t>2021-09-01T13:30:00+00:00</t>
  </si>
  <si>
    <t>2021-09-01T20:00:00+00:00</t>
  </si>
  <si>
    <t>2021-09-02</t>
  </si>
  <si>
    <t>2021-09-02T13:30:00+00:00</t>
  </si>
  <si>
    <t>2021-09-02T20:00:00+00:00</t>
  </si>
  <si>
    <t>2021-09-03</t>
  </si>
  <si>
    <t>2021-09-03T13:30:00+00:00</t>
  </si>
  <si>
    <t>2021-09-03T20:00:00+00:00</t>
  </si>
  <si>
    <t>2021-09-07</t>
  </si>
  <si>
    <t>2021-09-07T13:30:00+00:00</t>
  </si>
  <si>
    <t>2021-09-07T20:00:00+00:00</t>
  </si>
  <si>
    <t>2021-09-08</t>
  </si>
  <si>
    <t>2021-09-08T13:30:00+00:00</t>
  </si>
  <si>
    <t>2021-09-08T20:00:00+00:00</t>
  </si>
  <si>
    <t>2021-09-09</t>
  </si>
  <si>
    <t>2021-09-09T13:30:00+00:00</t>
  </si>
  <si>
    <t>2021-09-09T20:00:00+00:00</t>
  </si>
  <si>
    <t>2021-09-10</t>
  </si>
  <si>
    <t>2021-09-10T13:30:00+00:00</t>
  </si>
  <si>
    <t>2021-09-10T20:00:00+00:00</t>
  </si>
  <si>
    <t>2021-09-13</t>
  </si>
  <si>
    <t>2021-09-13T13:30:00+00:00</t>
  </si>
  <si>
    <t>2021-09-13T20:00:00+00:00</t>
  </si>
  <si>
    <t>2021-09-14</t>
  </si>
  <si>
    <t>2021-09-14T13:30:00+00:00</t>
  </si>
  <si>
    <t>2021-09-14T20:00:00+00:00</t>
  </si>
  <si>
    <t>2021-09-15</t>
  </si>
  <si>
    <t>2021-09-15T13:30:00+00:00</t>
  </si>
  <si>
    <t>2021-09-15T20:00:00+00:00</t>
  </si>
  <si>
    <t>2021-09-16</t>
  </si>
  <si>
    <t>2021-09-16T13:30:00+00:00</t>
  </si>
  <si>
    <t>2021-09-16T20:00:00+00:00</t>
  </si>
  <si>
    <t>2021-09-17</t>
  </si>
  <si>
    <t>2021-09-17T13:30:00+00:00</t>
  </si>
  <si>
    <t>2021-09-17T20:00:00+00:00</t>
  </si>
  <si>
    <t>2021-09-20</t>
  </si>
  <si>
    <t>2021-09-20T13:30:00+00:00</t>
  </si>
  <si>
    <t>2021-09-20T20:00:00+00:00</t>
  </si>
  <si>
    <t>2021-09-21</t>
  </si>
  <si>
    <t>2021-09-21T13:30:00+00:00</t>
  </si>
  <si>
    <t>2021-09-21T20:00:00+00:00</t>
  </si>
  <si>
    <t>2021-09-22</t>
  </si>
  <si>
    <t>2021-09-22T13:30:00+00:00</t>
  </si>
  <si>
    <t>2021-09-22T20:00:00+00:00</t>
  </si>
  <si>
    <t>2021-09-23</t>
  </si>
  <si>
    <t>2021-09-23T13:30:00+00:00</t>
  </si>
  <si>
    <t>2021-09-23T20:00:00+00:00</t>
  </si>
  <si>
    <t>2021-09-24</t>
  </si>
  <si>
    <t>2021-09-24T13:30:00+00:00</t>
  </si>
  <si>
    <t>2021-09-24T20:00:00+00:00</t>
  </si>
  <si>
    <t>2021-09-27</t>
  </si>
  <si>
    <t>2021-09-27T13:30:00+00:00</t>
  </si>
  <si>
    <t>2021-09-27T20:00:00+00:00</t>
  </si>
  <si>
    <t>2021-09-28</t>
  </si>
  <si>
    <t>2021-09-28T13:30:00+00:00</t>
  </si>
  <si>
    <t>2021-09-28T20:00:00+00:00</t>
  </si>
  <si>
    <t>2021-09-29</t>
  </si>
  <si>
    <t>2021-09-29T13:30:00+00:00</t>
  </si>
  <si>
    <t>2021-09-29T20:00:00+00:00</t>
  </si>
  <si>
    <t>2021-09-30</t>
  </si>
  <si>
    <t>2021-09-30T13:30:00+00:00</t>
  </si>
  <si>
    <t>2021-09-30T20:00:00+00:00</t>
  </si>
  <si>
    <t>2021-10-01</t>
  </si>
  <si>
    <t>2021-10-01T13:30:00+00:00</t>
  </si>
  <si>
    <t>2021-10-01T20:00:00+00:00</t>
  </si>
  <si>
    <t>2021-10-04</t>
  </si>
  <si>
    <t>2021-10-04T13:30:00+00:00</t>
  </si>
  <si>
    <t>2021-10-04T20:00:00+00:00</t>
  </si>
  <si>
    <t>2021-10-05</t>
  </si>
  <si>
    <t>2021-10-05T13:30:00+00:00</t>
  </si>
  <si>
    <t>2021-10-05T20:00:00+00:00</t>
  </si>
  <si>
    <t>2021-10-06</t>
  </si>
  <si>
    <t>2021-10-06T13:30:00+00:00</t>
  </si>
  <si>
    <t>2021-10-06T20:00:00+00:00</t>
  </si>
  <si>
    <t>2021-10-07</t>
  </si>
  <si>
    <t>2021-10-07T13:30:00+00:00</t>
  </si>
  <si>
    <t>2021-10-07T20:00:00+00:00</t>
  </si>
  <si>
    <t>2021-10-08</t>
  </si>
  <si>
    <t>2021-10-08T13:30:00+00:00</t>
  </si>
  <si>
    <t>2021-10-08T20:00:00+00:00</t>
  </si>
  <si>
    <t>2021-10-11</t>
  </si>
  <si>
    <t>2021-10-11T13:30:00+00:00</t>
  </si>
  <si>
    <t>2021-10-11T20:00:00+00:00</t>
  </si>
  <si>
    <t>2021-10-12</t>
  </si>
  <si>
    <t>2021-10-12T13:30:00+00:00</t>
  </si>
  <si>
    <t>2021-10-12T20:00:00+00:00</t>
  </si>
  <si>
    <t>2021-10-13</t>
  </si>
  <si>
    <t>2021-10-13T13:30:00+00:00</t>
  </si>
  <si>
    <t>2021-10-13T20:00:00+00:00</t>
  </si>
  <si>
    <t>2021-10-14</t>
  </si>
  <si>
    <t>2021-10-14T13:30:00+00:00</t>
  </si>
  <si>
    <t>2021-10-14T20:00:00+00:00</t>
  </si>
  <si>
    <t>2021-10-15</t>
  </si>
  <si>
    <t>2021-10-15T13:30:00+00:00</t>
  </si>
  <si>
    <t>2021-10-15T20:00:00+00:00</t>
  </si>
  <si>
    <t>2021-10-18</t>
  </si>
  <si>
    <t>2021-10-18T13:30:00+00:00</t>
  </si>
  <si>
    <t>2021-10-18T20:00:00+00:00</t>
  </si>
  <si>
    <t>2021-10-19</t>
  </si>
  <si>
    <t>2021-10-19T13:30:00+00:00</t>
  </si>
  <si>
    <t>2021-10-19T20:00:00+00:00</t>
  </si>
  <si>
    <t>2021-10-20</t>
  </si>
  <si>
    <t>2021-10-20T13:30:00+00:00</t>
  </si>
  <si>
    <t>2021-10-20T20:00:00+00:00</t>
  </si>
  <si>
    <t>2021-10-21</t>
  </si>
  <si>
    <t>2021-10-21T13:30:00+00:00</t>
  </si>
  <si>
    <t>2021-10-21T20:00:00+00:00</t>
  </si>
  <si>
    <t>2021-10-22</t>
  </si>
  <si>
    <t>2021-10-22T13:30:00+00:00</t>
  </si>
  <si>
    <t>2021-10-22T20:00:00+00:00</t>
  </si>
  <si>
    <t>2021-10-25</t>
  </si>
  <si>
    <t>2021-10-25T13:30:00+00:00</t>
  </si>
  <si>
    <t>2021-10-25T20:00:00+00:00</t>
  </si>
  <si>
    <t>2021-10-26</t>
  </si>
  <si>
    <t>2021-10-26T13:30:00+00:00</t>
  </si>
  <si>
    <t>2021-10-26T20:00:00+00:00</t>
  </si>
  <si>
    <t>2021-10-27</t>
  </si>
  <si>
    <t>2021-10-27T13:30:00+00:00</t>
  </si>
  <si>
    <t>2021-10-27T20:00:00+00:00</t>
  </si>
  <si>
    <t>2021-10-28</t>
  </si>
  <si>
    <t>2021-10-28T13:30:00+00:00</t>
  </si>
  <si>
    <t>2021-10-28T20:00:00+00:00</t>
  </si>
  <si>
    <t>2021-10-29</t>
  </si>
  <si>
    <t>2021-10-29T13:30:00+00:00</t>
  </si>
  <si>
    <t>2021-10-29T20:00:00+00:00</t>
  </si>
  <si>
    <t>2021-11-01</t>
  </si>
  <si>
    <t>2021-11-01T13:30:00+00:00</t>
  </si>
  <si>
    <t>2021-11-01T20:00:00+00:00</t>
  </si>
  <si>
    <t>2021-11-02</t>
  </si>
  <si>
    <t>2021-11-02T13:30:00+00:00</t>
  </si>
  <si>
    <t>2021-11-02T20:00:00+00:00</t>
  </si>
  <si>
    <t>2021-11-03</t>
  </si>
  <si>
    <t>2021-11-03T13:30:00+00:00</t>
  </si>
  <si>
    <t>2021-11-03T20:00:00+00:00</t>
  </si>
  <si>
    <t>2021-11-04</t>
  </si>
  <si>
    <t>2021-11-04T13:30:00+00:00</t>
  </si>
  <si>
    <t>2021-11-04T20:00:00+00:00</t>
  </si>
  <si>
    <t>2021-11-05</t>
  </si>
  <si>
    <t>2021-11-05T13:30:00+00:00</t>
  </si>
  <si>
    <t>2021-11-05T20:00:00+00:00</t>
  </si>
  <si>
    <t>2021-11-08</t>
  </si>
  <si>
    <t>2021-11-08T14:30:00+00:00</t>
  </si>
  <si>
    <t>2021-11-08T21:00:00+00:00</t>
  </si>
  <si>
    <t>2021-11-09</t>
  </si>
  <si>
    <t>2021-11-09T14:30:00+00:00</t>
  </si>
  <si>
    <t>2021-11-09T21:00:00+00:00</t>
  </si>
  <si>
    <t>2021-11-10</t>
  </si>
  <si>
    <t>2021-11-10T14:30:00+00:00</t>
  </si>
  <si>
    <t>2021-11-10T21:00:00+00:00</t>
  </si>
  <si>
    <t>2021-11-11</t>
  </si>
  <si>
    <t>2021-11-11T14:30:00+00:00</t>
  </si>
  <si>
    <t>2021-11-11T21:00:00+00:00</t>
  </si>
  <si>
    <t>2021-11-12</t>
  </si>
  <si>
    <t>2021-11-12T14:30:00+00:00</t>
  </si>
  <si>
    <t>2021-11-12T21:00:00+00:00</t>
  </si>
  <si>
    <t>2021-11-15</t>
  </si>
  <si>
    <t>2021-11-15T14:30:00+00:00</t>
  </si>
  <si>
    <t>2021-11-15T21:00:00+00:00</t>
  </si>
  <si>
    <t>2021-11-16</t>
  </si>
  <si>
    <t>2021-11-16T14:30:00+00:00</t>
  </si>
  <si>
    <t>2021-11-16T21:00:00+00:00</t>
  </si>
  <si>
    <t>2021-11-17</t>
  </si>
  <si>
    <t>2021-11-17T14:30:00+00:00</t>
  </si>
  <si>
    <t>2021-11-17T21:00:00+00:00</t>
  </si>
  <si>
    <t>2021-11-18</t>
  </si>
  <si>
    <t>2021-11-18T14:30:00+00:00</t>
  </si>
  <si>
    <t>2021-11-18T21:00:00+00:00</t>
  </si>
  <si>
    <t>2021-11-19</t>
  </si>
  <si>
    <t>2021-11-19T14:30:00+00:00</t>
  </si>
  <si>
    <t>2021-11-19T21:00:00+00:00</t>
  </si>
  <si>
    <t>2021-11-22</t>
  </si>
  <si>
    <t>2021-11-22T14:30:00+00:00</t>
  </si>
  <si>
    <t>2021-11-22T21:00:00+00:00</t>
  </si>
  <si>
    <t>2021-11-23</t>
  </si>
  <si>
    <t>2021-11-23T14:30:00+00:00</t>
  </si>
  <si>
    <t>2021-11-23T21:00:00+00:00</t>
  </si>
  <si>
    <t>2021-11-24</t>
  </si>
  <si>
    <t>2021-11-24T14:30:00+00:00</t>
  </si>
  <si>
    <t>2021-11-24T21:00:00+00:00</t>
  </si>
  <si>
    <t>2021-11-26</t>
  </si>
  <si>
    <t>2021-11-26T14:30:00+00:00</t>
  </si>
  <si>
    <t>2021-11-26T18:00:00+00:00</t>
  </si>
  <si>
    <t>2021-11-29</t>
  </si>
  <si>
    <t>2021-11-29T14:30:00+00:00</t>
  </si>
  <si>
    <t>2021-11-29T21:00:00+00:00</t>
  </si>
  <si>
    <t>2021-11-30</t>
  </si>
  <si>
    <t>2021-11-30T14:30:00+00:00</t>
  </si>
  <si>
    <t>2021-11-30T21:00:00+00:00</t>
  </si>
  <si>
    <t>2021-12-01</t>
  </si>
  <si>
    <t>2021-12-01T14:30:00+00:00</t>
  </si>
  <si>
    <t>2021-12-01T21:00:00+00:00</t>
  </si>
  <si>
    <t>2021-12-02</t>
  </si>
  <si>
    <t>2021-12-02T14:30:00+00:00</t>
  </si>
  <si>
    <t>2021-12-02T21:00:00+00:00</t>
  </si>
  <si>
    <t>2021-12-03</t>
  </si>
  <si>
    <t>2021-12-03T14:30:00+00:00</t>
  </si>
  <si>
    <t>2021-12-03T21:00:00+00:00</t>
  </si>
  <si>
    <t>2021-12-06</t>
  </si>
  <si>
    <t>2021-12-06T14:30:00+00:00</t>
  </si>
  <si>
    <t>2021-12-06T21:00:00+00:00</t>
  </si>
  <si>
    <t>2021-12-07</t>
  </si>
  <si>
    <t>2021-12-07T14:30:00+00:00</t>
  </si>
  <si>
    <t>2021-12-07T21:00:00+00:00</t>
  </si>
  <si>
    <t>2021-12-08</t>
  </si>
  <si>
    <t>2021-12-08T14:30:00+00:00</t>
  </si>
  <si>
    <t>2021-12-08T21:00:00+00:00</t>
  </si>
  <si>
    <t>2021-12-09</t>
  </si>
  <si>
    <t>2021-12-09T14:30:00+00:00</t>
  </si>
  <si>
    <t>2021-12-09T21:00:00+00:00</t>
  </si>
  <si>
    <t>2021-12-10</t>
  </si>
  <si>
    <t>2021-12-10T14:30:00+00:00</t>
  </si>
  <si>
    <t>2021-12-10T21:00:00+00:00</t>
  </si>
  <si>
    <t>2021-12-13</t>
  </si>
  <si>
    <t>2021-12-13T14:30:00+00:00</t>
  </si>
  <si>
    <t>2021-12-13T21:00:00+00:00</t>
  </si>
  <si>
    <t>2021-12-14</t>
  </si>
  <si>
    <t>2021-12-14T14:30:00+00:00</t>
  </si>
  <si>
    <t>2021-12-14T21:00:00+00:00</t>
  </si>
  <si>
    <t>2021-12-15</t>
  </si>
  <si>
    <t>2021-12-15T14:30:00+00:00</t>
  </si>
  <si>
    <t>2021-12-15T21:00:00+00:00</t>
  </si>
  <si>
    <t>2021-12-16</t>
  </si>
  <si>
    <t>2021-12-16T14:30:00+00:00</t>
  </si>
  <si>
    <t>2021-12-16T21:00:00+00:00</t>
  </si>
  <si>
    <t>2021-12-17</t>
  </si>
  <si>
    <t>2021-12-17T14:30:00+00:00</t>
  </si>
  <si>
    <t>2021-12-17T21:00:00+00:00</t>
  </si>
  <si>
    <t>2021-12-20</t>
  </si>
  <si>
    <t>2021-12-20T14:30:00+00:00</t>
  </si>
  <si>
    <t>2021-12-20T21:00:00+00:00</t>
  </si>
  <si>
    <t>2021-12-21</t>
  </si>
  <si>
    <t>2021-12-21T14:30:00+00:00</t>
  </si>
  <si>
    <t>2021-12-21T21:00:00+00:00</t>
  </si>
  <si>
    <t>2021-12-22</t>
  </si>
  <si>
    <t>2021-12-22T14:30:00+00:00</t>
  </si>
  <si>
    <t>2021-12-22T21:00:00+00:00</t>
  </si>
  <si>
    <t>2021-12-23</t>
  </si>
  <si>
    <t>2021-12-23T14:30:00+00:00</t>
  </si>
  <si>
    <t>2021-12-23T21:00:00+00:00</t>
  </si>
  <si>
    <t>2021-12-27</t>
  </si>
  <si>
    <t>2021-12-27T14:30:00+00:00</t>
  </si>
  <si>
    <t>2021-12-27T21:00:00+00:00</t>
  </si>
  <si>
    <t>2021-12-28</t>
  </si>
  <si>
    <t>2021-12-28T14:30:00+00:00</t>
  </si>
  <si>
    <t>2021-12-28T21:00:00+00:00</t>
  </si>
  <si>
    <t>2021-12-29</t>
  </si>
  <si>
    <t>2021-12-29T14:30:00+00:00</t>
  </si>
  <si>
    <t>2021-12-29T21:00:00+00:00</t>
  </si>
  <si>
    <t>2021-12-30</t>
  </si>
  <si>
    <t>2021-12-30T14:30:00+00:00</t>
  </si>
  <si>
    <t>2021-12-30T21:00:00+00:00</t>
  </si>
  <si>
    <t>2021-12-31</t>
  </si>
  <si>
    <t>2021-12-31T14:30:00+00:00</t>
  </si>
  <si>
    <t>2021-12-31T21:00:00+00:00</t>
  </si>
  <si>
    <t>2022-01-03</t>
  </si>
  <si>
    <t>2022-01-03T14:30:00+00:00</t>
  </si>
  <si>
    <t>2022-01-03T21:00:00+00:00</t>
  </si>
  <si>
    <t>2022-01-04</t>
  </si>
  <si>
    <t>2022-01-04T14:30:00+00:00</t>
  </si>
  <si>
    <t>2022-01-04T21:00:00+00:00</t>
  </si>
  <si>
    <t>2022-01-05</t>
  </si>
  <si>
    <t>2022-01-05T14:30:00+00:00</t>
  </si>
  <si>
    <t>2022-01-05T21:00:00+00:00</t>
  </si>
  <si>
    <t>2022-01-06</t>
  </si>
  <si>
    <t>2022-01-06T14:30:00+00:00</t>
  </si>
  <si>
    <t>2022-01-06T21:00:00+00:00</t>
  </si>
  <si>
    <t>2022-01-07</t>
  </si>
  <si>
    <t>2022-01-07T14:30:00+00:00</t>
  </si>
  <si>
    <t>2022-01-07T21:00:00+00:00</t>
  </si>
  <si>
    <t>2022-01-10</t>
  </si>
  <si>
    <t>2022-01-10T14:30:00+00:00</t>
  </si>
  <si>
    <t>2022-01-10T21:00:00+00:00</t>
  </si>
  <si>
    <t>2022-01-11</t>
  </si>
  <si>
    <t>2022-01-11T14:30:00+00:00</t>
  </si>
  <si>
    <t>2022-01-11T21:00:00+00:00</t>
  </si>
  <si>
    <t>2022-01-12</t>
  </si>
  <si>
    <t>2022-01-12T14:30:00+00:00</t>
  </si>
  <si>
    <t>2022-01-12T21:00:00+00:00</t>
  </si>
  <si>
    <t>2022-01-13</t>
  </si>
  <si>
    <t>2022-01-13T14:30:00+00:00</t>
  </si>
  <si>
    <t>2022-01-13T21:00:00+00:00</t>
  </si>
  <si>
    <t>2022-01-14</t>
  </si>
  <si>
    <t>2022-01-14T14:30:00+00:00</t>
  </si>
  <si>
    <t>2022-01-14T21:00:00+00:00</t>
  </si>
  <si>
    <t>2022-01-18</t>
  </si>
  <si>
    <t>2022-01-18T14:30:00+00:00</t>
  </si>
  <si>
    <t>2022-01-18T21:00:00+00:00</t>
  </si>
  <si>
    <t>2022-01-19</t>
  </si>
  <si>
    <t>2022-01-19T14:30:00+00:00</t>
  </si>
  <si>
    <t>2022-01-19T21:00:00+00:00</t>
  </si>
  <si>
    <t>2022-01-20</t>
  </si>
  <si>
    <t>2022-01-20T14:30:00+00:00</t>
  </si>
  <si>
    <t>2022-01-20T21:00:00+00:00</t>
  </si>
  <si>
    <t>2022-01-21</t>
  </si>
  <si>
    <t>2022-01-21T14:30:00+00:00</t>
  </si>
  <si>
    <t>2022-01-21T21:00:00+00:00</t>
  </si>
  <si>
    <t>2022-01-24</t>
  </si>
  <si>
    <t>2022-01-24T14:30:00+00:00</t>
  </si>
  <si>
    <t>2022-01-24T21:00:00+00:00</t>
  </si>
  <si>
    <t>2022-01-25</t>
  </si>
  <si>
    <t>2022-01-25T14:30:00+00:00</t>
  </si>
  <si>
    <t>2022-01-25T21:00:00+00:00</t>
  </si>
  <si>
    <t>2022-01-26</t>
  </si>
  <si>
    <t>2022-01-26T14:30:00+00:00</t>
  </si>
  <si>
    <t>2022-01-26T21:00:00+00:00</t>
  </si>
  <si>
    <t>2022-01-27</t>
  </si>
  <si>
    <t>2022-01-27T14:30:00+00:00</t>
  </si>
  <si>
    <t>2022-01-27T21:00:00+00:00</t>
  </si>
  <si>
    <t>2022-01-28</t>
  </si>
  <si>
    <t>2022-01-28T14:30:00+00:00</t>
  </si>
  <si>
    <t>2022-01-28T21:00:00+00:00</t>
  </si>
  <si>
    <t>2022-01-31</t>
  </si>
  <si>
    <t>2022-01-31T14:30:00+00:00</t>
  </si>
  <si>
    <t>2022-01-31T21:00:00+00:00</t>
  </si>
  <si>
    <t>2022-02-01</t>
  </si>
  <si>
    <t>2022-02-01T14:30:00+00:00</t>
  </si>
  <si>
    <t>2022-02-01T21:00:00+00:00</t>
  </si>
  <si>
    <t>2022-02-02</t>
  </si>
  <si>
    <t>2022-02-02T14:30:00+00:00</t>
  </si>
  <si>
    <t>2022-02-02T21:00:00+00:00</t>
  </si>
  <si>
    <t>2022-02-03</t>
  </si>
  <si>
    <t>2022-02-03T14:30:00+00:00</t>
  </si>
  <si>
    <t>2022-02-03T21:00:00+00:00</t>
  </si>
  <si>
    <t>2022-02-04</t>
  </si>
  <si>
    <t>2022-02-04T14:30:00+00:00</t>
  </si>
  <si>
    <t>2022-02-04T21:00:00+00:00</t>
  </si>
  <si>
    <t>2022-02-07</t>
  </si>
  <si>
    <t>2022-02-07T14:30:00+00:00</t>
  </si>
  <si>
    <t>2022-02-07T21:00:00+00:00</t>
  </si>
  <si>
    <t>2022-02-08</t>
  </si>
  <si>
    <t>2022-02-08T14:30:00+00:00</t>
  </si>
  <si>
    <t>2022-02-08T21:00:00+00:00</t>
  </si>
  <si>
    <t>2022-02-09</t>
  </si>
  <si>
    <t>2022-02-09T14:30:00+00:00</t>
  </si>
  <si>
    <t>2022-02-09T21:00:00+00:00</t>
  </si>
  <si>
    <t>2022-02-10</t>
  </si>
  <si>
    <t>2022-02-10T14:30:00+00:00</t>
  </si>
  <si>
    <t>2022-02-10T21:00:00+00:00</t>
  </si>
  <si>
    <t>2022-02-11</t>
  </si>
  <si>
    <t>2022-02-11T14:30:00+00:00</t>
  </si>
  <si>
    <t>2022-02-11T21:00:00+00:00</t>
  </si>
  <si>
    <t>2022-02-14</t>
  </si>
  <si>
    <t>2022-02-14T14:30:00+00:00</t>
  </si>
  <si>
    <t>2022-02-14T21:00:00+00:00</t>
  </si>
  <si>
    <t>2022-02-15</t>
  </si>
  <si>
    <t>2022-02-15T14:30:00+00:00</t>
  </si>
  <si>
    <t>2022-02-15T21:00:00+00:00</t>
  </si>
  <si>
    <t>2022-02-16</t>
  </si>
  <si>
    <t>2022-02-16T14:30:00+00:00</t>
  </si>
  <si>
    <t>2022-02-16T21:00:00+00:00</t>
  </si>
  <si>
    <t>2022-02-17</t>
  </si>
  <si>
    <t>2022-02-17T14:30:00+00:00</t>
  </si>
  <si>
    <t>2022-02-17T21:00:00+00:00</t>
  </si>
  <si>
    <t>2022-02-18</t>
  </si>
  <si>
    <t>2022-02-18T14:30:00+00:00</t>
  </si>
  <si>
    <t>2022-02-18T21:00:00+00:00</t>
  </si>
  <si>
    <t>2022-02-22</t>
  </si>
  <si>
    <t>2022-02-22T14:30:00+00:00</t>
  </si>
  <si>
    <t>2022-02-22T21:00:00+00:00</t>
  </si>
  <si>
    <t>2022-02-23</t>
  </si>
  <si>
    <t>2022-02-23T14:30:00+00:00</t>
  </si>
  <si>
    <t>2022-02-23T21:00:00+00:00</t>
  </si>
  <si>
    <t>2022-02-24</t>
  </si>
  <si>
    <t>2022-02-24T14:30:00+00:00</t>
  </si>
  <si>
    <t>2022-02-24T21:00:00+00:00</t>
  </si>
  <si>
    <t>2022-02-25</t>
  </si>
  <si>
    <t>2022-02-25T14:30:00+00:00</t>
  </si>
  <si>
    <t>2022-02-25T21:00:00+00:00</t>
  </si>
  <si>
    <t>2022-02-28</t>
  </si>
  <si>
    <t>2022-02-28T14:30:00+00:00</t>
  </si>
  <si>
    <t>2022-02-28T21:00:00+00:00</t>
  </si>
  <si>
    <t>2022-03-01</t>
  </si>
  <si>
    <t>2022-03-01T14:30:00+00:00</t>
  </si>
  <si>
    <t>2022-03-01T21:00:00+00:00</t>
  </si>
  <si>
    <t>2022-03-02</t>
  </si>
  <si>
    <t>2022-03-02T14:30:00+00:00</t>
  </si>
  <si>
    <t>2022-03-02T21:00:00+00:00</t>
  </si>
  <si>
    <t>2022-03-03</t>
  </si>
  <si>
    <t>2022-03-03T14:30:00+00:00</t>
  </si>
  <si>
    <t>2022-03-03T21:00:00+00:00</t>
  </si>
  <si>
    <t>2022-03-04</t>
  </si>
  <si>
    <t>2022-03-04T14:30:00+00:00</t>
  </si>
  <si>
    <t>2022-03-04T21:00:00+00:00</t>
  </si>
  <si>
    <t>2022-03-07</t>
  </si>
  <si>
    <t>2022-03-07T14:30:00+00:00</t>
  </si>
  <si>
    <t>2022-03-07T21:00:00+00:00</t>
  </si>
  <si>
    <t>2022-03-08</t>
  </si>
  <si>
    <t>2022-03-08T14:30:00+00:00</t>
  </si>
  <si>
    <t>2022-03-08T21:00:00+00:00</t>
  </si>
  <si>
    <t>2022-03-09</t>
  </si>
  <si>
    <t>2022-03-09T14:30:00+00:00</t>
  </si>
  <si>
    <t>2022-03-09T21:00:00+00:00</t>
  </si>
  <si>
    <t>2022-03-10</t>
  </si>
  <si>
    <t>2022-03-10T14:30:00+00:00</t>
  </si>
  <si>
    <t>2022-03-10T21:00:00+00:00</t>
  </si>
  <si>
    <t>2022-03-11</t>
  </si>
  <si>
    <t>2022-03-11T14:30:00+00:00</t>
  </si>
  <si>
    <t>2022-03-11T21:00:00+00:00</t>
  </si>
  <si>
    <t>2022-03-14</t>
  </si>
  <si>
    <t>2022-03-14T13:30:00+00:00</t>
  </si>
  <si>
    <t>2022-03-14T20:00:00+00:00</t>
  </si>
  <si>
    <t>2022-03-15</t>
  </si>
  <si>
    <t>2022-03-15T13:30:00+00:00</t>
  </si>
  <si>
    <t>2022-03-15T20:00:00+00:00</t>
  </si>
  <si>
    <t>2022-03-16</t>
  </si>
  <si>
    <t>2022-03-16T13:30:00+00:00</t>
  </si>
  <si>
    <t>2022-03-16T20:00:00+00:00</t>
  </si>
  <si>
    <t>2022-03-17</t>
  </si>
  <si>
    <t>2022-03-17T13:30:00+00:00</t>
  </si>
  <si>
    <t>2022-03-17T20:00:00+00:00</t>
  </si>
  <si>
    <t>2022-03-18</t>
  </si>
  <si>
    <t>2022-03-18T13:30:00+00:00</t>
  </si>
  <si>
    <t>2022-03-18T20:00:00+00:00</t>
  </si>
  <si>
    <t>2022-03-21</t>
  </si>
  <si>
    <t>2022-03-21T13:30:00+00:00</t>
  </si>
  <si>
    <t>2022-03-21T20:00:00+00:00</t>
  </si>
  <si>
    <t>2022-03-22</t>
  </si>
  <si>
    <t>2022-03-22T13:30:00+00:00</t>
  </si>
  <si>
    <t>2022-03-22T20:00:00+00:00</t>
  </si>
  <si>
    <t>2022-03-23</t>
  </si>
  <si>
    <t>2022-03-23T13:30:00+00:00</t>
  </si>
  <si>
    <t>2022-03-23T20:00:00+00:00</t>
  </si>
  <si>
    <t>2022-03-24</t>
  </si>
  <si>
    <t>2022-03-24T13:30:00+00:00</t>
  </si>
  <si>
    <t>2022-03-24T20:00:00+00:00</t>
  </si>
  <si>
    <t>2022-03-25</t>
  </si>
  <si>
    <t>2022-03-25T13:30:00+00:00</t>
  </si>
  <si>
    <t>2022-03-25T20:00:00+00:00</t>
  </si>
  <si>
    <t>2022-03-28</t>
  </si>
  <si>
    <t>2022-03-28T13:30:00+00:00</t>
  </si>
  <si>
    <t>2022-03-28T20:00:00+00:00</t>
  </si>
  <si>
    <t>2022-03-29</t>
  </si>
  <si>
    <t>2022-03-29T13:30:00+00:00</t>
  </si>
  <si>
    <t>2022-03-29T20:00:00+00:00</t>
  </si>
  <si>
    <t>2022-03-30</t>
  </si>
  <si>
    <t>2022-03-30T13:30:00+00:00</t>
  </si>
  <si>
    <t>2022-03-30T20:00:00+00:00</t>
  </si>
  <si>
    <t>2022-03-31</t>
  </si>
  <si>
    <t>2022-03-31T13:30:00+00:00</t>
  </si>
  <si>
    <t>2022-03-31T20:00:00+00:00</t>
  </si>
  <si>
    <t>2022-04-01</t>
  </si>
  <si>
    <t>2022-04-01T13:30:00+00:00</t>
  </si>
  <si>
    <t>2022-04-01T20:00:00+00:00</t>
  </si>
  <si>
    <t>2022-04-04</t>
  </si>
  <si>
    <t>2022-04-04T13:30:00+00:00</t>
  </si>
  <si>
    <t>2022-04-04T20:00:00+00:00</t>
  </si>
  <si>
    <t>2022-04-05</t>
  </si>
  <si>
    <t>2022-04-05T13:30:00+00:00</t>
  </si>
  <si>
    <t>2022-04-05T20:00:00+00:00</t>
  </si>
  <si>
    <t>2022-04-06</t>
  </si>
  <si>
    <t>2022-04-06T13:30:00+00:00</t>
  </si>
  <si>
    <t>2022-04-06T20:00:00+00:00</t>
  </si>
  <si>
    <t>2022-04-07</t>
  </si>
  <si>
    <t>2022-04-07T13:30:00+00:00</t>
  </si>
  <si>
    <t>2022-04-07T20:00:00+00:00</t>
  </si>
  <si>
    <t>2022-04-08</t>
  </si>
  <si>
    <t>2022-04-08T13:30:00+00:00</t>
  </si>
  <si>
    <t>2022-04-08T20:00:00+00:00</t>
  </si>
  <si>
    <t>2022-04-11</t>
  </si>
  <si>
    <t>2022-04-11T13:30:00+00:00</t>
  </si>
  <si>
    <t>2022-04-11T20:00:00+00:00</t>
  </si>
  <si>
    <t>2022-04-12</t>
  </si>
  <si>
    <t>2022-04-12T13:30:00+00:00</t>
  </si>
  <si>
    <t>2022-04-12T20:00:00+00:00</t>
  </si>
  <si>
    <t>2022-04-13</t>
  </si>
  <si>
    <t>2022-04-13T13:30:00+00:00</t>
  </si>
  <si>
    <t>2022-04-13T20:00:00+00:00</t>
  </si>
  <si>
    <t>2022-04-14</t>
  </si>
  <si>
    <t>2022-04-14T13:30:00+00:00</t>
  </si>
  <si>
    <t>2022-04-14T20:00:00+00:00</t>
  </si>
  <si>
    <t>2022-04-18</t>
  </si>
  <si>
    <t>2022-04-18T13:30:00+00:00</t>
  </si>
  <si>
    <t>2022-04-18T20:00:00+00:00</t>
  </si>
  <si>
    <t>2022-04-19</t>
  </si>
  <si>
    <t>2022-04-19T13:30:00+00:00</t>
  </si>
  <si>
    <t>2022-04-19T20:00:00+00:00</t>
  </si>
  <si>
    <t>2022-04-20</t>
  </si>
  <si>
    <t>2022-04-20T13:30:00+00:00</t>
  </si>
  <si>
    <t>2022-04-20T20:00:00+00:00</t>
  </si>
  <si>
    <t>2022-04-21</t>
  </si>
  <si>
    <t>2022-04-21T13:30:00+00:00</t>
  </si>
  <si>
    <t>2022-04-21T20:00:00+00:00</t>
  </si>
  <si>
    <t>2022-04-22</t>
  </si>
  <si>
    <t>2022-04-22T13:30:00+00:00</t>
  </si>
  <si>
    <t>2022-04-22T20:00:00+00:00</t>
  </si>
  <si>
    <t>2022-04-25</t>
  </si>
  <si>
    <t>2022-04-25T13:30:00+00:00</t>
  </si>
  <si>
    <t>2022-04-25T20:00:00+00:00</t>
  </si>
  <si>
    <t>2022-04-26</t>
  </si>
  <si>
    <t>2022-04-26T13:30:00+00:00</t>
  </si>
  <si>
    <t>2022-04-26T20:00:00+00:00</t>
  </si>
  <si>
    <t>2022-04-27</t>
  </si>
  <si>
    <t>2022-04-27T13:30:00+00:00</t>
  </si>
  <si>
    <t>2022-04-27T20:00:00+00:00</t>
  </si>
  <si>
    <t>2022-04-28</t>
  </si>
  <si>
    <t>2022-04-28T13:30:00+00:00</t>
  </si>
  <si>
    <t>2022-04-28T20:00:00+00:00</t>
  </si>
  <si>
    <t>2022-04-29</t>
  </si>
  <si>
    <t>2022-04-29T13:30:00+00:00</t>
  </si>
  <si>
    <t>2022-04-29T20:00:00+00:00</t>
  </si>
  <si>
    <t>2022-05-02</t>
  </si>
  <si>
    <t>2022-05-02T13:30:00+00:00</t>
  </si>
  <si>
    <t>2022-05-02T20:00:00+00:00</t>
  </si>
  <si>
    <t>2022-05-03</t>
  </si>
  <si>
    <t>2022-05-03T13:30:00+00:00</t>
  </si>
  <si>
    <t>2022-05-03T20:00:00+00:00</t>
  </si>
  <si>
    <t>2022-05-04</t>
  </si>
  <si>
    <t>2022-05-04T13:30:00+00:00</t>
  </si>
  <si>
    <t>2022-05-04T20:00:00+00:00</t>
  </si>
  <si>
    <t>2022-05-05</t>
  </si>
  <si>
    <t>2022-05-05T13:30:00+00:00</t>
  </si>
  <si>
    <t>2022-05-05T20:00:00+00:00</t>
  </si>
  <si>
    <t>2022-05-06</t>
  </si>
  <si>
    <t>2022-05-06T13:30:00+00:00</t>
  </si>
  <si>
    <t>2022-05-06T20:00:00+00:00</t>
  </si>
  <si>
    <t>2022-05-09</t>
  </si>
  <si>
    <t>2022-05-09T13:30:00+00:00</t>
  </si>
  <si>
    <t>2022-05-09T20:00:00+00:00</t>
  </si>
  <si>
    <t>2022-05-10</t>
  </si>
  <si>
    <t>2022-05-10T13:30:00+00:00</t>
  </si>
  <si>
    <t>2022-05-10T20:00:00+00:00</t>
  </si>
  <si>
    <t>2022-05-11</t>
  </si>
  <si>
    <t>2022-05-11T13:30:00+00:00</t>
  </si>
  <si>
    <t>2022-05-11T20:00:00+00:00</t>
  </si>
  <si>
    <t>2022-05-12</t>
  </si>
  <si>
    <t>2022-05-12T13:30:00+00:00</t>
  </si>
  <si>
    <t>2022-05-12T20:00:00+00:00</t>
  </si>
  <si>
    <t>2022-05-13</t>
  </si>
  <si>
    <t>2022-05-13T13:30:00+00:00</t>
  </si>
  <si>
    <t>2022-05-13T20:00:00+00:00</t>
  </si>
  <si>
    <t>2022-05-16</t>
  </si>
  <si>
    <t>2022-05-16T13:30:00+00:00</t>
  </si>
  <si>
    <t>2022-05-16T20:00:00+00:00</t>
  </si>
  <si>
    <t>2022-05-17</t>
  </si>
  <si>
    <t>2022-05-17T13:30:00+00:00</t>
  </si>
  <si>
    <t>2022-05-17T20:00:00+00:00</t>
  </si>
  <si>
    <t>2022-05-18</t>
  </si>
  <si>
    <t>2022-05-18T13:30:00+00:00</t>
  </si>
  <si>
    <t>2022-05-18T20:00:00+00:00</t>
  </si>
  <si>
    <t>2022-05-19</t>
  </si>
  <si>
    <t>2022-05-19T13:30:00+00:00</t>
  </si>
  <si>
    <t>2022-05-19T20:00:00+00:00</t>
  </si>
  <si>
    <t>2022-05-20</t>
  </si>
  <si>
    <t>2022-05-20T13:30:00+00:00</t>
  </si>
  <si>
    <t>2022-05-20T20:00:00+00:00</t>
  </si>
  <si>
    <t>2022-05-23</t>
  </si>
  <si>
    <t>2022-05-23T13:30:00+00:00</t>
  </si>
  <si>
    <t>2022-05-23T20:00:00+00:00</t>
  </si>
  <si>
    <t>2022-05-24</t>
  </si>
  <si>
    <t>2022-05-24T13:30:00+00:00</t>
  </si>
  <si>
    <t>2022-05-24T20:00:00+00:00</t>
  </si>
  <si>
    <t>2022-05-25</t>
  </si>
  <si>
    <t>2022-05-25T13:30:00+00:00</t>
  </si>
  <si>
    <t>2022-05-25T20:00:00+00:00</t>
  </si>
  <si>
    <t>2022-05-26</t>
  </si>
  <si>
    <t>2022-05-26T13:30:00+00:00</t>
  </si>
  <si>
    <t>2022-05-26T20:00:00+00:00</t>
  </si>
  <si>
    <t>2022-05-27</t>
  </si>
  <si>
    <t>2022-05-27T13:30:00+00:00</t>
  </si>
  <si>
    <t>2022-05-27T20:00:00+00:00</t>
  </si>
  <si>
    <t>2022-05-31</t>
  </si>
  <si>
    <t>2022-05-31T13:30:00+00:00</t>
  </si>
  <si>
    <t>2022-05-31T20:00:00+00:00</t>
  </si>
  <si>
    <t>2022-06-01</t>
  </si>
  <si>
    <t>2022-06-01T13:30:00+00:00</t>
  </si>
  <si>
    <t>2022-06-01T20:00:00+00:00</t>
  </si>
  <si>
    <t>2022-06-02</t>
  </si>
  <si>
    <t>2022-06-02T13:30:00+00:00</t>
  </si>
  <si>
    <t>2022-06-02T20:00:00+00:00</t>
  </si>
  <si>
    <t>2022-06-03</t>
  </si>
  <si>
    <t>2022-06-03T13:30:00+00:00</t>
  </si>
  <si>
    <t>2022-06-03T20:00:00+00:00</t>
  </si>
  <si>
    <t>2022-06-06</t>
  </si>
  <si>
    <t>2022-06-06T13:30:00+00:00</t>
  </si>
  <si>
    <t>2022-06-06T20:00:00+00:00</t>
  </si>
  <si>
    <t>2022-06-07</t>
  </si>
  <si>
    <t>2022-06-07T13:30:00+00:00</t>
  </si>
  <si>
    <t>2022-06-07T20:00:00+00:00</t>
  </si>
  <si>
    <t>2022-06-08</t>
  </si>
  <si>
    <t>2022-06-08T13:30:00+00:00</t>
  </si>
  <si>
    <t>2022-06-08T20:00:00+00:00</t>
  </si>
  <si>
    <t>2022-06-09</t>
  </si>
  <si>
    <t>2022-06-09T13:30:00+00:00</t>
  </si>
  <si>
    <t>2022-06-09T20:00:00+00:00</t>
  </si>
  <si>
    <t>2022-06-10</t>
  </si>
  <si>
    <t>2022-06-10T13:30:00+00:00</t>
  </si>
  <si>
    <t>2022-06-10T20:00:00+00:00</t>
  </si>
  <si>
    <t>2022-06-13</t>
  </si>
  <si>
    <t>2022-06-13T13:30:00+00:00</t>
  </si>
  <si>
    <t>2022-06-13T20:00:00+00:00</t>
  </si>
  <si>
    <t>2022-06-14</t>
  </si>
  <si>
    <t>2022-06-14T13:30:00+00:00</t>
  </si>
  <si>
    <t>2022-06-14T20:00:00+00:00</t>
  </si>
  <si>
    <t>2022-06-15</t>
  </si>
  <si>
    <t>2022-06-15T13:30:00+00:00</t>
  </si>
  <si>
    <t>2022-06-15T20:00:00+00:00</t>
  </si>
  <si>
    <t>2022-06-16</t>
  </si>
  <si>
    <t>2022-06-16T13:30:00+00:00</t>
  </si>
  <si>
    <t>2022-06-16T20:00:00+00:00</t>
  </si>
  <si>
    <t>2022-06-17</t>
  </si>
  <si>
    <t>2022-06-17T13:30:00+00:00</t>
  </si>
  <si>
    <t>2022-06-17T20:00:00+00:00</t>
  </si>
  <si>
    <t>2022-06-21</t>
  </si>
  <si>
    <t>2022-06-21T13:30:00+00:00</t>
  </si>
  <si>
    <t>2022-06-21T20:00:00+00:00</t>
  </si>
  <si>
    <t>2022-06-22</t>
  </si>
  <si>
    <t>2022-06-22T13:30:00+00:00</t>
  </si>
  <si>
    <t>2022-06-22T20:00:00+00:00</t>
  </si>
  <si>
    <t>2022-06-23</t>
  </si>
  <si>
    <t>2022-06-23T13:30:00+00:00</t>
  </si>
  <si>
    <t>2022-06-23T20:00:00+00:00</t>
  </si>
  <si>
    <t>2022-06-24</t>
  </si>
  <si>
    <t>2022-06-24T13:30:00+00:00</t>
  </si>
  <si>
    <t>2022-06-24T20:00:00+00:00</t>
  </si>
  <si>
    <t>2022-06-27</t>
  </si>
  <si>
    <t>2022-06-27T13:30:00+00:00</t>
  </si>
  <si>
    <t>2022-06-27T20:00:00+00:00</t>
  </si>
  <si>
    <t>2022-06-28</t>
  </si>
  <si>
    <t>2022-06-28T13:30:00+00:00</t>
  </si>
  <si>
    <t>2022-06-28T20:00:00+00:00</t>
  </si>
  <si>
    <t>2022-06-29</t>
  </si>
  <si>
    <t>2022-06-29T13:30:00+00:00</t>
  </si>
  <si>
    <t>2022-06-29T20:00:00+00:00</t>
  </si>
  <si>
    <t>2022-06-30</t>
  </si>
  <si>
    <t>2022-06-30T13:30:00+00:00</t>
  </si>
  <si>
    <t>2022-06-30T20:00:00+00:00</t>
  </si>
  <si>
    <t>2022-07-01</t>
  </si>
  <si>
    <t>2022-07-01T13:30:00+00:00</t>
  </si>
  <si>
    <t>2022-07-01T20:00:00+00:00</t>
  </si>
  <si>
    <t>2022-07-05</t>
  </si>
  <si>
    <t>2022-07-05T13:30:00+00:00</t>
  </si>
  <si>
    <t>2022-07-05T20:00:00+00:00</t>
  </si>
  <si>
    <t>2022-07-06</t>
  </si>
  <si>
    <t>2022-07-06T13:30:00+00:00</t>
  </si>
  <si>
    <t>2022-07-06T20:00:00+00:00</t>
  </si>
  <si>
    <t>2022-07-07</t>
  </si>
  <si>
    <t>2022-07-07T13:30:00+00:00</t>
  </si>
  <si>
    <t>2022-07-07T20:00:00+00:00</t>
  </si>
  <si>
    <t>2022-07-08</t>
  </si>
  <si>
    <t>2022-07-08T13:30:00+00:00</t>
  </si>
  <si>
    <t>2022-07-08T20:00:00+00:00</t>
  </si>
  <si>
    <t>2022-07-11</t>
  </si>
  <si>
    <t>2022-07-11T13:30:00+00:00</t>
  </si>
  <si>
    <t>2022-07-11T20:00:00+00:00</t>
  </si>
  <si>
    <t>2022-07-12</t>
  </si>
  <si>
    <t>2022-07-12T13:30:00+00:00</t>
  </si>
  <si>
    <t>2022-07-12T20:00:00+00:00</t>
  </si>
  <si>
    <t>2022-07-13</t>
  </si>
  <si>
    <t>2022-07-13T13:30:00+00:00</t>
  </si>
  <si>
    <t>2022-07-13T20:00:00+00:00</t>
  </si>
  <si>
    <t>2022-07-14</t>
  </si>
  <si>
    <t>2022-07-14T13:30:00+00:00</t>
  </si>
  <si>
    <t>2022-07-14T20:00:00+00:00</t>
  </si>
  <si>
    <t>2022-07-15</t>
  </si>
  <si>
    <t>2022-07-15T13:30:00+00:00</t>
  </si>
  <si>
    <t>2022-07-15T20:00:00+00:00</t>
  </si>
  <si>
    <t>2022-07-18</t>
  </si>
  <si>
    <t>2022-07-18T13:30:00+00:00</t>
  </si>
  <si>
    <t>2022-07-18T20:00:00+00:00</t>
  </si>
  <si>
    <t>2022-07-19</t>
  </si>
  <si>
    <t>2022-07-19T13:30:00+00:00</t>
  </si>
  <si>
    <t>2022-07-19T20:00:00+00:00</t>
  </si>
  <si>
    <t>2022-07-20</t>
  </si>
  <si>
    <t>2022-07-20T13:30:00+00:00</t>
  </si>
  <si>
    <t>2022-07-20T20:00:00+00:00</t>
  </si>
  <si>
    <t>2022-07-21</t>
  </si>
  <si>
    <t>2022-07-21T13:30:00+00:00</t>
  </si>
  <si>
    <t>2022-07-21T20:00:00+00:00</t>
  </si>
  <si>
    <t>2022-07-22</t>
  </si>
  <si>
    <t>2022-07-22T13:30:00+00:00</t>
  </si>
  <si>
    <t>2022-07-22T20:00:00+00:00</t>
  </si>
  <si>
    <t>2022-07-25</t>
  </si>
  <si>
    <t>2022-07-25T13:30:00+00:00</t>
  </si>
  <si>
    <t>2022-07-25T20:00:00+00:00</t>
  </si>
  <si>
    <t>2022-07-26</t>
  </si>
  <si>
    <t>2022-07-26T13:30:00+00:00</t>
  </si>
  <si>
    <t>2022-07-26T20:00:00+00:00</t>
  </si>
  <si>
    <t>2022-07-27</t>
  </si>
  <si>
    <t>2022-07-27T13:30:00+00:00</t>
  </si>
  <si>
    <t>2022-07-27T20:00:00+00:00</t>
  </si>
  <si>
    <t>2022-07-28</t>
  </si>
  <si>
    <t>2022-07-28T13:30:00+00:00</t>
  </si>
  <si>
    <t>2022-07-28T20:00:00+00:00</t>
  </si>
  <si>
    <t>2022-07-29</t>
  </si>
  <si>
    <t>2022-07-29T13:30:00+00:00</t>
  </si>
  <si>
    <t>2022-07-29T20:00:00+00:00</t>
  </si>
  <si>
    <t>2022-08-01</t>
  </si>
  <si>
    <t>2022-08-01T13:30:00+00:00</t>
  </si>
  <si>
    <t>2022-08-01T20:00:00+00:00</t>
  </si>
  <si>
    <t>2022-08-02</t>
  </si>
  <si>
    <t>2022-08-02T13:30:00+00:00</t>
  </si>
  <si>
    <t>2022-08-02T20:00:00+00:00</t>
  </si>
  <si>
    <t>2022-08-03</t>
  </si>
  <si>
    <t>2022-08-03T13:30:00+00:00</t>
  </si>
  <si>
    <t>2022-08-03T20:00:00+00:00</t>
  </si>
  <si>
    <t>2022-08-04</t>
  </si>
  <si>
    <t>2022-08-04T13:30:00+00:00</t>
  </si>
  <si>
    <t>2022-08-04T20:00:00+00:00</t>
  </si>
  <si>
    <t>2022-08-05</t>
  </si>
  <si>
    <t>2022-08-05T13:30:00+00:00</t>
  </si>
  <si>
    <t>2022-08-05T20:00:00+00:00</t>
  </si>
  <si>
    <t>2022-08-08</t>
  </si>
  <si>
    <t>2022-08-08T13:30:00+00:00</t>
  </si>
  <si>
    <t>2022-08-08T20:00:00+00:00</t>
  </si>
  <si>
    <t>2022-08-09</t>
  </si>
  <si>
    <t>2022-08-09T13:30:00+00:00</t>
  </si>
  <si>
    <t>2022-08-09T20:00:00+00:00</t>
  </si>
  <si>
    <t>2022-08-10</t>
  </si>
  <si>
    <t>2022-08-10T13:30:00+00:00</t>
  </si>
  <si>
    <t>2022-08-10T20:00:00+00:00</t>
  </si>
  <si>
    <t>2022-08-11</t>
  </si>
  <si>
    <t>2022-08-11T13:30:00+00:00</t>
  </si>
  <si>
    <t>2022-08-11T20:00:00+00:00</t>
  </si>
  <si>
    <t>2022-08-12</t>
  </si>
  <si>
    <t>2022-08-12T13:30:00+00:00</t>
  </si>
  <si>
    <t>2022-08-12T20:00:00+00:00</t>
  </si>
  <si>
    <t>2022-08-15</t>
  </si>
  <si>
    <t>2022-08-15T13:30:00+00:00</t>
  </si>
  <si>
    <t>2022-08-15T20:00:00+00:00</t>
  </si>
  <si>
    <t>2022-08-16</t>
  </si>
  <si>
    <t>2022-08-16T13:30:00+00:00</t>
  </si>
  <si>
    <t>2022-08-16T20:00:00+00:00</t>
  </si>
  <si>
    <t>2022-08-17</t>
  </si>
  <si>
    <t>2022-08-17T13:30:00+00:00</t>
  </si>
  <si>
    <t>2022-08-17T20:00:00+00:00</t>
  </si>
  <si>
    <t>2022-08-18</t>
  </si>
  <si>
    <t>2022-08-18T13:30:00+00:00</t>
  </si>
  <si>
    <t>2022-08-18T20:00:00+00:00</t>
  </si>
  <si>
    <t>2022-08-19</t>
  </si>
  <si>
    <t>2022-08-19T13:30:00+00:00</t>
  </si>
  <si>
    <t>2022-08-19T20:00:00+00:00</t>
  </si>
  <si>
    <t>2022-08-22</t>
  </si>
  <si>
    <t>2022-08-22T13:30:00+00:00</t>
  </si>
  <si>
    <t>2022-08-22T20:00:00+00:00</t>
  </si>
  <si>
    <t>2022-08-23</t>
  </si>
  <si>
    <t>2022-08-23T13:30:00+00:00</t>
  </si>
  <si>
    <t>2022-08-23T20:00:00+00:00</t>
  </si>
  <si>
    <t>2022-08-24</t>
  </si>
  <si>
    <t>2022-08-24T13:30:00+00:00</t>
  </si>
  <si>
    <t>2022-08-24T20:00:00+00:00</t>
  </si>
  <si>
    <t>2022-08-25</t>
  </si>
  <si>
    <t>2022-08-25T13:30:00+00:00</t>
  </si>
  <si>
    <t>2022-08-25T20:00:00+00:00</t>
  </si>
  <si>
    <t>2022-08-26</t>
  </si>
  <si>
    <t>2022-08-26T13:30:00+00:00</t>
  </si>
  <si>
    <t>2022-08-26T20:00:00+00:00</t>
  </si>
  <si>
    <t>2022-08-29</t>
  </si>
  <si>
    <t>2022-08-29T13:30:00+00:00</t>
  </si>
  <si>
    <t>2022-08-29T20:00:00+00:00</t>
  </si>
  <si>
    <t>2022-08-30</t>
  </si>
  <si>
    <t>2022-08-30T13:30:00+00:00</t>
  </si>
  <si>
    <t>2022-08-30T20:00:00+00:00</t>
  </si>
  <si>
    <t>2022-08-31</t>
  </si>
  <si>
    <t>2022-08-31T13:30:00+00:00</t>
  </si>
  <si>
    <t>2022-08-31T20:00:00+00:00</t>
  </si>
  <si>
    <t>2022-09-01</t>
  </si>
  <si>
    <t>2022-09-01T13:30:00+00:00</t>
  </si>
  <si>
    <t>2022-09-01T20:00:00+00:00</t>
  </si>
  <si>
    <t>2022-09-02</t>
  </si>
  <si>
    <t>2022-09-02T13:30:00+00:00</t>
  </si>
  <si>
    <t>2022-09-02T20:00:00+00:00</t>
  </si>
  <si>
    <t>2022-09-06</t>
  </si>
  <si>
    <t>2022-09-06T13:30:00+00:00</t>
  </si>
  <si>
    <t>2022-09-06T20:00:00+00:00</t>
  </si>
  <si>
    <t>2022-09-07</t>
  </si>
  <si>
    <t>2022-09-07T13:30:00+00:00</t>
  </si>
  <si>
    <t>2022-09-07T20:00:00+00:00</t>
  </si>
  <si>
    <t>2022-09-08</t>
  </si>
  <si>
    <t>2022-09-08T13:30:00+00:00</t>
  </si>
  <si>
    <t>2022-09-08T20:00:00+00:00</t>
  </si>
  <si>
    <t>2022-09-09</t>
  </si>
  <si>
    <t>2022-09-09T13:30:00+00:00</t>
  </si>
  <si>
    <t>2022-09-09T20:00:00+00:00</t>
  </si>
  <si>
    <t>2022-09-12</t>
  </si>
  <si>
    <t>2022-09-12T13:30:00+00:00</t>
  </si>
  <si>
    <t>2022-09-12T20:00:00+00:00</t>
  </si>
  <si>
    <t>2022-09-13</t>
  </si>
  <si>
    <t>2022-09-13T13:30:00+00:00</t>
  </si>
  <si>
    <t>2022-09-13T20:00:00+00:00</t>
  </si>
  <si>
    <t>2022-09-14</t>
  </si>
  <si>
    <t>2022-09-14T13:30:00+00:00</t>
  </si>
  <si>
    <t>2022-09-14T20:00:00+00:00</t>
  </si>
  <si>
    <t>2022-09-15</t>
  </si>
  <si>
    <t>2022-09-15T13:30:00+00:00</t>
  </si>
  <si>
    <t>2022-09-15T20:00:00+00:00</t>
  </si>
  <si>
    <t>2022-09-16</t>
  </si>
  <si>
    <t>2022-09-16T13:30:00+00:00</t>
  </si>
  <si>
    <t>2022-09-16T20:00:00+00:00</t>
  </si>
  <si>
    <t>2022-09-19</t>
  </si>
  <si>
    <t>2022-09-19T13:30:00+00:00</t>
  </si>
  <si>
    <t>2022-09-19T20:00:00+00:00</t>
  </si>
  <si>
    <t>2022-09-20</t>
  </si>
  <si>
    <t>2022-09-20T13:30:00+00:00</t>
  </si>
  <si>
    <t>2022-09-20T20:00:00+00:00</t>
  </si>
  <si>
    <t>2022-09-21</t>
  </si>
  <si>
    <t>2022-09-21T13:30:00+00:00</t>
  </si>
  <si>
    <t>2022-09-21T20:00:00+00:00</t>
  </si>
  <si>
    <t>2022-09-22</t>
  </si>
  <si>
    <t>2022-09-22T13:30:00+00:00</t>
  </si>
  <si>
    <t>2022-09-22T20:00:00+00:00</t>
  </si>
  <si>
    <t>2022-09-23</t>
  </si>
  <si>
    <t>2022-09-23T13:30:00+00:00</t>
  </si>
  <si>
    <t>2022-09-23T20:00:00+00:00</t>
  </si>
  <si>
    <t>2022-09-26</t>
  </si>
  <si>
    <t>2022-09-26T13:30:00+00:00</t>
  </si>
  <si>
    <t>2022-09-26T20:00:00+00:00</t>
  </si>
  <si>
    <t>2022-09-27</t>
  </si>
  <si>
    <t>2022-09-27T13:30:00+00:00</t>
  </si>
  <si>
    <t>2022-09-27T20:00:00+00:00</t>
  </si>
  <si>
    <t>2022-09-28</t>
  </si>
  <si>
    <t>2022-09-28T13:30:00+00:00</t>
  </si>
  <si>
    <t>2022-09-28T20:00:00+00:00</t>
  </si>
  <si>
    <t>2022-09-29</t>
  </si>
  <si>
    <t>2022-09-29T13:30:00+00:00</t>
  </si>
  <si>
    <t>2022-09-29T20:00:00+00:00</t>
  </si>
  <si>
    <t>2022-09-30</t>
  </si>
  <si>
    <t>2022-09-30T13:30:00+00:00</t>
  </si>
  <si>
    <t>2022-09-30T20:00:00+00:00</t>
  </si>
  <si>
    <t>2022-10-03</t>
  </si>
  <si>
    <t>2022-10-03T13:30:00+00:00</t>
  </si>
  <si>
    <t>2022-10-03T20:00:00+00:00</t>
  </si>
  <si>
    <t>2022-10-04</t>
  </si>
  <si>
    <t>2022-10-04T13:30:00+00:00</t>
  </si>
  <si>
    <t>2022-10-04T20:00:00+00:00</t>
  </si>
  <si>
    <t>2022-10-05</t>
  </si>
  <si>
    <t>2022-10-05T13:30:00+00:00</t>
  </si>
  <si>
    <t>2022-10-05T20:00:00+00:00</t>
  </si>
  <si>
    <t>2022-10-06</t>
  </si>
  <si>
    <t>2022-10-06T13:30:00+00:00</t>
  </si>
  <si>
    <t>2022-10-06T20:00:00+00:00</t>
  </si>
  <si>
    <t>2022-10-07</t>
  </si>
  <si>
    <t>2022-10-07T13:30:00+00:00</t>
  </si>
  <si>
    <t>2022-10-07T20:00:00+00:00</t>
  </si>
  <si>
    <t>2022-10-10</t>
  </si>
  <si>
    <t>2022-10-10T13:30:00+00:00</t>
  </si>
  <si>
    <t>2022-10-10T20:00:00+00:00</t>
  </si>
  <si>
    <t>2022-10-11</t>
  </si>
  <si>
    <t>2022-10-11T13:30:00+00:00</t>
  </si>
  <si>
    <t>2022-10-11T20:00:00+00:00</t>
  </si>
  <si>
    <t>2022-10-12</t>
  </si>
  <si>
    <t>2022-10-12T13:30:00+00:00</t>
  </si>
  <si>
    <t>2022-10-12T20:00:00+00:00</t>
  </si>
  <si>
    <t>2022-10-13</t>
  </si>
  <si>
    <t>2022-10-13T13:30:00+00:00</t>
  </si>
  <si>
    <t>2022-10-13T20:00:00+00:00</t>
  </si>
  <si>
    <t>2022-10-14</t>
  </si>
  <si>
    <t>2022-10-14T13:30:00+00:00</t>
  </si>
  <si>
    <t>2022-10-14T20:00:00+00:00</t>
  </si>
  <si>
    <t>2022-10-17</t>
  </si>
  <si>
    <t>2022-10-17T13:30:00+00:00</t>
  </si>
  <si>
    <t>2022-10-17T20:00:00+00:00</t>
  </si>
  <si>
    <t>2022-10-18</t>
  </si>
  <si>
    <t>2022-10-18T13:30:00+00:00</t>
  </si>
  <si>
    <t>2022-10-18T20:00:00+00:00</t>
  </si>
  <si>
    <t>2022-10-19</t>
  </si>
  <si>
    <t>2022-10-19T13:30:00+00:00</t>
  </si>
  <si>
    <t>2022-10-19T20:00:00+00:00</t>
  </si>
  <si>
    <t>2022-10-20</t>
  </si>
  <si>
    <t>2022-10-20T13:30:00+00:00</t>
  </si>
  <si>
    <t>2022-10-20T20:00:00+00:00</t>
  </si>
  <si>
    <t>2022-10-21</t>
  </si>
  <si>
    <t>2022-10-21T13:30:00+00:00</t>
  </si>
  <si>
    <t>2022-10-21T20:00:00+00:00</t>
  </si>
  <si>
    <t>2022-10-24</t>
  </si>
  <si>
    <t>2022-10-24T13:30:00+00:00</t>
  </si>
  <si>
    <t>2022-10-24T20:00:00+00:00</t>
  </si>
  <si>
    <t>2022-10-25</t>
  </si>
  <si>
    <t>2022-10-25T13:30:00+00:00</t>
  </si>
  <si>
    <t>2022-10-25T20:00:00+00:00</t>
  </si>
  <si>
    <t>2022-10-26</t>
  </si>
  <si>
    <t>2022-10-26T13:30:00+00:00</t>
  </si>
  <si>
    <t>2022-10-26T20:00:00+00:00</t>
  </si>
  <si>
    <t>2022-10-27</t>
  </si>
  <si>
    <t>2022-10-27T13:30:00+00:00</t>
  </si>
  <si>
    <t>2022-10-27T20:00:00+00:00</t>
  </si>
  <si>
    <t>2022-10-28</t>
  </si>
  <si>
    <t>2022-10-28T13:30:00+00:00</t>
  </si>
  <si>
    <t>2022-10-28T20:00:00+00:00</t>
  </si>
  <si>
    <t>2022-10-31</t>
  </si>
  <si>
    <t>2022-10-31T13:30:00+00:00</t>
  </si>
  <si>
    <t>2022-10-31T20:00:00+00:00</t>
  </si>
  <si>
    <t>2022-11-01</t>
  </si>
  <si>
    <t>2022-11-01T13:30:00+00:00</t>
  </si>
  <si>
    <t>2022-11-01T20:00:00+00:00</t>
  </si>
  <si>
    <t>2022-11-02</t>
  </si>
  <si>
    <t>2022-11-02T13:30:00+00:00</t>
  </si>
  <si>
    <t>2022-11-02T20:00:00+00:00</t>
  </si>
  <si>
    <t>2022-11-03</t>
  </si>
  <si>
    <t>2022-11-03T13:30:00+00:00</t>
  </si>
  <si>
    <t>2022-11-03T20:00:00+00:00</t>
  </si>
  <si>
    <t>2022-11-04</t>
  </si>
  <si>
    <t>2022-11-04T13:30:00+00:00</t>
  </si>
  <si>
    <t>2022-11-04T20:00:00+00:00</t>
  </si>
  <si>
    <t>2022-11-07</t>
  </si>
  <si>
    <t>2022-11-07T14:30:00+00:00</t>
  </si>
  <si>
    <t>2022-11-07T21:00:00+00:00</t>
  </si>
  <si>
    <t>2022-11-08</t>
  </si>
  <si>
    <t>2022-11-08T14:30:00+00:00</t>
  </si>
  <si>
    <t>2022-11-08T21:00:00+00:00</t>
  </si>
  <si>
    <t>2022-11-09</t>
  </si>
  <si>
    <t>2022-11-09T14:30:00+00:00</t>
  </si>
  <si>
    <t>2022-11-09T21:00:00+00:00</t>
  </si>
  <si>
    <t>2022-11-10</t>
  </si>
  <si>
    <t>2022-11-10T14:30:00+00:00</t>
  </si>
  <si>
    <t>2022-11-10T21:00:00+00:00</t>
  </si>
  <si>
    <t>2022-11-11</t>
  </si>
  <si>
    <t>2022-11-11T14:30:00+00:00</t>
  </si>
  <si>
    <t>2022-11-11T21:00:00+00:00</t>
  </si>
  <si>
    <t>2022-11-14</t>
  </si>
  <si>
    <t>2022-11-14T14:30:00+00:00</t>
  </si>
  <si>
    <t>2022-11-14T21:00:00+00:00</t>
  </si>
  <si>
    <t>2022-11-15</t>
  </si>
  <si>
    <t>2022-11-15T14:30:00+00:00</t>
  </si>
  <si>
    <t>2022-11-15T21:00:00+00:00</t>
  </si>
  <si>
    <t>2022-11-16</t>
  </si>
  <si>
    <t>2022-11-16T14:30:00+00:00</t>
  </si>
  <si>
    <t>2022-11-16T21:00:00+00:00</t>
  </si>
  <si>
    <t>2022-11-17</t>
  </si>
  <si>
    <t>2022-11-17T14:30:00+00:00</t>
  </si>
  <si>
    <t>2022-11-17T21:00:00+00:00</t>
  </si>
  <si>
    <t>2022-11-18</t>
  </si>
  <si>
    <t>2022-11-18T14:30:00+00:00</t>
  </si>
  <si>
    <t>2022-11-18T21:00:00+00:00</t>
  </si>
  <si>
    <t>2022-11-21</t>
  </si>
  <si>
    <t>2022-11-21T14:30:00+00:00</t>
  </si>
  <si>
    <t>2022-11-21T21:00:00+00:00</t>
  </si>
  <si>
    <t>2022-11-22</t>
  </si>
  <si>
    <t>2022-11-22T14:30:00+00:00</t>
  </si>
  <si>
    <t>2022-11-22T21:00:00+00:00</t>
  </si>
  <si>
    <t>2022-11-23</t>
  </si>
  <si>
    <t>2022-11-23T14:30:00+00:00</t>
  </si>
  <si>
    <t>2022-11-23T21:00:00+00:00</t>
  </si>
  <si>
    <t>2022-11-25</t>
  </si>
  <si>
    <t>2022-11-25T14:30:00+00:00</t>
  </si>
  <si>
    <t>2022-11-25T18:00:00+00:00</t>
  </si>
  <si>
    <t>2022-11-28</t>
  </si>
  <si>
    <t>2022-11-28T14:30:00+00:00</t>
  </si>
  <si>
    <t>2022-11-28T21:00:00+00:00</t>
  </si>
  <si>
    <t>2022-11-29</t>
  </si>
  <si>
    <t>2022-11-29T14:30:00+00:00</t>
  </si>
  <si>
    <t>2022-11-29T21:00:00+00:00</t>
  </si>
  <si>
    <t>2022-11-30</t>
  </si>
  <si>
    <t>2022-11-30T14:30:00+00:00</t>
  </si>
  <si>
    <t>2022-11-30T21:00:00+00:00</t>
  </si>
  <si>
    <t>2022-12-01</t>
  </si>
  <si>
    <t>2022-12-01T14:30:00+00:00</t>
  </si>
  <si>
    <t>2022-12-01T21:00:00+00:00</t>
  </si>
  <si>
    <t>2022-12-02</t>
  </si>
  <si>
    <t>2022-12-02T14:30:00+00:00</t>
  </si>
  <si>
    <t>2022-12-02T21:00:00+00:00</t>
  </si>
  <si>
    <t>2022-12-05</t>
  </si>
  <si>
    <t>2022-12-05T14:30:00+00:00</t>
  </si>
  <si>
    <t>2022-12-05T21:00:00+00:00</t>
  </si>
  <si>
    <t>2022-12-06</t>
  </si>
  <si>
    <t>2022-12-06T14:30:00+00:00</t>
  </si>
  <si>
    <t>2022-12-06T21:00:00+00:00</t>
  </si>
  <si>
    <t>2022-12-07</t>
  </si>
  <si>
    <t>2022-12-07T14:30:00+00:00</t>
  </si>
  <si>
    <t>2022-12-07T21:00:00+00:00</t>
  </si>
  <si>
    <t>2022-12-08</t>
  </si>
  <si>
    <t>2022-12-08T14:30:00+00:00</t>
  </si>
  <si>
    <t>2022-12-08T21:00:00+00:00</t>
  </si>
  <si>
    <t>2022-12-09</t>
  </si>
  <si>
    <t>2022-12-09T14:30:00+00:00</t>
  </si>
  <si>
    <t>2022-12-09T21:00:00+00:00</t>
  </si>
  <si>
    <t>2022-12-12</t>
  </si>
  <si>
    <t>2022-12-12T14:30:00+00:00</t>
  </si>
  <si>
    <t>2022-12-12T21:00:00+00:00</t>
  </si>
  <si>
    <t>2022-12-13</t>
  </si>
  <si>
    <t>2022-12-13T14:30:00+00:00</t>
  </si>
  <si>
    <t>2022-12-13T21:00:00+00:00</t>
  </si>
  <si>
    <t>2022-12-14</t>
  </si>
  <si>
    <t>2022-12-14T14:30:00+00:00</t>
  </si>
  <si>
    <t>2022-12-14T21:00:00+00:00</t>
  </si>
  <si>
    <t>2022-12-15</t>
  </si>
  <si>
    <t>2022-12-15T14:30:00+00:00</t>
  </si>
  <si>
    <t>2022-12-15T21:00:00+00:00</t>
  </si>
  <si>
    <t>2022-12-16</t>
  </si>
  <si>
    <t>2022-12-16T14:30:00+00:00</t>
  </si>
  <si>
    <t>2022-12-16T21:00:00+00:00</t>
  </si>
  <si>
    <t>2022-12-19</t>
  </si>
  <si>
    <t>2022-12-19T14:30:00+00:00</t>
  </si>
  <si>
    <t>2022-12-19T21:00:00+00:00</t>
  </si>
  <si>
    <t>2022-12-20</t>
  </si>
  <si>
    <t>2022-12-20T14:30:00+00:00</t>
  </si>
  <si>
    <t>2022-12-20T21:00:00+00:00</t>
  </si>
  <si>
    <t>2022-12-21</t>
  </si>
  <si>
    <t>2022-12-21T14:30:00+00:00</t>
  </si>
  <si>
    <t>2022-12-21T21:00:00+00:00</t>
  </si>
  <si>
    <t>2022-12-22</t>
  </si>
  <si>
    <t>2022-12-22T14:30:00+00:00</t>
  </si>
  <si>
    <t>2022-12-22T21:00:00+00:00</t>
  </si>
  <si>
    <t>2022-12-23</t>
  </si>
  <si>
    <t>2022-12-23T14:30:00+00:00</t>
  </si>
  <si>
    <t>2022-12-23T21:00:00+00:00</t>
  </si>
  <si>
    <t>2022-12-27</t>
  </si>
  <si>
    <t>2022-12-27T14:30:00+00:00</t>
  </si>
  <si>
    <t>2022-12-27T21:00:00+00:00</t>
  </si>
  <si>
    <t>2022-12-28</t>
  </si>
  <si>
    <t>2022-12-28T14:30:00+00:00</t>
  </si>
  <si>
    <t>2022-12-28T21:00:00+00:00</t>
  </si>
  <si>
    <t>2022-12-29</t>
  </si>
  <si>
    <t>2022-12-29T14:30:00+00:00</t>
  </si>
  <si>
    <t>2022-12-29T21:00:00+00:00</t>
  </si>
  <si>
    <t>2022-12-30</t>
  </si>
  <si>
    <t>2022-12-30T14:30:00+00:00</t>
  </si>
  <si>
    <t>2022-12-30T21:00:00+00:00</t>
  </si>
  <si>
    <t>2023-01-03</t>
  </si>
  <si>
    <t>2023-01-03T14:30:00+00:00</t>
  </si>
  <si>
    <t>2023-01-03T21:00:00+00:00</t>
  </si>
  <si>
    <t>2023-01-04</t>
  </si>
  <si>
    <t>2023-01-04T14:30:00+00:00</t>
  </si>
  <si>
    <t>2023-01-04T21:00:00+00:00</t>
  </si>
  <si>
    <t>2023-01-05</t>
  </si>
  <si>
    <t>2023-01-05T14:30:00+00:00</t>
  </si>
  <si>
    <t>2023-01-05T21:00:00+00:00</t>
  </si>
  <si>
    <t>2023-01-06</t>
  </si>
  <si>
    <t>2023-01-06T14:30:00+00:00</t>
  </si>
  <si>
    <t>2023-01-06T21:00:00+00:00</t>
  </si>
  <si>
    <t>2023-01-09</t>
  </si>
  <si>
    <t>2023-01-09T14:30:00+00:00</t>
  </si>
  <si>
    <t>2023-01-09T21:00:00+00:00</t>
  </si>
  <si>
    <t>2023-01-10</t>
  </si>
  <si>
    <t>2023-01-10T14:30:00+00:00</t>
  </si>
  <si>
    <t>2023-01-10T21:00:00+00:00</t>
  </si>
  <si>
    <t>2023-01-11</t>
  </si>
  <si>
    <t>2023-01-11T14:30:00+00:00</t>
  </si>
  <si>
    <t>2023-01-11T21:00:00+00:00</t>
  </si>
  <si>
    <t>2023-01-12</t>
  </si>
  <si>
    <t>2023-01-12T14:30:00+00:00</t>
  </si>
  <si>
    <t>2023-01-12T21:00:00+00:00</t>
  </si>
  <si>
    <t>2023-01-13</t>
  </si>
  <si>
    <t>2023-01-13T14:30:00+00:00</t>
  </si>
  <si>
    <t>2023-01-13T21:00:00+00:00</t>
  </si>
  <si>
    <t>2023-01-17</t>
  </si>
  <si>
    <t>2023-01-17T14:30:00+00:00</t>
  </si>
  <si>
    <t>2023-01-17T21:00:00+00:00</t>
  </si>
  <si>
    <t>2023-01-18</t>
  </si>
  <si>
    <t>2023-01-18T14:30:00+00:00</t>
  </si>
  <si>
    <t>2023-01-18T21:00:00+00:00</t>
  </si>
  <si>
    <t>2023-01-19</t>
  </si>
  <si>
    <t>2023-01-19T14:30:00+00:00</t>
  </si>
  <si>
    <t>2023-01-19T21:00:00+00:00</t>
  </si>
  <si>
    <t>2023-01-20</t>
  </si>
  <si>
    <t>2023-01-20T14:30:00+00:00</t>
  </si>
  <si>
    <t>2023-01-20T21:00:00+00:00</t>
  </si>
  <si>
    <t>2023-01-23</t>
  </si>
  <si>
    <t>2023-01-23T14:30:00+00:00</t>
  </si>
  <si>
    <t>2023-01-23T21:00:00+00:00</t>
  </si>
  <si>
    <t>2023-01-24</t>
  </si>
  <si>
    <t>2023-01-24T14:30:00+00:00</t>
  </si>
  <si>
    <t>2023-01-24T21:00:00+00:00</t>
  </si>
  <si>
    <t>2023-01-25</t>
  </si>
  <si>
    <t>2023-01-25T14:30:00+00:00</t>
  </si>
  <si>
    <t>2023-01-25T21:00:00+00:00</t>
  </si>
  <si>
    <t>2023-01-26</t>
  </si>
  <si>
    <t>2023-01-26T14:30:00+00:00</t>
  </si>
  <si>
    <t>2023-01-26T21:00:00+00:00</t>
  </si>
  <si>
    <t>2023-01-27</t>
  </si>
  <si>
    <t>2023-01-27T14:30:00+00:00</t>
  </si>
  <si>
    <t>2023-01-27T21:00:00+00:00</t>
  </si>
  <si>
    <t>2023-01-30</t>
  </si>
  <si>
    <t>2023-01-30T14:30:00+00:00</t>
  </si>
  <si>
    <t>2023-01-30T21:00:00+00:00</t>
  </si>
  <si>
    <t>2023-01-31</t>
  </si>
  <si>
    <t>2023-01-31T14:30:00+00:00</t>
  </si>
  <si>
    <t>2023-01-31T21:00:00+00:00</t>
  </si>
  <si>
    <t>2023-02-01</t>
  </si>
  <si>
    <t>2023-02-01T14:30:00+00:00</t>
  </si>
  <si>
    <t>2023-02-01T21:00:00+00:00</t>
  </si>
  <si>
    <t>2023-02-02</t>
  </si>
  <si>
    <t>2023-02-02T14:30:00+00:00</t>
  </si>
  <si>
    <t>2023-02-02T21:00:00+00:00</t>
  </si>
  <si>
    <t>2023-02-03</t>
  </si>
  <si>
    <t>2023-02-03T14:30:00+00:00</t>
  </si>
  <si>
    <t>2023-02-03T21:00:00+00:00</t>
  </si>
  <si>
    <t>2023-02-06</t>
  </si>
  <si>
    <t>2023-02-06T14:30:00+00:00</t>
  </si>
  <si>
    <t>2023-02-06T21:00:00+00:00</t>
  </si>
  <si>
    <t>2023-02-07</t>
  </si>
  <si>
    <t>2023-02-07T14:30:00+00:00</t>
  </si>
  <si>
    <t>2023-02-07T21:00:00+00:00</t>
  </si>
  <si>
    <t>2023-02-08</t>
  </si>
  <si>
    <t>2023-02-08T14:30:00+00:00</t>
  </si>
  <si>
    <t>2023-02-08T21:00:00+00:00</t>
  </si>
  <si>
    <t>2023-02-09</t>
  </si>
  <si>
    <t>2023-02-09T14:30:00+00:00</t>
  </si>
  <si>
    <t>2023-02-09T21:00:00+00:00</t>
  </si>
  <si>
    <t>2023-02-10</t>
  </si>
  <si>
    <t>2023-02-10T14:30:00+00:00</t>
  </si>
  <si>
    <t>2023-02-10T21:00:00+00:00</t>
  </si>
  <si>
    <t>2023-02-13</t>
  </si>
  <si>
    <t>2023-02-13T14:30:00+00:00</t>
  </si>
  <si>
    <t>2023-02-13T21:00:00+00:00</t>
  </si>
  <si>
    <t>2023-02-14</t>
  </si>
  <si>
    <t>2023-02-14T14:30:00+00:00</t>
  </si>
  <si>
    <t>2023-02-14T21:00:00+00:00</t>
  </si>
  <si>
    <t>2023-02-15</t>
  </si>
  <si>
    <t>2023-02-15T14:30:00+00:00</t>
  </si>
  <si>
    <t>2023-02-15T21:00:00+00:00</t>
  </si>
  <si>
    <t>2023-02-16</t>
  </si>
  <si>
    <t>2023-02-16T14:30:00+00:00</t>
  </si>
  <si>
    <t>2023-02-16T21:00:00+00:00</t>
  </si>
  <si>
    <t>2023-02-17</t>
  </si>
  <si>
    <t>2023-02-17T14:30:00+00:00</t>
  </si>
  <si>
    <t>2023-02-17T21:00:00+00:00</t>
  </si>
  <si>
    <t>2023-02-21</t>
  </si>
  <si>
    <t>2023-02-21T14:30:00+00:00</t>
  </si>
  <si>
    <t>2023-02-21T21:00:00+00:00</t>
  </si>
  <si>
    <t>2023-02-22</t>
  </si>
  <si>
    <t>2023-02-22T14:30:00+00:00</t>
  </si>
  <si>
    <t>2023-02-22T21:00:00+00:00</t>
  </si>
  <si>
    <t>2023-02-23</t>
  </si>
  <si>
    <t>2023-02-23T14:30:00+00:00</t>
  </si>
  <si>
    <t>2023-02-23T21:00:00+00:00</t>
  </si>
  <si>
    <t>2023-02-24</t>
  </si>
  <si>
    <t>2023-02-24T14:30:00+00:00</t>
  </si>
  <si>
    <t>2023-02-24T21:00:00+00:00</t>
  </si>
  <si>
    <t>2023-02-27</t>
  </si>
  <si>
    <t>2023-02-27T14:30:00+00:00</t>
  </si>
  <si>
    <t>2023-02-27T21:00:00+00:00</t>
  </si>
  <si>
    <t>2023-02-28</t>
  </si>
  <si>
    <t>2023-02-28T14:30:00+00:00</t>
  </si>
  <si>
    <t>2023-02-28T21:00:00+00:00</t>
  </si>
  <si>
    <t>2023-03-01</t>
  </si>
  <si>
    <t>2023-03-01T14:30:00+00:00</t>
  </si>
  <si>
    <t>2023-03-01T21:00:00+00:00</t>
  </si>
  <si>
    <t>2023-03-02</t>
  </si>
  <si>
    <t>2023-03-02T14:30:00+00:00</t>
  </si>
  <si>
    <t>2023-03-02T21:00:00+00:00</t>
  </si>
  <si>
    <t>2023-03-03</t>
  </si>
  <si>
    <t>2023-03-03T14:30:00+00:00</t>
  </si>
  <si>
    <t>2023-03-03T21:00:00+00:00</t>
  </si>
  <si>
    <t>2023-03-06</t>
  </si>
  <si>
    <t>2023-03-06T14:30:00+00:00</t>
  </si>
  <si>
    <t>2023-03-06T21:00:00+00:00</t>
  </si>
  <si>
    <t>2023-03-07</t>
  </si>
  <si>
    <t>2023-03-07T14:30:00+00:00</t>
  </si>
  <si>
    <t>2023-03-07T21:00:00+00:00</t>
  </si>
  <si>
    <t>2023-03-08</t>
  </si>
  <si>
    <t>2023-03-08T14:30:00+00:00</t>
  </si>
  <si>
    <t>2023-03-08T21:00:00+00:00</t>
  </si>
  <si>
    <t>2023-03-09</t>
  </si>
  <si>
    <t>2023-03-09T14:30:00+00:00</t>
  </si>
  <si>
    <t>2023-03-09T21:00:00+00:00</t>
  </si>
  <si>
    <t>2023-03-10</t>
  </si>
  <si>
    <t>2023-03-10T14:30:00+00:00</t>
  </si>
  <si>
    <t>2023-03-10T21:00:00+00:00</t>
  </si>
  <si>
    <t>2023-03-13</t>
  </si>
  <si>
    <t>2023-03-13T13:30:00+00:00</t>
  </si>
  <si>
    <t>2023-03-13T20:00:00+00:00</t>
  </si>
  <si>
    <t>2023-03-14</t>
  </si>
  <si>
    <t>2023-03-14T13:30:00+00:00</t>
  </si>
  <si>
    <t>2023-03-14T20:00:00+00:00</t>
  </si>
  <si>
    <t>2023-03-15</t>
  </si>
  <si>
    <t>2023-03-15T13:30:00+00:00</t>
  </si>
  <si>
    <t>2023-03-15T20:00:00+00:00</t>
  </si>
  <si>
    <t>2023-03-16</t>
  </si>
  <si>
    <t>2023-03-16T13:30:00+00:00</t>
  </si>
  <si>
    <t>2023-03-16T20:00:00+00:00</t>
  </si>
  <si>
    <t>2023-03-17</t>
  </si>
  <si>
    <t>2023-03-17T13:30:00+00:00</t>
  </si>
  <si>
    <t>2023-03-17T20:00:00+00:00</t>
  </si>
  <si>
    <t>2023-03-20</t>
  </si>
  <si>
    <t>2023-03-20T13:30:00+00:00</t>
  </si>
  <si>
    <t>2023-03-20T20:00:00+00:00</t>
  </si>
  <si>
    <t>2023-03-21</t>
  </si>
  <si>
    <t>2023-03-21T13:30:00+00:00</t>
  </si>
  <si>
    <t>2023-03-21T20:00:00+00:00</t>
  </si>
  <si>
    <t>2023-03-22</t>
  </si>
  <si>
    <t>2023-03-22T13:30:00+00:00</t>
  </si>
  <si>
    <t>2023-03-22T20:00:00+00:00</t>
  </si>
  <si>
    <t>2023-03-23</t>
  </si>
  <si>
    <t>2023-03-23T13:30:00+00:00</t>
  </si>
  <si>
    <t>2023-03-23T20:00:00+00:00</t>
  </si>
  <si>
    <t>2023-03-24</t>
  </si>
  <si>
    <t>2023-03-24T13:30:00+00:00</t>
  </si>
  <si>
    <t>2023-03-24T20:00:00+00:00</t>
  </si>
  <si>
    <t>2023-03-27</t>
  </si>
  <si>
    <t>2023-03-27T13:30:00+00:00</t>
  </si>
  <si>
    <t>2023-03-27T20:00:00+00:00</t>
  </si>
  <si>
    <t>2023-03-28</t>
  </si>
  <si>
    <t>2023-03-28T13:30:00+00:00</t>
  </si>
  <si>
    <t>2023-03-28T20:00:00+00:00</t>
  </si>
  <si>
    <t>2023-03-29</t>
  </si>
  <si>
    <t>2023-03-29T13:30:00+00:00</t>
  </si>
  <si>
    <t>2023-03-29T20:00:00+00:00</t>
  </si>
  <si>
    <t>2023-03-30</t>
  </si>
  <si>
    <t>2023-03-30T13:30:00+00:00</t>
  </si>
  <si>
    <t>2023-03-30T20:00:00+00:00</t>
  </si>
  <si>
    <t>2023-03-31</t>
  </si>
  <si>
    <t>2023-03-31T13:30:00+00:00</t>
  </si>
  <si>
    <t>2023-03-31T20:00:00+00:00</t>
  </si>
  <si>
    <t>2023-04-03</t>
  </si>
  <si>
    <t>2023-04-03T13:30:00+00:00</t>
  </si>
  <si>
    <t>2023-04-03T20:00:00+00:00</t>
  </si>
  <si>
    <t>2023-04-04</t>
  </si>
  <si>
    <t>2023-04-04T13:30:00+00:00</t>
  </si>
  <si>
    <t>2023-04-04T20:00:00+00:00</t>
  </si>
  <si>
    <t>2023-04-05</t>
  </si>
  <si>
    <t>2023-04-05T13:30:00+00:00</t>
  </si>
  <si>
    <t>2023-04-05T20:00:00+00:00</t>
  </si>
  <si>
    <t>2023-04-06</t>
  </si>
  <si>
    <t>2023-04-06T13:30:00+00:00</t>
  </si>
  <si>
    <t>2023-04-06T20:00:00+00:00</t>
  </si>
  <si>
    <t>2023-04-10</t>
  </si>
  <si>
    <t>2023-04-10T13:30:00+00:00</t>
  </si>
  <si>
    <t>2023-04-10T20:00:00+00:00</t>
  </si>
  <si>
    <t>2023-04-11</t>
  </si>
  <si>
    <t>2023-04-11T13:30:00+00:00</t>
  </si>
  <si>
    <t>2023-04-11T20:00:00+00:00</t>
  </si>
  <si>
    <t>2023-04-12</t>
  </si>
  <si>
    <t>2023-04-12T13:30:00+00:00</t>
  </si>
  <si>
    <t>2023-04-12T20:00:00+00:00</t>
  </si>
  <si>
    <t>2023-04-13</t>
  </si>
  <si>
    <t>2023-04-13T13:30:00+00:00</t>
  </si>
  <si>
    <t>2023-04-13T20:00:00+00:00</t>
  </si>
  <si>
    <t>2023-04-14</t>
  </si>
  <si>
    <t>2023-04-14T13:30:00+00:00</t>
  </si>
  <si>
    <t>2023-04-14T20:00:00+00:00</t>
  </si>
  <si>
    <t>2023-04-17</t>
  </si>
  <si>
    <t>2023-04-17T13:30:00+00:00</t>
  </si>
  <si>
    <t>2023-04-17T20:00:00+00:00</t>
  </si>
  <si>
    <t>2023-04-18</t>
  </si>
  <si>
    <t>2023-04-18T13:30:00+00:00</t>
  </si>
  <si>
    <t>2023-04-18T20:00:00+00:00</t>
  </si>
  <si>
    <t>2023-04-19</t>
  </si>
  <si>
    <t>2023-04-19T13:30:00+00:00</t>
  </si>
  <si>
    <t>2023-04-19T20:00:00+00:00</t>
  </si>
  <si>
    <t>2023-04-20</t>
  </si>
  <si>
    <t>2023-04-20T13:30:00+00:00</t>
  </si>
  <si>
    <t>2023-04-20T20:00:00+00:00</t>
  </si>
  <si>
    <t>2023-04-21</t>
  </si>
  <si>
    <t>2023-04-21T13:30:00+00:00</t>
  </si>
  <si>
    <t>2023-04-21T20:00:00+00:00</t>
  </si>
  <si>
    <t>2023-04-24</t>
  </si>
  <si>
    <t>2023-04-24T13:30:00+00:00</t>
  </si>
  <si>
    <t>2023-04-24T20:00:00+00:00</t>
  </si>
  <si>
    <t>2023-04-25</t>
  </si>
  <si>
    <t>2023-04-25T13:30:00+00:00</t>
  </si>
  <si>
    <t>2023-04-25T20:00:00+00:00</t>
  </si>
  <si>
    <t>2023-04-26</t>
  </si>
  <si>
    <t>2023-04-26T13:30:00+00:00</t>
  </si>
  <si>
    <t>2023-04-26T20:00:00+00:00</t>
  </si>
  <si>
    <t>2023-04-27</t>
  </si>
  <si>
    <t>2023-04-27T13:30:00+00:00</t>
  </si>
  <si>
    <t>2023-04-27T20:00:00+00:00</t>
  </si>
  <si>
    <t>2023-04-28</t>
  </si>
  <si>
    <t>2023-04-28T13:30:00+00:00</t>
  </si>
  <si>
    <t>2023-04-28T20:00:00+00:00</t>
  </si>
  <si>
    <t>2023-05-01</t>
  </si>
  <si>
    <t>2023-05-01T13:30:00+00:00</t>
  </si>
  <si>
    <t>2023-05-01T20:00:00+00:00</t>
  </si>
  <si>
    <t>2023-05-02</t>
  </si>
  <si>
    <t>2023-05-02T13:30:00+00:00</t>
  </si>
  <si>
    <t>2023-05-02T20:00:00+00:00</t>
  </si>
  <si>
    <t>2023-05-03</t>
  </si>
  <si>
    <t>2023-05-03T13:30:00+00:00</t>
  </si>
  <si>
    <t>2023-05-03T20:00:00+00:00</t>
  </si>
  <si>
    <t>2023-05-04</t>
  </si>
  <si>
    <t>2023-05-04T13:30:00+00:00</t>
  </si>
  <si>
    <t>2023-05-04T20:00:00+00:00</t>
  </si>
  <si>
    <t>2023-05-05</t>
  </si>
  <si>
    <t>2023-05-05T13:30:00+00:00</t>
  </si>
  <si>
    <t>2023-05-05T20:00:00+00:00</t>
  </si>
  <si>
    <t>2023-05-08</t>
  </si>
  <si>
    <t>2023-05-08T13:30:00+00:00</t>
  </si>
  <si>
    <t>2023-05-08T20:00:00+00:00</t>
  </si>
  <si>
    <t>2023-05-09</t>
  </si>
  <si>
    <t>2023-05-09T13:30:00+00:00</t>
  </si>
  <si>
    <t>2023-05-09T20:00:00+00:00</t>
  </si>
  <si>
    <t>2023-05-10</t>
  </si>
  <si>
    <t>2023-05-10T13:30:00+00:00</t>
  </si>
  <si>
    <t>2023-05-10T20:00:00+00:00</t>
  </si>
  <si>
    <t>2023-05-11</t>
  </si>
  <si>
    <t>2023-05-11T13:30:00+00:00</t>
  </si>
  <si>
    <t>2023-05-11T20:00:00+00:00</t>
  </si>
  <si>
    <t>2023-05-12</t>
  </si>
  <si>
    <t>2023-05-12T13:30:00+00:00</t>
  </si>
  <si>
    <t>2023-05-12T20:00:00+00:00</t>
  </si>
  <si>
    <t>2023-05-15</t>
  </si>
  <si>
    <t>2023-05-15T13:30:00+00:00</t>
  </si>
  <si>
    <t>2023-05-15T20:00:00+00:00</t>
  </si>
  <si>
    <t>2023-05-16</t>
  </si>
  <si>
    <t>2023-05-16T13:30:00+00:00</t>
  </si>
  <si>
    <t>2023-05-16T20:00:00+00:00</t>
  </si>
  <si>
    <t>2023-05-17</t>
  </si>
  <si>
    <t>2023-05-17T13:30:00+00:00</t>
  </si>
  <si>
    <t>2023-05-17T20:00:00+00:00</t>
  </si>
  <si>
    <t>2023-05-18</t>
  </si>
  <si>
    <t>2023-05-18T13:30:00+00:00</t>
  </si>
  <si>
    <t>2023-05-18T20:00:00+00:00</t>
  </si>
  <si>
    <t>2023-05-19</t>
  </si>
  <si>
    <t>2023-05-19T13:30:00+00:00</t>
  </si>
  <si>
    <t>2023-05-19T20:00:00+00:00</t>
  </si>
  <si>
    <t>2023-05-22</t>
  </si>
  <si>
    <t>2023-05-22T13:30:00+00:00</t>
  </si>
  <si>
    <t>2023-05-22T20:00:00+00:00</t>
  </si>
  <si>
    <t>2023-05-23</t>
  </si>
  <si>
    <t>2023-05-23T13:30:00+00:00</t>
  </si>
  <si>
    <t>2023-05-23T20:00:00+00:00</t>
  </si>
  <si>
    <t>2023-05-24</t>
  </si>
  <si>
    <t>2023-05-24T13:30:00+00:00</t>
  </si>
  <si>
    <t>2023-05-24T20:00:00+00:00</t>
  </si>
  <si>
    <t>2023-05-25</t>
  </si>
  <si>
    <t>2023-05-25T13:30:00+00:00</t>
  </si>
  <si>
    <t>2023-05-25T20:00:00+00:00</t>
  </si>
  <si>
    <t>2023-05-26</t>
  </si>
  <si>
    <t>2023-05-26T13:30:00+00:00</t>
  </si>
  <si>
    <t>2023-05-26T20:00:00+00:00</t>
  </si>
  <si>
    <t>2023-05-30</t>
  </si>
  <si>
    <t>2023-05-30T13:30:00+00:00</t>
  </si>
  <si>
    <t>2023-05-30T20:00:00+00:00</t>
  </si>
  <si>
    <t>2023-05-31</t>
  </si>
  <si>
    <t>2023-05-31T13:30:00+00:00</t>
  </si>
  <si>
    <t>2023-05-31T20:00:00+00:00</t>
  </si>
  <si>
    <t>2023-06-01</t>
  </si>
  <si>
    <t>2023-06-01T13:30:00+00:00</t>
  </si>
  <si>
    <t>2023-06-01T20:00:00+00:00</t>
  </si>
  <si>
    <t>2023-06-02</t>
  </si>
  <si>
    <t>2023-06-02T13:30:00+00:00</t>
  </si>
  <si>
    <t>2023-06-02T20:00:00+00:00</t>
  </si>
  <si>
    <t>2023-06-05</t>
  </si>
  <si>
    <t>2023-06-05T13:30:00+00:00</t>
  </si>
  <si>
    <t>2023-06-05T20:00:00+00:00</t>
  </si>
  <si>
    <t>2023-06-06</t>
  </si>
  <si>
    <t>2023-06-06T13:30:00+00:00</t>
  </si>
  <si>
    <t>2023-06-06T20:00:00+00:00</t>
  </si>
  <si>
    <t>2023-06-07</t>
  </si>
  <si>
    <t>2023-06-07T13:30:00+00:00</t>
  </si>
  <si>
    <t>2023-06-07T20:00:00+00:00</t>
  </si>
  <si>
    <t>2023-06-08</t>
  </si>
  <si>
    <t>2023-06-08T13:30:00+00:00</t>
  </si>
  <si>
    <t>2023-06-08T20:00:00+00:00</t>
  </si>
  <si>
    <t>2023-06-09</t>
  </si>
  <si>
    <t>2023-06-09T13:30:00+00:00</t>
  </si>
  <si>
    <t>2023-06-09T20:00:00+00:00</t>
  </si>
  <si>
    <t>2023-06-12</t>
  </si>
  <si>
    <t>2023-06-12T13:30:00+00:00</t>
  </si>
  <si>
    <t>2023-06-12T20:00:00+00:00</t>
  </si>
  <si>
    <t>2023-06-13</t>
  </si>
  <si>
    <t>2023-06-13T13:30:00+00:00</t>
  </si>
  <si>
    <t>2023-06-13T20:00:00+00:00</t>
  </si>
  <si>
    <t>2023-06-14</t>
  </si>
  <si>
    <t>2023-06-14T13:30:00+00:00</t>
  </si>
  <si>
    <t>2023-06-14T20:00:00+00:00</t>
  </si>
  <si>
    <t>2023-06-15</t>
  </si>
  <si>
    <t>2023-06-15T13:30:00+00:00</t>
  </si>
  <si>
    <t>2023-06-15T20:00:00+00:00</t>
  </si>
  <si>
    <t>2023-06-16</t>
  </si>
  <si>
    <t>2023-06-16T13:30:00+00:00</t>
  </si>
  <si>
    <t>2023-06-16T20:00:00+00:00</t>
  </si>
  <si>
    <t>2023-06-20</t>
  </si>
  <si>
    <t>2023-06-20T13:30:00+00:00</t>
  </si>
  <si>
    <t>2023-06-20T20:00:00+00:00</t>
  </si>
  <si>
    <t>2023-06-21</t>
  </si>
  <si>
    <t>2023-06-21T13:30:00+00:00</t>
  </si>
  <si>
    <t>2023-06-21T20:00:00+00:00</t>
  </si>
  <si>
    <t>2023-06-22</t>
  </si>
  <si>
    <t>2023-06-22T13:30:00+00:00</t>
  </si>
  <si>
    <t>2023-06-22T20:00:00+00:00</t>
  </si>
  <si>
    <t>2023-06-23</t>
  </si>
  <si>
    <t>2023-06-23T13:30:00+00:00</t>
  </si>
  <si>
    <t>2023-06-23T20:00:00+00:00</t>
  </si>
  <si>
    <t>2023-06-26</t>
  </si>
  <si>
    <t>2023-06-26T13:30:00+00:00</t>
  </si>
  <si>
    <t>2023-06-26T20:00:00+00:00</t>
  </si>
  <si>
    <t>2023-06-27</t>
  </si>
  <si>
    <t>2023-06-27T13:30:00+00:00</t>
  </si>
  <si>
    <t>2023-06-27T20:00:00+00:00</t>
  </si>
  <si>
    <t>2023-06-28</t>
  </si>
  <si>
    <t>2023-06-28T13:30:00+00:00</t>
  </si>
  <si>
    <t>2023-06-28T20:00:00+00:00</t>
  </si>
  <si>
    <t>2023-06-29</t>
  </si>
  <si>
    <t>2023-06-29T13:30:00+00:00</t>
  </si>
  <si>
    <t>2023-06-29T20:00:00+00:00</t>
  </si>
  <si>
    <t>2023-06-30</t>
  </si>
  <si>
    <t>2023-06-30T13:30:00+00:00</t>
  </si>
  <si>
    <t>2023-06-30T20:00:00+00:00</t>
  </si>
  <si>
    <t>2023-07-03</t>
  </si>
  <si>
    <t>2023-07-03T13:30:00+00:00</t>
  </si>
  <si>
    <t>2023-07-03T17:00:00+00:00</t>
  </si>
  <si>
    <t>2023-07-05</t>
  </si>
  <si>
    <t>2023-07-05T13:30:00+00:00</t>
  </si>
  <si>
    <t>2023-07-05T20:00:00+00:00</t>
  </si>
  <si>
    <t>2023-07-06</t>
  </si>
  <si>
    <t>2023-07-06T13:30:00+00:00</t>
  </si>
  <si>
    <t>2023-07-06T20:00:00+00:00</t>
  </si>
  <si>
    <t>2023-07-07</t>
  </si>
  <si>
    <t>2023-07-07T13:30:00+00:00</t>
  </si>
  <si>
    <t>2023-07-07T20:00:00+00:00</t>
  </si>
  <si>
    <t>2023-07-10</t>
  </si>
  <si>
    <t>2023-07-10T13:30:00+00:00</t>
  </si>
  <si>
    <t>2023-07-10T20:00:00+00:00</t>
  </si>
  <si>
    <t>2023-07-11</t>
  </si>
  <si>
    <t>2023-07-11T13:30:00+00:00</t>
  </si>
  <si>
    <t>2023-07-11T20:00:00+00:00</t>
  </si>
  <si>
    <t>2023-07-12</t>
  </si>
  <si>
    <t>2023-07-12T13:30:00+00:00</t>
  </si>
  <si>
    <t>2023-07-12T20:00:00+00:00</t>
  </si>
  <si>
    <t>2023-07-13</t>
  </si>
  <si>
    <t>2023-07-13T13:30:00+00:00</t>
  </si>
  <si>
    <t>2023-07-13T20:00:00+00:00</t>
  </si>
  <si>
    <t>2023-07-14</t>
  </si>
  <si>
    <t>2023-07-14T13:30:00+00:00</t>
  </si>
  <si>
    <t>2023-07-14T20:00:00+00:00</t>
  </si>
  <si>
    <t>2023-07-17</t>
  </si>
  <si>
    <t>2023-07-17T13:30:00+00:00</t>
  </si>
  <si>
    <t>2023-07-17T20:00:00+00:00</t>
  </si>
  <si>
    <t>2023-07-18</t>
  </si>
  <si>
    <t>2023-07-18T13:30:00+00:00</t>
  </si>
  <si>
    <t>2023-07-18T20:00:00+00:00</t>
  </si>
  <si>
    <t>2023-07-19</t>
  </si>
  <si>
    <t>2023-07-19T13:30:00+00:00</t>
  </si>
  <si>
    <t>2023-07-19T20:00:00+00:00</t>
  </si>
  <si>
    <t>2023-07-20</t>
  </si>
  <si>
    <t>2023-07-20T13:30:00+00:00</t>
  </si>
  <si>
    <t>2023-07-20T20:00:00+00:00</t>
  </si>
  <si>
    <t>2023-07-21</t>
  </si>
  <si>
    <t>2023-07-21T13:30:00+00:00</t>
  </si>
  <si>
    <t>2023-07-21T20:00:00+00:00</t>
  </si>
  <si>
    <t>2023-07-24</t>
  </si>
  <si>
    <t>2023-07-24T13:30:00+00:00</t>
  </si>
  <si>
    <t>2023-07-24T20:00:00+00:00</t>
  </si>
  <si>
    <t>2023-07-25</t>
  </si>
  <si>
    <t>2023-07-25T13:30:00+00:00</t>
  </si>
  <si>
    <t>2023-07-25T20:00:00+00:00</t>
  </si>
  <si>
    <t>2023-07-26</t>
  </si>
  <si>
    <t>2023-07-26T13:30:00+00:00</t>
  </si>
  <si>
    <t>2023-07-26T20:00:00+00:00</t>
  </si>
  <si>
    <t>2023-07-27</t>
  </si>
  <si>
    <t>2023-07-27T13:30:00+00:00</t>
  </si>
  <si>
    <t>2023-07-27T20:00:00+00:00</t>
  </si>
  <si>
    <t>2023-07-28</t>
  </si>
  <si>
    <t>2023-07-28T13:30:00+00:00</t>
  </si>
  <si>
    <t>2023-07-28T20:00:00+00:00</t>
  </si>
  <si>
    <t>2023-07-31</t>
  </si>
  <si>
    <t>2023-07-31T13:30:00+00:00</t>
  </si>
  <si>
    <t>2023-07-31T20:00:00+00:00</t>
  </si>
  <si>
    <t>2023-08-01</t>
  </si>
  <si>
    <t>2023-08-01T13:30:00+00:00</t>
  </si>
  <si>
    <t>2023-08-01T20:00:00+00:00</t>
  </si>
  <si>
    <t>2023-08-02</t>
  </si>
  <si>
    <t>2023-08-02T13:30:00+00:00</t>
  </si>
  <si>
    <t>2023-08-02T20:00:00+00:00</t>
  </si>
  <si>
    <t>2023-08-03</t>
  </si>
  <si>
    <t>2023-08-03T13:30:00+00:00</t>
  </si>
  <si>
    <t>2023-08-03T20:00:00+00:00</t>
  </si>
  <si>
    <t>2023-08-04</t>
  </si>
  <si>
    <t>2023-08-04T13:30:00+00:00</t>
  </si>
  <si>
    <t>2023-08-04T20:00:00+00:00</t>
  </si>
  <si>
    <t>2023-08-07</t>
  </si>
  <si>
    <t>2023-08-07T13:30:00+00:00</t>
  </si>
  <si>
    <t>2023-08-07T20:00:00+00:00</t>
  </si>
  <si>
    <t>2023-08-08</t>
  </si>
  <si>
    <t>2023-08-08T13:30:00+00:00</t>
  </si>
  <si>
    <t>2023-08-08T20:00:00+00:00</t>
  </si>
  <si>
    <t>2023-08-09</t>
  </si>
  <si>
    <t>2023-08-09T13:30:00+00:00</t>
  </si>
  <si>
    <t>2023-08-09T20:00:00+00:00</t>
  </si>
  <si>
    <t>2023-08-10</t>
  </si>
  <si>
    <t>2023-08-10T13:30:00+00:00</t>
  </si>
  <si>
    <t>2023-08-10T20:00:00+00:00</t>
  </si>
  <si>
    <t>2023-08-11</t>
  </si>
  <si>
    <t>2023-08-11T13:30:00+00:00</t>
  </si>
  <si>
    <t>2023-08-11T20:00:00+00:00</t>
  </si>
  <si>
    <t>2023-08-14</t>
  </si>
  <si>
    <t>2023-08-14T13:30:00+00:00</t>
  </si>
  <si>
    <t>2023-08-14T20:00:00+00:00</t>
  </si>
  <si>
    <t>2023-08-15</t>
  </si>
  <si>
    <t>2023-08-15T13:30:00+00:00</t>
  </si>
  <si>
    <t>2023-08-15T20:00:00+00:00</t>
  </si>
  <si>
    <t>2023-08-16</t>
  </si>
  <si>
    <t>2023-08-16T13:30:00+00:00</t>
  </si>
  <si>
    <t>2023-08-16T20:00:00+00:00</t>
  </si>
  <si>
    <t>2023-08-17</t>
  </si>
  <si>
    <t>2023-08-17T13:30:00+00:00</t>
  </si>
  <si>
    <t>2023-08-17T20:00:00+00:00</t>
  </si>
  <si>
    <t>2023-08-18</t>
  </si>
  <si>
    <t>2023-08-18T13:30:00+00:00</t>
  </si>
  <si>
    <t>2023-08-18T20:00:00+00:00</t>
  </si>
  <si>
    <t>2023-08-21</t>
  </si>
  <si>
    <t>2023-08-21T13:30:00+00:00</t>
  </si>
  <si>
    <t>2023-08-21T20:00:00+00:00</t>
  </si>
  <si>
    <t>2023-08-22</t>
  </si>
  <si>
    <t>2023-08-22T13:30:00+00:00</t>
  </si>
  <si>
    <t>2023-08-22T20:00:00+00:00</t>
  </si>
  <si>
    <t>2023-08-23</t>
  </si>
  <si>
    <t>2023-08-23T13:30:00+00:00</t>
  </si>
  <si>
    <t>2023-08-23T20:00:00+00:00</t>
  </si>
  <si>
    <t>2023-08-24</t>
  </si>
  <si>
    <t>2023-08-24T13:30:00+00:00</t>
  </si>
  <si>
    <t>2023-08-24T20:00:00+00:00</t>
  </si>
  <si>
    <t>2023-08-25</t>
  </si>
  <si>
    <t>2023-08-25T13:30:00+00:00</t>
  </si>
  <si>
    <t>2023-08-25T20:00:00+00:00</t>
  </si>
  <si>
    <t>2023-08-28</t>
  </si>
  <si>
    <t>2023-08-28T13:30:00+00:00</t>
  </si>
  <si>
    <t>2023-08-28T20:00:00+00:00</t>
  </si>
  <si>
    <t>2023-08-29</t>
  </si>
  <si>
    <t>2023-08-29T13:30:00+00:00</t>
  </si>
  <si>
    <t>2023-08-29T20:00:00+00:00</t>
  </si>
  <si>
    <t>2023-08-30</t>
  </si>
  <si>
    <t>2023-08-30T13:30:00+00:00</t>
  </si>
  <si>
    <t>2023-08-30T20:00:00+00:00</t>
  </si>
  <si>
    <t>2023-08-31</t>
  </si>
  <si>
    <t>2023-08-31T13:30:00+00:00</t>
  </si>
  <si>
    <t>2023-08-31T20:00:00+00:00</t>
  </si>
  <si>
    <t>2023-09-01</t>
  </si>
  <si>
    <t>2023-09-01T13:30:00+00:00</t>
  </si>
  <si>
    <t>2023-09-01T20:00:00+00:00</t>
  </si>
  <si>
    <t>2023-09-05</t>
  </si>
  <si>
    <t>2023-09-05T13:30:00+00:00</t>
  </si>
  <si>
    <t>2023-09-05T20:00:00+00:00</t>
  </si>
  <si>
    <t>2023-09-06</t>
  </si>
  <si>
    <t>2023-09-06T13:30:00+00:00</t>
  </si>
  <si>
    <t>2023-09-06T20:00:00+00:00</t>
  </si>
  <si>
    <t>2023-09-07</t>
  </si>
  <si>
    <t>2023-09-07T13:30:00+00:00</t>
  </si>
  <si>
    <t>2023-09-07T20:00:00+00:00</t>
  </si>
  <si>
    <t>2023-09-08</t>
  </si>
  <si>
    <t>2023-09-08T13:30:00+00:00</t>
  </si>
  <si>
    <t>2023-09-08T20:00:00+00:00</t>
  </si>
  <si>
    <t>2023-09-11</t>
  </si>
  <si>
    <t>2023-09-11T13:30:00+00:00</t>
  </si>
  <si>
    <t>2023-09-11T20:00:00+00:00</t>
  </si>
  <si>
    <t>2023-09-12</t>
  </si>
  <si>
    <t>2023-09-12T13:30:00+00:00</t>
  </si>
  <si>
    <t>2023-09-12T20:00:00+00:00</t>
  </si>
  <si>
    <t>2023-09-13</t>
  </si>
  <si>
    <t>2023-09-13T13:30:00+00:00</t>
  </si>
  <si>
    <t>2023-09-13T20:00:00+00:00</t>
  </si>
  <si>
    <t>2023-09-14</t>
  </si>
  <si>
    <t>2023-09-14T13:30:00+00:00</t>
  </si>
  <si>
    <t>2023-09-14T20:00:00+00:00</t>
  </si>
  <si>
    <t>2023-09-15</t>
  </si>
  <si>
    <t>2023-09-15T13:30:00+00:00</t>
  </si>
  <si>
    <t>2023-09-15T20:00:00+00:00</t>
  </si>
  <si>
    <t>2023-09-18</t>
  </si>
  <si>
    <t>2023-09-18T13:30:00+00:00</t>
  </si>
  <si>
    <t>2023-09-18T20:00:00+00:00</t>
  </si>
  <si>
    <t>2023-09-19</t>
  </si>
  <si>
    <t>2023-09-19T13:30:00+00:00</t>
  </si>
  <si>
    <t>2023-09-19T20:00:00+00:00</t>
  </si>
  <si>
    <t>2023-09-20</t>
  </si>
  <si>
    <t>2023-09-20T13:30:00+00:00</t>
  </si>
  <si>
    <t>2023-09-20T20:00:00+00:00</t>
  </si>
  <si>
    <t>2023-09-21</t>
  </si>
  <si>
    <t>2023-09-21T13:30:00+00:00</t>
  </si>
  <si>
    <t>2023-09-21T20:00:00+00:00</t>
  </si>
  <si>
    <t>2023-09-22</t>
  </si>
  <si>
    <t>2023-09-22T13:30:00+00:00</t>
  </si>
  <si>
    <t>2023-09-22T20:00:00+00:00</t>
  </si>
  <si>
    <t>2023-09-25</t>
  </si>
  <si>
    <t>2023-09-25T13:30:00+00:00</t>
  </si>
  <si>
    <t>2023-09-25T20:00:00+00:00</t>
  </si>
  <si>
    <t>2023-09-26</t>
  </si>
  <si>
    <t>2023-09-26T13:30:00+00:00</t>
  </si>
  <si>
    <t>2023-09-26T20:00:00+00:00</t>
  </si>
  <si>
    <t>2023-09-27</t>
  </si>
  <si>
    <t>2023-09-27T13:30:00+00:00</t>
  </si>
  <si>
    <t>2023-09-27T20:00:00+00:00</t>
  </si>
  <si>
    <t>2023-09-28</t>
  </si>
  <si>
    <t>2023-09-28T13:30:00+00:00</t>
  </si>
  <si>
    <t>2023-09-28T20:00:00+00:00</t>
  </si>
  <si>
    <t>2023-09-29</t>
  </si>
  <si>
    <t>2023-09-29T13:30:00+00:00</t>
  </si>
  <si>
    <t>2023-09-29T20:00:00+00:00</t>
  </si>
  <si>
    <t>2023-10-02</t>
  </si>
  <si>
    <t>2023-10-02T13:30:00+00:00</t>
  </si>
  <si>
    <t>2023-10-02T20:00:00+00:00</t>
  </si>
  <si>
    <t>2023-10-03</t>
  </si>
  <si>
    <t>2023-10-03T13:30:00+00:00</t>
  </si>
  <si>
    <t>2023-10-03T20:00:00+00:00</t>
  </si>
  <si>
    <t>2023-10-04</t>
  </si>
  <si>
    <t>2023-10-04T13:30:00+00:00</t>
  </si>
  <si>
    <t>2023-10-04T20:00:00+00:00</t>
  </si>
  <si>
    <t>2023-10-05</t>
  </si>
  <si>
    <t>2023-10-05T13:30:00+00:00</t>
  </si>
  <si>
    <t>2023-10-05T20:00:00+00:00</t>
  </si>
  <si>
    <t>2023-10-06</t>
  </si>
  <si>
    <t>2023-10-06T13:30:00+00:00</t>
  </si>
  <si>
    <t>2023-10-06T20:00:00+00:00</t>
  </si>
  <si>
    <t>2023-10-09</t>
  </si>
  <si>
    <t>2023-10-09T13:30:00+00:00</t>
  </si>
  <si>
    <t>2023-10-09T20:00:00+00:00</t>
  </si>
  <si>
    <t>2023-10-10</t>
  </si>
  <si>
    <t>2023-10-10T13:30:00+00:00</t>
  </si>
  <si>
    <t>2023-10-10T20:00:00+00:00</t>
  </si>
  <si>
    <t>2023-10-11</t>
  </si>
  <si>
    <t>2023-10-11T13:30:00+00:00</t>
  </si>
  <si>
    <t>2023-10-11T20:00:00+00:00</t>
  </si>
  <si>
    <t>2023-10-12</t>
  </si>
  <si>
    <t>2023-10-12T13:30:00+00:00</t>
  </si>
  <si>
    <t>2023-10-12T20:00:00+00:00</t>
  </si>
  <si>
    <t>2023-10-13</t>
  </si>
  <si>
    <t>2023-10-13T13:30:00+00:00</t>
  </si>
  <si>
    <t>2023-10-13T20:00:00+00:00</t>
  </si>
  <si>
    <t>2023-10-16</t>
  </si>
  <si>
    <t>2023-10-16T13:30:00+00:00</t>
  </si>
  <si>
    <t>2023-10-16T20:00:00+00:00</t>
  </si>
  <si>
    <t>2023-10-17</t>
  </si>
  <si>
    <t>2023-10-17T13:30:00+00:00</t>
  </si>
  <si>
    <t>2023-10-17T20:00:00+00:00</t>
  </si>
  <si>
    <t>2023-10-18</t>
  </si>
  <si>
    <t>2023-10-18T13:30:00+00:00</t>
  </si>
  <si>
    <t>2023-10-18T20:00:00+00:00</t>
  </si>
  <si>
    <t>2023-10-19</t>
  </si>
  <si>
    <t>2023-10-19T13:30:00+00:00</t>
  </si>
  <si>
    <t>2023-10-19T20:00:00+00:00</t>
  </si>
  <si>
    <t>2023-10-20</t>
  </si>
  <si>
    <t>2023-10-20T13:30:00+00:00</t>
  </si>
  <si>
    <t>2023-10-20T20:00:00+00:00</t>
  </si>
  <si>
    <t>2023-10-23</t>
  </si>
  <si>
    <t>2023-10-23T13:30:00+00:00</t>
  </si>
  <si>
    <t>2023-10-23T20:00:00+00:00</t>
  </si>
  <si>
    <t>2023-10-24</t>
  </si>
  <si>
    <t>2023-10-24T13:30:00+00:00</t>
  </si>
  <si>
    <t>2023-10-24T20:00:00+00:00</t>
  </si>
  <si>
    <t>2023-10-25</t>
  </si>
  <si>
    <t>2023-10-25T13:30:00+00:00</t>
  </si>
  <si>
    <t>2023-10-25T20:00:00+00:00</t>
  </si>
  <si>
    <t>2023-10-26</t>
  </si>
  <si>
    <t>2023-10-26T13:30:00+00:00</t>
  </si>
  <si>
    <t>2023-10-26T20:00:00+00:00</t>
  </si>
  <si>
    <t>2023-10-27</t>
  </si>
  <si>
    <t>2023-10-27T13:30:00+00:00</t>
  </si>
  <si>
    <t>2023-10-27T20:00:00+00:00</t>
  </si>
  <si>
    <t>2023-10-30</t>
  </si>
  <si>
    <t>2023-10-30T13:30:00+00:00</t>
  </si>
  <si>
    <t>2023-10-30T20:00:00+00:00</t>
  </si>
  <si>
    <t>2023-10-31</t>
  </si>
  <si>
    <t>2023-10-31T13:30:00+00:00</t>
  </si>
  <si>
    <t>2023-10-31T20:00:00+00:00</t>
  </si>
  <si>
    <t>2023-11-01</t>
  </si>
  <si>
    <t>2023-11-01T13:30:00+00:00</t>
  </si>
  <si>
    <t>2023-11-01T20:00:00+00:00</t>
  </si>
  <si>
    <t>2023-11-02</t>
  </si>
  <si>
    <t>2023-11-02T13:30:00+00:00</t>
  </si>
  <si>
    <t>2023-11-02T20:00:00+00:00</t>
  </si>
  <si>
    <t>2023-11-03</t>
  </si>
  <si>
    <t>2023-11-03T13:30:00+00:00</t>
  </si>
  <si>
    <t>2023-11-03T20:00:00+00:00</t>
  </si>
  <si>
    <t>2023-11-06</t>
  </si>
  <si>
    <t>2023-11-06T14:30:00+00:00</t>
  </si>
  <si>
    <t>2023-11-06T21:00:00+00:00</t>
  </si>
  <si>
    <t>2023-11-07</t>
  </si>
  <si>
    <t>2023-11-07T14:30:00+00:00</t>
  </si>
  <si>
    <t>2023-11-07T21:00:00+00:00</t>
  </si>
  <si>
    <t>2023-11-08</t>
  </si>
  <si>
    <t>2023-11-08T14:30:00+00:00</t>
  </si>
  <si>
    <t>2023-11-08T21:00:00+00:00</t>
  </si>
  <si>
    <t>2023-11-09</t>
  </si>
  <si>
    <t>2023-11-09T14:30:00+00:00</t>
  </si>
  <si>
    <t>2023-11-09T21:00:00+00:00</t>
  </si>
  <si>
    <t>2023-11-10</t>
  </si>
  <si>
    <t>2023-11-10T14:30:00+00:00</t>
  </si>
  <si>
    <t>2023-11-10T21:00:00+00:00</t>
  </si>
  <si>
    <t>2023-11-13</t>
  </si>
  <si>
    <t>2023-11-13T14:30:00+00:00</t>
  </si>
  <si>
    <t>2023-11-13T21:00:00+00:00</t>
  </si>
  <si>
    <t>2023-11-14</t>
  </si>
  <si>
    <t>2023-11-14T14:30:00+00:00</t>
  </si>
  <si>
    <t>2023-11-14T21:00:00+00:00</t>
  </si>
  <si>
    <t>2023-11-15</t>
  </si>
  <si>
    <t>2023-11-15T14:30:00+00:00</t>
  </si>
  <si>
    <t>2023-11-15T21:00:00+00:00</t>
  </si>
  <si>
    <t>2023-11-16</t>
  </si>
  <si>
    <t>2023-11-16T14:30:00+00:00</t>
  </si>
  <si>
    <t>2023-11-16T21:00:00+00:00</t>
  </si>
  <si>
    <t>2023-11-17</t>
  </si>
  <si>
    <t>2023-11-17T14:30:00+00:00</t>
  </si>
  <si>
    <t>2023-11-17T21:00:00+00:00</t>
  </si>
  <si>
    <t>2023-11-20</t>
  </si>
  <si>
    <t>2023-11-20T14:30:00+00:00</t>
  </si>
  <si>
    <t>2023-11-20T21:00:00+00:00</t>
  </si>
  <si>
    <t>2023-11-21</t>
  </si>
  <si>
    <t>2023-11-21T14:30:00+00:00</t>
  </si>
  <si>
    <t>2023-11-21T21:00:00+00:00</t>
  </si>
  <si>
    <t>2023-11-22</t>
  </si>
  <si>
    <t>2023-11-22T14:30:00+00:00</t>
  </si>
  <si>
    <t>2023-11-22T21:00:00+00:00</t>
  </si>
  <si>
    <t>2023-11-24</t>
  </si>
  <si>
    <t>2023-11-24T14:30:00+00:00</t>
  </si>
  <si>
    <t>2023-11-24T18:00:00+00:00</t>
  </si>
  <si>
    <t>2023-11-27</t>
  </si>
  <si>
    <t>2023-11-27T14:30:00+00:00</t>
  </si>
  <si>
    <t>2023-11-27T21:00:00+00:00</t>
  </si>
  <si>
    <t>2023-11-28</t>
  </si>
  <si>
    <t>2023-11-28T14:30:00+00:00</t>
  </si>
  <si>
    <t>2023-11-28T21:00:00+00:00</t>
  </si>
  <si>
    <t>2023-11-29</t>
  </si>
  <si>
    <t>2023-11-29T14:30:00+00:00</t>
  </si>
  <si>
    <t>2023-11-29T21:00:00+00:00</t>
  </si>
  <si>
    <t>2023-11-30</t>
  </si>
  <si>
    <t>2023-11-30T14:30:00+00:00</t>
  </si>
  <si>
    <t>2023-11-30T21:00:00+00:00</t>
  </si>
  <si>
    <t>2023-12-01</t>
  </si>
  <si>
    <t>2023-12-01T14:30:00+00:00</t>
  </si>
  <si>
    <t>2023-12-01T21:00:00+00:00</t>
  </si>
  <si>
    <t>2023-12-04</t>
  </si>
  <si>
    <t>2023-12-04T14:30:00+00:00</t>
  </si>
  <si>
    <t>2023-12-04T21:00:00+00:00</t>
  </si>
  <si>
    <t>2023-12-05</t>
  </si>
  <si>
    <t>2023-12-05T14:30:00+00:00</t>
  </si>
  <si>
    <t>2023-12-05T21:00:00+00:00</t>
  </si>
  <si>
    <t>2023-12-06</t>
  </si>
  <si>
    <t>2023-12-06T14:30:00+00:00</t>
  </si>
  <si>
    <t>2023-12-06T21:00:00+00:00</t>
  </si>
  <si>
    <t>2023-12-07</t>
  </si>
  <si>
    <t>2023-12-07T14:30:00+00:00</t>
  </si>
  <si>
    <t>2023-12-07T21:00:00+00:00</t>
  </si>
  <si>
    <t>2023-12-08</t>
  </si>
  <si>
    <t>2023-12-08T14:30:00+00:00</t>
  </si>
  <si>
    <t>2023-12-08T21:00:00+00:00</t>
  </si>
  <si>
    <t>2023-12-11</t>
  </si>
  <si>
    <t>2023-12-11T14:30:00+00:00</t>
  </si>
  <si>
    <t>2023-12-11T21:00:00+00:00</t>
  </si>
  <si>
    <t>2023-12-12</t>
  </si>
  <si>
    <t>2023-12-12T14:30:00+00:00</t>
  </si>
  <si>
    <t>2023-12-12T21:00:00+00:00</t>
  </si>
  <si>
    <t>2023-12-13</t>
  </si>
  <si>
    <t>2023-12-13T14:30:00+00:00</t>
  </si>
  <si>
    <t>2023-12-13T21:00:00+00:00</t>
  </si>
  <si>
    <t>2023-12-14</t>
  </si>
  <si>
    <t>2023-12-14T14:30:00+00:00</t>
  </si>
  <si>
    <t>2023-12-14T21:00:00+00:00</t>
  </si>
  <si>
    <t>2023-12-15</t>
  </si>
  <si>
    <t>2023-12-15T14:30:00+00:00</t>
  </si>
  <si>
    <t>2023-12-15T21:00:00+00:00</t>
  </si>
  <si>
    <t>2023-12-18</t>
  </si>
  <si>
    <t>2023-12-18T14:30:00+00:00</t>
  </si>
  <si>
    <t>2023-12-18T21:00:00+00:00</t>
  </si>
  <si>
    <t>2023-12-19</t>
  </si>
  <si>
    <t>2023-12-19T14:30:00+00:00</t>
  </si>
  <si>
    <t>2023-12-19T21:00:00+00:00</t>
  </si>
  <si>
    <t>2023-12-20</t>
  </si>
  <si>
    <t>2023-12-20T14:30:00+00:00</t>
  </si>
  <si>
    <t>2023-12-20T21:00:00+00:00</t>
  </si>
  <si>
    <t>2023-12-21</t>
  </si>
  <si>
    <t>2023-12-21T14:30:00+00:00</t>
  </si>
  <si>
    <t>2023-12-21T21:00:00+00:00</t>
  </si>
  <si>
    <t>2023-12-22</t>
  </si>
  <si>
    <t>2023-12-22T14:30:00+00:00</t>
  </si>
  <si>
    <t>2023-12-22T21:00:00+00:00</t>
  </si>
  <si>
    <t>2023-12-26</t>
  </si>
  <si>
    <t>2023-12-26T14:30:00+00:00</t>
  </si>
  <si>
    <t>2023-12-26T21:00:00+00:00</t>
  </si>
  <si>
    <t>2023-12-27</t>
  </si>
  <si>
    <t>2023-12-27T14:30:00+00:00</t>
  </si>
  <si>
    <t>2023-12-27T21:00:00+00:00</t>
  </si>
  <si>
    <t>2023-12-28</t>
  </si>
  <si>
    <t>2023-12-28T14:30:00+00:00</t>
  </si>
  <si>
    <t>2023-12-28T21:00:00+00:00</t>
  </si>
  <si>
    <t>2023-12-29</t>
  </si>
  <si>
    <t>2023-12-29T14:30:00+00:00</t>
  </si>
  <si>
    <t>2023-12-29T21:00:00+00:00</t>
  </si>
  <si>
    <t>2024-01-02</t>
  </si>
  <si>
    <t>2024-01-02T14:30:00+00:00</t>
  </si>
  <si>
    <t>2024-01-02T21:00:00+00:00</t>
  </si>
  <si>
    <t>2024-01-03</t>
  </si>
  <si>
    <t>2024-01-03T14:30:00+00:00</t>
  </si>
  <si>
    <t>2024-01-03T21:00:00+00:00</t>
  </si>
  <si>
    <t>2024-01-04</t>
  </si>
  <si>
    <t>2024-01-04T14:30:00+00:00</t>
  </si>
  <si>
    <t>2024-01-04T21:00:00+00:00</t>
  </si>
  <si>
    <t>2024-01-05</t>
  </si>
  <si>
    <t>2024-01-05T14:30:00+00:00</t>
  </si>
  <si>
    <t>2024-01-05T21:00:00+00:00</t>
  </si>
  <si>
    <t>2024-01-08</t>
  </si>
  <si>
    <t>2024-01-08T14:30:00+00:00</t>
  </si>
  <si>
    <t>2024-01-08T21:00:00+00:00</t>
  </si>
  <si>
    <t>2024-01-09</t>
  </si>
  <si>
    <t>2024-01-09T14:30:00+00:00</t>
  </si>
  <si>
    <t>2024-01-09T21:00:00+00:00</t>
  </si>
  <si>
    <t>2024-01-10</t>
  </si>
  <si>
    <t>2024-01-10T14:30:00+00:00</t>
  </si>
  <si>
    <t>2024-01-10T21:00:00+00:00</t>
  </si>
  <si>
    <t>2024-01-11</t>
  </si>
  <si>
    <t>2024-01-11T14:30:00+00:00</t>
  </si>
  <si>
    <t>2024-01-11T21:00:00+00:00</t>
  </si>
  <si>
    <t>2024-01-12</t>
  </si>
  <si>
    <t>2024-01-12T14:30:00+00:00</t>
  </si>
  <si>
    <t>2024-01-12T21:00:00+00:00</t>
  </si>
  <si>
    <t>2024-01-16</t>
  </si>
  <si>
    <t>2024-01-16T14:30:00+00:00</t>
  </si>
  <si>
    <t>2024-01-16T21:00:00+00:00</t>
  </si>
  <si>
    <t>2024-01-17</t>
  </si>
  <si>
    <t>2024-01-17T14:30:00+00:00</t>
  </si>
  <si>
    <t>2024-01-17T21:00:00+00:00</t>
  </si>
  <si>
    <t>2024-01-18</t>
  </si>
  <si>
    <t>2024-01-18T14:30:00+00:00</t>
  </si>
  <si>
    <t>2024-01-18T21:00:00+00:00</t>
  </si>
  <si>
    <t>2024-01-19</t>
  </si>
  <si>
    <t>2024-01-19T14:30:00+00:00</t>
  </si>
  <si>
    <t>2024-01-19T21:00:00+00:00</t>
  </si>
  <si>
    <t>2024-01-22</t>
  </si>
  <si>
    <t>2024-01-22T14:30:00+00:00</t>
  </si>
  <si>
    <t>2024-01-22T21:00:00+00:00</t>
  </si>
  <si>
    <t>2024-01-23</t>
  </si>
  <si>
    <t>2024-01-23T14:30:00+00:00</t>
  </si>
  <si>
    <t>2024-01-23T21:00:00+00:00</t>
  </si>
  <si>
    <t>2024-01-24</t>
  </si>
  <si>
    <t>2024-01-24T14:30:00+00:00</t>
  </si>
  <si>
    <t>2024-01-24T21:00:00+00:00</t>
  </si>
  <si>
    <t>2024-01-25</t>
  </si>
  <si>
    <t>2024-01-25T14:30:00+00:00</t>
  </si>
  <si>
    <t>2024-01-25T21:00:00+00:00</t>
  </si>
  <si>
    <t>2024-01-26</t>
  </si>
  <si>
    <t>2024-01-26T14:30:00+00:00</t>
  </si>
  <si>
    <t>2024-01-26T21:00:00+00:00</t>
  </si>
  <si>
    <t>2024-01-29</t>
  </si>
  <si>
    <t>2024-01-29T14:30:00+00:00</t>
  </si>
  <si>
    <t>2024-01-29T21:00:00+00:00</t>
  </si>
  <si>
    <t>2024-01-30</t>
  </si>
  <si>
    <t>2024-01-30T14:30:00+00:00</t>
  </si>
  <si>
    <t>2024-01-30T21:00:00+00:00</t>
  </si>
  <si>
    <t>2024-01-31</t>
  </si>
  <si>
    <t>2024-01-31T14:30:00+00:00</t>
  </si>
  <si>
    <t>2024-01-31T21:00:00+00:00</t>
  </si>
  <si>
    <t>2024-02-01</t>
  </si>
  <si>
    <t>2024-02-01T14:30:00+00:00</t>
  </si>
  <si>
    <t>2024-02-01T21:00:00+00:00</t>
  </si>
  <si>
    <t>2024-02-02</t>
  </si>
  <si>
    <t>2024-02-02T14:30:00+00:00</t>
  </si>
  <si>
    <t>2024-02-02T21:00:00+00:00</t>
  </si>
  <si>
    <t>2024-02-05</t>
  </si>
  <si>
    <t>2024-02-05T14:30:00+00:00</t>
  </si>
  <si>
    <t>2024-02-05T21:00:00+00:00</t>
  </si>
  <si>
    <t>2024-02-06</t>
  </si>
  <si>
    <t>2024-02-06T14:30:00+00:00</t>
  </si>
  <si>
    <t>2024-02-06T21:00:00+00:00</t>
  </si>
  <si>
    <t>2024-02-07</t>
  </si>
  <si>
    <t>2024-02-07T14:30:00+00:00</t>
  </si>
  <si>
    <t>2024-02-07T21:00:00+00:00</t>
  </si>
  <si>
    <t>2024-02-08</t>
  </si>
  <si>
    <t>2024-02-08T14:30:00+00:00</t>
  </si>
  <si>
    <t>2024-02-08T21:00:00+00:00</t>
  </si>
  <si>
    <t>2024-02-09</t>
  </si>
  <si>
    <t>2024-02-09T14:30:00+00:00</t>
  </si>
  <si>
    <t>2024-02-09T21:00:00+00:00</t>
  </si>
  <si>
    <t>2024-02-12</t>
  </si>
  <si>
    <t>2024-02-12T14:30:00+00:00</t>
  </si>
  <si>
    <t>2024-02-12T21:00:00+00:00</t>
  </si>
  <si>
    <t>2024-02-13</t>
  </si>
  <si>
    <t>2024-02-13T14:30:00+00:00</t>
  </si>
  <si>
    <t>2024-02-13T21:00:00+00:00</t>
  </si>
  <si>
    <t>2024-02-14</t>
  </si>
  <si>
    <t>2024-02-14T14:30:00+00:00</t>
  </si>
  <si>
    <t>2024-02-14T21:00:00+00:00</t>
  </si>
  <si>
    <t>2024-02-15</t>
  </si>
  <si>
    <t>2024-02-15T14:30:00+00:00</t>
  </si>
  <si>
    <t>2024-02-15T21:00:00+00:00</t>
  </si>
  <si>
    <t>2024-02-16</t>
  </si>
  <si>
    <t>2024-02-16T14:30:00+00:00</t>
  </si>
  <si>
    <t>2024-02-16T21:00:00+00:00</t>
  </si>
  <si>
    <t>2024-02-20</t>
  </si>
  <si>
    <t>2024-02-20T14:30:00+00:00</t>
  </si>
  <si>
    <t>2024-02-20T21:00:00+00:00</t>
  </si>
  <si>
    <t>2024-02-21</t>
  </si>
  <si>
    <t>2024-02-21T14:30:00+00:00</t>
  </si>
  <si>
    <t>2024-02-21T21:00:00+00:00</t>
  </si>
  <si>
    <t>2024-02-22</t>
  </si>
  <si>
    <t>2024-02-22T14:30:00+00:00</t>
  </si>
  <si>
    <t>2024-02-22T21:00:00+00:00</t>
  </si>
  <si>
    <t>2024-02-23</t>
  </si>
  <si>
    <t>2024-02-23T14:30:00+00:00</t>
  </si>
  <si>
    <t>2024-02-23T21:00:00+00:00</t>
  </si>
  <si>
    <t>2024-02-26</t>
  </si>
  <si>
    <t>2024-02-26T14:30:00+00:00</t>
  </si>
  <si>
    <t>2024-02-26T21:00:00+00:00</t>
  </si>
  <si>
    <t>2024-02-27</t>
  </si>
  <si>
    <t>2024-02-27T14:30:00+00:00</t>
  </si>
  <si>
    <t>2024-02-27T21:00:00+00:00</t>
  </si>
  <si>
    <t>2024-02-28</t>
  </si>
  <si>
    <t>2024-02-28T14:30:00+00:00</t>
  </si>
  <si>
    <t>2024-02-28T21:00:00+00:00</t>
  </si>
  <si>
    <t>2024-02-29</t>
  </si>
  <si>
    <t>2024-02-29T14:30:00+00:00</t>
  </si>
  <si>
    <t>2024-02-29T21:00:00+00:00</t>
  </si>
  <si>
    <t>2024-03-01</t>
  </si>
  <si>
    <t>2024-03-01T14:30:00+00:00</t>
  </si>
  <si>
    <t>2024-03-01T21:00:00+00:00</t>
  </si>
  <si>
    <t>2024-03-04</t>
  </si>
  <si>
    <t>2024-03-04T14:30:00+00:00</t>
  </si>
  <si>
    <t>2024-03-04T21:00:00+00:00</t>
  </si>
  <si>
    <t>2024-03-05</t>
  </si>
  <si>
    <t>2024-03-05T14:30:00+00:00</t>
  </si>
  <si>
    <t>2024-03-05T21:00:00+00:00</t>
  </si>
  <si>
    <t>2024-03-06</t>
  </si>
  <si>
    <t>2024-03-06T14:30:00+00:00</t>
  </si>
  <si>
    <t>2024-03-06T21:00:00+00:00</t>
  </si>
  <si>
    <t>2024-03-07</t>
  </si>
  <si>
    <t>2024-03-07T14:30:00+00:00</t>
  </si>
  <si>
    <t>2024-03-07T21:00:00+00:00</t>
  </si>
  <si>
    <t>2024-03-08</t>
  </si>
  <si>
    <t>2024-03-08T14:30:00+00:00</t>
  </si>
  <si>
    <t>2024-03-08T21:00:00+00:00</t>
  </si>
  <si>
    <t>2024-03-11</t>
  </si>
  <si>
    <t>2024-03-11T13:30:00+00:00</t>
  </si>
  <si>
    <t>2024-03-11T20:00:00+00:00</t>
  </si>
  <si>
    <t>2024-03-12</t>
  </si>
  <si>
    <t>2024-03-12T13:30:00+00:00</t>
  </si>
  <si>
    <t>2024-03-12T20:00:00+00:00</t>
  </si>
  <si>
    <t>2024-03-13</t>
  </si>
  <si>
    <t>2024-03-13T13:30:00+00:00</t>
  </si>
  <si>
    <t>2024-03-13T20:00:00+00:00</t>
  </si>
  <si>
    <t>2024-03-14</t>
  </si>
  <si>
    <t>2024-03-14T13:30:00+00:00</t>
  </si>
  <si>
    <t>2024-03-14T20:00:00+00:00</t>
  </si>
  <si>
    <t>2024-03-15</t>
  </si>
  <si>
    <t>2024-03-15T13:30:00+00:00</t>
  </si>
  <si>
    <t>2024-03-15T20:00:00+00:00</t>
  </si>
  <si>
    <t>2024-03-18</t>
  </si>
  <si>
    <t>2024-03-18T13:30:00+00:00</t>
  </si>
  <si>
    <t>2024-03-18T20:00:00+00:00</t>
  </si>
  <si>
    <t>2024-03-19</t>
  </si>
  <si>
    <t>2024-03-19T13:30:00+00:00</t>
  </si>
  <si>
    <t>2024-03-19T20:00:00+00:00</t>
  </si>
  <si>
    <t>2024-03-20</t>
  </si>
  <si>
    <t>2024-03-20T13:30:00+00:00</t>
  </si>
  <si>
    <t>2024-03-20T20:00:00+00:00</t>
  </si>
  <si>
    <t>2024-03-21</t>
  </si>
  <si>
    <t>2024-03-21T13:30:00+00:00</t>
  </si>
  <si>
    <t>2024-03-21T20:00:00+00:00</t>
  </si>
  <si>
    <t>2024-03-22</t>
  </si>
  <si>
    <t>2024-03-22T13:30:00+00:00</t>
  </si>
  <si>
    <t>2024-03-22T20:00:00+00:00</t>
  </si>
  <si>
    <t>2024-03-25</t>
  </si>
  <si>
    <t>2024-03-25T13:30:00+00:00</t>
  </si>
  <si>
    <t>2024-03-25T20:00:00+00:00</t>
  </si>
  <si>
    <t>2024-03-26</t>
  </si>
  <si>
    <t>2024-03-26T13:30:00+00:00</t>
  </si>
  <si>
    <t>2024-03-26T20:00:00+00:00</t>
  </si>
  <si>
    <t>2024-03-27</t>
  </si>
  <si>
    <t>2024-03-27T13:30:00+00:00</t>
  </si>
  <si>
    <t>2024-03-27T20:00:00+00:00</t>
  </si>
  <si>
    <t>2024-03-28</t>
  </si>
  <si>
    <t>2024-03-28T13:30:00+00:00</t>
  </si>
  <si>
    <t>2024-03-28T20:00:00+00:00</t>
  </si>
  <si>
    <t>2024-04-01</t>
  </si>
  <si>
    <t>2024-04-01T13:30:00+00:00</t>
  </si>
  <si>
    <t>2024-04-01T20:00:00+00:00</t>
  </si>
  <si>
    <t>2024-04-02</t>
  </si>
  <si>
    <t>2024-04-02T13:30:00+00:00</t>
  </si>
  <si>
    <t>2024-04-02T20:00:00+00:00</t>
  </si>
  <si>
    <t>2024-04-03</t>
  </si>
  <si>
    <t>2024-04-03T13:30:00+00:00</t>
  </si>
  <si>
    <t>2024-04-03T20:00:00+00:00</t>
  </si>
  <si>
    <t>2024-04-04</t>
  </si>
  <si>
    <t>2024-04-04T13:30:00+00:00</t>
  </si>
  <si>
    <t>2024-04-04T20:00:00+00:00</t>
  </si>
  <si>
    <t>2024-04-05</t>
  </si>
  <si>
    <t>2024-04-05T13:30:00+00:00</t>
  </si>
  <si>
    <t>2024-04-05T20:00:00+00:00</t>
  </si>
  <si>
    <t>2024-04-08</t>
  </si>
  <si>
    <t>2024-04-08T13:30:00+00:00</t>
  </si>
  <si>
    <t>2024-04-08T20:00:00+00:00</t>
  </si>
  <si>
    <t>2024-04-09</t>
  </si>
  <si>
    <t>2024-04-09T13:30:00+00:00</t>
  </si>
  <si>
    <t>2024-04-09T20:00:00+00:00</t>
  </si>
  <si>
    <t>2024-04-10</t>
  </si>
  <si>
    <t>2024-04-10T13:30:00+00:00</t>
  </si>
  <si>
    <t>2024-04-10T20:00:00+00:00</t>
  </si>
  <si>
    <t>2024-04-11</t>
  </si>
  <si>
    <t>2024-04-11T13:30:00+00:00</t>
  </si>
  <si>
    <t>2024-04-11T20:00:00+00:00</t>
  </si>
  <si>
    <t>2024-04-12</t>
  </si>
  <si>
    <t>2024-04-12T13:30:00+00:00</t>
  </si>
  <si>
    <t>2024-04-12T20:00:00+00:00</t>
  </si>
  <si>
    <t>2024-04-15</t>
  </si>
  <si>
    <t>2024-04-15T13:30:00+00:00</t>
  </si>
  <si>
    <t>2024-04-15T20:00:00+00:00</t>
  </si>
  <si>
    <t>2024-04-16</t>
  </si>
  <si>
    <t>2024-04-16T13:30:00+00:00</t>
  </si>
  <si>
    <t>2024-04-16T20:00:00+00:00</t>
  </si>
  <si>
    <t>2024-04-17</t>
  </si>
  <si>
    <t>2024-04-17T13:30:00+00:00</t>
  </si>
  <si>
    <t>2024-04-17T20:00:00+00:00</t>
  </si>
  <si>
    <t>2024-04-18</t>
  </si>
  <si>
    <t>2024-04-18T13:30:00+00:00</t>
  </si>
  <si>
    <t>2024-04-18T20:00:00+00:00</t>
  </si>
  <si>
    <t>2024-04-19</t>
  </si>
  <si>
    <t>2024-04-19T13:30:00+00:00</t>
  </si>
  <si>
    <t>2024-04-19T20:00:00+00:00</t>
  </si>
  <si>
    <t>2024-04-22</t>
  </si>
  <si>
    <t>2024-04-22T13:30:00+00:00</t>
  </si>
  <si>
    <t>2024-04-22T20:00:00+00:00</t>
  </si>
  <si>
    <t>2024-04-23</t>
  </si>
  <si>
    <t>2024-04-23T13:30:00+00:00</t>
  </si>
  <si>
    <t>2024-04-23T20:00:00+00:00</t>
  </si>
  <si>
    <t>2024-04-24</t>
  </si>
  <si>
    <t>2024-04-24T13:30:00+00:00</t>
  </si>
  <si>
    <t>2024-04-24T20:00:00+00:00</t>
  </si>
  <si>
    <t>2024-04-25</t>
  </si>
  <si>
    <t>2024-04-25T13:30:00+00:00</t>
  </si>
  <si>
    <t>2024-04-25T20:00:00+00:00</t>
  </si>
  <si>
    <t>2024-04-26</t>
  </si>
  <si>
    <t>2024-04-26T13:30:00+00:00</t>
  </si>
  <si>
    <t>2024-04-26T20:00:00+00:00</t>
  </si>
  <si>
    <t>2024-04-29</t>
  </si>
  <si>
    <t>2024-04-29T13:30:00+00:00</t>
  </si>
  <si>
    <t>2024-04-29T20:00:00+00:00</t>
  </si>
  <si>
    <t>2024-04-30</t>
  </si>
  <si>
    <t>2024-04-30T13:30:00+00:00</t>
  </si>
  <si>
    <t>2024-04-30T20:00:00+00:00</t>
  </si>
  <si>
    <t>2024-05-01</t>
  </si>
  <si>
    <t>2024-05-01T13:30:00+00:00</t>
  </si>
  <si>
    <t>2024-05-01T20:00:00+00:00</t>
  </si>
  <si>
    <t>2024-05-02</t>
  </si>
  <si>
    <t>2024-05-02T13:30:00+00:00</t>
  </si>
  <si>
    <t>2024-05-02T20:00:00+00:00</t>
  </si>
  <si>
    <t>2024-05-03</t>
  </si>
  <si>
    <t>2024-05-03T13:30:00+00:00</t>
  </si>
  <si>
    <t>2024-05-03T20:00:00+00:00</t>
  </si>
  <si>
    <t>2024-05-06</t>
  </si>
  <si>
    <t>2024-05-06T13:30:00+00:00</t>
  </si>
  <si>
    <t>2024-05-06T20:00:00+00:00</t>
  </si>
  <si>
    <t>2024-05-07</t>
  </si>
  <si>
    <t>2024-05-07T13:30:00+00:00</t>
  </si>
  <si>
    <t>2024-05-07T20:00:00+00:00</t>
  </si>
  <si>
    <t>2024-05-08</t>
  </si>
  <si>
    <t>2024-05-08T13:30:00+00:00</t>
  </si>
  <si>
    <t>2024-05-08T20:00:00+00:00</t>
  </si>
  <si>
    <t>2024-05-09</t>
  </si>
  <si>
    <t>2024-05-09T13:30:00+00:00</t>
  </si>
  <si>
    <t>2024-05-09T20:00:00+00:00</t>
  </si>
  <si>
    <t>2024-05-10</t>
  </si>
  <si>
    <t>2024-05-10T13:30:00+00:00</t>
  </si>
  <si>
    <t>2024-05-10T20:00:00+00:00</t>
  </si>
  <si>
    <t>2024-05-13</t>
  </si>
  <si>
    <t>2024-05-13T13:30:00+00:00</t>
  </si>
  <si>
    <t>2024-05-13T20:00:00+00:00</t>
  </si>
  <si>
    <t>2024-05-14</t>
  </si>
  <si>
    <t>2024-05-14T13:30:00+00:00</t>
  </si>
  <si>
    <t>2024-05-14T20:00:00+00:00</t>
  </si>
  <si>
    <t>2024-05-15</t>
  </si>
  <si>
    <t>2024-05-15T13:30:00+00:00</t>
  </si>
  <si>
    <t>2024-05-15T20:00:00+00:00</t>
  </si>
  <si>
    <t>2024-05-16</t>
  </si>
  <si>
    <t>2024-05-16T13:30:00+00:00</t>
  </si>
  <si>
    <t>2024-05-16T20:00:00+00:00</t>
  </si>
  <si>
    <t>2024-05-17</t>
  </si>
  <si>
    <t>2024-05-17T13:30:00+00:00</t>
  </si>
  <si>
    <t>2024-05-17T20:00:00+00:00</t>
  </si>
  <si>
    <t>2024-05-20</t>
  </si>
  <si>
    <t>2024-05-20T13:30:00+00:00</t>
  </si>
  <si>
    <t>2024-05-20T20:00:00+00:00</t>
  </si>
  <si>
    <t>2024-05-21</t>
  </si>
  <si>
    <t>2024-05-21T13:30:00+00:00</t>
  </si>
  <si>
    <t>2024-05-21T20:00:00+00:00</t>
  </si>
  <si>
    <t>2024-05-22</t>
  </si>
  <si>
    <t>2024-05-22T13:30:00+00:00</t>
  </si>
  <si>
    <t>2024-05-22T20:00:00+00:00</t>
  </si>
  <si>
    <t>2024-05-23</t>
  </si>
  <si>
    <t>2024-05-23T13:30:00+00:00</t>
  </si>
  <si>
    <t>2024-05-23T20:00:00+00:00</t>
  </si>
  <si>
    <t>2024-05-24</t>
  </si>
  <si>
    <t>2024-05-24T13:30:00+00:00</t>
  </si>
  <si>
    <t>2024-05-24T20:00:00+00:00</t>
  </si>
  <si>
    <t>2024-05-28</t>
  </si>
  <si>
    <t>2024-05-28T13:30:00+00:00</t>
  </si>
  <si>
    <t>2024-05-28T20:00:00+00:00</t>
  </si>
  <si>
    <t>2024-05-29</t>
  </si>
  <si>
    <t>2024-05-29T13:30:00+00:00</t>
  </si>
  <si>
    <t>2024-05-29T20:00:00+00:00</t>
  </si>
  <si>
    <t>2024-05-30</t>
  </si>
  <si>
    <t>2024-05-30T13:30:00+00:00</t>
  </si>
  <si>
    <t>2024-05-30T20:00:00+00:00</t>
  </si>
  <si>
    <t>2024-05-31</t>
  </si>
  <si>
    <t>2024-05-31T13:30:00+00:00</t>
  </si>
  <si>
    <t>2024-05-31T20:00:00+00:00</t>
  </si>
  <si>
    <t>2024-06-03</t>
  </si>
  <si>
    <t>2024-06-03T13:30:00+00:00</t>
  </si>
  <si>
    <t>2024-06-03T20:00:00+00:00</t>
  </si>
  <si>
    <t>2024-06-04</t>
  </si>
  <si>
    <t>2024-06-04T13:30:00+00:00</t>
  </si>
  <si>
    <t>2024-06-04T20:00:00+00:00</t>
  </si>
  <si>
    <t>2024-06-05</t>
  </si>
  <si>
    <t>2024-06-05T13:30:00+00:00</t>
  </si>
  <si>
    <t>2024-06-05T20:00:00+00:00</t>
  </si>
  <si>
    <t>2024-06-06</t>
  </si>
  <si>
    <t>2024-06-06T13:30:00+00:00</t>
  </si>
  <si>
    <t>2024-06-06T20:00:00+00:00</t>
  </si>
  <si>
    <t>2024-06-07</t>
  </si>
  <si>
    <t>2024-06-07T13:30:00+00:00</t>
  </si>
  <si>
    <t>2024-06-07T20:00:00+00:00</t>
  </si>
  <si>
    <t>2024-06-10</t>
  </si>
  <si>
    <t>2024-06-10T13:30:00+00:00</t>
  </si>
  <si>
    <t>2024-06-10T20:00:00+00:00</t>
  </si>
  <si>
    <t>2024-06-11</t>
  </si>
  <si>
    <t>2024-06-11T13:30:00+00:00</t>
  </si>
  <si>
    <t>2024-06-11T20:00:00+00:00</t>
  </si>
  <si>
    <t>2024-06-12</t>
  </si>
  <si>
    <t>2024-06-12T13:30:00+00:00</t>
  </si>
  <si>
    <t>2024-06-12T20:00:00+00:00</t>
  </si>
  <si>
    <t>2024-06-13</t>
  </si>
  <si>
    <t>2024-06-13T13:30:00+00:00</t>
  </si>
  <si>
    <t>2024-06-13T20:00:00+00:00</t>
  </si>
  <si>
    <t>2024-06-14</t>
  </si>
  <si>
    <t>2024-06-14T13:30:00+00:00</t>
  </si>
  <si>
    <t>2024-06-14T20:00:00+00:00</t>
  </si>
  <si>
    <t>2024-06-17</t>
  </si>
  <si>
    <t>2024-06-17T13:30:00+00:00</t>
  </si>
  <si>
    <t>2024-06-17T20:00:00+00:00</t>
  </si>
  <si>
    <t>2024-06-18</t>
  </si>
  <si>
    <t>2024-06-18T13:30:00+00:00</t>
  </si>
  <si>
    <t>2024-06-18T20:00:00+00:00</t>
  </si>
  <si>
    <t>2024-06-20</t>
  </si>
  <si>
    <t>2024-06-20T13:30:00+00:00</t>
  </si>
  <si>
    <t>2024-06-20T20:00:00+00:00</t>
  </si>
  <si>
    <t>2024-06-21</t>
  </si>
  <si>
    <t>2024-06-21T13:30:00+00:00</t>
  </si>
  <si>
    <t>2024-06-21T20:00:00+00:00</t>
  </si>
  <si>
    <t>2024-06-24</t>
  </si>
  <si>
    <t>2024-06-24T13:30:00+00:00</t>
  </si>
  <si>
    <t>2024-06-24T20:00:00+00:00</t>
  </si>
  <si>
    <t>2024-06-25</t>
  </si>
  <si>
    <t>2024-06-25T13:30:00+00:00</t>
  </si>
  <si>
    <t>2024-06-25T20:00:00+00:00</t>
  </si>
  <si>
    <t>2024-06-26</t>
  </si>
  <si>
    <t>2024-06-26T13:30:00+00:00</t>
  </si>
  <si>
    <t>2024-06-26T20:00:00+00:00</t>
  </si>
  <si>
    <t>2024-06-27</t>
  </si>
  <si>
    <t>2024-06-27T13:30:00+00:00</t>
  </si>
  <si>
    <t>2024-06-27T20:00:00+00:00</t>
  </si>
  <si>
    <t>2024-06-28</t>
  </si>
  <si>
    <t>2024-06-28T13:30:00+00:00</t>
  </si>
  <si>
    <t>2024-06-28T20:00:00+00:00</t>
  </si>
  <si>
    <t>2024-07-01</t>
  </si>
  <si>
    <t>2024-07-01T13:30:00+00:00</t>
  </si>
  <si>
    <t>2024-07-01T20:00:00+00:00</t>
  </si>
  <si>
    <t>2024-07-02</t>
  </si>
  <si>
    <t>2024-07-02T13:30:00+00:00</t>
  </si>
  <si>
    <t>2024-07-02T20:00:00+00:00</t>
  </si>
  <si>
    <t>2024-07-03</t>
  </si>
  <si>
    <t>2024-07-03T13:30:00+00:00</t>
  </si>
  <si>
    <t>2024-07-03T17:00:00+00:00</t>
  </si>
  <si>
    <t>2024-07-05</t>
  </si>
  <si>
    <t>2024-07-05T13:30:00+00:00</t>
  </si>
  <si>
    <t>2024-07-05T20:00:00+00:00</t>
  </si>
  <si>
    <t>2024-07-08</t>
  </si>
  <si>
    <t>2024-07-08T13:30:00+00:00</t>
  </si>
  <si>
    <t>2024-07-08T20:00:00+00:00</t>
  </si>
  <si>
    <t>2024-07-09</t>
  </si>
  <si>
    <t>2024-07-09T13:30:00+00:00</t>
  </si>
  <si>
    <t>2024-07-09T20:00:00+00:00</t>
  </si>
  <si>
    <t>2024-07-10</t>
  </si>
  <si>
    <t>2024-07-10T13:30:00+00:00</t>
  </si>
  <si>
    <t>2024-07-10T20:00:00+00:00</t>
  </si>
  <si>
    <t>2024-07-11</t>
  </si>
  <si>
    <t>2024-07-11T13:30:00+00:00</t>
  </si>
  <si>
    <t>2024-07-11T20:00:00+00:00</t>
  </si>
  <si>
    <t>2024-07-12</t>
  </si>
  <si>
    <t>2024-07-12T13:30:00+00:00</t>
  </si>
  <si>
    <t>2024-07-12T20:00:00+00:00</t>
  </si>
  <si>
    <t>2024-07-15</t>
  </si>
  <si>
    <t>2024-07-15T13:30:00+00:00</t>
  </si>
  <si>
    <t>2024-07-15T20:00:00+00:00</t>
  </si>
  <si>
    <t>2024-07-16</t>
  </si>
  <si>
    <t>2024-07-16T13:30:00+00:00</t>
  </si>
  <si>
    <t>2024-07-16T20:00:00+00:00</t>
  </si>
  <si>
    <t>2024-07-17</t>
  </si>
  <si>
    <t>2024-07-17T13:30:00+00:00</t>
  </si>
  <si>
    <t>2024-07-17T20:00:00+00:00</t>
  </si>
  <si>
    <t>2024-07-18</t>
  </si>
  <si>
    <t>2024-07-18T13:30:00+00:00</t>
  </si>
  <si>
    <t>2024-07-18T20:00:00+00:00</t>
  </si>
  <si>
    <t>2024-07-19</t>
  </si>
  <si>
    <t>2024-07-19T13:30:00+00:00</t>
  </si>
  <si>
    <t>2024-07-19T20:00:00+00:00</t>
  </si>
  <si>
    <t>2024-07-22</t>
  </si>
  <si>
    <t>2024-07-22T13:30:00+00:00</t>
  </si>
  <si>
    <t>2024-07-22T20:00:00+00:00</t>
  </si>
  <si>
    <t>2024-07-23</t>
  </si>
  <si>
    <t>2024-07-23T13:30:00+00:00</t>
  </si>
  <si>
    <t>2024-07-23T20:00:00+00:00</t>
  </si>
  <si>
    <t>2024-07-24</t>
  </si>
  <si>
    <t>2024-07-24T13:30:00+00:00</t>
  </si>
  <si>
    <t>2024-07-24T20:00:00+00:00</t>
  </si>
  <si>
    <t>2024-07-25</t>
  </si>
  <si>
    <t>2024-07-25T13:30:00+00:00</t>
  </si>
  <si>
    <t>2024-07-25T20:00:00+00:00</t>
  </si>
  <si>
    <t>2024-07-26</t>
  </si>
  <si>
    <t>2024-07-26T13:30:00+00:00</t>
  </si>
  <si>
    <t>2024-07-26T20:00:00+00:00</t>
  </si>
  <si>
    <t>2024-07-29</t>
  </si>
  <si>
    <t>2024-07-29T13:30:00+00:00</t>
  </si>
  <si>
    <t>2024-07-29T20:00:00+00:00</t>
  </si>
  <si>
    <t>2024-07-30</t>
  </si>
  <si>
    <t>2024-07-30T13:30:00+00:00</t>
  </si>
  <si>
    <t>2024-07-30T20:00:00+00:00</t>
  </si>
  <si>
    <t>2024-07-31</t>
  </si>
  <si>
    <t>2024-07-31T13:30:00+00:00</t>
  </si>
  <si>
    <t>2024-07-31T20:00:00+00:00</t>
  </si>
  <si>
    <t>2024-08-01</t>
  </si>
  <si>
    <t>2024-08-01T13:30:00+00:00</t>
  </si>
  <si>
    <t>2024-08-01T20:00:00+00:00</t>
  </si>
  <si>
    <t>2024-08-02</t>
  </si>
  <si>
    <t>2024-08-02T13:30:00+00:00</t>
  </si>
  <si>
    <t>2024-08-02T20:00:00+00:00</t>
  </si>
  <si>
    <t>2024-08-05</t>
  </si>
  <si>
    <t>2024-08-05T13:30:00+00:00</t>
  </si>
  <si>
    <t>2024-08-05T20:00:00+00:00</t>
  </si>
  <si>
    <t>2024-08-06</t>
  </si>
  <si>
    <t>2024-08-06T13:30:00+00:00</t>
  </si>
  <si>
    <t>2024-08-06T20:00:00+00:00</t>
  </si>
  <si>
    <t>2024-08-07</t>
  </si>
  <si>
    <t>2024-08-07T13:30:00+00:00</t>
  </si>
  <si>
    <t>2024-08-07T20:00:00+00:00</t>
  </si>
  <si>
    <t>2024-08-08</t>
  </si>
  <si>
    <t>2024-08-08T13:30:00+00:00</t>
  </si>
  <si>
    <t>2024-08-08T20:00:00+00:00</t>
  </si>
  <si>
    <t>2024-08-09</t>
  </si>
  <si>
    <t>2024-08-09T13:30:00+00:00</t>
  </si>
  <si>
    <t>2024-08-09T20:00:00+00:00</t>
  </si>
  <si>
    <t>2024-08-12</t>
  </si>
  <si>
    <t>2024-08-12T13:30:00+00:00</t>
  </si>
  <si>
    <t>2024-08-12T20:00:00+00:00</t>
  </si>
  <si>
    <t>2024-08-13</t>
  </si>
  <si>
    <t>2024-08-13T13:30:00+00:00</t>
  </si>
  <si>
    <t>2024-08-13T20:00:00+00:00</t>
  </si>
  <si>
    <t>2024-08-14</t>
  </si>
  <si>
    <t>2024-08-14T13:30:00+00:00</t>
  </si>
  <si>
    <t>2024-08-14T20:00:00+00:00</t>
  </si>
  <si>
    <t>2024-08-15</t>
  </si>
  <si>
    <t>2024-08-15T13:30:00+00:00</t>
  </si>
  <si>
    <t>2024-08-15T20:00:00+00:00</t>
  </si>
  <si>
    <t>2024-08-16</t>
  </si>
  <si>
    <t>2024-08-16T13:30:00+00:00</t>
  </si>
  <si>
    <t>2024-08-16T20:00:00+00:00</t>
  </si>
  <si>
    <t>2024-08-19</t>
  </si>
  <si>
    <t>2024-08-19T13:30:00+00:00</t>
  </si>
  <si>
    <t>2024-08-19T20:00:00+00:00</t>
  </si>
  <si>
    <t>2024-08-20</t>
  </si>
  <si>
    <t>2024-08-20T13:30:00+00:00</t>
  </si>
  <si>
    <t>2024-08-20T20:00:00+00:00</t>
  </si>
  <si>
    <t>2024-08-21</t>
  </si>
  <si>
    <t>2024-08-21T13:30:00+00:00</t>
  </si>
  <si>
    <t>2024-08-21T20:00:00+00:00</t>
  </si>
  <si>
    <t>2024-08-22</t>
  </si>
  <si>
    <t>2024-08-22T13:30:00+00:00</t>
  </si>
  <si>
    <t>2024-08-22T20:00:00+00:00</t>
  </si>
  <si>
    <t>2024-08-23</t>
  </si>
  <si>
    <t>2024-08-23T13:30:00+00:00</t>
  </si>
  <si>
    <t>2024-08-23T20:00:00+00:00</t>
  </si>
  <si>
    <t>2024-08-26</t>
  </si>
  <si>
    <t>2024-08-26T13:30:00+00:00</t>
  </si>
  <si>
    <t>2024-08-26T20:00:00+00:00</t>
  </si>
  <si>
    <t>2024-08-27</t>
  </si>
  <si>
    <t>2024-08-27T13:30:00+00:00</t>
  </si>
  <si>
    <t>2024-08-27T20:00:00+00:00</t>
  </si>
  <si>
    <t>2024-08-28</t>
  </si>
  <si>
    <t>2024-08-28T13:30:00+00:00</t>
  </si>
  <si>
    <t>2024-08-28T20:00:00+00:00</t>
  </si>
  <si>
    <t>2024-08-29</t>
  </si>
  <si>
    <t>2024-08-29T13:30:00+00:00</t>
  </si>
  <si>
    <t>2024-08-29T20:00:00+00:00</t>
  </si>
  <si>
    <t>2024-08-30</t>
  </si>
  <si>
    <t>2024-08-30T13:30:00+00:00</t>
  </si>
  <si>
    <t>2024-08-30T20:00:00+00:00</t>
  </si>
  <si>
    <t>2024-09-03</t>
  </si>
  <si>
    <t>2024-09-03T13:30:00+00:00</t>
  </si>
  <si>
    <t>2024-09-03T20:00:00+00:00</t>
  </si>
  <si>
    <t>2024-09-04</t>
  </si>
  <si>
    <t>2024-09-04T13:30:00+00:00</t>
  </si>
  <si>
    <t>2024-09-04T20:00:00+00:00</t>
  </si>
  <si>
    <t>2024-09-05</t>
  </si>
  <si>
    <t>2024-09-05T13:30:00+00:00</t>
  </si>
  <si>
    <t>2024-09-05T20:00:00+00:00</t>
  </si>
  <si>
    <t>2024-09-06</t>
  </si>
  <si>
    <t>2024-09-06T13:30:00+00:00</t>
  </si>
  <si>
    <t>2024-09-06T20:00:00+00:00</t>
  </si>
  <si>
    <t>2024-09-09</t>
  </si>
  <si>
    <t>2024-09-09T13:30:00+00:00</t>
  </si>
  <si>
    <t>2024-09-09T20:00:00+00:00</t>
  </si>
  <si>
    <t>2024-09-10</t>
  </si>
  <si>
    <t>2024-09-10T13:30:00+00:00</t>
  </si>
  <si>
    <t>2024-09-10T20:00:00+00:00</t>
  </si>
  <si>
    <t>2024-09-11</t>
  </si>
  <si>
    <t>2024-09-11T13:30:00+00:00</t>
  </si>
  <si>
    <t>2024-09-11T20:00:00+00:00</t>
  </si>
  <si>
    <t>2024-09-12</t>
  </si>
  <si>
    <t>2024-09-12T13:30:00+00:00</t>
  </si>
  <si>
    <t>2024-09-12T20:00:00+00:00</t>
  </si>
  <si>
    <t>2024-09-13</t>
  </si>
  <si>
    <t>2024-09-13T13:30:00+00:00</t>
  </si>
  <si>
    <t>2024-09-13T20:00:00+00:00</t>
  </si>
  <si>
    <t>2024-09-16</t>
  </si>
  <si>
    <t>2024-09-16T13:30:00+00:00</t>
  </si>
  <si>
    <t>2024-09-16T20:00:00+00:00</t>
  </si>
  <si>
    <t>2024-09-17</t>
  </si>
  <si>
    <t>2024-09-17T13:30:00+00:00</t>
  </si>
  <si>
    <t>2024-09-17T20:00:00+00:00</t>
  </si>
  <si>
    <t>2024-09-18</t>
  </si>
  <si>
    <t>2024-09-18T13:30:00+00:00</t>
  </si>
  <si>
    <t>2024-09-18T20:00:00+00:00</t>
  </si>
  <si>
    <t>2024-09-19</t>
  </si>
  <si>
    <t>2024-09-19T13:30:00+00:00</t>
  </si>
  <si>
    <t>2024-09-19T20:00:00+00:00</t>
  </si>
  <si>
    <t>2024-09-20</t>
  </si>
  <si>
    <t>2024-09-20T13:30:00+00:00</t>
  </si>
  <si>
    <t>2024-09-20T20:00:00+00:00</t>
  </si>
  <si>
    <t>2024-09-23</t>
  </si>
  <si>
    <t>2024-09-23T13:30:00+00:00</t>
  </si>
  <si>
    <t>2024-09-23T20:00:00+00:00</t>
  </si>
  <si>
    <t>2024-09-24</t>
  </si>
  <si>
    <t>2024-09-24T13:30:00+00:00</t>
  </si>
  <si>
    <t>2024-09-24T20:00:00+00:00</t>
  </si>
  <si>
    <t>2024-09-25</t>
  </si>
  <si>
    <t>2024-09-25T13:30:00+00:00</t>
  </si>
  <si>
    <t>2024-09-25T20:00:00+00:00</t>
  </si>
  <si>
    <t>2024-09-26</t>
  </si>
  <si>
    <t>2024-09-26T13:30:00+00:00</t>
  </si>
  <si>
    <t>2024-09-26T20:00:00+00:00</t>
  </si>
  <si>
    <t>2024-09-27</t>
  </si>
  <si>
    <t>2024-09-27T13:30:00+00:00</t>
  </si>
  <si>
    <t>2024-09-27T20:00:00+00:00</t>
  </si>
  <si>
    <t>2024-09-30</t>
  </si>
  <si>
    <t>2024-09-30T13:30:00+00:00</t>
  </si>
  <si>
    <t>2024-09-30T20:00:00+00:00</t>
  </si>
  <si>
    <t>2024-10-01</t>
  </si>
  <si>
    <t>2024-10-01T13:30:00+00:00</t>
  </si>
  <si>
    <t>2024-10-01T20:00:00+00:00</t>
  </si>
  <si>
    <t>2024-10-02</t>
  </si>
  <si>
    <t>2024-10-02T13:30:00+00:00</t>
  </si>
  <si>
    <t>2024-10-02T20:00:00+00:00</t>
  </si>
  <si>
    <t>2024-10-03</t>
  </si>
  <si>
    <t>2024-10-03T13:30:00+00:00</t>
  </si>
  <si>
    <t>2024-10-03T20:00:00+00:00</t>
  </si>
  <si>
    <t>2024-10-04</t>
  </si>
  <si>
    <t>2024-10-04T13:30:00+00:00</t>
  </si>
  <si>
    <t>2024-10-04T20:00:00+00:00</t>
  </si>
  <si>
    <t>2024-10-07</t>
  </si>
  <si>
    <t>2024-10-07T13:30:00+00:00</t>
  </si>
  <si>
    <t>2024-10-07T20:00:00+00:00</t>
  </si>
  <si>
    <t>2024-10-08</t>
  </si>
  <si>
    <t>2024-10-08T13:30:00+00:00</t>
  </si>
  <si>
    <t>2024-10-08T20:00:00+00:00</t>
  </si>
  <si>
    <t>2024-10-09</t>
  </si>
  <si>
    <t>2024-10-09T13:30:00+00:00</t>
  </si>
  <si>
    <t>2024-10-09T20:00:00+00:00</t>
  </si>
  <si>
    <t>2024-10-10</t>
  </si>
  <si>
    <t>2024-10-10T13:30:00+00:00</t>
  </si>
  <si>
    <t>2024-10-10T20:00:00+00:00</t>
  </si>
  <si>
    <t>2024-10-11</t>
  </si>
  <si>
    <t>2024-10-11T13:30:00+00:00</t>
  </si>
  <si>
    <t>2024-10-11T20:00:00+00:00</t>
  </si>
  <si>
    <t>2024-10-14</t>
  </si>
  <si>
    <t>2024-10-14T13:30:00+00:00</t>
  </si>
  <si>
    <t>2024-10-14T20:00:00+00:00</t>
  </si>
  <si>
    <t>2024-10-15</t>
  </si>
  <si>
    <t>2024-10-15T13:30:00+00:00</t>
  </si>
  <si>
    <t>2024-10-15T20:00:00+00:00</t>
  </si>
  <si>
    <t>2024-10-16</t>
  </si>
  <si>
    <t>2024-10-16T13:30:00+00:00</t>
  </si>
  <si>
    <t>2024-10-16T20:00:00+00:00</t>
  </si>
  <si>
    <t>2024-10-17</t>
  </si>
  <si>
    <t>2024-10-17T13:30:00+00:00</t>
  </si>
  <si>
    <t>2024-10-17T20:00:00+00:00</t>
  </si>
  <si>
    <t>2024-10-18</t>
  </si>
  <si>
    <t>2024-10-18T13:30:00+00:00</t>
  </si>
  <si>
    <t>2024-10-18T20:00:00+00:00</t>
  </si>
  <si>
    <t>2024-10-21</t>
  </si>
  <si>
    <t>2024-10-21T13:30:00+00:00</t>
  </si>
  <si>
    <t>2024-10-21T20:00:00+00:00</t>
  </si>
  <si>
    <t>2024-10-22</t>
  </si>
  <si>
    <t>2024-10-22T13:30:00+00:00</t>
  </si>
  <si>
    <t>2024-10-22T20:00:00+00:00</t>
  </si>
  <si>
    <t>2024-10-23</t>
  </si>
  <si>
    <t>2024-10-23T13:30:00+00:00</t>
  </si>
  <si>
    <t>2024-10-23T20:00:00+00:00</t>
  </si>
  <si>
    <t>2024-10-24</t>
  </si>
  <si>
    <t>2024-10-24T13:30:00+00:00</t>
  </si>
  <si>
    <t>2024-10-24T20:00:00+00:00</t>
  </si>
  <si>
    <t>2024-10-25</t>
  </si>
  <si>
    <t>2024-10-25T13:30:00+00:00</t>
  </si>
  <si>
    <t>2024-10-25T20:00:00+00:00</t>
  </si>
  <si>
    <t>2024-10-28</t>
  </si>
  <si>
    <t>2024-10-28T13:30:00+00:00</t>
  </si>
  <si>
    <t>2024-10-28T20:00:00+00:00</t>
  </si>
  <si>
    <t>2024-10-29</t>
  </si>
  <si>
    <t>2024-10-29T13:30:00+00:00</t>
  </si>
  <si>
    <t>2024-10-29T20:00:00+00:00</t>
  </si>
  <si>
    <t>2024-10-30</t>
  </si>
  <si>
    <t>2024-10-30T13:30:00+00:00</t>
  </si>
  <si>
    <t>2024-10-30T20:00:00+00:00</t>
  </si>
  <si>
    <t>2024-10-31</t>
  </si>
  <si>
    <t>2024-10-31T13:30:00+00:00</t>
  </si>
  <si>
    <t>2024-10-31T20:00:00+00:00</t>
  </si>
  <si>
    <t>2024-11-01</t>
  </si>
  <si>
    <t>2024-11-01T13:30:00+00:00</t>
  </si>
  <si>
    <t>2024-11-01T20:00:00+00:00</t>
  </si>
  <si>
    <t>2024-11-04</t>
  </si>
  <si>
    <t>2024-11-04T14:30:00+00:00</t>
  </si>
  <si>
    <t>2024-11-04T21:00:00+00:00</t>
  </si>
  <si>
    <t>2024-11-05</t>
  </si>
  <si>
    <t>2024-11-05T14:30:00+00:00</t>
  </si>
  <si>
    <t>2024-11-05T21:00:00+00:00</t>
  </si>
  <si>
    <t>2024-11-06</t>
  </si>
  <si>
    <t>2024-11-06T14:30:00+00:00</t>
  </si>
  <si>
    <t>2024-11-06T21:00:00+00:00</t>
  </si>
  <si>
    <t>2024-11-07</t>
  </si>
  <si>
    <t>2024-11-07T14:30:00+00:00</t>
  </si>
  <si>
    <t>2024-11-07T21:00:00+00:00</t>
  </si>
  <si>
    <t>2024-11-08</t>
  </si>
  <si>
    <t>2024-11-08T14:30:00+00:00</t>
  </si>
  <si>
    <t>2024-11-08T21:00:00+00:00</t>
  </si>
  <si>
    <t>2024-11-11</t>
  </si>
  <si>
    <t>2024-11-11T14:30:00+00:00</t>
  </si>
  <si>
    <t>2024-11-11T21:00:00+00:00</t>
  </si>
  <si>
    <t>2024-11-12</t>
  </si>
  <si>
    <t>2024-11-12T14:30:00+00:00</t>
  </si>
  <si>
    <t>2024-11-12T21:00:00+00:00</t>
  </si>
  <si>
    <t>2024-11-13</t>
  </si>
  <si>
    <t>2024-11-13T14:30:00+00:00</t>
  </si>
  <si>
    <t>2024-11-13T21:00:00+00:00</t>
  </si>
  <si>
    <t>2024-11-14</t>
  </si>
  <si>
    <t>2024-11-14T14:30:00+00:00</t>
  </si>
  <si>
    <t>2024-11-14T21:00:00+00:00</t>
  </si>
  <si>
    <t>2024-11-15</t>
  </si>
  <si>
    <t>2024-11-15T14:30:00+00:00</t>
  </si>
  <si>
    <t>2024-11-15T21:00:00+00:00</t>
  </si>
  <si>
    <t>2024-11-18</t>
  </si>
  <si>
    <t>2024-11-18T14:30:00+00:00</t>
  </si>
  <si>
    <t>2024-11-18T21:00:00+00:00</t>
  </si>
  <si>
    <t>2024-11-19</t>
  </si>
  <si>
    <t>2024-11-19T14:30:00+00:00</t>
  </si>
  <si>
    <t>2024-11-19T21:00:00+00:00</t>
  </si>
  <si>
    <t>2024-11-20</t>
  </si>
  <si>
    <t>2024-11-20T14:30:00+00:00</t>
  </si>
  <si>
    <t>2024-11-20T21:00:00+00:00</t>
  </si>
  <si>
    <t>2024-11-21</t>
  </si>
  <si>
    <t>2024-11-21T14:30:00+00:00</t>
  </si>
  <si>
    <t>2024-11-21T21:00:00+00:00</t>
  </si>
  <si>
    <t>2024-11-22</t>
  </si>
  <si>
    <t>2024-11-22T14:30:00+00:00</t>
  </si>
  <si>
    <t>2024-11-22T21:00:00+00:00</t>
  </si>
  <si>
    <t>2024-11-25</t>
  </si>
  <si>
    <t>2024-11-25T14:30:00+00:00</t>
  </si>
  <si>
    <t>2024-11-25T21:00:00+00:00</t>
  </si>
  <si>
    <t>2024-11-26</t>
  </si>
  <si>
    <t>2024-11-26T14:30:00+00:00</t>
  </si>
  <si>
    <t>2024-11-26T21:00:00+00:00</t>
  </si>
  <si>
    <t>2024-11-27</t>
  </si>
  <si>
    <t>2024-11-27T14:30:00+00:00</t>
  </si>
  <si>
    <t>2024-11-27T21:00:00+00:00</t>
  </si>
  <si>
    <t>2024-11-29</t>
  </si>
  <si>
    <t>2024-11-29T14:30:00+00:00</t>
  </si>
  <si>
    <t>2024-11-29T18:00:00+00:00</t>
  </si>
  <si>
    <t>2024-12-02</t>
  </si>
  <si>
    <t>2024-12-02T14:30:00+00:00</t>
  </si>
  <si>
    <t>2024-12-02T21:00:00+00:00</t>
  </si>
  <si>
    <t>2024-12-03</t>
  </si>
  <si>
    <t>2024-12-03T14:30:00+00:00</t>
  </si>
  <si>
    <t>2024-12-03T21:00:00+00:00</t>
  </si>
  <si>
    <t>2024-12-04</t>
  </si>
  <si>
    <t>2024-12-04T14:30:00+00:00</t>
  </si>
  <si>
    <t>2024-12-04T21:00:00+00:00</t>
  </si>
  <si>
    <t>2024-12-05</t>
  </si>
  <si>
    <t>2024-12-05T14:30:00+00:00</t>
  </si>
  <si>
    <t>2024-12-05T21:00:00+00:00</t>
  </si>
  <si>
    <t>2024-12-06</t>
  </si>
  <si>
    <t>2024-12-06T14:30:00+00:00</t>
  </si>
  <si>
    <t>2024-12-06T21:00:00+00:00</t>
  </si>
  <si>
    <t>2024-12-09</t>
  </si>
  <si>
    <t>2024-12-09T14:30:00+00:00</t>
  </si>
  <si>
    <t>2024-12-09T21:00:00+00:00</t>
  </si>
  <si>
    <t>2024-12-10</t>
  </si>
  <si>
    <t>2024-12-10T14:30:00+00:00</t>
  </si>
  <si>
    <t>2024-12-10T21:00:00+00:00</t>
  </si>
  <si>
    <t>2024-12-11</t>
  </si>
  <si>
    <t>2024-12-11T14:30:00+00:00</t>
  </si>
  <si>
    <t>2024-12-11T21:00:00+00:00</t>
  </si>
  <si>
    <t>2024-12-12</t>
  </si>
  <si>
    <t>2024-12-12T14:30:00+00:00</t>
  </si>
  <si>
    <t>2024-12-12T21:00:00+00:00</t>
  </si>
  <si>
    <t>2024-12-13</t>
  </si>
  <si>
    <t>2024-12-13T14:30:00+00:00</t>
  </si>
  <si>
    <t>2024-12-13T21:00:00+00:00</t>
  </si>
  <si>
    <t>2024-12-16</t>
  </si>
  <si>
    <t>2024-12-16T14:30:00+00:00</t>
  </si>
  <si>
    <t>2024-12-16T21:00:00+00:00</t>
  </si>
  <si>
    <t>2024-12-17</t>
  </si>
  <si>
    <t>2024-12-17T14:30:00+00:00</t>
  </si>
  <si>
    <t>2024-12-17T21:00:00+00:00</t>
  </si>
  <si>
    <t>2024-12-18</t>
  </si>
  <si>
    <t>2024-12-18T14:30:00+00:00</t>
  </si>
  <si>
    <t>2024-12-18T21:00:00+00:00</t>
  </si>
  <si>
    <t>2024-12-19</t>
  </si>
  <si>
    <t>2024-12-19T14:30:00+00:00</t>
  </si>
  <si>
    <t>2024-12-19T21:00:00+00:00</t>
  </si>
  <si>
    <t>2024-12-20</t>
  </si>
  <si>
    <t>2024-12-20T14:30:00+00:00</t>
  </si>
  <si>
    <t>2024-12-20T21:00:00+00:00</t>
  </si>
  <si>
    <t>2024-12-23</t>
  </si>
  <si>
    <t>2024-12-23T14:30:00+00:00</t>
  </si>
  <si>
    <t>2024-12-23T21:00:00+00:00</t>
  </si>
  <si>
    <t>2024-12-24</t>
  </si>
  <si>
    <t>2024-12-24T14:30:00+00:00</t>
  </si>
  <si>
    <t>2024-12-24T18:00:00+00:00</t>
  </si>
  <si>
    <t>2024-12-26</t>
  </si>
  <si>
    <t>2024-12-26T14:30:00+00:00</t>
  </si>
  <si>
    <t>2024-12-26T21:00:00+00:00</t>
  </si>
  <si>
    <t>2024-12-27</t>
  </si>
  <si>
    <t>2024-12-27T14:30:00+00:00</t>
  </si>
  <si>
    <t>2024-12-27T21:00:00+00:00</t>
  </si>
  <si>
    <t>2024-12-30</t>
  </si>
  <si>
    <t>2024-12-30T14:30:00+00:00</t>
  </si>
  <si>
    <t>2024-12-30T21:00:00+00:00</t>
  </si>
  <si>
    <t>2024-12-31</t>
  </si>
  <si>
    <t>2024-12-31T14:30:00+00:00</t>
  </si>
  <si>
    <t>2024-12-31T21:00:00+00:00</t>
  </si>
  <si>
    <t>2025-01-02</t>
  </si>
  <si>
    <t>2025-01-02T14:30:00+00:00</t>
  </si>
  <si>
    <t>2025-01-02T21:00:00+00:00</t>
  </si>
  <si>
    <t>2025-01-03</t>
  </si>
  <si>
    <t>2025-01-03T14:30:00+00:00</t>
  </si>
  <si>
    <t>2025-01-03T21:00:00+00:00</t>
  </si>
  <si>
    <t>2025-01-06</t>
  </si>
  <si>
    <t>2025-01-06T14:30:00+00:00</t>
  </si>
  <si>
    <t>2025-01-06T21:00:00+00:00</t>
  </si>
  <si>
    <t>2025-01-07</t>
  </si>
  <si>
    <t>2025-01-07T14:30:00+00:00</t>
  </si>
  <si>
    <t>2025-01-07T21:00:00+00:00</t>
  </si>
  <si>
    <t>2025-01-08</t>
  </si>
  <si>
    <t>2025-01-08T14:30:00+00:00</t>
  </si>
  <si>
    <t>2025-01-08T21:00:00+00:00</t>
  </si>
  <si>
    <t>2025-01-10</t>
  </si>
  <si>
    <t>2025-01-10T14:30:00+00:00</t>
  </si>
  <si>
    <t>2025-01-10T21:00:00+00:00</t>
  </si>
  <si>
    <t>2025-01-13</t>
  </si>
  <si>
    <t>2025-01-13T14:30:00+00:00</t>
  </si>
  <si>
    <t>2025-01-13T21:00:00+00:00</t>
  </si>
  <si>
    <t>2025-01-14</t>
  </si>
  <si>
    <t>2025-01-14T14:30:00+00:00</t>
  </si>
  <si>
    <t>2025-01-14T21:00:00+00:00</t>
  </si>
  <si>
    <t>2025-01-15</t>
  </si>
  <si>
    <t>2025-01-15T14:30:00+00:00</t>
  </si>
  <si>
    <t>2025-01-15T21:00:00+00:00</t>
  </si>
  <si>
    <t>2025-01-16</t>
  </si>
  <si>
    <t>2025-01-16T14:30:00+00:00</t>
  </si>
  <si>
    <t>2025-01-16T21:00:00+00:00</t>
  </si>
  <si>
    <t>2025-01-17</t>
  </si>
  <si>
    <t>2025-01-17T14:30:00+00:00</t>
  </si>
  <si>
    <t>2025-01-17T21:00:00+00:00</t>
  </si>
  <si>
    <t>2025-01-21</t>
  </si>
  <si>
    <t>2025-01-21T14:30:00+00:00</t>
  </si>
  <si>
    <t>2025-01-21T21:00:00+00:00</t>
  </si>
  <si>
    <t>2025-01-22</t>
  </si>
  <si>
    <t>2025-01-22T14:30:00+00:00</t>
  </si>
  <si>
    <t>2025-01-22T21:00:00+00:00</t>
  </si>
  <si>
    <t>2025-01-23</t>
  </si>
  <si>
    <t>2025-01-23T14:30:00+00:00</t>
  </si>
  <si>
    <t>2025-01-23T21:00:00+00:00</t>
  </si>
  <si>
    <t>2025-01-24</t>
  </si>
  <si>
    <t>2025-01-24T14:30:00+00:00</t>
  </si>
  <si>
    <t>2025-01-24T21:00:00+00:00</t>
  </si>
  <si>
    <t>2025-01-27</t>
  </si>
  <si>
    <t>2025-01-27T14:30:00+00:00</t>
  </si>
  <si>
    <t>2025-01-27T21:00:00+00:00</t>
  </si>
  <si>
    <t>2025-01-28</t>
  </si>
  <si>
    <t>2025-01-28T14:30:00+00:00</t>
  </si>
  <si>
    <t>2025-01-28T21:00:00+00:00</t>
  </si>
  <si>
    <t>2025-01-29</t>
  </si>
  <si>
    <t>2025-01-29T14:30:00+00:00</t>
  </si>
  <si>
    <t>2025-01-29T21:00:00+00:00</t>
  </si>
  <si>
    <t>2025-01-30</t>
  </si>
  <si>
    <t>2025-01-30T14:30:00+00:00</t>
  </si>
  <si>
    <t>2025-01-30T21:00:00+00:00</t>
  </si>
  <si>
    <t>2025-01-31</t>
  </si>
  <si>
    <t>2025-01-31T14:30:00+00:00</t>
  </si>
  <si>
    <t>2025-01-31T21:00:00+00:00</t>
  </si>
  <si>
    <t>2025-02-03</t>
  </si>
  <si>
    <t>2025-02-03T14:30:00+00:00</t>
  </si>
  <si>
    <t>2025-02-03T21:00:00+00:00</t>
  </si>
  <si>
    <t>2025-02-04</t>
  </si>
  <si>
    <t>2025-02-04T14:30:00+00:00</t>
  </si>
  <si>
    <t>2025-02-04T21:00:00+00:00</t>
  </si>
  <si>
    <t>2025-02-05</t>
  </si>
  <si>
    <t>2025-02-05T14:30:00+00:00</t>
  </si>
  <si>
    <t>2025-02-05T21:00:00+00:00</t>
  </si>
  <si>
    <t>2025-02-06</t>
  </si>
  <si>
    <t>2025-02-06T14:30:00+00:00</t>
  </si>
  <si>
    <t>2025-02-06T21:00:00+00:00</t>
  </si>
  <si>
    <t>2025-02-07</t>
  </si>
  <si>
    <t>2025-02-07T14:30:00+00:00</t>
  </si>
  <si>
    <t>2025-02-07T21:00:00+00:00</t>
  </si>
  <si>
    <t>2025-02-10</t>
  </si>
  <si>
    <t>2025-02-10T14:30:00+00:00</t>
  </si>
  <si>
    <t>2025-02-10T21:00:00+00:00</t>
  </si>
  <si>
    <t>2025-02-11</t>
  </si>
  <si>
    <t>2025-02-11T14:30:00+00:00</t>
  </si>
  <si>
    <t>2025-02-11T21:00:00+00:00</t>
  </si>
  <si>
    <t>2025-02-12</t>
  </si>
  <si>
    <t>2025-02-12T14:30:00+00:00</t>
  </si>
  <si>
    <t>2025-02-12T21:00:00+00:00</t>
  </si>
  <si>
    <t>2025-02-13</t>
  </si>
  <si>
    <t>2025-02-13T14:30:00+00:00</t>
  </si>
  <si>
    <t>2025-02-13T21:00:00+00:00</t>
  </si>
  <si>
    <t>2025-02-14</t>
  </si>
  <si>
    <t>2025-02-14T14:30:00+00:00</t>
  </si>
  <si>
    <t>2025-02-14T21:00:00+00:00</t>
  </si>
  <si>
    <t>2025-02-18</t>
  </si>
  <si>
    <t>2025-02-18T14:30:00+00:00</t>
  </si>
  <si>
    <t>2025-02-18T21:00:00+00:00</t>
  </si>
  <si>
    <t>2025-02-19</t>
  </si>
  <si>
    <t>2025-02-19T14:30:00+00:00</t>
  </si>
  <si>
    <t>2025-02-19T21:00:00+00:00</t>
  </si>
  <si>
    <t>2025-02-20</t>
  </si>
  <si>
    <t>2025-02-20T14:30:00+00:00</t>
  </si>
  <si>
    <t>2025-02-20T21:00:00+00:00</t>
  </si>
  <si>
    <t>2025-02-21</t>
  </si>
  <si>
    <t>2025-02-21T14:30:00+00:00</t>
  </si>
  <si>
    <t>2025-02-21T21:00:00+00:00</t>
  </si>
  <si>
    <t>2025-02-24</t>
  </si>
  <si>
    <t>2025-02-24T14:30:00+00:00</t>
  </si>
  <si>
    <t>2025-02-24T21:00:00+00:00</t>
  </si>
  <si>
    <t>2025-02-25</t>
  </si>
  <si>
    <t>2025-02-25T14:30:00+00:00</t>
  </si>
  <si>
    <t>2025-02-25T21:00:00+00:00</t>
  </si>
  <si>
    <t>2025-02-26</t>
  </si>
  <si>
    <t>2025-02-26T14:30:00+00:00</t>
  </si>
  <si>
    <t>2025-02-26T21:00:00+00:00</t>
  </si>
  <si>
    <t>2025-02-27</t>
  </si>
  <si>
    <t>2025-02-27T14:30:00+00:00</t>
  </si>
  <si>
    <t>2025-02-27T21:00:00+00:00</t>
  </si>
  <si>
    <t>2025-02-28</t>
  </si>
  <si>
    <t>2025-02-28T14:30:00+00:00</t>
  </si>
  <si>
    <t>2025-02-28T21:00:00+00:00</t>
  </si>
  <si>
    <t>2025-03-03</t>
  </si>
  <si>
    <t>2025-03-03T14:30:00+00:00</t>
  </si>
  <si>
    <t>2025-03-03T21:00:00+00:00</t>
  </si>
  <si>
    <t>2025-03-04</t>
  </si>
  <si>
    <t>2025-03-04T14:30:00+00:00</t>
  </si>
  <si>
    <t>2025-03-04T21:00:00+00:00</t>
  </si>
  <si>
    <t>2025-03-05</t>
  </si>
  <si>
    <t>2025-03-05T14:30:00+00:00</t>
  </si>
  <si>
    <t>2025-03-05T21:00:00+00:00</t>
  </si>
  <si>
    <t>2025-03-06</t>
  </si>
  <si>
    <t>2025-03-06T14:30:00+00:00</t>
  </si>
  <si>
    <t>2025-03-06T21:00:00+00:00</t>
  </si>
  <si>
    <t>2025-03-07</t>
  </si>
  <si>
    <t>2025-03-07T14:30:00+00:00</t>
  </si>
  <si>
    <t>2025-03-07T21:00:00+00:00</t>
  </si>
  <si>
    <t>2025-03-10</t>
  </si>
  <si>
    <t>2025-03-10T13:30:00+00:00</t>
  </si>
  <si>
    <t>2025-03-10T20:00:00+00:00</t>
  </si>
  <si>
    <t>2025-03-11</t>
  </si>
  <si>
    <t>2025-03-11T13:30:00+00:00</t>
  </si>
  <si>
    <t>2025-03-11T20:00:00+00:00</t>
  </si>
  <si>
    <t>2025-03-12</t>
  </si>
  <si>
    <t>2025-03-12T13:30:00+00:00</t>
  </si>
  <si>
    <t>2025-03-12T20:00:00+00:00</t>
  </si>
  <si>
    <t>2025-03-13</t>
  </si>
  <si>
    <t>2025-03-13T13:30:00+00:00</t>
  </si>
  <si>
    <t>2025-03-13T20:00:00+00:00</t>
  </si>
  <si>
    <t>2025-03-14</t>
  </si>
  <si>
    <t>2025-03-14T13:30:00+00:00</t>
  </si>
  <si>
    <t>2025-03-14T20:00:00+00:00</t>
  </si>
  <si>
    <t>2025-03-17</t>
  </si>
  <si>
    <t>2025-03-17T13:30:00+00:00</t>
  </si>
  <si>
    <t>2025-03-17T20:00:00+00:00</t>
  </si>
  <si>
    <t>2025-03-18</t>
  </si>
  <si>
    <t>2025-03-18T13:30:00+00:00</t>
  </si>
  <si>
    <t>2025-03-18T20:00:00+00:00</t>
  </si>
  <si>
    <t>2025-03-19</t>
  </si>
  <si>
    <t>2025-03-19T13:30:00+00:00</t>
  </si>
  <si>
    <t>2025-03-19T20:00:00+00:00</t>
  </si>
  <si>
    <t>2025-03-20</t>
  </si>
  <si>
    <t>2025-03-20T13:30:00+00:00</t>
  </si>
  <si>
    <t>2025-03-20T20:00:00+00:00</t>
  </si>
  <si>
    <t>2025-03-21</t>
  </si>
  <si>
    <t>2025-03-21T13:30:00+00:00</t>
  </si>
  <si>
    <t>2025-03-21T20:00:00+00:00</t>
  </si>
  <si>
    <t>2025-03-24</t>
  </si>
  <si>
    <t>2025-03-24T13:30:00+00:00</t>
  </si>
  <si>
    <t>2025-03-24T20:00:00+00:00</t>
  </si>
  <si>
    <t>2025-03-25</t>
  </si>
  <si>
    <t>2025-03-25T13:30:00+00:00</t>
  </si>
  <si>
    <t>2025-03-25T20:00:00+00:00</t>
  </si>
  <si>
    <t>2025-03-26</t>
  </si>
  <si>
    <t>2025-03-26T13:30:00+00:00</t>
  </si>
  <si>
    <t>2025-03-26T20:00:00+00:00</t>
  </si>
  <si>
    <t>2025-03-27</t>
  </si>
  <si>
    <t>2025-03-27T13:30:00+00:00</t>
  </si>
  <si>
    <t>2025-03-27T20:00:00+00:00</t>
  </si>
  <si>
    <t>2025-03-28</t>
  </si>
  <si>
    <t>2025-03-28T13:30:00+00:00</t>
  </si>
  <si>
    <t>2025-03-28T20:00:00+00:00</t>
  </si>
  <si>
    <t>2025-03-31</t>
  </si>
  <si>
    <t>2025-03-31T13:30:00+00:00</t>
  </si>
  <si>
    <t>2025-03-31T20:00:00+00:00</t>
  </si>
  <si>
    <t>2025-04-01</t>
  </si>
  <si>
    <t>2025-04-01T13:30:00+00:00</t>
  </si>
  <si>
    <t>2025-04-01T20:00:00+00:00</t>
  </si>
  <si>
    <t>2025-04-02</t>
  </si>
  <si>
    <t>2025-04-02T13:30:00+00:00</t>
  </si>
  <si>
    <t>2025-04-02T20:00:00+00:00</t>
  </si>
  <si>
    <t>2025-04-03</t>
  </si>
  <si>
    <t>2025-04-03T13:30:00+00:00</t>
  </si>
  <si>
    <t>2025-04-03T20:00:00+00:00</t>
  </si>
  <si>
    <t>2025-04-04</t>
  </si>
  <si>
    <t>2025-04-04T13:30:00+00:00</t>
  </si>
  <si>
    <t>2025-04-04T20:00:00+00:00</t>
  </si>
  <si>
    <t>2025-04-07</t>
  </si>
  <si>
    <t>2025-04-07T13:30:00+00:00</t>
  </si>
  <si>
    <t>2025-04-07T20:00:00+00:00</t>
  </si>
  <si>
    <t>2025-04-08</t>
  </si>
  <si>
    <t>2025-04-08T13:30:00+00:00</t>
  </si>
  <si>
    <t>2025-04-08T20:00:00+00:00</t>
  </si>
  <si>
    <t>2025-04-09</t>
  </si>
  <si>
    <t>2025-04-09T13:30:00+00:00</t>
  </si>
  <si>
    <t>2025-04-09T20:00:00+00:00</t>
  </si>
  <si>
    <t>2025-04-10</t>
  </si>
  <si>
    <t>2025-04-10T13:30:00+00:00</t>
  </si>
  <si>
    <t>2025-04-10T20:00:00+00:00</t>
  </si>
  <si>
    <t>2025-04-11</t>
  </si>
  <si>
    <t>2025-04-11T13:30:00+00:00</t>
  </si>
  <si>
    <t>2025-04-11T20:00:00+00:00</t>
  </si>
  <si>
    <t>2025-04-14</t>
  </si>
  <si>
    <t>2025-04-14T13:30:00+00:00</t>
  </si>
  <si>
    <t>2025-04-14T20:00:00+00:00</t>
  </si>
  <si>
    <t>2025-04-15</t>
  </si>
  <si>
    <t>2025-04-15T13:30:00+00:00</t>
  </si>
  <si>
    <t>2025-04-15T20:00:00+00:00</t>
  </si>
  <si>
    <t>2025-04-16</t>
  </si>
  <si>
    <t>2025-04-16T13:30:00+00:00</t>
  </si>
  <si>
    <t>2025-04-16T20:00:00+00:00</t>
  </si>
  <si>
    <t>2025-04-17</t>
  </si>
  <si>
    <t>2025-04-17T13:30:00+00:00</t>
  </si>
  <si>
    <t>2025-04-17T20:00:00+00:00</t>
  </si>
  <si>
    <t>2025-04-21</t>
  </si>
  <si>
    <t>2025-04-21T13:30:00+00:00</t>
  </si>
  <si>
    <t>2025-04-21T20:00:00+00:00</t>
  </si>
  <si>
    <t>2025-04-22</t>
  </si>
  <si>
    <t>2025-04-22T13:30:00+00:00</t>
  </si>
  <si>
    <t>2025-04-22T20:00:00+00:00</t>
  </si>
  <si>
    <t>2025-04-23</t>
  </si>
  <si>
    <t>2025-04-23T13:30:00+00:00</t>
  </si>
  <si>
    <t>2025-04-23T20:00:00+00:00</t>
  </si>
  <si>
    <t>2025-04-24</t>
  </si>
  <si>
    <t>2025-04-24T13:30:00+00:00</t>
  </si>
  <si>
    <t>2025-04-24T20:00:00+00:00</t>
  </si>
  <si>
    <t>2025-04-25</t>
  </si>
  <si>
    <t>2025-04-25T13:30:00+00:00</t>
  </si>
  <si>
    <t>2025-04-25T20:00:00+00:00</t>
  </si>
  <si>
    <t>2025-04-28</t>
  </si>
  <si>
    <t>2025-04-28T13:30:00+00:00</t>
  </si>
  <si>
    <t>2025-04-28T20:00:00+00:00</t>
  </si>
  <si>
    <t>2025-04-29</t>
  </si>
  <si>
    <t>2025-04-29T13:30:00+00:00</t>
  </si>
  <si>
    <t>2025-04-29T20:00:00+00:00</t>
  </si>
  <si>
    <t>2025-04-30</t>
  </si>
  <si>
    <t>2025-04-30T13:30:00+00:00</t>
  </si>
  <si>
    <t>2025-04-30T20:00:00+00:00</t>
  </si>
  <si>
    <t>2025-05-01</t>
  </si>
  <si>
    <t>2025-05-01T13:30:00+00:00</t>
  </si>
  <si>
    <t>2025-05-01T20:00:00+00:00</t>
  </si>
  <si>
    <t>2025-05-02</t>
  </si>
  <si>
    <t>2025-05-02T13:30:00+00:00</t>
  </si>
  <si>
    <t>2025-05-02T20:00:00+00:00</t>
  </si>
  <si>
    <t>2025-05-05</t>
  </si>
  <si>
    <t>2025-05-05T13:30:00+00:00</t>
  </si>
  <si>
    <t>2025-05-05T20:00:00+00:00</t>
  </si>
  <si>
    <t>2025-05-06</t>
  </si>
  <si>
    <t>2025-05-06T13:30:00+00:00</t>
  </si>
  <si>
    <t>2025-05-06T20:00:00+00:00</t>
  </si>
  <si>
    <t>2025-05-07</t>
  </si>
  <si>
    <t>2025-05-07T13:30:00+00:00</t>
  </si>
  <si>
    <t>2025-05-07T20:00:00+00:00</t>
  </si>
  <si>
    <t>2025-05-08</t>
  </si>
  <si>
    <t>2025-05-08T13:30:00+00:00</t>
  </si>
  <si>
    <t>2025-05-08T20:00:00+00:00</t>
  </si>
  <si>
    <t>2025-05-09</t>
  </si>
  <si>
    <t>2025-05-09T13:30:00+00:00</t>
  </si>
  <si>
    <t>2025-05-09T20:00:00+00:00</t>
  </si>
  <si>
    <t>2025-05-12</t>
  </si>
  <si>
    <t>2025-05-12T13:30:00+00:00</t>
  </si>
  <si>
    <t>2025-05-12T20:00:00+00:00</t>
  </si>
  <si>
    <t>2025-05-13</t>
  </si>
  <si>
    <t>2025-05-13T13:30:00+00:00</t>
  </si>
  <si>
    <t>2025-05-13T20:00:00+00:00</t>
  </si>
  <si>
    <t>2025-05-14</t>
  </si>
  <si>
    <t>2025-05-14T13:30:00+00:00</t>
  </si>
  <si>
    <t>2025-05-14T20:00:00+00:00</t>
  </si>
  <si>
    <t>2025-05-15</t>
  </si>
  <si>
    <t>2025-05-15T13:30:00+00:00</t>
  </si>
  <si>
    <t>2025-05-15T20:00:00+00:00</t>
  </si>
  <si>
    <t>2025-05-16</t>
  </si>
  <si>
    <t>2025-05-16T13:30:00+00:00</t>
  </si>
  <si>
    <t>2025-05-16T20:00:00+00:00</t>
  </si>
  <si>
    <t>2025-05-19</t>
  </si>
  <si>
    <t>2025-05-19T13:30:00+00:00</t>
  </si>
  <si>
    <t>2025-05-19T20:00:00+00:00</t>
  </si>
  <si>
    <t>2025-05-20</t>
  </si>
  <si>
    <t>2025-05-20T13:30:00+00:00</t>
  </si>
  <si>
    <t>2025-05-20T20:00:00+00:00</t>
  </si>
  <si>
    <t>2025-05-21</t>
  </si>
  <si>
    <t>2025-05-21T13:30:00+00:00</t>
  </si>
  <si>
    <t>2025-05-21T20:00:00+00:00</t>
  </si>
  <si>
    <t>2025-05-22</t>
  </si>
  <si>
    <t>2025-05-22T13:30:00+00:00</t>
  </si>
  <si>
    <t>2025-05-22T20:00:00+00:00</t>
  </si>
  <si>
    <t>2025-05-23</t>
  </si>
  <si>
    <t>2025-05-23T13:30:00+00:00</t>
  </si>
  <si>
    <t>2025-05-23T20:00:00+00:00</t>
  </si>
  <si>
    <t>2025-05-27</t>
  </si>
  <si>
    <t>2025-05-27T13:30:00+00:00</t>
  </si>
  <si>
    <t>2025-05-27T20:00:00+00:00</t>
  </si>
  <si>
    <t>2025-05-28</t>
  </si>
  <si>
    <t>2025-05-28T13:30:00+00:00</t>
  </si>
  <si>
    <t>2025-05-28T20:00:00+00:00</t>
  </si>
  <si>
    <t>2025-05-29</t>
  </si>
  <si>
    <t>2025-05-29T13:30:00+00:00</t>
  </si>
  <si>
    <t>2025-05-29T20:00:00+00:00</t>
  </si>
  <si>
    <t>2025-05-30</t>
  </si>
  <si>
    <t>2025-05-30T13:30:00+00:00</t>
  </si>
  <si>
    <t>2025-05-30T20:00:00+00:00</t>
  </si>
  <si>
    <t>2025-06-02</t>
  </si>
  <si>
    <t>2025-06-02T13:30:00+00:00</t>
  </si>
  <si>
    <t>2025-06-02T20:00:00+00:00</t>
  </si>
  <si>
    <t>2025-06-03</t>
  </si>
  <si>
    <t>2025-06-03T13:30:00+00:00</t>
  </si>
  <si>
    <t>2025-06-03T20:00:00+00:00</t>
  </si>
  <si>
    <t>2025-06-04</t>
  </si>
  <si>
    <t>2025-06-04T13:30:00+00:00</t>
  </si>
  <si>
    <t>2025-06-04T20:00:00+00:00</t>
  </si>
  <si>
    <t>2025-06-05</t>
  </si>
  <si>
    <t>2025-06-05T13:30:00+00:00</t>
  </si>
  <si>
    <t>2025-06-05T20:00:00+00:00</t>
  </si>
  <si>
    <t>2025-06-06</t>
  </si>
  <si>
    <t>2025-06-06T13:30:00+00:00</t>
  </si>
  <si>
    <t>2025-06-06T20:00:00+00:00</t>
  </si>
  <si>
    <t>2025-06-09</t>
  </si>
  <si>
    <t>2025-06-09T13:30:00+00:00</t>
  </si>
  <si>
    <t>2025-06-09T20:00:00+00:00</t>
  </si>
  <si>
    <t>2025-06-10</t>
  </si>
  <si>
    <t>2025-06-10T13:30:00+00:00</t>
  </si>
  <si>
    <t>2025-06-10T20:00:00+00:00</t>
  </si>
  <si>
    <t>2025-06-11</t>
  </si>
  <si>
    <t>2025-06-11T13:30:00+00:00</t>
  </si>
  <si>
    <t>2025-06-11T20:00:00+00:00</t>
  </si>
  <si>
    <t>2025-06-12</t>
  </si>
  <si>
    <t>2025-06-12T13:30:00+00:00</t>
  </si>
  <si>
    <t>2025-06-12T20:00:00+00:00</t>
  </si>
  <si>
    <t>2025-06-13</t>
  </si>
  <si>
    <t>2025-06-13T13:30:00+00:00</t>
  </si>
  <si>
    <t>2025-06-13T20:00:00+00:00</t>
  </si>
  <si>
    <t>2025-06-16</t>
  </si>
  <si>
    <t>2025-06-16T13:30:00+00:00</t>
  </si>
  <si>
    <t>2025-06-16T20:00:00+00:00</t>
  </si>
  <si>
    <t>2025-06-17</t>
  </si>
  <si>
    <t>2025-06-17T13:30:00+00:00</t>
  </si>
  <si>
    <t>2025-06-17T20:00:00+00:00</t>
  </si>
  <si>
    <t>2025-06-18</t>
  </si>
  <si>
    <t>2025-06-18T13:30:00+00:00</t>
  </si>
  <si>
    <t>2025-06-18T20:00:00+00:00</t>
  </si>
  <si>
    <t>2025-06-20</t>
  </si>
  <si>
    <t>2025-06-20T13:30:00+00:00</t>
  </si>
  <si>
    <t>2025-06-20T20:00:00+00:00</t>
  </si>
  <si>
    <t>2025-06-23</t>
  </si>
  <si>
    <t>2025-06-23T13:30:00+00:00</t>
  </si>
  <si>
    <t>2025-06-23T20:00:00+00:00</t>
  </si>
  <si>
    <t>2025-06-24</t>
  </si>
  <si>
    <t>2025-06-24T13:30:00+00:00</t>
  </si>
  <si>
    <t>2025-06-24T20:00:00+00:00</t>
  </si>
  <si>
    <t>2025-06-25</t>
  </si>
  <si>
    <t>2025-06-25T13:30:00+00:00</t>
  </si>
  <si>
    <t>2025-06-25T20:00:00+00:00</t>
  </si>
  <si>
    <t>2025-06-26</t>
  </si>
  <si>
    <t>2025-06-26T13:30:00+00:00</t>
  </si>
  <si>
    <t>2025-06-26T20:00:00+00:00</t>
  </si>
  <si>
    <t>2025-06-27</t>
  </si>
  <si>
    <t>2025-06-27T13:30:00+00:00</t>
  </si>
  <si>
    <t>2025-06-27T20:00:00+00:00</t>
  </si>
  <si>
    <t>2025-06-30</t>
  </si>
  <si>
    <t>2025-06-30T13:30:00+00:00</t>
  </si>
  <si>
    <t>2025-06-30T20:00:00+00:00</t>
  </si>
  <si>
    <t>2025-07-01</t>
  </si>
  <si>
    <t>2025-07-01T13:30:00+00:00</t>
  </si>
  <si>
    <t>2025-07-01T20:00:00+00:00</t>
  </si>
  <si>
    <t>2025-07-02</t>
  </si>
  <si>
    <t>2025-07-02T13:30:00+00:00</t>
  </si>
  <si>
    <t>2025-07-02T20:00:00+00:00</t>
  </si>
  <si>
    <t>2025-07-03</t>
  </si>
  <si>
    <t>2025-07-03T13:30:00+00:00</t>
  </si>
  <si>
    <t>2025-07-03T17:00:00+00:00</t>
  </si>
  <si>
    <t>2025-07-07</t>
  </si>
  <si>
    <t>2025-07-07T13:30:00+00:00</t>
  </si>
  <si>
    <t>2025-07-07T20:00:00+00:00</t>
  </si>
  <si>
    <t>2025-07-08</t>
  </si>
  <si>
    <t>2025-07-08T13:30:00+00:00</t>
  </si>
  <si>
    <t>2025-07-08T20:00:00+00:00</t>
  </si>
  <si>
    <t>2025-07-09</t>
  </si>
  <si>
    <t>2025-07-09T13:30:00+00:00</t>
  </si>
  <si>
    <t>2025-07-09T20:00:00+00:00</t>
  </si>
  <si>
    <t>2025-07-10</t>
  </si>
  <si>
    <t>2025-07-10T13:30:00+00:00</t>
  </si>
  <si>
    <t>2025-07-10T20:00:00+00:00</t>
  </si>
  <si>
    <t>2025-07-11</t>
  </si>
  <si>
    <t>2025-07-11T13:30:00+00:00</t>
  </si>
  <si>
    <t>2025-07-11T20:00:00+00:00</t>
  </si>
  <si>
    <t>2025-07-14</t>
  </si>
  <si>
    <t>2025-07-14T13:30:00+00:00</t>
  </si>
  <si>
    <t>2025-07-14T20:00:00+00:00</t>
  </si>
  <si>
    <t>2025-07-15</t>
  </si>
  <si>
    <t>2025-07-15T13:30:00+00:00</t>
  </si>
  <si>
    <t>2025-07-15T20:00:00+00:00</t>
  </si>
  <si>
    <t>2025-07-16</t>
  </si>
  <si>
    <t>2025-07-16T13:30:00+00:00</t>
  </si>
  <si>
    <t>2025-07-16T20:00:00+00:00</t>
  </si>
  <si>
    <t>2025-07-17</t>
  </si>
  <si>
    <t>2025-07-17T13:30:00+00:00</t>
  </si>
  <si>
    <t>2025-07-17T20:00:00+00:00</t>
  </si>
  <si>
    <t>2025-07-18</t>
  </si>
  <si>
    <t>2025-07-18T13:30:00+00:00</t>
  </si>
  <si>
    <t>2025-07-18T20:00:00+00:00</t>
  </si>
  <si>
    <t>2025-07-21</t>
  </si>
  <si>
    <t>2025-07-21T13:30:00+00:00</t>
  </si>
  <si>
    <t>2025-07-21T20:00:00+00:00</t>
  </si>
  <si>
    <t>2025-07-22</t>
  </si>
  <si>
    <t>2025-07-22T13:30:00+00:00</t>
  </si>
  <si>
    <t>2025-07-22T20:00:00+00:00</t>
  </si>
  <si>
    <t>2025-07-23</t>
  </si>
  <si>
    <t>2025-07-23T13:30:00+00:00</t>
  </si>
  <si>
    <t>2025-07-23T20:00:00+00:00</t>
  </si>
  <si>
    <t>2025-07-24</t>
  </si>
  <si>
    <t>2025-07-24T13:30:00+00:00</t>
  </si>
  <si>
    <t>2025-07-24T20:00:00+00:00</t>
  </si>
  <si>
    <t>2025-07-25</t>
  </si>
  <si>
    <t>2025-07-25T13:30:00+00:00</t>
  </si>
  <si>
    <t>2025-07-25T20:00:00+00:00</t>
  </si>
  <si>
    <t>2025-07-28</t>
  </si>
  <si>
    <t>2025-07-28T13:30:00+00:00</t>
  </si>
  <si>
    <t>2025-07-28T20:00:00+00:00</t>
  </si>
  <si>
    <t>2025-07-29</t>
  </si>
  <si>
    <t>2025-07-29T13:30:00+00:00</t>
  </si>
  <si>
    <t>2025-07-29T20:00:00+00:00</t>
  </si>
  <si>
    <t>2025-07-30</t>
  </si>
  <si>
    <t>2025-07-30T13:30:00+00:00</t>
  </si>
  <si>
    <t>2025-07-30T20:00:00+00:00</t>
  </si>
  <si>
    <t>2025-07-31</t>
  </si>
  <si>
    <t>2025-07-31T13:30:00+00:00</t>
  </si>
  <si>
    <t>2025-07-31T20:00:00+00:00</t>
  </si>
  <si>
    <t>2025-08-01</t>
  </si>
  <si>
    <t>2025-08-01T13:30:00+00:00</t>
  </si>
  <si>
    <t>2025-08-01T20:00:00+00:00</t>
  </si>
  <si>
    <t>2025-08-04</t>
  </si>
  <si>
    <t>2025-08-04T13:30:00+00:00</t>
  </si>
  <si>
    <t>2025-08-04T20:00:00+00:00</t>
  </si>
  <si>
    <t>2025-08-05</t>
  </si>
  <si>
    <t>2025-08-05T13:30:00+00:00</t>
  </si>
  <si>
    <t>2025-08-05T20:00:00+00:00</t>
  </si>
  <si>
    <t>2025-08-06</t>
  </si>
  <si>
    <t>2025-08-06T13:30:00+00:00</t>
  </si>
  <si>
    <t>2025-08-06T20:00:00+00:00</t>
  </si>
  <si>
    <t>2025-08-07</t>
  </si>
  <si>
    <t>2025-08-07T13:30:00+00:00</t>
  </si>
  <si>
    <t>2025-08-07T20:00:00+00:00</t>
  </si>
  <si>
    <t>2025-08-08</t>
  </si>
  <si>
    <t>2025-08-08T13:30:00+00:00</t>
  </si>
  <si>
    <t>2025-08-08T20:00:00+00:00</t>
  </si>
  <si>
    <t>2025-08-11</t>
  </si>
  <si>
    <t>2025-08-11T13:30:00+00:00</t>
  </si>
  <si>
    <t>2025-08-11T20:00:00+00:00</t>
  </si>
  <si>
    <t>2025-08-12</t>
  </si>
  <si>
    <t>2025-08-12T13:30:00+00:00</t>
  </si>
  <si>
    <t>2025-08-12T20:00:00+00:00</t>
  </si>
  <si>
    <t>2025-08-13</t>
  </si>
  <si>
    <t>2025-08-13T13:30:00+00:00</t>
  </si>
  <si>
    <t>2025-08-13T20:00:00+00:00</t>
  </si>
  <si>
    <t>2025-08-14</t>
  </si>
  <si>
    <t>2025-08-14T13:30:00+00:00</t>
  </si>
  <si>
    <t>2025-08-14T20:00:00+00:00</t>
  </si>
  <si>
    <t>2025-08-15</t>
  </si>
  <si>
    <t>2025-08-15T13:30:00+00:00</t>
  </si>
  <si>
    <t>2025-08-15T20:00:00+00:00</t>
  </si>
  <si>
    <t>2025-08-18</t>
  </si>
  <si>
    <t>2025-08-18T13:30:00+00:00</t>
  </si>
  <si>
    <t>2025-08-18T20:00:00+00:00</t>
  </si>
  <si>
    <t>2025-08-19</t>
  </si>
  <si>
    <t>2025-08-19T13:30:00+00:00</t>
  </si>
  <si>
    <t>2025-08-19T20:00:00+00:00</t>
  </si>
  <si>
    <t>2025-08-20</t>
  </si>
  <si>
    <t>2025-08-20T13:30:00+00:00</t>
  </si>
  <si>
    <t>2025-08-20T20:00:00+00:00</t>
  </si>
  <si>
    <t>2025-08-21</t>
  </si>
  <si>
    <t>2025-08-21T13:30:00+00:00</t>
  </si>
  <si>
    <t>2025-08-21T20:00:00+00:00</t>
  </si>
  <si>
    <t>2025-08-22</t>
  </si>
  <si>
    <t>2025-08-22T13:30:00+00:00</t>
  </si>
  <si>
    <t>2025-08-22T20:00:00+00:00</t>
  </si>
  <si>
    <t>2025-08-25</t>
  </si>
  <si>
    <t>2025-08-25T13:30:00+00:00</t>
  </si>
  <si>
    <t>2025-08-25T20:00:00+00:00</t>
  </si>
  <si>
    <t>2025-08-26</t>
  </si>
  <si>
    <t>2025-08-26T13:30:00+00:00</t>
  </si>
  <si>
    <t>2025-08-26T20:00:00+00:00</t>
  </si>
  <si>
    <t>2025-08-27</t>
  </si>
  <si>
    <t>2025-08-27T13:30:00+00:00</t>
  </si>
  <si>
    <t>2025-08-27T20:00:00+00:00</t>
  </si>
  <si>
    <t>2025-08-28</t>
  </si>
  <si>
    <t>2025-08-28T13:30:00+00:00</t>
  </si>
  <si>
    <t>2025-08-28T20:00:00+00:00</t>
  </si>
  <si>
    <t>2025-08-29</t>
  </si>
  <si>
    <t>2025-08-29T13:30:00+00:00</t>
  </si>
  <si>
    <t>2025-08-29T20:00:00+00:00</t>
  </si>
  <si>
    <t>2025-09-02</t>
  </si>
  <si>
    <t>2025-09-02T13:30:00+00:00</t>
  </si>
  <si>
    <t>2025-09-02T20:00:00+00:00</t>
  </si>
  <si>
    <t>2025-09-03</t>
  </si>
  <si>
    <t>2025-09-03T13:30:00+00:00</t>
  </si>
  <si>
    <t>2025-09-03T20:00:00+00:00</t>
  </si>
  <si>
    <t>2025-09-04</t>
  </si>
  <si>
    <t>2025-09-04T13:30:00+00:00</t>
  </si>
  <si>
    <t>2025-09-04T20:00:00+00:00</t>
  </si>
  <si>
    <t>2025-09-05</t>
  </si>
  <si>
    <t>2025-09-05T13:30:00+00:00</t>
  </si>
  <si>
    <t>2025-09-05T20:00:00+00:00</t>
  </si>
  <si>
    <t>2025-09-08</t>
  </si>
  <si>
    <t>2025-09-08T13:30:00+00:00</t>
  </si>
  <si>
    <t>2025-09-08T20:00:00+00:00</t>
  </si>
  <si>
    <t>2025-09-09</t>
  </si>
  <si>
    <t>2025-09-09T13:30:00+00:00</t>
  </si>
  <si>
    <t>2025-09-09T20:00:00+00:00</t>
  </si>
  <si>
    <t>2025-09-10</t>
  </si>
  <si>
    <t>2025-09-10T13:30:00+00:00</t>
  </si>
  <si>
    <t>2025-09-10T20:00:00+00:00</t>
  </si>
  <si>
    <t>2025-09-11</t>
  </si>
  <si>
    <t>2025-09-11T13:30:00+00:00</t>
  </si>
  <si>
    <t>2025-09-11T20:00:00+00:00</t>
  </si>
  <si>
    <t>2025-09-12</t>
  </si>
  <si>
    <t>2025-09-12T13:30:00+00:00</t>
  </si>
  <si>
    <t>2025-09-12T20:00:00+00:00</t>
  </si>
  <si>
    <t>2025-09-15</t>
  </si>
  <si>
    <t>2025-09-15T13:30:00+00:00</t>
  </si>
  <si>
    <t>2025-09-15T20:00:00+00:00</t>
  </si>
  <si>
    <t>2025-09-16</t>
  </si>
  <si>
    <t>2025-09-16T13:30:00+00:00</t>
  </si>
  <si>
    <t>2025-09-16T20:00:00+00:00</t>
  </si>
  <si>
    <t>2025-09-17</t>
  </si>
  <si>
    <t>2025-09-17T13:30:00+00:00</t>
  </si>
  <si>
    <t>2025-09-17T20:00:00+00:00</t>
  </si>
  <si>
    <t>2025-09-18</t>
  </si>
  <si>
    <t>2025-09-18T13:30:00+00:00</t>
  </si>
  <si>
    <t>2025-09-18T20:00:00+00:00</t>
  </si>
  <si>
    <t>2025-09-19</t>
  </si>
  <si>
    <t>2025-09-19T13:30:00+00:00</t>
  </si>
  <si>
    <t>2025-09-19T20:00:00+00:00</t>
  </si>
  <si>
    <t>2025-09-22</t>
  </si>
  <si>
    <t>2025-09-22T13:30:00+00:00</t>
  </si>
  <si>
    <t>2025-09-22T20:00:00+00:00</t>
  </si>
  <si>
    <t>2025-09-23</t>
  </si>
  <si>
    <t>2025-09-23T13:30:00+00:00</t>
  </si>
  <si>
    <t>2025-09-23T20:00:00+00:00</t>
  </si>
  <si>
    <t>2025-09-24</t>
  </si>
  <si>
    <t>2025-09-24T13:30:00+00:00</t>
  </si>
  <si>
    <t>2025-09-24T20:00:00+00:00</t>
  </si>
  <si>
    <t>2025-09-25</t>
  </si>
  <si>
    <t>2025-09-25T13:30:00+00:00</t>
  </si>
  <si>
    <t>2025-09-25T20:00:00+00:00</t>
  </si>
  <si>
    <t>2025-09-26</t>
  </si>
  <si>
    <t>2025-09-26T13:30:00+00:00</t>
  </si>
  <si>
    <t>2025-09-26T20:00:00+00:00</t>
  </si>
  <si>
    <t>2025-09-29</t>
  </si>
  <si>
    <t>2025-09-29T13:30:00+00:00</t>
  </si>
  <si>
    <t>2025-09-29T20:00:00+00:00</t>
  </si>
  <si>
    <t>2025-09-30</t>
  </si>
  <si>
    <t>2025-09-30T13:30:00+00:00</t>
  </si>
  <si>
    <t>2025-09-30T20:00:00+00:00</t>
  </si>
  <si>
    <t>2025-10-01</t>
  </si>
  <si>
    <t>2025-10-01T13:30:00+00:00</t>
  </si>
  <si>
    <t>2025-10-01T20:00:00+00:00</t>
  </si>
  <si>
    <t>2025-10-02</t>
  </si>
  <si>
    <t>2025-10-02T13:30:00+00:00</t>
  </si>
  <si>
    <t>2025-10-02T20:00:00+00:00</t>
  </si>
  <si>
    <t>2025-10-03</t>
  </si>
  <si>
    <t>2025-10-03T13:30:00+00:00</t>
  </si>
  <si>
    <t>2025-10-03T20:00:00+00:00</t>
  </si>
  <si>
    <t>2025-10-06</t>
  </si>
  <si>
    <t>2025-10-06T13:30:00+00:00</t>
  </si>
  <si>
    <t>2025-10-06T20:00:00+00:00</t>
  </si>
  <si>
    <t>2025-10-07</t>
  </si>
  <si>
    <t>2025-10-07T13:30:00+00:00</t>
  </si>
  <si>
    <t>2025-10-07T20:00:00+00:00</t>
  </si>
  <si>
    <t>2025-10-08</t>
  </si>
  <si>
    <t>2025-10-08T13:30:00+00:00</t>
  </si>
  <si>
    <t>2025-10-08T20:00:00+00:00</t>
  </si>
  <si>
    <t>2025-10-09</t>
  </si>
  <si>
    <t>2025-10-09T13:30:00+00:00</t>
  </si>
  <si>
    <t>2025-10-09T20:00:00+00:00</t>
  </si>
  <si>
    <t>2025-10-10</t>
  </si>
  <si>
    <t>2025-10-10T13:30:00+00:00</t>
  </si>
  <si>
    <t>2025-10-10T20:00:00+00:00</t>
  </si>
  <si>
    <t>2025-10-13</t>
  </si>
  <si>
    <t>2025-10-13T13:30:00+00:00</t>
  </si>
  <si>
    <t>2025-10-13T20:00:00+00:00</t>
  </si>
  <si>
    <t>2025-10-14</t>
  </si>
  <si>
    <t>2025-10-14T13:30:00+00:00</t>
  </si>
  <si>
    <t>2025-10-14T20:00:00+00:00</t>
  </si>
  <si>
    <t>2025-10-15</t>
  </si>
  <si>
    <t>2025-10-15T13:30:00+00:00</t>
  </si>
  <si>
    <t>2025-10-15T20:00:00+00:00</t>
  </si>
  <si>
    <t>2025-10-16</t>
  </si>
  <si>
    <t>2025-10-16T13:30:00+00:00</t>
  </si>
  <si>
    <t>2025-10-16T20:00:00+00:00</t>
  </si>
  <si>
    <t>2025-10-17</t>
  </si>
  <si>
    <t>2025-10-17T13:30:00+00:00</t>
  </si>
  <si>
    <t>2025-10-17T20:00:00+00:00</t>
  </si>
  <si>
    <t>2025-10-20</t>
  </si>
  <si>
    <t>2025-10-20T13:30:00+00:00</t>
  </si>
  <si>
    <t>2025-10-20T20:00:00+00:00</t>
  </si>
  <si>
    <t>2025-10-21</t>
  </si>
  <si>
    <t>2025-10-21T13:30:00+00:00</t>
  </si>
  <si>
    <t>2025-10-21T20:00:00+00:00</t>
  </si>
  <si>
    <t>2025-10-22</t>
  </si>
  <si>
    <t>2025-10-22T13:30:00+00:00</t>
  </si>
  <si>
    <t>2025-10-22T20:00:00+00:00</t>
  </si>
  <si>
    <t>2025-10-23</t>
  </si>
  <si>
    <t>2025-10-23T13:30:00+00:00</t>
  </si>
  <si>
    <t>2025-10-23T20:00:00+00:00</t>
  </si>
  <si>
    <t>2025-10-24</t>
  </si>
  <si>
    <t>2025-10-24T13:30:00+00:00</t>
  </si>
  <si>
    <t>2025-10-24T20:00:00+00:00</t>
  </si>
  <si>
    <t>2025-10-27</t>
  </si>
  <si>
    <t>2025-10-27T13:30:00+00:00</t>
  </si>
  <si>
    <t>2025-10-27T20:00:00+00:00</t>
  </si>
  <si>
    <t>2025-10-28</t>
  </si>
  <si>
    <t>2025-10-28T13:30:00+00:00</t>
  </si>
  <si>
    <t>2025-10-28T20:00:00+00:00</t>
  </si>
  <si>
    <t>2025-10-29</t>
  </si>
  <si>
    <t>2025-10-29T13:30:00+00:00</t>
  </si>
  <si>
    <t>2025-10-29T20:00:00+00:00</t>
  </si>
  <si>
    <t>2025-10-30</t>
  </si>
  <si>
    <t>2025-10-30T13:30:00+00:00</t>
  </si>
  <si>
    <t>2025-10-30T20:00:00+00:00</t>
  </si>
  <si>
    <t>2025-10-31</t>
  </si>
  <si>
    <t>2025-10-31T13:30:00+00:00</t>
  </si>
  <si>
    <t>2025-10-31T20:00:00+00:00</t>
  </si>
  <si>
    <t>2025-11-03</t>
  </si>
  <si>
    <t>2025-11-03T14:30:00+00:00</t>
  </si>
  <si>
    <t>2025-11-03T21:00:00+00:00</t>
  </si>
  <si>
    <t>2025-11-04</t>
  </si>
  <si>
    <t>2025-11-04T14:30:00+00:00</t>
  </si>
  <si>
    <t>2025-11-04T21:00:00+00:00</t>
  </si>
  <si>
    <t>2025-11-05</t>
  </si>
  <si>
    <t>2025-11-05T14:30:00+00:00</t>
  </si>
  <si>
    <t>2025-11-05T21:00:00+00:00</t>
  </si>
  <si>
    <t>2025-11-06</t>
  </si>
  <si>
    <t>2025-11-06T14:30:00+00:00</t>
  </si>
  <si>
    <t>2025-11-06T21:00:00+00:00</t>
  </si>
  <si>
    <t>2025-11-07</t>
  </si>
  <si>
    <t>2025-11-07T14:30:00+00:00</t>
  </si>
  <si>
    <t>2025-11-07T21:00:00+00:00</t>
  </si>
  <si>
    <t>2025-11-10</t>
  </si>
  <si>
    <t>2025-11-10T14:30:00+00:00</t>
  </si>
  <si>
    <t>2025-11-10T21:00:00+00:00</t>
  </si>
  <si>
    <t>2025-11-11</t>
  </si>
  <si>
    <t>2025-11-11T14:30:00+00:00</t>
  </si>
  <si>
    <t>2025-11-11T21:00:00+00:00</t>
  </si>
  <si>
    <t>2025-11-12</t>
  </si>
  <si>
    <t>2025-11-12T14:30:00+00:00</t>
  </si>
  <si>
    <t>2025-11-12T21:00:00+00:00</t>
  </si>
  <si>
    <t>2025-11-13</t>
  </si>
  <si>
    <t>2025-11-13T14:30:00+00:00</t>
  </si>
  <si>
    <t>2025-11-13T21:00:00+00:00</t>
  </si>
  <si>
    <t>2025-11-14</t>
  </si>
  <si>
    <t>2025-11-14T14:30:00+00:00</t>
  </si>
  <si>
    <t>2025-11-14T21:00:00+00:00</t>
  </si>
  <si>
    <t>2025-11-17</t>
  </si>
  <si>
    <t>2025-11-17T14:30:00+00:00</t>
  </si>
  <si>
    <t>2025-11-17T21:00:00+00:00</t>
  </si>
  <si>
    <t>2025-11-18</t>
  </si>
  <si>
    <t>2025-11-18T14:30:00+00:00</t>
  </si>
  <si>
    <t>2025-11-18T21:00:00+00:00</t>
  </si>
  <si>
    <t>2025-11-19</t>
  </si>
  <si>
    <t>2025-11-19T14:30:00+00:00</t>
  </si>
  <si>
    <t>2025-11-19T21:00:00+00:00</t>
  </si>
  <si>
    <t>2025-11-20</t>
  </si>
  <si>
    <t>2025-11-20T14:30:00+00:00</t>
  </si>
  <si>
    <t>2025-11-20T21:00:00+00:00</t>
  </si>
  <si>
    <t>2025-11-21</t>
  </si>
  <si>
    <t>2025-11-21T14:30:00+00:00</t>
  </si>
  <si>
    <t>2025-11-21T21:00:00+00:00</t>
  </si>
  <si>
    <t>2025-11-24</t>
  </si>
  <si>
    <t>2025-11-24T14:30:00+00:00</t>
  </si>
  <si>
    <t>2025-11-24T21:00:00+00:00</t>
  </si>
  <si>
    <t>2025-11-25</t>
  </si>
  <si>
    <t>2025-11-25T14:30:00+00:00</t>
  </si>
  <si>
    <t>2025-11-25T21:00:00+00:00</t>
  </si>
  <si>
    <t>2025-11-26</t>
  </si>
  <si>
    <t>2025-11-26T14:30:00+00:00</t>
  </si>
  <si>
    <t>2025-11-26T21:00:00+00:00</t>
  </si>
  <si>
    <t>2025-11-28</t>
  </si>
  <si>
    <t>2025-11-28T14:30:00+00:00</t>
  </si>
  <si>
    <t>2025-11-28T18:00:00+00:00</t>
  </si>
  <si>
    <t>2025-12-01</t>
  </si>
  <si>
    <t>2025-12-01T14:30:00+00:00</t>
  </si>
  <si>
    <t>2025-12-01T21:00:00+00:00</t>
  </si>
  <si>
    <t>2025-12-02</t>
  </si>
  <si>
    <t>2025-12-02T14:30:00+00:00</t>
  </si>
  <si>
    <t>2025-12-02T21:00:00+00:00</t>
  </si>
  <si>
    <t>2025-12-03</t>
  </si>
  <si>
    <t>2025-12-03T14:30:00+00:00</t>
  </si>
  <si>
    <t>2025-12-03T21:00:00+00:00</t>
  </si>
  <si>
    <t>2025-12-04</t>
  </si>
  <si>
    <t>2025-12-04T14:30:00+00:00</t>
  </si>
  <si>
    <t>2025-12-04T21:00:00+00:00</t>
  </si>
  <si>
    <t>2025-12-05</t>
  </si>
  <si>
    <t>2025-12-05T14:30:00+00:00</t>
  </si>
  <si>
    <t>2025-12-05T21:00:00+00:00</t>
  </si>
  <si>
    <t>2025-12-08</t>
  </si>
  <si>
    <t>2025-12-08T14:30:00+00:00</t>
  </si>
  <si>
    <t>2025-12-08T21:00:00+00:00</t>
  </si>
  <si>
    <t>2025-12-09</t>
  </si>
  <si>
    <t>2025-12-09T14:30:00+00:00</t>
  </si>
  <si>
    <t>2025-12-09T21:00:00+00:00</t>
  </si>
  <si>
    <t>2025-12-10</t>
  </si>
  <si>
    <t>2025-12-10T14:30:00+00:00</t>
  </si>
  <si>
    <t>2025-12-10T21:00:00+00:00</t>
  </si>
  <si>
    <t>2025-12-11</t>
  </si>
  <si>
    <t>2025-12-11T14:30:00+00:00</t>
  </si>
  <si>
    <t>2025-12-11T21:00:00+00:00</t>
  </si>
  <si>
    <t>2025-12-12</t>
  </si>
  <si>
    <t>2025-12-12T14:30:00+00:00</t>
  </si>
  <si>
    <t>2025-12-12T21:00:00+00:00</t>
  </si>
  <si>
    <t>2025-12-15</t>
  </si>
  <si>
    <t>2025-12-15T14:30:00+00:00</t>
  </si>
  <si>
    <t>2025-12-15T21:00:00+00:00</t>
  </si>
  <si>
    <t>2025-12-16</t>
  </si>
  <si>
    <t>2025-12-16T14:30:00+00:00</t>
  </si>
  <si>
    <t>2025-12-16T21:00:00+00:00</t>
  </si>
  <si>
    <t>2025-12-17</t>
  </si>
  <si>
    <t>2025-12-17T14:30:00+00:00</t>
  </si>
  <si>
    <t>2025-12-17T21:00:00+00:00</t>
  </si>
  <si>
    <t>2025-12-18</t>
  </si>
  <si>
    <t>2025-12-18T14:30:00+00:00</t>
  </si>
  <si>
    <t>2025-12-18T21:00:00+00:00</t>
  </si>
  <si>
    <t>2025-12-19</t>
  </si>
  <si>
    <t>2025-12-19T14:30:00+00:00</t>
  </si>
  <si>
    <t>2025-12-19T21:00:00+00:00</t>
  </si>
  <si>
    <t>2025-12-22</t>
  </si>
  <si>
    <t>2025-12-22T14:30:00+00:00</t>
  </si>
  <si>
    <t>2025-12-22T21:00:00+00:00</t>
  </si>
  <si>
    <t>2025-12-23</t>
  </si>
  <si>
    <t>2025-12-23T14:30:00+00:00</t>
  </si>
  <si>
    <t>2025-12-23T21:00:00+00:00</t>
  </si>
  <si>
    <t>2025-12-24</t>
  </si>
  <si>
    <t>2025-12-24T14:30:00+00:00</t>
  </si>
  <si>
    <t>2025-12-24T18:00:00+00:00</t>
  </si>
  <si>
    <t>2025-12-26</t>
  </si>
  <si>
    <t>2025-12-26T14:30:00+00:00</t>
  </si>
  <si>
    <t>2025-12-26T21:00:00+00:00</t>
  </si>
  <si>
    <t>2025-12-29</t>
  </si>
  <si>
    <t>2025-12-29T14:30:00+00:00</t>
  </si>
  <si>
    <t>2025-12-29T21:00:00+00:00</t>
  </si>
  <si>
    <t>2025-12-30</t>
  </si>
  <si>
    <t>2025-12-30T14:30:00+00:00</t>
  </si>
  <si>
    <t>2025-12-30T21:00:00+00:00</t>
  </si>
  <si>
    <t>2025-12-31</t>
  </si>
  <si>
    <t>2025-12-31T14:30:00+00:00</t>
  </si>
  <si>
    <t>2025-12-31T21:00:00+00:00</t>
  </si>
  <si>
    <t>2026-01-02</t>
  </si>
  <si>
    <t>2026-01-02T14:30:00+00:00</t>
  </si>
  <si>
    <t>2026-01-02T21:00:00+00:00</t>
  </si>
  <si>
    <t>2026-01-05</t>
  </si>
  <si>
    <t>2026-01-05T14:30:00+00:00</t>
  </si>
  <si>
    <t>2026-01-05T21:00:00+00:00</t>
  </si>
  <si>
    <t>2026-01-06</t>
  </si>
  <si>
    <t>2026-01-06T14:30:00+00:00</t>
  </si>
  <si>
    <t>2026-01-06T21:00:00+00:00</t>
  </si>
  <si>
    <t>2026-01-07</t>
  </si>
  <si>
    <t>2026-01-07T14:30:00+00:00</t>
  </si>
  <si>
    <t>2026-01-07T21:00:00+00:00</t>
  </si>
  <si>
    <t>2026-01-08</t>
  </si>
  <si>
    <t>2026-01-08T14:30:00+00:00</t>
  </si>
  <si>
    <t>2026-01-08T21:00:00+00:00</t>
  </si>
  <si>
    <t>2026-01-09</t>
  </si>
  <si>
    <t>2026-01-09T14:30:00+00:00</t>
  </si>
  <si>
    <t>2026-01-09T21:00:00+00:00</t>
  </si>
  <si>
    <t>2026-01-12</t>
  </si>
  <si>
    <t>2026-01-12T14:30:00+00:00</t>
  </si>
  <si>
    <t>2026-01-12T21:00:00+00:00</t>
  </si>
  <si>
    <t>2026-01-13</t>
  </si>
  <si>
    <t>2026-01-13T14:30:00+00:00</t>
  </si>
  <si>
    <t>2026-01-13T21:00:00+00:00</t>
  </si>
  <si>
    <t>2026-01-14</t>
  </si>
  <si>
    <t>2026-01-14T14:30:00+00:00</t>
  </si>
  <si>
    <t>2026-01-14T21:00:00+00:00</t>
  </si>
  <si>
    <t>2026-01-15</t>
  </si>
  <si>
    <t>2026-01-15T14:30:00+00:00</t>
  </si>
  <si>
    <t>2026-01-15T21:00:00+00:00</t>
  </si>
  <si>
    <t>2026-01-16</t>
  </si>
  <si>
    <t>2026-01-16T14:30:00+00:00</t>
  </si>
  <si>
    <t>2026-01-16T21:00:00+00:00</t>
  </si>
  <si>
    <t>2026-01-20</t>
  </si>
  <si>
    <t>2026-01-20T14:30:00+00:00</t>
  </si>
  <si>
    <t>2026-01-20T21:00:00+00:00</t>
  </si>
  <si>
    <t>2026-01-21</t>
  </si>
  <si>
    <t>2026-01-21T14:30:00+00:00</t>
  </si>
  <si>
    <t>2026-01-21T21:00:00+00:00</t>
  </si>
  <si>
    <t>2026-01-22</t>
  </si>
  <si>
    <t>2026-01-22T14:30:00+00:00</t>
  </si>
  <si>
    <t>2026-01-22T21:00:00+00:00</t>
  </si>
  <si>
    <t>2026-01-23</t>
  </si>
  <si>
    <t>2026-01-23T14:30:00+00:00</t>
  </si>
  <si>
    <t>2026-01-23T21:00:00+00:00</t>
  </si>
  <si>
    <t>2026-01-26</t>
  </si>
  <si>
    <t>2026-01-26T14:30:00+00:00</t>
  </si>
  <si>
    <t>2026-01-26T21:00:00+00:00</t>
  </si>
  <si>
    <t>2026-01-27</t>
  </si>
  <si>
    <t>2026-01-27T14:30:00+00:00</t>
  </si>
  <si>
    <t>2026-01-27T21:00:00+00:00</t>
  </si>
  <si>
    <t>2026-01-28</t>
  </si>
  <si>
    <t>2026-01-28T14:30:00+00:00</t>
  </si>
  <si>
    <t>2026-01-28T21:00:00+00:00</t>
  </si>
  <si>
    <t>2026-01-29</t>
  </si>
  <si>
    <t>2026-01-29T14:30:00+00:00</t>
  </si>
  <si>
    <t>2026-01-29T21:00:00+00:00</t>
  </si>
  <si>
    <t>2026-01-30</t>
  </si>
  <si>
    <t>2026-01-30T14:30:00+00:00</t>
  </si>
  <si>
    <t>2026-01-30T21:00:00+00:00</t>
  </si>
  <si>
    <t>2026-02-02</t>
  </si>
  <si>
    <t>2026-02-02T14:30:00+00:00</t>
  </si>
  <si>
    <t>2026-02-02T21:00:00+00:00</t>
  </si>
  <si>
    <t>2026-02-03</t>
  </si>
  <si>
    <t>2026-02-03T14:30:00+00:00</t>
  </si>
  <si>
    <t>2026-02-03T21:00:00+00:00</t>
  </si>
  <si>
    <t>2026-02-04</t>
  </si>
  <si>
    <t>2026-02-04T14:30:00+00:00</t>
  </si>
  <si>
    <t>2026-02-04T21:00:00+00:00</t>
  </si>
  <si>
    <t>2026-02-05</t>
  </si>
  <si>
    <t>2026-02-05T14:30:00+00:00</t>
  </si>
  <si>
    <t>2026-02-05T21:00:00+00:00</t>
  </si>
  <si>
    <t>2026-02-06</t>
  </si>
  <si>
    <t>2026-02-06T14:30:00+00:00</t>
  </si>
  <si>
    <t>2026-02-06T21:00:00+00:00</t>
  </si>
  <si>
    <t>2026-02-09</t>
  </si>
  <si>
    <t>2026-02-09T14:30:00+00:00</t>
  </si>
  <si>
    <t>2026-02-09T21:00:00+00:00</t>
  </si>
  <si>
    <t>2026-02-10</t>
  </si>
  <si>
    <t>2026-02-10T14:30:00+00:00</t>
  </si>
  <si>
    <t>2026-02-10T21:00:00+00:00</t>
  </si>
  <si>
    <t>2026-02-11</t>
  </si>
  <si>
    <t>2026-02-11T14:30:00+00:00</t>
  </si>
  <si>
    <t>2026-02-11T21:00:00+00:00</t>
  </si>
  <si>
    <t>2026-02-12</t>
  </si>
  <si>
    <t>2026-02-12T14:30:00+00:00</t>
  </si>
  <si>
    <t>2026-02-12T21:00:00+00:00</t>
  </si>
  <si>
    <t>2026-02-13</t>
  </si>
  <si>
    <t>2026-02-13T14:30:00+00:00</t>
  </si>
  <si>
    <t>2026-02-13T21:00:00+00:00</t>
  </si>
  <si>
    <t>2026-02-17</t>
  </si>
  <si>
    <t>2026-02-17T14:30:00+00:00</t>
  </si>
  <si>
    <t>2026-02-17T21:00:00+00:00</t>
  </si>
  <si>
    <t>2026-02-18</t>
  </si>
  <si>
    <t>2026-02-18T14:30:00+00:00</t>
  </si>
  <si>
    <t>2026-02-18T21:00:00+00:00</t>
  </si>
  <si>
    <t>2026-02-19</t>
  </si>
  <si>
    <t>2026-02-19T14:30:00+00:00</t>
  </si>
  <si>
    <t>2026-02-19T21:00:00+00:00</t>
  </si>
  <si>
    <t>2026-02-20</t>
  </si>
  <si>
    <t>2026-02-20T14:30:00+00:00</t>
  </si>
  <si>
    <t>2026-02-20T21:00:00+00:00</t>
  </si>
  <si>
    <t>2026-02-23</t>
  </si>
  <si>
    <t>2026-02-23T14:30:00+00:00</t>
  </si>
  <si>
    <t>2026-02-23T21:00:00+00:00</t>
  </si>
  <si>
    <t>2026-02-24</t>
  </si>
  <si>
    <t>2026-02-24T14:30:00+00:00</t>
  </si>
  <si>
    <t>2026-02-24T21:00:00+00:00</t>
  </si>
  <si>
    <t>2026-02-25</t>
  </si>
  <si>
    <t>2026-02-25T14:30:00+00:00</t>
  </si>
  <si>
    <t>2026-02-25T21:00:00+00:00</t>
  </si>
  <si>
    <t>2026-02-26</t>
  </si>
  <si>
    <t>2026-02-26T14:30:00+00:00</t>
  </si>
  <si>
    <t>2026-02-26T21:00:00+00:00</t>
  </si>
  <si>
    <t>2026-02-27</t>
  </si>
  <si>
    <t>2026-02-27T14:30:00+00:00</t>
  </si>
  <si>
    <t>2026-02-27T21:00:00+00:00</t>
  </si>
  <si>
    <t>2026-03-02</t>
  </si>
  <si>
    <t>2026-03-02T14:30:00+00:00</t>
  </si>
  <si>
    <t>2026-03-02T21:00:00+00:00</t>
  </si>
  <si>
    <t>2026-03-03</t>
  </si>
  <si>
    <t>2026-03-03T14:30:00+00:00</t>
  </si>
  <si>
    <t>2026-03-03T21:00:00+00:00</t>
  </si>
  <si>
    <t>2026-03-04</t>
  </si>
  <si>
    <t>2026-03-04T14:30:00+00:00</t>
  </si>
  <si>
    <t>2026-03-04T21:00:00+00:00</t>
  </si>
  <si>
    <t>2026-03-05</t>
  </si>
  <si>
    <t>2026-03-05T14:30:00+00:00</t>
  </si>
  <si>
    <t>2026-03-05T21:00:00+00:00</t>
  </si>
  <si>
    <t>2026-03-06</t>
  </si>
  <si>
    <t>2026-03-06T14:30:00+00:00</t>
  </si>
  <si>
    <t>2026-03-06T21:00:00+00:00</t>
  </si>
  <si>
    <t>2026-03-09</t>
  </si>
  <si>
    <t>2026-03-09T13:30:00+00:00</t>
  </si>
  <si>
    <t>2026-03-09T20:00:00+00:00</t>
  </si>
  <si>
    <t>2026-03-10</t>
  </si>
  <si>
    <t>2026-03-10T13:30:00+00:00</t>
  </si>
  <si>
    <t>2026-03-10T20:00:00+00:00</t>
  </si>
  <si>
    <t>2026-03-11</t>
  </si>
  <si>
    <t>2026-03-11T13:30:00+00:00</t>
  </si>
  <si>
    <t>2026-03-11T20:00:00+00:00</t>
  </si>
  <si>
    <t>2026-03-12</t>
  </si>
  <si>
    <t>2026-03-12T13:30:00+00:00</t>
  </si>
  <si>
    <t>2026-03-12T20:00:00+00:00</t>
  </si>
  <si>
    <t>2026-03-13</t>
  </si>
  <si>
    <t>2026-03-13T13:30:00+00:00</t>
  </si>
  <si>
    <t>2026-03-13T20:00:00+00:00</t>
  </si>
  <si>
    <t>2026-03-16</t>
  </si>
  <si>
    <t>2026-03-16T13:30:00+00:00</t>
  </si>
  <si>
    <t>2026-03-16T20:00:00+00:00</t>
  </si>
  <si>
    <t>2026-03-17</t>
  </si>
  <si>
    <t>2026-03-17T13:30:00+00:00</t>
  </si>
  <si>
    <t>2026-03-17T20:00:00+00:00</t>
  </si>
  <si>
    <t>2026-03-18</t>
  </si>
  <si>
    <t>2026-03-18T13:30:00+00:00</t>
  </si>
  <si>
    <t>2026-03-18T20:00:00+00:00</t>
  </si>
  <si>
    <t>2026-03-19</t>
  </si>
  <si>
    <t>2026-03-19T13:30:00+00:00</t>
  </si>
  <si>
    <t>2026-03-19T20:00:00+00:00</t>
  </si>
  <si>
    <t>2026-03-20</t>
  </si>
  <si>
    <t>2026-03-20T13:30:00+00:00</t>
  </si>
  <si>
    <t>2026-03-20T20:00:00+00:00</t>
  </si>
  <si>
    <t>2026-03-23</t>
  </si>
  <si>
    <t>2026-03-23T13:30:00+00:00</t>
  </si>
  <si>
    <t>2026-03-23T20:00:00+00:00</t>
  </si>
  <si>
    <t>2026-03-24</t>
  </si>
  <si>
    <t>2026-03-24T13:30:00+00:00</t>
  </si>
  <si>
    <t>2026-03-24T20:00:00+00:00</t>
  </si>
  <si>
    <t>2026-03-25</t>
  </si>
  <si>
    <t>2026-03-25T13:30:00+00:00</t>
  </si>
  <si>
    <t>2026-03-25T20:00:00+00:00</t>
  </si>
  <si>
    <t>2026-03-26</t>
  </si>
  <si>
    <t>2026-03-26T13:30:00+00:00</t>
  </si>
  <si>
    <t>2026-03-26T20:00:00+00:00</t>
  </si>
  <si>
    <t>2026-03-27</t>
  </si>
  <si>
    <t>2026-03-27T13:30:00+00:00</t>
  </si>
  <si>
    <t>2026-03-27T20:00:00+00:00</t>
  </si>
  <si>
    <t>2026-03-30</t>
  </si>
  <si>
    <t>2026-03-30T13:30:00+00:00</t>
  </si>
  <si>
    <t>2026-03-30T20:00:00+00:00</t>
  </si>
  <si>
    <t>2026-03-31</t>
  </si>
  <si>
    <t>2026-03-31T13:30:00+00:00</t>
  </si>
  <si>
    <t>2026-03-31T20:00:00+00:00</t>
  </si>
  <si>
    <t>2026-04-01</t>
  </si>
  <si>
    <t>2026-04-01T13:30:00+00:00</t>
  </si>
  <si>
    <t>2026-04-01T20:00:00+00:00</t>
  </si>
  <si>
    <t>2026-04-02</t>
  </si>
  <si>
    <t>2026-04-02T13:30:00+00:00</t>
  </si>
  <si>
    <t>2026-04-02T20:00:00+00:00</t>
  </si>
  <si>
    <t>2026-04-06</t>
  </si>
  <si>
    <t>2026-04-06T13:30:00+00:00</t>
  </si>
  <si>
    <t>2026-04-06T20:00:00+00:00</t>
  </si>
  <si>
    <t>2026-04-07</t>
  </si>
  <si>
    <t>2026-04-07T13:30:00+00:00</t>
  </si>
  <si>
    <t>2026-04-07T20:00:00+00:00</t>
  </si>
  <si>
    <t>2026-04-08</t>
  </si>
  <si>
    <t>2026-04-08T13:30:00+00:00</t>
  </si>
  <si>
    <t>2026-04-08T20:00:00+00:00</t>
  </si>
  <si>
    <t>2026-04-09</t>
  </si>
  <si>
    <t>2026-04-09T13:30:00+00:00</t>
  </si>
  <si>
    <t>2026-04-09T20:00:00+00:00</t>
  </si>
  <si>
    <t>2026-04-10</t>
  </si>
  <si>
    <t>2026-04-10T13:30:00+00:00</t>
  </si>
  <si>
    <t>2026-04-10T20:00:00+00:00</t>
  </si>
  <si>
    <t>2026-04-13</t>
  </si>
  <si>
    <t>2026-04-13T13:30:00+00:00</t>
  </si>
  <si>
    <t>2026-04-13T20:00:00+00:00</t>
  </si>
  <si>
    <t>2026-04-14</t>
  </si>
  <si>
    <t>2026-04-14T13:30:00+00:00</t>
  </si>
  <si>
    <t>2026-04-14T20:00:00+00:00</t>
  </si>
  <si>
    <t>2026-04-15</t>
  </si>
  <si>
    <t>2026-04-15T13:30:00+00:00</t>
  </si>
  <si>
    <t>2026-04-15T20:00:00+00:00</t>
  </si>
  <si>
    <t>2026-04-16</t>
  </si>
  <si>
    <t>2026-04-16T13:30:00+00:00</t>
  </si>
  <si>
    <t>2026-04-16T20:00:00+00:00</t>
  </si>
  <si>
    <t>2026-04-17</t>
  </si>
  <si>
    <t>2026-04-17T13:30:00+00:00</t>
  </si>
  <si>
    <t>2026-04-17T20:00:00+00:00</t>
  </si>
  <si>
    <t>2026-04-20</t>
  </si>
  <si>
    <t>2026-04-20T13:30:00+00:00</t>
  </si>
  <si>
    <t>2026-04-20T20:00:00+00:00</t>
  </si>
  <si>
    <t>2026-04-21</t>
  </si>
  <si>
    <t>2026-04-21T13:30:00+00:00</t>
  </si>
  <si>
    <t>2026-04-21T20:00:00+00:00</t>
  </si>
  <si>
    <t>2026-04-22</t>
  </si>
  <si>
    <t>2026-04-22T13:30:00+00:00</t>
  </si>
  <si>
    <t>2026-04-22T20:00:00+00:00</t>
  </si>
  <si>
    <t>2026-04-23</t>
  </si>
  <si>
    <t>2026-04-23T13:30:00+00:00</t>
  </si>
  <si>
    <t>2026-04-23T20:00:00+00:00</t>
  </si>
  <si>
    <t>2026-04-24</t>
  </si>
  <si>
    <t>2026-04-24T13:30:00+00:00</t>
  </si>
  <si>
    <t>2026-04-24T20:00:00+00:00</t>
  </si>
  <si>
    <t>2026-04-27</t>
  </si>
  <si>
    <t>2026-04-27T13:30:00+00:00</t>
  </si>
  <si>
    <t>2026-04-27T20:00:00+00:00</t>
  </si>
  <si>
    <t>2026-04-28</t>
  </si>
  <si>
    <t>2026-04-28T13:30:00+00:00</t>
  </si>
  <si>
    <t>2026-04-28T20:00:00+00:00</t>
  </si>
  <si>
    <t>2026-04-29</t>
  </si>
  <si>
    <t>2026-04-29T13:30:00+00:00</t>
  </si>
  <si>
    <t>2026-04-29T20:00:00+00:00</t>
  </si>
  <si>
    <t>2026-04-30</t>
  </si>
  <si>
    <t>2026-04-30T13:30:00+00:00</t>
  </si>
  <si>
    <t>2026-04-30T20:00:00+00:00</t>
  </si>
  <si>
    <t>2026-05-01</t>
  </si>
  <si>
    <t>2026-05-01T13:30:00+00:00</t>
  </si>
  <si>
    <t>2026-05-01T20:00:00+00:00</t>
  </si>
  <si>
    <t>2026-05-04</t>
  </si>
  <si>
    <t>2026-05-04T13:30:00+00:00</t>
  </si>
  <si>
    <t>2026-05-04T20:00:00+00:00</t>
  </si>
  <si>
    <t>2026-05-05</t>
  </si>
  <si>
    <t>2026-05-05T13:30:00+00:00</t>
  </si>
  <si>
    <t>2026-05-05T20:00:00+00:00</t>
  </si>
  <si>
    <t>2026-05-06</t>
  </si>
  <si>
    <t>2026-05-06T13:30:00+00:00</t>
  </si>
  <si>
    <t>2026-05-06T20:00:00+00:00</t>
  </si>
  <si>
    <t>2026-05-07</t>
  </si>
  <si>
    <t>2026-05-07T13:30:00+00:00</t>
  </si>
  <si>
    <t>2026-05-07T20:00:00+00:00</t>
  </si>
  <si>
    <t>2026-05-08</t>
  </si>
  <si>
    <t>2026-05-08T13:30:00+00:00</t>
  </si>
  <si>
    <t>2026-05-08T20:00:00+00:00</t>
  </si>
  <si>
    <t>2026-05-11</t>
  </si>
  <si>
    <t>2026-05-11T13:30:00+00:00</t>
  </si>
  <si>
    <t>2026-05-11T20:00:00+00:00</t>
  </si>
  <si>
    <t>2026-05-12</t>
  </si>
  <si>
    <t>2026-05-12T13:30:00+00:00</t>
  </si>
  <si>
    <t>2026-05-12T20:00:00+00:00</t>
  </si>
  <si>
    <t>2026-05-13</t>
  </si>
  <si>
    <t>2026-05-13T13:30:00+00:00</t>
  </si>
  <si>
    <t>2026-05-13T20:00:00+00:00</t>
  </si>
  <si>
    <t>2026-05-14</t>
  </si>
  <si>
    <t>2026-05-14T13:30:00+00:00</t>
  </si>
  <si>
    <t>2026-05-14T20:00:00+00:00</t>
  </si>
  <si>
    <t>2026-05-15</t>
  </si>
  <si>
    <t>2026-05-15T13:30:00+00:00</t>
  </si>
  <si>
    <t>2026-05-15T20:00:00+00:00</t>
  </si>
  <si>
    <t>2026-05-18</t>
  </si>
  <si>
    <t>2026-05-18T13:30:00+00:00</t>
  </si>
  <si>
    <t>2026-05-18T20:00:00+00:00</t>
  </si>
  <si>
    <t>2026-05-19</t>
  </si>
  <si>
    <t>2026-05-19T13:30:00+00:00</t>
  </si>
  <si>
    <t>2026-05-19T20:00:00+00:00</t>
  </si>
  <si>
    <t>2026-05-20</t>
  </si>
  <si>
    <t>2026-05-20T13:30:00+00:00</t>
  </si>
  <si>
    <t>2026-05-20T20:00:00+00:00</t>
  </si>
  <si>
    <t>2026-05-21</t>
  </si>
  <si>
    <t>2026-05-21T13:30:00+00:00</t>
  </si>
  <si>
    <t>2026-05-21T20:00:00+00:00</t>
  </si>
  <si>
    <t>2026-05-22</t>
  </si>
  <si>
    <t>2026-05-22T13:30:00+00:00</t>
  </si>
  <si>
    <t>2026-05-22T20:00:00+00:00</t>
  </si>
  <si>
    <t>2026-05-26</t>
  </si>
  <si>
    <t>2026-05-26T13:30:00+00:00</t>
  </si>
  <si>
    <t>2026-05-26T20:00:00+00:00</t>
  </si>
  <si>
    <t>2026-05-27</t>
  </si>
  <si>
    <t>2026-05-27T13:30:00+00:00</t>
  </si>
  <si>
    <t>2026-05-27T20:00:00+00:00</t>
  </si>
  <si>
    <t>2026-05-28</t>
  </si>
  <si>
    <t>2026-05-28T13:30:00+00:00</t>
  </si>
  <si>
    <t>2026-05-28T20:00:00+00:00</t>
  </si>
  <si>
    <t>2026-05-29</t>
  </si>
  <si>
    <t>2026-05-29T13:30:00+00:00</t>
  </si>
  <si>
    <t>2026-05-29T20:00:00+00:00</t>
  </si>
  <si>
    <t>2026-06-01</t>
  </si>
  <si>
    <t>2026-06-01T13:30:00+00:00</t>
  </si>
  <si>
    <t>2026-06-01T20:00:00+00:00</t>
  </si>
  <si>
    <t>2026-06-02</t>
  </si>
  <si>
    <t>2026-06-02T13:30:00+00:00</t>
  </si>
  <si>
    <t>2026-06-02T20:00:00+00:00</t>
  </si>
  <si>
    <t>2026-06-03</t>
  </si>
  <si>
    <t>2026-06-03T13:30:00+00:00</t>
  </si>
  <si>
    <t>2026-06-03T20:00:00+00:00</t>
  </si>
  <si>
    <t>2026-06-04</t>
  </si>
  <si>
    <t>2026-06-04T13:30:00+00:00</t>
  </si>
  <si>
    <t>2026-06-04T20:00:00+00:00</t>
  </si>
  <si>
    <t>2026-06-05</t>
  </si>
  <si>
    <t>2026-06-05T13:30:00+00:00</t>
  </si>
  <si>
    <t>2026-06-05T20:00:00+00:00</t>
  </si>
  <si>
    <t>2026-06-08</t>
  </si>
  <si>
    <t>2026-06-08T13:30:00+00:00</t>
  </si>
  <si>
    <t>2026-06-08T20:00:00+00:00</t>
  </si>
  <si>
    <t>2026-06-09</t>
  </si>
  <si>
    <t>2026-06-09T13:30:00+00:00</t>
  </si>
  <si>
    <t>2026-06-09T20:00:00+00:00</t>
  </si>
  <si>
    <t>2026-06-10</t>
  </si>
  <si>
    <t>2026-06-10T13:30:00+00:00</t>
  </si>
  <si>
    <t>2026-06-10T20:00:00+00:00</t>
  </si>
  <si>
    <t>2026-06-11</t>
  </si>
  <si>
    <t>2026-06-11T13:30:00+00:00</t>
  </si>
  <si>
    <t>2026-06-11T20:00:00+00:00</t>
  </si>
  <si>
    <t>2026-06-12</t>
  </si>
  <si>
    <t>2026-06-12T13:30:00+00:00</t>
  </si>
  <si>
    <t>2026-06-12T20:00:00+00:00</t>
  </si>
  <si>
    <t>2026-06-15</t>
  </si>
  <si>
    <t>2026-06-15T13:30:00+00:00</t>
  </si>
  <si>
    <t>2026-06-15T20:00:00+00:00</t>
  </si>
  <si>
    <t>2026-06-16</t>
  </si>
  <si>
    <t>2026-06-16T13:30:00+00:00</t>
  </si>
  <si>
    <t>2026-06-16T20:00:00+00:00</t>
  </si>
  <si>
    <t>2026-06-17</t>
  </si>
  <si>
    <t>2026-06-17T13:30:00+00:00</t>
  </si>
  <si>
    <t>2026-06-17T20:00:00+00:00</t>
  </si>
  <si>
    <t>2026-06-18</t>
  </si>
  <si>
    <t>2026-06-18T13:30:00+00:00</t>
  </si>
  <si>
    <t>2026-06-18T20:00:00+00:00</t>
  </si>
  <si>
    <t>2026-06-22</t>
  </si>
  <si>
    <t>2026-06-22T13:30:00+00:00</t>
  </si>
  <si>
    <t>2026-06-22T20:00:00+00:00</t>
  </si>
  <si>
    <t>2026-06-23</t>
  </si>
  <si>
    <t>2026-06-23T13:30:00+00:00</t>
  </si>
  <si>
    <t>2026-06-23T20:00:00+00:00</t>
  </si>
  <si>
    <t>2026-06-24</t>
  </si>
  <si>
    <t>2026-06-24T13:30:00+00:00</t>
  </si>
  <si>
    <t>2026-06-24T20:00:00+00:00</t>
  </si>
  <si>
    <t>2026-06-25</t>
  </si>
  <si>
    <t>2026-06-25T13:30:00+00:00</t>
  </si>
  <si>
    <t>2026-06-25T20:00:00+00:00</t>
  </si>
  <si>
    <t>2026-06-26</t>
  </si>
  <si>
    <t>2026-06-26T13:30:00+00:00</t>
  </si>
  <si>
    <t>2026-06-26T20:00:00+00:00</t>
  </si>
  <si>
    <t>2026-06-29</t>
  </si>
  <si>
    <t>2026-06-29T13:30:00+00:00</t>
  </si>
  <si>
    <t>2026-06-29T20:00:00+00:00</t>
  </si>
  <si>
    <t>2026-06-30</t>
  </si>
  <si>
    <t>2026-06-30T13:30:00+00:00</t>
  </si>
  <si>
    <t>2026-06-30T20:00:00+00:00</t>
  </si>
  <si>
    <t>2026-07-01</t>
  </si>
  <si>
    <t>2026-07-01T13:30:00+00:00</t>
  </si>
  <si>
    <t>2026-07-01T20:00:00+00:00</t>
  </si>
  <si>
    <t>2026-07-02</t>
  </si>
  <si>
    <t>2026-07-02T13:30:00+00:00</t>
  </si>
  <si>
    <t>2026-07-02T20:00:00+00:00</t>
  </si>
  <si>
    <t>2026-07-06</t>
  </si>
  <si>
    <t>2026-07-06T13:30:00+00:00</t>
  </si>
  <si>
    <t>2026-07-06T20:00:00+00:00</t>
  </si>
  <si>
    <t>2026-07-07</t>
  </si>
  <si>
    <t>2026-07-07T13:30:00+00:00</t>
  </si>
  <si>
    <t>2026-07-07T20:00:00+00:00</t>
  </si>
  <si>
    <t>2026-07-08</t>
  </si>
  <si>
    <t>2026-07-08T13:30:00+00:00</t>
  </si>
  <si>
    <t>2026-07-08T20:00:00+00:00</t>
  </si>
  <si>
    <t>2026-07-09</t>
  </si>
  <si>
    <t>2026-07-09T13:30:00+00:00</t>
  </si>
  <si>
    <t>2026-07-09T20:00:00+00:00</t>
  </si>
  <si>
    <t>2026-07-10</t>
  </si>
  <si>
    <t>2026-07-10T13:30:00+00:00</t>
  </si>
  <si>
    <t>2026-07-10T20:00:00+00:00</t>
  </si>
  <si>
    <t>2026-07-13</t>
  </si>
  <si>
    <t>2026-07-13T13:30:00+00:00</t>
  </si>
  <si>
    <t>2026-07-13T20:00:00+00:00</t>
  </si>
  <si>
    <t>2026-07-14</t>
  </si>
  <si>
    <t>2026-07-14T13:30:00+00:00</t>
  </si>
  <si>
    <t>2026-07-14T20:00:00+00:00</t>
  </si>
  <si>
    <t>2026-07-15</t>
  </si>
  <si>
    <t>2026-07-15T13:30:00+00:00</t>
  </si>
  <si>
    <t>2026-07-15T20:00:00+00:00</t>
  </si>
  <si>
    <t>2026-07-16</t>
  </si>
  <si>
    <t>2026-07-16T13:30:00+00:00</t>
  </si>
  <si>
    <t>2026-07-16T20:00:00+00:00</t>
  </si>
  <si>
    <t>2026-07-17</t>
  </si>
  <si>
    <t>2026-07-17T13:30:00+00:00</t>
  </si>
  <si>
    <t>2026-07-17T20:00:00+00:00</t>
  </si>
  <si>
    <t>2026-07-20</t>
  </si>
  <si>
    <t>2026-07-20T13:30:00+00:00</t>
  </si>
  <si>
    <t>2026-07-20T20:00:00+00:00</t>
  </si>
  <si>
    <t>2026-07-21</t>
  </si>
  <si>
    <t>2026-07-21T13:30:00+00:00</t>
  </si>
  <si>
    <t>2026-07-21T20:00:00+00:00</t>
  </si>
  <si>
    <t>2026-07-22</t>
  </si>
  <si>
    <t>2026-07-22T13:30:00+00:00</t>
  </si>
  <si>
    <t>2026-07-22T20:00:00+00:00</t>
  </si>
  <si>
    <t>2026-07-23</t>
  </si>
  <si>
    <t>2026-07-23T13:30:00+00:00</t>
  </si>
  <si>
    <t>2026-07-23T20:00:00+00:00</t>
  </si>
  <si>
    <t>2026-07-24</t>
  </si>
  <si>
    <t>2026-07-24T13:30:00+00:00</t>
  </si>
  <si>
    <t>2026-07-24T20:00:00+00:00</t>
  </si>
  <si>
    <t>2026-07-27</t>
  </si>
  <si>
    <t>2026-07-27T13:30:00+00:00</t>
  </si>
  <si>
    <t>2026-07-27T20:00:00+00:00</t>
  </si>
  <si>
    <t>2026-07-28</t>
  </si>
  <si>
    <t>2026-07-28T13:30:00+00:00</t>
  </si>
  <si>
    <t>2026-07-28T20:00:00+00:00</t>
  </si>
  <si>
    <t>2026-07-29</t>
  </si>
  <si>
    <t>2026-07-29T13:30:00+00:00</t>
  </si>
  <si>
    <t>2026-07-29T20:00:00+00:00</t>
  </si>
  <si>
    <t>2026-07-30</t>
  </si>
  <si>
    <t>2026-07-30T13:30:00+00:00</t>
  </si>
  <si>
    <t>2026-07-30T20:00:00+00:00</t>
  </si>
  <si>
    <t>2026-07-31</t>
  </si>
  <si>
    <t>2026-07-31T13:30:00+00:00</t>
  </si>
  <si>
    <t>2026-07-31T20:00:00+00:00</t>
  </si>
  <si>
    <t>2026-08-03</t>
  </si>
  <si>
    <t>2026-08-03T13:30:00+00:00</t>
  </si>
  <si>
    <t>2026-08-03T20:00:00+00:00</t>
  </si>
  <si>
    <t>2026-08-04</t>
  </si>
  <si>
    <t>2026-08-04T13:30:00+00:00</t>
  </si>
  <si>
    <t>2026-08-04T20:00:00+00:00</t>
  </si>
  <si>
    <t>2026-08-05</t>
  </si>
  <si>
    <t>2026-08-05T13:30:00+00:00</t>
  </si>
  <si>
    <t>2026-08-05T20:00:00+00:00</t>
  </si>
  <si>
    <t>2026-08-06</t>
  </si>
  <si>
    <t>2026-08-06T13:30:00+00:00</t>
  </si>
  <si>
    <t>2026-08-06T20:00:00+00:00</t>
  </si>
  <si>
    <t>2026-08-07</t>
  </si>
  <si>
    <t>2026-08-07T13:30:00+00:00</t>
  </si>
  <si>
    <t>2026-08-07T20:00:00+00:00</t>
  </si>
  <si>
    <t>2026-08-10</t>
  </si>
  <si>
    <t>2026-08-10T13:30:00+00:00</t>
  </si>
  <si>
    <t>2026-08-10T20:00:00+00:00</t>
  </si>
  <si>
    <t>2026-08-11</t>
  </si>
  <si>
    <t>2026-08-11T13:30:00+00:00</t>
  </si>
  <si>
    <t>2026-08-11T20:00:00+00:00</t>
  </si>
  <si>
    <t>2026-08-12</t>
  </si>
  <si>
    <t>2026-08-12T13:30:00+00:00</t>
  </si>
  <si>
    <t>2026-08-12T20:00:00+00:00</t>
  </si>
  <si>
    <t>2026-08-13</t>
  </si>
  <si>
    <t>2026-08-13T13:30:00+00:00</t>
  </si>
  <si>
    <t>2026-08-13T20:00:00+00:00</t>
  </si>
  <si>
    <t>2026-08-14</t>
  </si>
  <si>
    <t>2026-08-14T13:30:00+00:00</t>
  </si>
  <si>
    <t>2026-08-14T20:00:00+00:00</t>
  </si>
  <si>
    <t>2026-08-17</t>
  </si>
  <si>
    <t>2026-08-17T13:30:00+00:00</t>
  </si>
  <si>
    <t>2026-08-17T20:00:00+00:00</t>
  </si>
  <si>
    <t>2026-08-18</t>
  </si>
  <si>
    <t>2026-08-18T13:30:00+00:00</t>
  </si>
  <si>
    <t>2026-08-18T20:00:00+00:00</t>
  </si>
  <si>
    <t>2026-08-19</t>
  </si>
  <si>
    <t>2026-08-19T13:30:00+00:00</t>
  </si>
  <si>
    <t>2026-08-19T20:00:00+00:00</t>
  </si>
  <si>
    <t>2026-08-20</t>
  </si>
  <si>
    <t>2026-08-20T13:30:00+00:00</t>
  </si>
  <si>
    <t>2026-08-20T20:00:00+00:00</t>
  </si>
  <si>
    <t>2026-08-21</t>
  </si>
  <si>
    <t>2026-08-21T13:30:00+00:00</t>
  </si>
  <si>
    <t>2026-08-21T20:00:00+00:00</t>
  </si>
  <si>
    <t>2026-08-24</t>
  </si>
  <si>
    <t>2026-08-24T13:30:00+00:00</t>
  </si>
  <si>
    <t>2026-08-24T20:00:00+00:00</t>
  </si>
  <si>
    <t>2026-08-25</t>
  </si>
  <si>
    <t>2026-08-25T13:30:00+00:00</t>
  </si>
  <si>
    <t>2026-08-25T20:00:00+00:00</t>
  </si>
  <si>
    <t>2026-08-26</t>
  </si>
  <si>
    <t>2026-08-26T13:30:00+00:00</t>
  </si>
  <si>
    <t>2026-08-26T20:00:00+00:00</t>
  </si>
  <si>
    <t>2026-08-27</t>
  </si>
  <si>
    <t>2026-08-27T13:30:00+00:00</t>
  </si>
  <si>
    <t>2026-08-27T20:00:00+00:00</t>
  </si>
  <si>
    <t>2026-08-28</t>
  </si>
  <si>
    <t>2026-08-28T13:30:00+00:00</t>
  </si>
  <si>
    <t>2026-08-28T20:00:00+00:00</t>
  </si>
  <si>
    <t>2026-08-31</t>
  </si>
  <si>
    <t>2026-08-31T13:30:00+00:00</t>
  </si>
  <si>
    <t>2026-08-31T20:00:00+00:00</t>
  </si>
  <si>
    <t>2026-09-01</t>
  </si>
  <si>
    <t>2026-09-01T13:30:00+00:00</t>
  </si>
  <si>
    <t>2026-09-01T20:00:00+00:00</t>
  </si>
  <si>
    <t>2026-09-02</t>
  </si>
  <si>
    <t>2026-09-02T13:30:00+00:00</t>
  </si>
  <si>
    <t>2026-09-02T20:00:00+00:00</t>
  </si>
  <si>
    <t>2026-09-03</t>
  </si>
  <si>
    <t>2026-09-03T13:30:00+00:00</t>
  </si>
  <si>
    <t>2026-09-03T20:00:00+00:00</t>
  </si>
  <si>
    <t>2026-09-04</t>
  </si>
  <si>
    <t>2026-09-04T13:30:00+00:00</t>
  </si>
  <si>
    <t>2026-09-04T20:00:00+00:00</t>
  </si>
  <si>
    <t>2026-09-08</t>
  </si>
  <si>
    <t>2026-09-08T13:30:00+00:00</t>
  </si>
  <si>
    <t>2026-09-08T20:00:00+00:00</t>
  </si>
  <si>
    <t>2026-09-09</t>
  </si>
  <si>
    <t>2026-09-09T13:30:00+00:00</t>
  </si>
  <si>
    <t>2026-09-09T20:00:00+00:00</t>
  </si>
  <si>
    <t>2026-09-10</t>
  </si>
  <si>
    <t>2026-09-10T13:30:00+00:00</t>
  </si>
  <si>
    <t>2026-09-10T20:00:00+00:00</t>
  </si>
  <si>
    <t>2026-09-11</t>
  </si>
  <si>
    <t>2026-09-11T13:30:00+00:00</t>
  </si>
  <si>
    <t>2026-09-11T20:00:00+00:00</t>
  </si>
  <si>
    <t>2026-09-14</t>
  </si>
  <si>
    <t>2026-09-14T13:30:00+00:00</t>
  </si>
  <si>
    <t>2026-09-14T20:00:00+00:00</t>
  </si>
  <si>
    <t>2026-09-15</t>
  </si>
  <si>
    <t>2026-09-15T13:30:00+00:00</t>
  </si>
  <si>
    <t>2026-09-15T20:00:00+00:00</t>
  </si>
  <si>
    <t>2026-09-16</t>
  </si>
  <si>
    <t>2026-09-16T13:30:00+00:00</t>
  </si>
  <si>
    <t>2026-09-16T20:00:00+00:00</t>
  </si>
  <si>
    <t>2026-09-17</t>
  </si>
  <si>
    <t>2026-09-17T13:30:00+00:00</t>
  </si>
  <si>
    <t>2026-09-17T20:00:00+00:00</t>
  </si>
  <si>
    <t>2026-09-18</t>
  </si>
  <si>
    <t>2026-09-18T13:30:00+00:00</t>
  </si>
  <si>
    <t>2026-09-18T20:00:00+00:00</t>
  </si>
  <si>
    <t>2026-09-21</t>
  </si>
  <si>
    <t>2026-09-21T13:30:00+00:00</t>
  </si>
  <si>
    <t>2026-09-21T20:00:00+00:00</t>
  </si>
  <si>
    <t>2026-09-22</t>
  </si>
  <si>
    <t>2026-09-22T13:30:00+00:00</t>
  </si>
  <si>
    <t>2026-09-22T20:00:00+00:00</t>
  </si>
  <si>
    <t>2026-09-23</t>
  </si>
  <si>
    <t>2026-09-23T13:30:00+00:00</t>
  </si>
  <si>
    <t>2026-09-23T20:00:00+00:00</t>
  </si>
  <si>
    <t>2026-09-24</t>
  </si>
  <si>
    <t>2026-09-24T13:30:00+00:00</t>
  </si>
  <si>
    <t>2026-09-24T20:00:00+00:00</t>
  </si>
  <si>
    <t>2026-09-25</t>
  </si>
  <si>
    <t>2026-09-25T13:30:00+00:00</t>
  </si>
  <si>
    <t>2026-09-25T20:00:00+00:00</t>
  </si>
  <si>
    <t>2026-09-28</t>
  </si>
  <si>
    <t>2026-09-28T13:30:00+00:00</t>
  </si>
  <si>
    <t>2026-09-28T20:00:00+00:00</t>
  </si>
  <si>
    <t>SPY</t>
  </si>
  <si>
    <t>prices-SPY-ba0266b147e1</t>
  </si>
  <si>
    <t>估值日期</t>
  </si>
  <si>
    <t>估值 UTC</t>
  </si>
  <si>
    <t>NVDA 实际日线</t>
  </si>
  <si>
    <t>NVDA 调仓前</t>
  </si>
  <si>
    <t>费用前资产</t>
  </si>
  <si>
    <t>再平衡</t>
  </si>
  <si>
    <t>成交额近似</t>
  </si>
  <si>
    <t>费用</t>
  </si>
  <si>
    <t>净资产</t>
  </si>
  <si>
    <t>NVDA 调仓后</t>
  </si>
  <si>
    <t>历史峰值</t>
  </si>
  <si>
    <t>回撤</t>
  </si>
  <si>
    <t>期间收益</t>
  </si>
  <si>
    <t>Python 初始校验</t>
  </si>
  <si>
    <t>初始参数差额</t>
  </si>
  <si>
    <t>月度近似期末净资产</t>
  </si>
  <si>
    <t>累计收益（含初始费用）</t>
  </si>
  <si>
    <t>最大回撤</t>
  </si>
  <si>
    <t>公式 / Python 初始差额</t>
  </si>
  <si>
    <t>初始参数差额用于核对交付时默认参数。修改参数后差额变化是预期现象。Sources 与 EventWindows 保留原始链接和对应交易窗口。</t>
  </si>
  <si>
    <t>Signal UTC</t>
  </si>
  <si>
    <t>Execution UTC</t>
  </si>
  <si>
    <t>Adjusted units</t>
  </si>
  <si>
    <t>Adjusted open</t>
  </si>
  <si>
    <t>Notional</t>
  </si>
  <si>
    <t>Cost</t>
  </si>
  <si>
    <t>Cash after</t>
  </si>
  <si>
    <t>Event ID</t>
  </si>
  <si>
    <t>事件</t>
  </si>
  <si>
    <t>来源日期</t>
  </si>
  <si>
    <t>对齐交易日</t>
  </si>
  <si>
    <t>Window</t>
  </si>
  <si>
    <t>Return</t>
  </si>
  <si>
    <t>Benchmark</t>
  </si>
  <si>
    <t>Relative</t>
  </si>
  <si>
    <t>Strength</t>
  </si>
  <si>
    <t>Confidence</t>
  </si>
  <si>
    <t>Source IDs</t>
  </si>
  <si>
    <t>说明</t>
  </si>
  <si>
    <t>Window start UTC</t>
  </si>
  <si>
    <t>Window end UTC</t>
  </si>
  <si>
    <t>ev-chatgpt-release-2022-11-30</t>
  </si>
  <si>
    <t>OpenAI 向公众发布 ChatGPT</t>
  </si>
  <si>
    <t>低</t>
  </si>
  <si>
    <t>medium</t>
  </si>
  <si>
    <t>src-0574c1fd7cebfb</t>
  </si>
  <si>
    <t>该来源为 HISTORY 网站的事后回顾条目（2025 年发布），事件日期由正文明确给出，非原始公告页。事后报道按原文支持的事件日期展示，不代表当时已公开或可交易的信号。 事后报道按原文支持的事件日期展示，不代表当时已公开或可交易的信号。 来源只有日期，盘前/盘后时间不确定；使用当日或下一交易日近似。</t>
  </si>
  <si>
    <t>ev-nvda-q1fy24-earnings-2023-05-24</t>
  </si>
  <si>
    <t>英伟达 FY2024 一季度业绩与超预期指引，盘后股价大涨 26%</t>
  </si>
  <si>
    <t>高</t>
  </si>
  <si>
    <t>high</t>
  </si>
  <si>
    <t>src-5d57f2e27d95e2, src-bb4a66fc5d1b12</t>
  </si>
  <si>
    <t>26% 涨幅为盘后（extended trading）表现，非收盘价。</t>
  </si>
  <si>
    <t>ev-blackwell-platform-2024-03-18</t>
  </si>
  <si>
    <t>英伟达在 GTC 发布 Blackwell 平台与 B200 GPU</t>
  </si>
  <si>
    <t>src-119d026375f8f1, src-2703b6b30f807b</t>
  </si>
  <si>
    <t>The Verge 报道为发布当日现场报道，含 3 月 19 日关于单卡价格 3 万至 4 万美元的更新段；英伟达官方新闻稿发布元数据为 2024-03-18。</t>
  </si>
  <si>
    <t>ev-deepseek-r1-paper-2025-01-22</t>
  </si>
  <si>
    <t>DeepSeek-R1 技术论文提交至 arXiv（v1）</t>
  </si>
  <si>
    <t>中</t>
  </si>
  <si>
    <t>src-92838b9f7ab276</t>
  </si>
  <si>
    <t>该日期为论文 v1 提交日（submission history），不等同于模型权重或 API 的对外发布日；v2 于 2026 年 1 月 4 日修订。 来源只有日期，盘前/盘后时间不确定；使用当日或下一交易日近似。 同期存在其他已收录事件，无法分离各自作用。</t>
  </si>
  <si>
    <t>ev-nvda-deepseek-selloff-2025-01-27</t>
  </si>
  <si>
    <t>DeepSeek 冲击引发英伟达股价 1 月 27 日重挫，公司回应称其为“出色的 AI 进步”</t>
  </si>
  <si>
    <t>src-af915ec3e82793</t>
  </si>
  <si>
    <t>17% 为报道所述当日跌幅，未区分盘中与收盘口径；该报道发布于美东 1 月 27 日 15:28（收盘前），并于 1 月 28 日更新。事后报道按原文支持的事件日期展示，不代表当时已公开或可交易的信号。 事后报道按原文支持的事件日期展示，不代表当时已公开或可交易的信号。 来源只有日期，盘前/盘后时间不确定；使用当日或下一交易日近似。 同期存在其他已收录事件，无法分离各自作用。</t>
  </si>
  <si>
    <t>ev-nvda-h20-policy-2025-04-09</t>
  </si>
  <si>
    <t>白宫暂缓对英伟达 H20 芯片加码出口限制（报道日）</t>
  </si>
  <si>
    <t>low</t>
  </si>
  <si>
    <t>src-b3f5e5db326593</t>
  </si>
  <si>
    <t>消息来自两名未获授权公开表态的知情人士，白宫与商务部未回应置评。NPR 正文仅给出相对时间（“last week”的海湖庄园晚宴、“as soon as this week”的实施计划），无任何句子支持政策转向发生在 2025-04-09；该日期仅为报道发布日（页面 published_at 与 URL 路径），不能证明事件发生日，故本事件日期按报道日标注、timing_basis 记为 retrospective，不用于解释当日或次日行情。 事后报道按原文支持的事件日期展示，不代表当时已公开或可交易的信号。 来源只有日期，盘前/盘后时间不确定；使用当日或下一交易日近似。</t>
  </si>
  <si>
    <t>ev-nvda-q2fy27-earnings-2026-08-26</t>
  </si>
  <si>
    <t>英伟达 FY2027 二季度业绩超预期，指引强劲并披露 AWS 200 万 GPU 协议</t>
  </si>
  <si>
    <t>src-095b03880c506c</t>
  </si>
  <si>
    <t>该页为实时博客，含盘后多个更新时段；事件日期采用页面发布元数据（美东 8 月 26 日）。 日线包含公告前交易，无法精确隔离盘中反应。</t>
  </si>
  <si>
    <t>ID</t>
  </si>
  <si>
    <t>Title</t>
  </si>
  <si>
    <t>Original URL</t>
  </si>
  <si>
    <t>Retrieved UTC</t>
  </si>
  <si>
    <t>SHA-256</t>
  </si>
  <si>
    <t>Status</t>
  </si>
  <si>
    <t>src-0b0ee9231d33b5</t>
  </si>
  <si>
    <t>GitHub - deepseek-ai/DeepSeek-R1 · GitHub</t>
  </si>
  <si>
    <t>https://github.com/deepseek-ai/DeepSeek-R1</t>
  </si>
  <si>
    <t>2026-09-29T03:38:59.859568+00:00</t>
  </si>
  <si>
    <t>d595c0ef5aa515a2614b15ceef5dac1596c7705d5069a31a61e20cdc750d22de</t>
  </si>
  <si>
    <t>retrieved</t>
  </si>
  <si>
    <t>src-35526d9a0fa829</t>
  </si>
  <si>
    <t>DeepSeek-R1 Release | DeepSeek API Docs</t>
  </si>
  <si>
    <t>https://api-docs.deepseek.com/news/news250120/</t>
  </si>
  <si>
    <t>2026-09-29T03:39:00.640761+00:00</t>
  </si>
  <si>
    <t>8de25d7cc5df634345c1090b3429b41a05eaa0add9cfa311bbd368da70b9ab1b</t>
  </si>
  <si>
    <t>src-119d026375f8f1</t>
  </si>
  <si>
    <t>Nvidia reveals Blackwell B200 GPU, the ‘world’s most powerful chip’ for AI | The Verge</t>
  </si>
  <si>
    <t>https://www.theverge.com/2024/3/18/24105157/nvidia-blackwell-gpu-b200-ai</t>
  </si>
  <si>
    <t>2026-09-29T03:39:06.673137+00:00</t>
  </si>
  <si>
    <t>175c6c781faf9ba273fc65e80019100364eab7dc52fb585335adf6f117323d02</t>
  </si>
  <si>
    <t>Nvidia calls China’s DeepSeek R1 model ‘an excellent AI advancement’</t>
  </si>
  <si>
    <t>https://www.cnbc.com/2025/01/27/nvidia-calls-chinas-deepseek-r1-model-an-excellent-ai-advancement.html</t>
  </si>
  <si>
    <t>2026-09-29T03:39:07.708017+00:00</t>
  </si>
  <si>
    <t>37c2a2efe5f53c4f8d5f8810984f105e940ad6f6b85c842b47f1c2613aa7ebee</t>
  </si>
  <si>
    <t>src-5d57f2e27d95e2</t>
  </si>
  <si>
    <t>Nvidia (NVDA) earnings report Q1 2024</t>
  </si>
  <si>
    <t>https://www.cnbc.com/2023/05/24/nvidia-nvda-earnings-report-q1-2024.html</t>
  </si>
  <si>
    <t>2026-09-29T03:39:13.295897+00:00</t>
  </si>
  <si>
    <t>b31d35ae75c828f2061e67eb2915796d1056ba435ae1b7f3fd091fa57e004a24</t>
  </si>
  <si>
    <t>Trump administration backs off Nvidia H20 chip crackdown : NPR</t>
  </si>
  <si>
    <t>https://www.npr.org/2025/04/09/nx-s1-5356480/nvidia-china-ai-h20-chips-trump</t>
  </si>
  <si>
    <t>2026-09-29T03:39:39.772518+00:00</t>
  </si>
  <si>
    <t>e4eab1251fd563185f4c8fbb70e492c13ef1f08af1e7e0958a622b569bcbf24f</t>
  </si>
  <si>
    <t>Nvidia (NVDA) Q2 2027 earnings report: Live updates</t>
  </si>
  <si>
    <t>https://www.cnbc.com/2026/08/26/nvidia-nvda-earnings-report-q2-2027-live-updates.html</t>
  </si>
  <si>
    <t>2026-09-29T03:39:43.123914+00:00</t>
  </si>
  <si>
    <t>73ccadaad6c2d8a2ea0ef8c678a4e39e2944d85e4582cc8f9cb95b0d088ee637</t>
  </si>
  <si>
    <t>src-bb4a66fc5d1b12</t>
  </si>
  <si>
    <t>NVIDIA Corporation - NVIDIA Announces Financial Results for First Quarter Fiscal 2024</t>
  </si>
  <si>
    <t>https://investor.nvidia.com/news/press-release-details/2023/NVIDIA-Announces-Financial-Results-for-First-Quarter-Fiscal-2024/default.aspx</t>
  </si>
  <si>
    <t>2026-09-29T03:39:46.872618+00:00</t>
  </si>
  <si>
    <t>4cf80fb589e6e73a4502573b9556a4ad78c150b82419b67ba53603d74a3507ca</t>
  </si>
  <si>
    <t>ChatGPT is released to the public | HISTORY</t>
  </si>
  <si>
    <t>https://www.history.com/this-day-in-history/november-30/chatgpt-released-openai</t>
  </si>
  <si>
    <t>2026-09-29T03:39:52.366702+00:00</t>
  </si>
  <si>
    <t>51c71d151be465359df223ccb0a59dfd9688087af6ddeb44262f532045a729bd</t>
  </si>
  <si>
    <t>[2501.12948] DeepSeek-R1: Incentivizing Reasoning Capability in LLMs via Reinforcement Learning</t>
  </si>
  <si>
    <t>https://arxiv.org/abs/2501.12948</t>
  </si>
  <si>
    <t>2026-09-29T06:26:09.498802+00:00</t>
  </si>
  <si>
    <t>3d23c9bbfad76a7c05fe3c62c8332e885fd46c3cc02b50b227eb362e1f1b4293</t>
  </si>
  <si>
    <t>src-2703b6b30f807b</t>
  </si>
  <si>
    <t>NVIDIA Blackwell Platform Arrives to Power a New Era of Computing | NVIDIA Newsroom</t>
  </si>
  <si>
    <t>https://nvidianews.nvidia.com/news/nvidia-blackwell-platform-arrives-to-power-a-new-era-of-computing</t>
  </si>
  <si>
    <t>2026-09-29T06:26:14.871640+00:00</t>
  </si>
  <si>
    <t>9478aba3b300065d3911668cdcd230bf3e91b9e9febcd36b215de452f655f790</t>
  </si>
  <si>
    <t>src-e9eb25897e82d8</t>
  </si>
  <si>
    <t>NVIDIA Announces Financial Results for First Quarter Fiscal 2024 | NVIDIA Newsroom</t>
  </si>
  <si>
    <t>https://nvidianews.nvidia.com/news/nvidia-announces-financial-results-for-first-quarter-fiscal-2024</t>
  </si>
  <si>
    <t>2026-09-29T06:26:23.496529+00:00</t>
  </si>
  <si>
    <t>36e94e5177e8a5e36bfd5251e75ace56f5dca9a8d91ee2755202ebfcff86a5f7</t>
  </si>
  <si>
    <t>src-431b1d44e86f37</t>
  </si>
  <si>
    <t>Nvidia (NVDA) earnings Q3 2022</t>
  </si>
  <si>
    <t>https://www.cnbc.com/2021/11/17/nvidia-nvda-earnings-q3-2022.html</t>
  </si>
  <si>
    <t>2026-09-29T06:27:07.443503+00:00</t>
  </si>
  <si>
    <t>9b6f730aebe661fd1b8c3f629943a073e3423382af0ab1768d9f9428880742f6</t>
  </si>
  <si>
    <t>src-c69b5f299f1e39</t>
  </si>
  <si>
    <t>NVIDIA Announces Financial Results for Third Quarter Fiscal 2023 | NVIDIA Newsroom</t>
  </si>
  <si>
    <t>https://nvidianews.nvidia.com/news/nvidia-announces-financial-results-for-third-quarter-fiscal-2023</t>
  </si>
  <si>
    <t>2026-09-29T06:27:09.945061+00:00</t>
  </si>
  <si>
    <t>d84b4531b818965ac674ee9f603dfc6c9db5d1eb1767caa2a862726dc9505d3b</t>
  </si>
  <si>
    <t>src-9b28aba03660aa</t>
  </si>
  <si>
    <t>NVIDIA Announces Financial Results for Fourth Quarter and Fiscal 2024 | NVIDIA Newsroom</t>
  </si>
  <si>
    <t>https://nvidianews.nvidia.com/news/nvidia-announces-financial-results-for-fourth-quarter-and-fiscal-2024</t>
  </si>
  <si>
    <t>2026-09-29T06:27:13.321682+00:00</t>
  </si>
  <si>
    <t>a5aab46c2945c619c0829896e783a557de0e2d4e3a5cf9ae2879c3d111a5f3f9</t>
  </si>
  <si>
    <t>src-d0bf840fd453a8</t>
  </si>
  <si>
    <t>Nvidia GTC 2026 preview: Why the CPU is taking center stage</t>
  </si>
  <si>
    <t>https://www.cnbc.com/2026/03/13/nvidia-gtc-ai-jensen-huang-cpu-gpu.html</t>
  </si>
  <si>
    <t>2026-09-29T06:27:16.401572+00:00</t>
  </si>
  <si>
    <t>1d23ac9944efabfeaf7facffa5bb2edc61bb46e610dca0f565815062aff5c746</t>
  </si>
  <si>
    <t>src-0227a32317df01</t>
  </si>
  <si>
    <t>US Export Controls on Nvidia AI Chips to China: A100 to H20 to H200 — Timeline (updated Sep 25, 2026) · What Led To</t>
  </si>
  <si>
    <t>https://whatledto.com/events/nvidia-china-export-controls</t>
  </si>
  <si>
    <t>2026-09-29T06:29:44.552772+00:00</t>
  </si>
  <si>
    <t>cae110a9cde85c4836ce6f96e966e23c08242634fe5c6a32eecf24b31342ae66</t>
  </si>
  <si>
    <t>https://query1.finance.yahoo.com/v8/finance/chart/NVDA?period1=1598227200&amp;period2=1790726400&amp;interval=1d&amp;events=div%2Csplits&amp;includeAdjustedClose=true</t>
  </si>
  <si>
    <t>2026-09-29T02:33:25.672652+00:00</t>
  </si>
  <si>
    <t>e6d1853924e8d11c72555b67da66bdbfcbb59678a268c8f020bafcff2b248577</t>
  </si>
  <si>
    <t>Yahoo split-adjusted OHLC; adj_close additionally reflects distributions</t>
  </si>
  <si>
    <t>https://query1.finance.yahoo.com/v8/finance/chart/SPY?period1=1598227200&amp;period2=1790726400&amp;interval=1d&amp;events=div%2Csplits&amp;includeAdjustedClose=true</t>
  </si>
  <si>
    <t>2026-09-29T02:33:25.620138+00:00</t>
  </si>
  <si>
    <t>ba0266b147e1210651f9991e41f1ed135bc89c7cc3faa0088be1865d09d2bbb6</t>
  </si>
  <si>
    <t>Series</t>
  </si>
  <si>
    <t>Observation date</t>
  </si>
  <si>
    <t>Value</t>
  </si>
  <si>
    <t>Vintage use</t>
  </si>
  <si>
    <t>检查项</t>
  </si>
  <si>
    <t>状态</t>
  </si>
  <si>
    <t>依据 / 缺口</t>
  </si>
  <si>
    <t>研究要求覆盖</t>
  </si>
  <si>
    <t>通过</t>
  </si>
  <si>
    <t>覆盖检查与事实核验分别执行；相关不代表因果</t>
  </si>
  <si>
    <t>ChatGPT 发布</t>
  </si>
  <si>
    <t>covered</t>
  </si>
  <si>
    <t>Blackwell 平台发布</t>
  </si>
  <si>
    <t>DeepSeek 相关事件</t>
  </si>
  <si>
    <t>2025-01-27 NVDA 下跌事件（区分论文日、模型发布日与市场反应日）</t>
  </si>
  <si>
    <t>异动日期</t>
  </si>
  <si>
    <t>资产</t>
  </si>
  <si>
    <t>事件 ID</t>
  </si>
  <si>
    <t>滞后日线数</t>
  </si>
  <si>
    <t>关联类型</t>
  </si>
  <si>
    <t>依据</t>
  </si>
  <si>
    <t>来源 ID</t>
  </si>
  <si>
    <t>same_session_candidate</t>
  </si>
  <si>
    <t>来源支持的事件公开后第 0 根日线出现变化；同标的与时间先后支持候选关联，未证明该事件触发行情。</t>
  </si>
  <si>
    <t>retrospective_report</t>
  </si>
  <si>
    <t>事后报道记录该日事件或市场反应，仅用于解释复核，不是当时可用的交易信号，也不构成因果证明。</t>
  </si>
  <si>
    <t>delayed_candidate</t>
  </si>
  <si>
    <t>来源支持的事件公开后第 3 根日线出现变化；同标的与时间先后支持候选关联，未证明该事件触发行情。</t>
  </si>
  <si>
    <t>来源支持的事件公开后第 1 根日线出现变化；同标的与时间先后支持候选关联，未证明该事件触发行情。</t>
  </si>
</sst>
</file>

<file path=xl/styles.xml><?xml version="1.0" encoding="utf-8"?>
<styleSheet xmlns="http://schemas.openxmlformats.org/spreadsheetml/2006/main">
  <numFmts count="5">
    <numFmt numFmtId="164" formatCode="#,##0.00;[Red](#,##0.00);–"/>
    <numFmt numFmtId="165" formatCode="0.00%;[Red](0.00%);–"/>
    <numFmt numFmtId="166" formatCode="0.000000"/>
    <numFmt numFmtId="167" formatCode="0.00"/>
    <numFmt numFmtId="168" formatCode="0.0%"/>
  </numFmts>
  <fonts count="8">
    <font>
      <sz val="11"/>
      <color theme="1"/>
      <name val="Calibri"/>
      <family val="2"/>
      <scheme val="minor"/>
    </font>
    <font>
      <b/>
      <sz val="20"/>
      <color rgb="FF355A45"/>
      <name val="Calibri"/>
      <family val="2"/>
      <scheme val="minor"/>
    </font>
    <font>
      <sz val="11"/>
      <color rgb="FF536654"/>
      <name val="Calibri"/>
      <family val="2"/>
      <scheme val="minor"/>
    </font>
    <font>
      <sz val="11"/>
      <color rgb="FF263D2E"/>
      <name val="Calibri"/>
      <family val="2"/>
      <scheme val="minor"/>
    </font>
    <font>
      <sz val="11"/>
      <color rgb="FF38744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761A0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5A45"/>
        <bgColor indexed="64"/>
      </patternFill>
    </fill>
    <fill>
      <patternFill patternType="solid">
        <fgColor rgb="FFEDF4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164" fontId="3" fillId="0" borderId="0" xfId="0" applyNumberFormat="1" applyFont="1"/>
    <xf numFmtId="165" fontId="3" fillId="0" borderId="0" xfId="0" applyNumberFormat="1" applyFont="1"/>
    <xf numFmtId="166" fontId="4" fillId="0" borderId="0" xfId="0" applyNumberFormat="1" applyFont="1"/>
    <xf numFmtId="0" fontId="5" fillId="2" borderId="0" xfId="0" applyFont="1" applyFill="1" applyAlignment="1">
      <alignment vertical="center" wrapText="1"/>
    </xf>
    <xf numFmtId="167" fontId="6" fillId="3" borderId="0" xfId="0" applyNumberFormat="1" applyFont="1" applyFill="1"/>
    <xf numFmtId="168" fontId="6" fillId="3" borderId="0" xfId="0" applyNumberFormat="1" applyFont="1" applyFill="1"/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可重算的配置净资产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月度配置近似</c:v>
          </c:tx>
          <c:spPr>
            <a:ln w="25400">
              <a:solidFill>
                <a:srgbClr val="547B5B"/>
              </a:solidFill>
            </a:ln>
          </c:spPr>
          <c:marker>
            <c:symbol val="none"/>
          </c:marker>
          <c:cat>
            <c:strRef>
              <c:f>MonthlyCalc!$A$2:$A$61</c:f>
              <c:strCache>
                <c:ptCount val="60"/>
                <c:pt idx="0">
                  <c:v>2021-09-30</c:v>
                </c:pt>
                <c:pt idx="1">
                  <c:v>2021-10-29</c:v>
                </c:pt>
                <c:pt idx="2">
                  <c:v>2021-11-30</c:v>
                </c:pt>
                <c:pt idx="3">
                  <c:v>2021-12-31</c:v>
                </c:pt>
                <c:pt idx="4">
                  <c:v>2022-01-31</c:v>
                </c:pt>
                <c:pt idx="5">
                  <c:v>2022-02-28</c:v>
                </c:pt>
                <c:pt idx="6">
                  <c:v>2022-03-31</c:v>
                </c:pt>
                <c:pt idx="7">
                  <c:v>2022-04-29</c:v>
                </c:pt>
                <c:pt idx="8">
                  <c:v>2022-05-31</c:v>
                </c:pt>
                <c:pt idx="9">
                  <c:v>2022-06-30</c:v>
                </c:pt>
                <c:pt idx="10">
                  <c:v>2022-07-29</c:v>
                </c:pt>
                <c:pt idx="11">
                  <c:v>2022-08-31</c:v>
                </c:pt>
                <c:pt idx="12">
                  <c:v>2022-09-30</c:v>
                </c:pt>
                <c:pt idx="13">
                  <c:v>2022-10-31</c:v>
                </c:pt>
                <c:pt idx="14">
                  <c:v>2022-11-30</c:v>
                </c:pt>
                <c:pt idx="15">
                  <c:v>2022-12-30</c:v>
                </c:pt>
                <c:pt idx="16">
                  <c:v>2023-01-31</c:v>
                </c:pt>
                <c:pt idx="17">
                  <c:v>2023-02-28</c:v>
                </c:pt>
                <c:pt idx="18">
                  <c:v>2023-03-31</c:v>
                </c:pt>
                <c:pt idx="19">
                  <c:v>2023-04-28</c:v>
                </c:pt>
                <c:pt idx="20">
                  <c:v>2023-05-31</c:v>
                </c:pt>
                <c:pt idx="21">
                  <c:v>2023-06-30</c:v>
                </c:pt>
                <c:pt idx="22">
                  <c:v>2023-07-31</c:v>
                </c:pt>
                <c:pt idx="23">
                  <c:v>2023-08-31</c:v>
                </c:pt>
                <c:pt idx="24">
                  <c:v>2023-09-29</c:v>
                </c:pt>
                <c:pt idx="25">
                  <c:v>2023-10-31</c:v>
                </c:pt>
                <c:pt idx="26">
                  <c:v>2023-11-30</c:v>
                </c:pt>
                <c:pt idx="27">
                  <c:v>2023-12-29</c:v>
                </c:pt>
                <c:pt idx="28">
                  <c:v>2024-01-31</c:v>
                </c:pt>
                <c:pt idx="29">
                  <c:v>2024-02-29</c:v>
                </c:pt>
                <c:pt idx="30">
                  <c:v>2024-03-28</c:v>
                </c:pt>
                <c:pt idx="31">
                  <c:v>2024-04-30</c:v>
                </c:pt>
                <c:pt idx="32">
                  <c:v>2024-05-31</c:v>
                </c:pt>
                <c:pt idx="33">
                  <c:v>2024-06-28</c:v>
                </c:pt>
                <c:pt idx="34">
                  <c:v>2024-07-31</c:v>
                </c:pt>
                <c:pt idx="35">
                  <c:v>2024-08-30</c:v>
                </c:pt>
                <c:pt idx="36">
                  <c:v>2024-09-30</c:v>
                </c:pt>
                <c:pt idx="37">
                  <c:v>2024-10-31</c:v>
                </c:pt>
                <c:pt idx="38">
                  <c:v>2024-11-29</c:v>
                </c:pt>
                <c:pt idx="39">
                  <c:v>2024-12-31</c:v>
                </c:pt>
                <c:pt idx="40">
                  <c:v>2025-01-31</c:v>
                </c:pt>
                <c:pt idx="41">
                  <c:v>2025-02-28</c:v>
                </c:pt>
                <c:pt idx="42">
                  <c:v>2025-03-31</c:v>
                </c:pt>
                <c:pt idx="43">
                  <c:v>2025-04-30</c:v>
                </c:pt>
                <c:pt idx="44">
                  <c:v>2025-05-30</c:v>
                </c:pt>
                <c:pt idx="45">
                  <c:v>2025-06-30</c:v>
                </c:pt>
                <c:pt idx="46">
                  <c:v>2025-07-31</c:v>
                </c:pt>
                <c:pt idx="47">
                  <c:v>2025-08-29</c:v>
                </c:pt>
                <c:pt idx="48">
                  <c:v>2025-09-30</c:v>
                </c:pt>
                <c:pt idx="49">
                  <c:v>2025-10-31</c:v>
                </c:pt>
                <c:pt idx="50">
                  <c:v>2025-11-28</c:v>
                </c:pt>
                <c:pt idx="51">
                  <c:v>2025-12-31</c:v>
                </c:pt>
                <c:pt idx="52">
                  <c:v>2026-01-30</c:v>
                </c:pt>
                <c:pt idx="53">
                  <c:v>2026-02-27</c:v>
                </c:pt>
                <c:pt idx="54">
                  <c:v>2026-03-31</c:v>
                </c:pt>
                <c:pt idx="55">
                  <c:v>2026-04-30</c:v>
                </c:pt>
                <c:pt idx="56">
                  <c:v>2026-05-29</c:v>
                </c:pt>
                <c:pt idx="57">
                  <c:v>2026-06-30</c:v>
                </c:pt>
                <c:pt idx="58">
                  <c:v>2026-07-31</c:v>
                </c:pt>
                <c:pt idx="59">
                  <c:v>2026-08-31</c:v>
                </c:pt>
              </c:strCache>
            </c:strRef>
          </c:cat>
          <c:val>
            <c:numRef>
              <c:f>MonthlyCalc!$G$2:$G$61</c:f>
              <c:numCache>
                <c:formatCode>General</c:formatCode>
                <c:ptCount val="60"/>
                <c:pt idx="0">
                  <c:v>99900.0</c:v>
                </c:pt>
                <c:pt idx="1">
                  <c:v>123293.23488746451</c:v>
                </c:pt>
                <c:pt idx="2">
                  <c:v>157575.33874945287</c:v>
                </c:pt>
                <c:pt idx="3">
                  <c:v>141847.75771966268</c:v>
                </c:pt>
                <c:pt idx="4">
                  <c:v>118094.72284841859</c:v>
                </c:pt>
                <c:pt idx="5">
                  <c:v>117607.59879088432</c:v>
                </c:pt>
                <c:pt idx="6">
                  <c:v>131621.41367803997</c:v>
                </c:pt>
                <c:pt idx="7">
                  <c:v>89466.51182967843</c:v>
                </c:pt>
                <c:pt idx="8">
                  <c:v>90069.46735120457</c:v>
                </c:pt>
                <c:pt idx="9">
                  <c:v>73138.99624571935</c:v>
                </c:pt>
                <c:pt idx="10">
                  <c:v>87632.66454420079</c:v>
                </c:pt>
                <c:pt idx="11">
                  <c:v>72825.40228101422</c:v>
                </c:pt>
                <c:pt idx="12">
                  <c:v>58585.53219427191</c:v>
                </c:pt>
                <c:pt idx="13">
                  <c:v>65139.54397193216</c:v>
                </c:pt>
                <c:pt idx="14">
                  <c:v>81695.09639920307</c:v>
                </c:pt>
                <c:pt idx="15">
                  <c:v>70548.47978313817</c:v>
                </c:pt>
                <c:pt idx="16">
                  <c:v>94314.07430307398</c:v>
                </c:pt>
                <c:pt idx="17">
                  <c:v>112074.27672739026</c:v>
                </c:pt>
                <c:pt idx="18">
                  <c:v>134115.10675105598</c:v>
                </c:pt>
                <c:pt idx="19">
                  <c:v>133979.93924829116</c:v>
                </c:pt>
                <c:pt idx="20">
                  <c:v>182673.1475394281</c:v>
                </c:pt>
                <c:pt idx="21">
                  <c:v>204266.98525540647</c:v>
                </c:pt>
                <c:pt idx="22">
                  <c:v>225644.0154425157</c:v>
                </c:pt>
                <c:pt idx="23">
                  <c:v>238324.39196735408</c:v>
                </c:pt>
                <c:pt idx="24">
                  <c:v>210064.32323674706</c:v>
                </c:pt>
                <c:pt idx="25">
                  <c:v>196933.83181410894</c:v>
                </c:pt>
                <c:pt idx="26">
                  <c:v>225860.60124901</c:v>
                </c:pt>
                <c:pt idx="27">
                  <c:v>239171.48230044902</c:v>
                </c:pt>
                <c:pt idx="28">
                  <c:v>297150.8670948402</c:v>
                </c:pt>
                <c:pt idx="29">
                  <c:v>382079.38707856793</c:v>
                </c:pt>
                <c:pt idx="30">
                  <c:v>436403.88176915114</c:v>
                </c:pt>
                <c:pt idx="31">
                  <c:v>417306.7488551138</c:v>
                </c:pt>
                <c:pt idx="32">
                  <c:v>529508.4697558784</c:v>
                </c:pt>
                <c:pt idx="33">
                  <c:v>596725.9357750472</c:v>
                </c:pt>
                <c:pt idx="34">
                  <c:v>565232.78528191</c:v>
                </c:pt>
                <c:pt idx="35">
                  <c:v>576583.8253083657</c:v>
                </c:pt>
                <c:pt idx="36">
                  <c:v>586632.6159198991</c:v>
                </c:pt>
                <c:pt idx="37">
                  <c:v>641315.48787569</c:v>
                </c:pt>
                <c:pt idx="38">
                  <c:v>667835.701130889</c:v>
                </c:pt>
                <c:pt idx="39">
                  <c:v>648751.0216235721</c:v>
                </c:pt>
                <c:pt idx="40">
                  <c:v>580054.6304104587</c:v>
                </c:pt>
                <c:pt idx="41">
                  <c:v>603484.8097886316</c:v>
                </c:pt>
                <c:pt idx="42">
                  <c:v>523628.68800482457</c:v>
                </c:pt>
                <c:pt idx="43">
                  <c:v>526237.6582358953</c:v>
                </c:pt>
                <c:pt idx="44">
                  <c:v>652869.0712915662</c:v>
                </c:pt>
                <c:pt idx="45">
                  <c:v>763368.2599833552</c:v>
                </c:pt>
                <c:pt idx="46">
                  <c:v>859423.3445658728</c:v>
                </c:pt>
                <c:pt idx="47">
                  <c:v>841594.2049598444</c:v>
                </c:pt>
                <c:pt idx="48">
                  <c:v>901558.799514274</c:v>
                </c:pt>
                <c:pt idx="49">
                  <c:v>978436.3029144147</c:v>
                </c:pt>
                <c:pt idx="50">
                  <c:v>855267.9716314463</c:v>
                </c:pt>
                <c:pt idx="51">
                  <c:v>901222.4466716343</c:v>
                </c:pt>
                <c:pt idx="52">
                  <c:v>923595.8602575674</c:v>
                </c:pt>
                <c:pt idx="53">
                  <c:v>856233.7942962706</c:v>
                </c:pt>
                <c:pt idx="54">
                  <c:v>842797.1966582945</c:v>
                </c:pt>
                <c:pt idx="55">
                  <c:v>964432.6133490435</c:v>
                </c:pt>
                <c:pt idx="56">
                  <c:v>1020345.3054106408</c:v>
                </c:pt>
                <c:pt idx="57">
                  <c:v>968072.4817619558</c:v>
                </c:pt>
                <c:pt idx="58">
                  <c:v>971265.7274044721</c:v>
                </c:pt>
                <c:pt idx="59">
                  <c:v>1068174.5909450592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4</xdr:col>
      <xdr:colOff>514350</xdr:colOff>
      <xdr:row>45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deepseek-ai/DeepSeek-R1" TargetMode="External"/><Relationship Id="rId2" Type="http://schemas.openxmlformats.org/officeDocument/2006/relationships/hyperlink" Target="https://api-docs.deepseek.com/news/news250120/" TargetMode="External"/><Relationship Id="rId3" Type="http://schemas.openxmlformats.org/officeDocument/2006/relationships/hyperlink" Target="https://www.theverge.com/2024/3/18/24105157/nvidia-blackwell-gpu-b200-ai" TargetMode="External"/><Relationship Id="rId4" Type="http://schemas.openxmlformats.org/officeDocument/2006/relationships/hyperlink" Target="https://www.cnbc.com/2025/01/27/nvidia-calls-chinas-deepseek-r1-model-an-excellent-ai-advancement.html" TargetMode="External"/><Relationship Id="rId5" Type="http://schemas.openxmlformats.org/officeDocument/2006/relationships/hyperlink" Target="https://www.cnbc.com/2023/05/24/nvidia-nvda-earnings-report-q1-2024.html" TargetMode="External"/><Relationship Id="rId6" Type="http://schemas.openxmlformats.org/officeDocument/2006/relationships/hyperlink" Target="https://www.npr.org/2025/04/09/nx-s1-5356480/nvidia-china-ai-h20-chips-trump" TargetMode="External"/><Relationship Id="rId7" Type="http://schemas.openxmlformats.org/officeDocument/2006/relationships/hyperlink" Target="https://www.cnbc.com/2026/08/26/nvidia-nvda-earnings-report-q2-2027-live-updates.html" TargetMode="External"/><Relationship Id="rId8" Type="http://schemas.openxmlformats.org/officeDocument/2006/relationships/hyperlink" Target="https://investor.nvidia.com/news/press-release-details/2023/NVIDIA-Announces-Financial-Results-for-First-Quarter-Fiscal-2024/default.aspx" TargetMode="External"/><Relationship Id="rId9" Type="http://schemas.openxmlformats.org/officeDocument/2006/relationships/hyperlink" Target="https://www.history.com/this-day-in-history/november-30/chatgpt-released-openai" TargetMode="External"/><Relationship Id="rId10" Type="http://schemas.openxmlformats.org/officeDocument/2006/relationships/hyperlink" Target="https://arxiv.org/abs/2501.12948" TargetMode="External"/><Relationship Id="rId11" Type="http://schemas.openxmlformats.org/officeDocument/2006/relationships/hyperlink" Target="https://nvidianews.nvidia.com/news/nvidia-blackwell-platform-arrives-to-power-a-new-era-of-computing" TargetMode="External"/><Relationship Id="rId12" Type="http://schemas.openxmlformats.org/officeDocument/2006/relationships/hyperlink" Target="https://nvidianews.nvidia.com/news/nvidia-announces-financial-results-for-first-quarter-fiscal-2024" TargetMode="External"/><Relationship Id="rId13" Type="http://schemas.openxmlformats.org/officeDocument/2006/relationships/hyperlink" Target="https://www.cnbc.com/2021/11/17/nvidia-nvda-earnings-q3-2022.html" TargetMode="External"/><Relationship Id="rId14" Type="http://schemas.openxmlformats.org/officeDocument/2006/relationships/hyperlink" Target="https://nvidianews.nvidia.com/news/nvidia-announces-financial-results-for-third-quarter-fiscal-2023" TargetMode="External"/><Relationship Id="rId15" Type="http://schemas.openxmlformats.org/officeDocument/2006/relationships/hyperlink" Target="https://nvidianews.nvidia.com/news/nvidia-announces-financial-results-for-fourth-quarter-and-fiscal-2024" TargetMode="External"/><Relationship Id="rId16" Type="http://schemas.openxmlformats.org/officeDocument/2006/relationships/hyperlink" Target="https://www.cnbc.com/2026/03/13/nvidia-gtc-ai-jensen-huang-cpu-gpu.html" TargetMode="External"/><Relationship Id="rId17" Type="http://schemas.openxmlformats.org/officeDocument/2006/relationships/hyperlink" Target="https://whatledto.com/events/nvidia-china-export-controls" TargetMode="External"/><Relationship Id="rId18" Type="http://schemas.openxmlformats.org/officeDocument/2006/relationships/hyperlink" Target="https://query1.finance.yahoo.com/v8/finance/chart/NVDA?period1=1598227200&amp;period2=1790726400&amp;interval=1d&amp;events=div%2Csplits&amp;includeAdjustedClose=true" TargetMode="External"/><Relationship Id="rId19" Type="http://schemas.openxmlformats.org/officeDocument/2006/relationships/hyperlink" Target="https://query1.finance.yahoo.com/v8/finance/chart/SPY?period1=1598227200&amp;period2=1790726400&amp;interval=1d&amp;events=div%2Csplits&amp;includeAdjustedClos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showGridLines="0" tabSelected="1" workbookViewId="0"/>
  </sheetViews>
  <sheetFormatPr defaultRowHeight="20" customHeight="1"/>
  <cols>
    <col min="1" max="1" width="28.7109375" customWidth="1"/>
    <col min="2" max="2" width="30.7109375" customWidth="1"/>
    <col min="3" max="3" width="26.7109375" customWidth="1"/>
    <col min="4" max="5" width="24.7109375" customWidth="1"/>
    <col min="6" max="36" width="17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1"/>
      <c r="B2" s="1"/>
      <c r="C2" s="1"/>
      <c r="D2" s="1"/>
      <c r="E2" s="1"/>
    </row>
    <row r="4" spans="1:5" ht="20" customHeight="1">
      <c r="A4" s="2" t="s">
        <v>1</v>
      </c>
      <c r="B4" s="2"/>
      <c r="C4" s="2"/>
      <c r="D4" s="2"/>
      <c r="E4" s="2"/>
    </row>
    <row r="6" spans="1:5" ht="20" customHeight="1">
      <c r="A6" s="2" t="s">
        <v>2</v>
      </c>
      <c r="B6" s="2"/>
      <c r="C6" s="2"/>
      <c r="D6" s="2"/>
      <c r="E6" s="2"/>
    </row>
    <row r="7" spans="1:5" ht="20" customHeight="1">
      <c r="A7" s="2"/>
      <c r="B7" s="2"/>
      <c r="C7" s="2"/>
      <c r="D7" s="2"/>
      <c r="E7" s="2"/>
    </row>
    <row r="9" spans="1:5" ht="20" customHeight="1">
      <c r="A9" s="2" t="s">
        <v>3</v>
      </c>
      <c r="B9" s="2"/>
      <c r="C9" s="2"/>
      <c r="D9" s="2"/>
      <c r="E9" s="2"/>
    </row>
    <row r="10" spans="1:5" ht="20" customHeight="1">
      <c r="A10" s="2"/>
      <c r="B10" s="2"/>
      <c r="C10" s="2"/>
      <c r="D10" s="2"/>
      <c r="E10" s="2"/>
    </row>
    <row r="12" spans="1:5" ht="20" customHeight="1">
      <c r="A12" s="2" t="s">
        <v>4</v>
      </c>
      <c r="B12" t="s">
        <v>5</v>
      </c>
    </row>
    <row r="13" spans="1:5" ht="20" customHeight="1">
      <c r="A13" s="2" t="s">
        <v>6</v>
      </c>
      <c r="B13" t="s">
        <v>7</v>
      </c>
    </row>
    <row r="16" spans="1:5" ht="20" customHeight="1">
      <c r="A16" s="2" t="s">
        <v>4645</v>
      </c>
      <c r="B16" s="3">
        <f>MonthlyCalc!G61</f>
        <v>1068174.5909450592</v>
      </c>
    </row>
    <row r="17" spans="1:5" ht="20" customHeight="1">
      <c r="A17" s="2" t="s">
        <v>4646</v>
      </c>
      <c r="B17" s="4">
        <f>B16/Parameters!B2-1</f>
        <v>9.681745909450592</v>
      </c>
    </row>
    <row r="18" spans="1:5" ht="20" customHeight="1">
      <c r="A18" s="2" t="s">
        <v>4647</v>
      </c>
      <c r="B18" s="4">
        <f>MIN(MonthlyCalc!J2:J61)</f>
        <v>-0.6282062113321947</v>
      </c>
    </row>
    <row r="19" spans="1:5" ht="20" customHeight="1">
      <c r="A19" s="2" t="s">
        <v>4648</v>
      </c>
      <c r="B19" s="5">
        <f>MAX(MonthlyCalc!M2:M61)-MIN(MonthlyCalc!M2:M61)</f>
        <v>0</v>
      </c>
    </row>
    <row r="21" spans="1:5" ht="20" customHeight="1">
      <c r="A21" s="2" t="s">
        <v>4649</v>
      </c>
      <c r="B21" s="2"/>
      <c r="C21" s="2"/>
      <c r="D21" s="2"/>
      <c r="E21" s="2"/>
    </row>
    <row r="22" spans="1:5" ht="20" customHeight="1">
      <c r="A22" s="2"/>
      <c r="B22" s="2"/>
      <c r="C22" s="2"/>
      <c r="D22" s="2"/>
      <c r="E22" s="2"/>
    </row>
  </sheetData>
  <mergeCells count="5">
    <mergeCell ref="A1:E2"/>
    <mergeCell ref="A4:E4"/>
    <mergeCell ref="A6:E7"/>
    <mergeCell ref="A9:E10"/>
    <mergeCell ref="A21:E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25.7109375" customWidth="1"/>
    <col min="2" max="2" width="22.7109375" customWidth="1"/>
    <col min="3" max="3" width="80.7109375" customWidth="1"/>
    <col min="4" max="36" width="17.7109375" customWidth="1"/>
  </cols>
  <sheetData>
    <row r="1" spans="1:3" ht="32" customHeight="1">
      <c r="A1" s="6" t="s">
        <v>8</v>
      </c>
      <c r="B1" s="6" t="s">
        <v>9</v>
      </c>
      <c r="C1" s="6" t="s">
        <v>10</v>
      </c>
    </row>
    <row r="2" spans="1:3" ht="20" customHeight="1">
      <c r="A2" s="2" t="s">
        <v>11</v>
      </c>
      <c r="B2" s="7">
        <v>100000</v>
      </c>
      <c r="C2" s="2" t="s">
        <v>12</v>
      </c>
    </row>
    <row r="3" spans="1:3" ht="20" customHeight="1">
      <c r="A3" s="2" t="s">
        <v>13</v>
      </c>
      <c r="B3" s="7">
        <v>10</v>
      </c>
      <c r="C3" s="2" t="s">
        <v>14</v>
      </c>
    </row>
    <row r="4" spans="1:3" ht="20" customHeight="1">
      <c r="A4" s="2" t="s">
        <v>15</v>
      </c>
      <c r="B4" s="7">
        <v>1</v>
      </c>
      <c r="C4" s="2" t="s">
        <v>16</v>
      </c>
    </row>
    <row r="5" spans="1:3" ht="20" customHeight="1">
      <c r="A5" s="2" t="s">
        <v>17</v>
      </c>
      <c r="B5" s="4">
        <f>SUM(B8:B8)</f>
        <v>1</v>
      </c>
      <c r="C5" s="2" t="s">
        <v>18</v>
      </c>
    </row>
    <row r="6" spans="1:3" ht="20" customHeight="1">
      <c r="A6" s="2" t="s">
        <v>19</v>
      </c>
      <c r="B6" s="2" t="s">
        <v>20</v>
      </c>
      <c r="C6" s="2" t="s">
        <v>21</v>
      </c>
    </row>
    <row r="8" spans="1:3" ht="20" customHeight="1">
      <c r="A8" s="2" t="s">
        <v>22</v>
      </c>
      <c r="B8" s="8">
        <v>1</v>
      </c>
    </row>
  </sheetData>
  <dataValidations count="4">
    <dataValidation type="decimal" operator="greaterThan" allowBlank="1" showInputMessage="1" showErrorMessage="1" sqref="B2">
      <formula1>0</formula1>
    </dataValidation>
    <dataValidation type="decimal" allowBlank="1" showInputMessage="1" showErrorMessage="1" sqref="B3">
      <formula1>0</formula1>
      <formula2>100</formula2>
    </dataValidation>
    <dataValidation type="list" allowBlank="1" showInputMessage="1" showErrorMessage="1" sqref="B4">
      <formula1>"0,1,3,12"</formula1>
    </dataValidation>
    <dataValidation type="decimal" allowBlank="1" showInputMessage="1" showErrorMessage="1" sqref="B8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6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8" width="17.7109375" customWidth="1"/>
    <col min="9" max="11" width="30.7109375" customWidth="1"/>
    <col min="12" max="36" width="17.7109375" customWidth="1"/>
  </cols>
  <sheetData>
    <row r="1" spans="1:11" ht="32" customHeight="1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</row>
    <row r="2" spans="1:11" ht="20" customHeight="1">
      <c r="A2" t="s">
        <v>22</v>
      </c>
      <c r="B2" t="s">
        <v>34</v>
      </c>
      <c r="C2">
        <v>12.88374996185303</v>
      </c>
      <c r="D2">
        <v>12.91250038146973</v>
      </c>
      <c r="E2">
        <v>12.50749969482422</v>
      </c>
      <c r="F2">
        <v>12.72025012969971</v>
      </c>
      <c r="G2">
        <v>12.64744281768799</v>
      </c>
      <c r="H2">
        <v>490564000</v>
      </c>
      <c r="I2" t="s">
        <v>35</v>
      </c>
      <c r="J2" t="s">
        <v>36</v>
      </c>
      <c r="K2" t="s">
        <v>37</v>
      </c>
    </row>
    <row r="3" spans="1:11" ht="20" customHeight="1">
      <c r="A3" t="s">
        <v>22</v>
      </c>
      <c r="B3" t="s">
        <v>38</v>
      </c>
      <c r="C3">
        <v>12.63074970245361</v>
      </c>
      <c r="D3">
        <v>12.76124954223633</v>
      </c>
      <c r="E3">
        <v>12.57374954223633</v>
      </c>
      <c r="F3">
        <v>12.75</v>
      </c>
      <c r="G3">
        <v>12.67702388763428</v>
      </c>
      <c r="H3">
        <v>289076000</v>
      </c>
      <c r="I3" t="s">
        <v>39</v>
      </c>
      <c r="J3" t="s">
        <v>40</v>
      </c>
      <c r="K3" t="s">
        <v>37</v>
      </c>
    </row>
    <row r="4" spans="1:11" ht="20" customHeight="1">
      <c r="A4" t="s">
        <v>22</v>
      </c>
      <c r="B4" t="s">
        <v>41</v>
      </c>
      <c r="C4">
        <v>12.79924964904785</v>
      </c>
      <c r="D4">
        <v>12.86849975585938</v>
      </c>
      <c r="E4">
        <v>12.67774963378906</v>
      </c>
      <c r="F4">
        <v>12.77299976348877</v>
      </c>
      <c r="G4">
        <v>12.69989204406738</v>
      </c>
      <c r="H4">
        <v>321244000</v>
      </c>
      <c r="I4" t="s">
        <v>42</v>
      </c>
      <c r="J4" t="s">
        <v>43</v>
      </c>
      <c r="K4" t="s">
        <v>37</v>
      </c>
    </row>
    <row r="5" spans="1:11" ht="20" customHeight="1">
      <c r="A5" t="s">
        <v>22</v>
      </c>
      <c r="B5" t="s">
        <v>44</v>
      </c>
      <c r="C5">
        <v>12.7814998626709</v>
      </c>
      <c r="D5">
        <v>12.85000038146973</v>
      </c>
      <c r="E5">
        <v>12.56649971008301</v>
      </c>
      <c r="F5">
        <v>12.62825012207031</v>
      </c>
      <c r="G5">
        <v>12.5559720993042</v>
      </c>
      <c r="H5">
        <v>317604000</v>
      </c>
      <c r="I5" t="s">
        <v>45</v>
      </c>
      <c r="J5" t="s">
        <v>46</v>
      </c>
      <c r="K5" t="s">
        <v>37</v>
      </c>
    </row>
    <row r="6" spans="1:11" ht="20" customHeight="1">
      <c r="A6" t="s">
        <v>22</v>
      </c>
      <c r="B6" t="s">
        <v>47</v>
      </c>
      <c r="C6">
        <v>12.67500019073486</v>
      </c>
      <c r="D6">
        <v>13.14799976348877</v>
      </c>
      <c r="E6">
        <v>12.64249992370605</v>
      </c>
      <c r="F6">
        <v>13.14774990081787</v>
      </c>
      <c r="G6">
        <v>13.07249736785889</v>
      </c>
      <c r="H6">
        <v>537160000</v>
      </c>
      <c r="I6" t="s">
        <v>48</v>
      </c>
      <c r="J6" t="s">
        <v>49</v>
      </c>
      <c r="K6" t="s">
        <v>37</v>
      </c>
    </row>
    <row r="7" spans="1:11" ht="20" customHeight="1">
      <c r="A7" t="s">
        <v>22</v>
      </c>
      <c r="B7" t="s">
        <v>50</v>
      </c>
      <c r="C7">
        <v>13.18274974822998</v>
      </c>
      <c r="D7">
        <v>13.57499980926514</v>
      </c>
      <c r="E7">
        <v>13.03775024414062</v>
      </c>
      <c r="F7">
        <v>13.3745002746582</v>
      </c>
      <c r="G7">
        <v>13.29794788360596</v>
      </c>
      <c r="H7">
        <v>500840000</v>
      </c>
      <c r="I7" t="s">
        <v>51</v>
      </c>
      <c r="J7" t="s">
        <v>52</v>
      </c>
      <c r="K7" t="s">
        <v>37</v>
      </c>
    </row>
    <row r="8" spans="1:11" ht="20" customHeight="1">
      <c r="A8" t="s">
        <v>22</v>
      </c>
      <c r="B8" t="s">
        <v>53</v>
      </c>
      <c r="C8">
        <v>13.47999954223633</v>
      </c>
      <c r="D8">
        <v>13.99374961853027</v>
      </c>
      <c r="E8">
        <v>13.43649959564209</v>
      </c>
      <c r="F8">
        <v>13.82100009918213</v>
      </c>
      <c r="G8">
        <v>13.74600696563721</v>
      </c>
      <c r="H8">
        <v>511316000</v>
      </c>
      <c r="I8" t="s">
        <v>54</v>
      </c>
      <c r="J8" t="s">
        <v>55</v>
      </c>
      <c r="K8" t="s">
        <v>37</v>
      </c>
    </row>
    <row r="9" spans="1:11" ht="20" customHeight="1">
      <c r="A9" t="s">
        <v>22</v>
      </c>
      <c r="B9" t="s">
        <v>56</v>
      </c>
      <c r="C9">
        <v>14.70374965667725</v>
      </c>
      <c r="D9">
        <v>14.72675037384033</v>
      </c>
      <c r="E9">
        <v>13.89999961853027</v>
      </c>
      <c r="F9">
        <v>14.34650039672852</v>
      </c>
      <c r="G9">
        <v>14.26865291595459</v>
      </c>
      <c r="H9">
        <v>874012000</v>
      </c>
      <c r="I9" t="s">
        <v>57</v>
      </c>
      <c r="J9" t="s">
        <v>58</v>
      </c>
      <c r="K9" t="s">
        <v>37</v>
      </c>
    </row>
    <row r="10" spans="1:11" ht="20" customHeight="1">
      <c r="A10" t="s">
        <v>22</v>
      </c>
      <c r="B10" t="s">
        <v>59</v>
      </c>
      <c r="C10">
        <v>13.82874965667725</v>
      </c>
      <c r="D10">
        <v>13.88449954986572</v>
      </c>
      <c r="E10">
        <v>12.87874984741211</v>
      </c>
      <c r="F10">
        <v>13.01550006866455</v>
      </c>
      <c r="G10">
        <v>12.94487476348877</v>
      </c>
      <c r="H10">
        <v>945128000</v>
      </c>
      <c r="I10" t="s">
        <v>60</v>
      </c>
      <c r="J10" t="s">
        <v>61</v>
      </c>
      <c r="K10" t="s">
        <v>37</v>
      </c>
    </row>
    <row r="11" spans="1:11" ht="20" customHeight="1">
      <c r="A11" t="s">
        <v>22</v>
      </c>
      <c r="B11" t="s">
        <v>62</v>
      </c>
      <c r="C11">
        <v>12.7837495803833</v>
      </c>
      <c r="D11">
        <v>13.17500019073486</v>
      </c>
      <c r="E11">
        <v>11.70475006103516</v>
      </c>
      <c r="F11">
        <v>12.6225004196167</v>
      </c>
      <c r="G11">
        <v>12.55401039123535</v>
      </c>
      <c r="H11">
        <v>1463684000</v>
      </c>
      <c r="I11" t="s">
        <v>63</v>
      </c>
      <c r="J11" t="s">
        <v>64</v>
      </c>
      <c r="K11" t="s">
        <v>37</v>
      </c>
    </row>
    <row r="12" spans="1:11" ht="20" customHeight="1">
      <c r="A12" t="s">
        <v>22</v>
      </c>
      <c r="B12" t="s">
        <v>65</v>
      </c>
      <c r="C12">
        <v>11.73449993133545</v>
      </c>
      <c r="D12">
        <v>12.55000019073486</v>
      </c>
      <c r="E12">
        <v>11.70425033569336</v>
      </c>
      <c r="F12">
        <v>11.91300010681152</v>
      </c>
      <c r="G12">
        <v>11.84835815429688</v>
      </c>
      <c r="H12">
        <v>795728000</v>
      </c>
      <c r="I12" t="s">
        <v>66</v>
      </c>
      <c r="J12" t="s">
        <v>67</v>
      </c>
      <c r="K12" t="s">
        <v>37</v>
      </c>
    </row>
    <row r="13" spans="1:11" ht="20" customHeight="1">
      <c r="A13" t="s">
        <v>22</v>
      </c>
      <c r="B13" t="s">
        <v>68</v>
      </c>
      <c r="C13">
        <v>12.39999961853027</v>
      </c>
      <c r="D13">
        <v>12.80924987792969</v>
      </c>
      <c r="E13">
        <v>12.23174953460693</v>
      </c>
      <c r="F13">
        <v>12.71500015258789</v>
      </c>
      <c r="G13">
        <v>12.64600658416748</v>
      </c>
      <c r="H13">
        <v>736200000</v>
      </c>
      <c r="I13" t="s">
        <v>69</v>
      </c>
      <c r="J13" t="s">
        <v>70</v>
      </c>
      <c r="K13" t="s">
        <v>37</v>
      </c>
    </row>
    <row r="14" spans="1:11" ht="20" customHeight="1">
      <c r="A14" t="s">
        <v>22</v>
      </c>
      <c r="B14" t="s">
        <v>71</v>
      </c>
      <c r="C14">
        <v>12.98925018310547</v>
      </c>
      <c r="D14">
        <v>13.06525039672852</v>
      </c>
      <c r="E14">
        <v>12.16699981689453</v>
      </c>
      <c r="F14">
        <v>12.3117504119873</v>
      </c>
      <c r="G14">
        <v>12.24494552612305</v>
      </c>
      <c r="H14">
        <v>698684000</v>
      </c>
      <c r="I14" t="s">
        <v>72</v>
      </c>
      <c r="J14" t="s">
        <v>73</v>
      </c>
      <c r="K14" t="s">
        <v>37</v>
      </c>
    </row>
    <row r="15" spans="1:11" ht="20" customHeight="1">
      <c r="A15" t="s">
        <v>22</v>
      </c>
      <c r="B15" t="s">
        <v>74</v>
      </c>
      <c r="C15">
        <v>12.48550033569336</v>
      </c>
      <c r="D15">
        <v>12.65250015258789</v>
      </c>
      <c r="E15">
        <v>11.89575004577637</v>
      </c>
      <c r="F15">
        <v>12.16450023651123</v>
      </c>
      <c r="G15">
        <v>12.09849452972412</v>
      </c>
      <c r="H15">
        <v>636928000</v>
      </c>
      <c r="I15" t="s">
        <v>75</v>
      </c>
      <c r="J15" t="s">
        <v>76</v>
      </c>
      <c r="K15" t="s">
        <v>37</v>
      </c>
    </row>
    <row r="16" spans="1:11" ht="20" customHeight="1">
      <c r="A16" t="s">
        <v>22</v>
      </c>
      <c r="B16" t="s">
        <v>77</v>
      </c>
      <c r="C16">
        <v>13.08100032806396</v>
      </c>
      <c r="D16">
        <v>13.3149995803833</v>
      </c>
      <c r="E16">
        <v>12.63125038146973</v>
      </c>
      <c r="F16">
        <v>12.87224960327148</v>
      </c>
      <c r="G16">
        <v>12.80240345001221</v>
      </c>
      <c r="H16">
        <v>1201744000</v>
      </c>
      <c r="I16" t="s">
        <v>78</v>
      </c>
      <c r="J16" t="s">
        <v>79</v>
      </c>
      <c r="K16" t="s">
        <v>37</v>
      </c>
    </row>
    <row r="17" spans="1:11" ht="20" customHeight="1">
      <c r="A17" t="s">
        <v>22</v>
      </c>
      <c r="B17" t="s">
        <v>80</v>
      </c>
      <c r="C17">
        <v>13.27999973297119</v>
      </c>
      <c r="D17">
        <v>13.29874992370605</v>
      </c>
      <c r="E17">
        <v>12.82775020599365</v>
      </c>
      <c r="F17">
        <v>12.99100017547607</v>
      </c>
      <c r="G17">
        <v>12.92051124572754</v>
      </c>
      <c r="H17">
        <v>727556000</v>
      </c>
      <c r="I17" t="s">
        <v>81</v>
      </c>
      <c r="J17" t="s">
        <v>82</v>
      </c>
      <c r="K17" t="s">
        <v>37</v>
      </c>
    </row>
    <row r="18" spans="1:11" ht="20" customHeight="1">
      <c r="A18" t="s">
        <v>22</v>
      </c>
      <c r="B18" t="s">
        <v>83</v>
      </c>
      <c r="C18">
        <v>12.95724964141846</v>
      </c>
      <c r="D18">
        <v>13.09274959564209</v>
      </c>
      <c r="E18">
        <v>12.51375007629395</v>
      </c>
      <c r="F18">
        <v>12.51449966430664</v>
      </c>
      <c r="G18">
        <v>12.44659519195557</v>
      </c>
      <c r="H18">
        <v>556384000</v>
      </c>
      <c r="I18" t="s">
        <v>84</v>
      </c>
      <c r="J18" t="s">
        <v>85</v>
      </c>
      <c r="K18" t="s">
        <v>37</v>
      </c>
    </row>
    <row r="19" spans="1:11" ht="20" customHeight="1">
      <c r="A19" t="s">
        <v>22</v>
      </c>
      <c r="B19" t="s">
        <v>86</v>
      </c>
      <c r="C19">
        <v>12.13224983215332</v>
      </c>
      <c r="D19">
        <v>12.58975028991699</v>
      </c>
      <c r="E19">
        <v>12.03474998474121</v>
      </c>
      <c r="F19">
        <v>12.46350002288818</v>
      </c>
      <c r="G19">
        <v>12.39587116241455</v>
      </c>
      <c r="H19">
        <v>792512000</v>
      </c>
      <c r="I19" t="s">
        <v>87</v>
      </c>
      <c r="J19" t="s">
        <v>88</v>
      </c>
      <c r="K19" t="s">
        <v>37</v>
      </c>
    </row>
    <row r="20" spans="1:11" ht="20" customHeight="1">
      <c r="A20" t="s">
        <v>22</v>
      </c>
      <c r="B20" t="s">
        <v>89</v>
      </c>
      <c r="C20">
        <v>12.59375</v>
      </c>
      <c r="D20">
        <v>12.63249969482422</v>
      </c>
      <c r="E20">
        <v>11.98875045776367</v>
      </c>
      <c r="F20">
        <v>12.18924999237061</v>
      </c>
      <c r="G20">
        <v>12.12310695648193</v>
      </c>
      <c r="H20">
        <v>698460000</v>
      </c>
      <c r="I20" t="s">
        <v>90</v>
      </c>
      <c r="J20" t="s">
        <v>91</v>
      </c>
      <c r="K20" t="s">
        <v>37</v>
      </c>
    </row>
    <row r="21" spans="1:11" ht="20" customHeight="1">
      <c r="A21" t="s">
        <v>22</v>
      </c>
      <c r="B21" t="s">
        <v>92</v>
      </c>
      <c r="C21">
        <v>11.92500019073486</v>
      </c>
      <c r="D21">
        <v>12.52250003814697</v>
      </c>
      <c r="E21">
        <v>11.90450000762939</v>
      </c>
      <c r="F21">
        <v>12.51725006103516</v>
      </c>
      <c r="G21">
        <v>12.44933223724365</v>
      </c>
      <c r="H21">
        <v>721044000</v>
      </c>
      <c r="I21" t="s">
        <v>93</v>
      </c>
      <c r="J21" t="s">
        <v>94</v>
      </c>
      <c r="K21" t="s">
        <v>37</v>
      </c>
    </row>
    <row r="22" spans="1:11" ht="20" customHeight="1">
      <c r="A22" t="s">
        <v>22</v>
      </c>
      <c r="B22" t="s">
        <v>95</v>
      </c>
      <c r="C22">
        <v>12.57499980926514</v>
      </c>
      <c r="D22">
        <v>12.64799976348877</v>
      </c>
      <c r="E22">
        <v>12.1555004119873</v>
      </c>
      <c r="F22">
        <v>12.63774967193604</v>
      </c>
      <c r="G22">
        <v>12.56917381286621</v>
      </c>
      <c r="H22">
        <v>646452000</v>
      </c>
      <c r="I22" t="s">
        <v>96</v>
      </c>
      <c r="J22" t="s">
        <v>97</v>
      </c>
      <c r="K22" t="s">
        <v>37</v>
      </c>
    </row>
    <row r="23" spans="1:11" ht="20" customHeight="1">
      <c r="A23" t="s">
        <v>22</v>
      </c>
      <c r="B23" t="s">
        <v>98</v>
      </c>
      <c r="C23">
        <v>12.57549953460693</v>
      </c>
      <c r="D23">
        <v>12.72700023651123</v>
      </c>
      <c r="E23">
        <v>12.07925033569336</v>
      </c>
      <c r="F23">
        <v>12.12374973297119</v>
      </c>
      <c r="G23">
        <v>12.05796527862549</v>
      </c>
      <c r="H23">
        <v>647012000</v>
      </c>
      <c r="I23" t="s">
        <v>99</v>
      </c>
      <c r="J23" t="s">
        <v>100</v>
      </c>
      <c r="K23" t="s">
        <v>37</v>
      </c>
    </row>
    <row r="24" spans="1:11" ht="20" customHeight="1">
      <c r="A24" t="s">
        <v>22</v>
      </c>
      <c r="B24" t="s">
        <v>101</v>
      </c>
      <c r="C24">
        <v>12.07225036621094</v>
      </c>
      <c r="D24">
        <v>12.56949996948242</v>
      </c>
      <c r="E24">
        <v>12.01399993896484</v>
      </c>
      <c r="F24">
        <v>12.34799957275391</v>
      </c>
      <c r="G24">
        <v>12.28099822998047</v>
      </c>
      <c r="H24">
        <v>731240000</v>
      </c>
      <c r="I24" t="s">
        <v>102</v>
      </c>
      <c r="J24" t="s">
        <v>103</v>
      </c>
      <c r="K24" t="s">
        <v>37</v>
      </c>
    </row>
    <row r="25" spans="1:11" ht="20" customHeight="1">
      <c r="A25" t="s">
        <v>22</v>
      </c>
      <c r="B25" t="s">
        <v>104</v>
      </c>
      <c r="C25">
        <v>12.44750022888184</v>
      </c>
      <c r="D25">
        <v>12.88350009918213</v>
      </c>
      <c r="E25">
        <v>12.24575042724609</v>
      </c>
      <c r="F25">
        <v>12.87374973297119</v>
      </c>
      <c r="G25">
        <v>12.80389499664307</v>
      </c>
      <c r="H25">
        <v>588016000</v>
      </c>
      <c r="I25" t="s">
        <v>105</v>
      </c>
      <c r="J25" t="s">
        <v>106</v>
      </c>
      <c r="K25" t="s">
        <v>37</v>
      </c>
    </row>
    <row r="26" spans="1:11" ht="20" customHeight="1">
      <c r="A26" t="s">
        <v>22</v>
      </c>
      <c r="B26" t="s">
        <v>107</v>
      </c>
      <c r="C26">
        <v>13.04024982452393</v>
      </c>
      <c r="D26">
        <v>13.05175018310547</v>
      </c>
      <c r="E26">
        <v>12.75</v>
      </c>
      <c r="F26">
        <v>13.03499984741211</v>
      </c>
      <c r="G26">
        <v>12.96426773071289</v>
      </c>
      <c r="H26">
        <v>573808000</v>
      </c>
      <c r="I26" t="s">
        <v>108</v>
      </c>
      <c r="J26" t="s">
        <v>109</v>
      </c>
      <c r="K26" t="s">
        <v>37</v>
      </c>
    </row>
    <row r="27" spans="1:11" ht="20" customHeight="1">
      <c r="A27" t="s">
        <v>22</v>
      </c>
      <c r="B27" t="s">
        <v>110</v>
      </c>
      <c r="C27">
        <v>12.9375</v>
      </c>
      <c r="D27">
        <v>13.44274997711182</v>
      </c>
      <c r="E27">
        <v>12.93325042724609</v>
      </c>
      <c r="F27">
        <v>13.22574996948242</v>
      </c>
      <c r="G27">
        <v>13.15398406982422</v>
      </c>
      <c r="H27">
        <v>621460000</v>
      </c>
      <c r="I27" t="s">
        <v>111</v>
      </c>
      <c r="J27" t="s">
        <v>112</v>
      </c>
      <c r="K27" t="s">
        <v>37</v>
      </c>
    </row>
    <row r="28" spans="1:11" ht="20" customHeight="1">
      <c r="A28" t="s">
        <v>22</v>
      </c>
      <c r="B28" t="s">
        <v>113</v>
      </c>
      <c r="C28">
        <v>13.15750026702881</v>
      </c>
      <c r="D28">
        <v>13.6225004196167</v>
      </c>
      <c r="E28">
        <v>13.15025043487549</v>
      </c>
      <c r="F28">
        <v>13.5305004119873</v>
      </c>
      <c r="G28">
        <v>13.45708084106445</v>
      </c>
      <c r="H28">
        <v>689184000</v>
      </c>
      <c r="I28" t="s">
        <v>114</v>
      </c>
      <c r="J28" t="s">
        <v>115</v>
      </c>
      <c r="K28" t="s">
        <v>37</v>
      </c>
    </row>
    <row r="29" spans="1:11" ht="20" customHeight="1">
      <c r="A29" t="s">
        <v>22</v>
      </c>
      <c r="B29" t="s">
        <v>116</v>
      </c>
      <c r="C29">
        <v>13.75800037384033</v>
      </c>
      <c r="D29">
        <v>13.76274967193604</v>
      </c>
      <c r="E29">
        <v>13.46074962615967</v>
      </c>
      <c r="F29">
        <v>13.61450004577637</v>
      </c>
      <c r="G29">
        <v>13.54062271118164</v>
      </c>
      <c r="H29">
        <v>525004000</v>
      </c>
      <c r="I29" t="s">
        <v>117</v>
      </c>
      <c r="J29" t="s">
        <v>118</v>
      </c>
      <c r="K29" t="s">
        <v>37</v>
      </c>
    </row>
    <row r="30" spans="1:11" ht="20" customHeight="1">
      <c r="A30" t="s">
        <v>22</v>
      </c>
      <c r="B30" t="s">
        <v>119</v>
      </c>
      <c r="C30">
        <v>13.22500038146973</v>
      </c>
      <c r="D30">
        <v>13.51949977874756</v>
      </c>
      <c r="E30">
        <v>13.05099964141846</v>
      </c>
      <c r="F30">
        <v>13.0622501373291</v>
      </c>
      <c r="G30">
        <v>12.99137306213379</v>
      </c>
      <c r="H30">
        <v>552496000</v>
      </c>
      <c r="I30" t="s">
        <v>120</v>
      </c>
      <c r="J30" t="s">
        <v>121</v>
      </c>
      <c r="K30" t="s">
        <v>37</v>
      </c>
    </row>
    <row r="31" spans="1:11" ht="20" customHeight="1">
      <c r="A31" t="s">
        <v>22</v>
      </c>
      <c r="B31" t="s">
        <v>122</v>
      </c>
      <c r="C31">
        <v>13.23600006103516</v>
      </c>
      <c r="D31">
        <v>13.64424991607666</v>
      </c>
      <c r="E31">
        <v>13.22274971008301</v>
      </c>
      <c r="F31">
        <v>13.64249992370605</v>
      </c>
      <c r="G31">
        <v>13.56847381591797</v>
      </c>
      <c r="H31">
        <v>479820000</v>
      </c>
      <c r="I31" t="s">
        <v>123</v>
      </c>
      <c r="J31" t="s">
        <v>124</v>
      </c>
      <c r="K31" t="s">
        <v>37</v>
      </c>
    </row>
    <row r="32" spans="1:11" ht="20" customHeight="1">
      <c r="A32" t="s">
        <v>22</v>
      </c>
      <c r="B32" t="s">
        <v>125</v>
      </c>
      <c r="C32">
        <v>13.82999992370605</v>
      </c>
      <c r="D32">
        <v>14.14200019836426</v>
      </c>
      <c r="E32">
        <v>13.66499996185303</v>
      </c>
      <c r="F32">
        <v>13.73649978637695</v>
      </c>
      <c r="G32">
        <v>13.66196346282959</v>
      </c>
      <c r="H32">
        <v>784420000</v>
      </c>
      <c r="I32" t="s">
        <v>126</v>
      </c>
      <c r="J32" t="s">
        <v>127</v>
      </c>
      <c r="K32" t="s">
        <v>37</v>
      </c>
    </row>
    <row r="33" spans="1:11" ht="20" customHeight="1">
      <c r="A33" t="s">
        <v>22</v>
      </c>
      <c r="B33" t="s">
        <v>128</v>
      </c>
      <c r="C33">
        <v>13.9997501373291</v>
      </c>
      <c r="D33">
        <v>14.11925029754639</v>
      </c>
      <c r="E33">
        <v>13.86349964141846</v>
      </c>
      <c r="F33">
        <v>13.96399974822998</v>
      </c>
      <c r="G33">
        <v>13.88822746276855</v>
      </c>
      <c r="H33">
        <v>418084000</v>
      </c>
      <c r="I33" t="s">
        <v>129</v>
      </c>
      <c r="J33" t="s">
        <v>130</v>
      </c>
      <c r="K33" t="s">
        <v>37</v>
      </c>
    </row>
    <row r="34" spans="1:11" ht="20" customHeight="1">
      <c r="A34" t="s">
        <v>22</v>
      </c>
      <c r="B34" t="s">
        <v>131</v>
      </c>
      <c r="C34">
        <v>14.07499980926514</v>
      </c>
      <c r="D34">
        <v>14.08450031280518</v>
      </c>
      <c r="E34">
        <v>13.75800037384033</v>
      </c>
      <c r="F34">
        <v>13.83874988555908</v>
      </c>
      <c r="G34">
        <v>13.7636604309082</v>
      </c>
      <c r="H34">
        <v>378900000</v>
      </c>
      <c r="I34" t="s">
        <v>132</v>
      </c>
      <c r="J34" t="s">
        <v>133</v>
      </c>
      <c r="K34" t="s">
        <v>37</v>
      </c>
    </row>
    <row r="35" spans="1:11" ht="20" customHeight="1">
      <c r="A35" t="s">
        <v>22</v>
      </c>
      <c r="B35" t="s">
        <v>134</v>
      </c>
      <c r="C35">
        <v>13.76700019836426</v>
      </c>
      <c r="D35">
        <v>13.82425022125244</v>
      </c>
      <c r="E35">
        <v>13.66075038909912</v>
      </c>
      <c r="F35">
        <v>13.76274967193604</v>
      </c>
      <c r="G35">
        <v>13.68807220458984</v>
      </c>
      <c r="H35">
        <v>346892000</v>
      </c>
      <c r="I35" t="s">
        <v>135</v>
      </c>
      <c r="J35" t="s">
        <v>136</v>
      </c>
      <c r="K35" t="s">
        <v>37</v>
      </c>
    </row>
    <row r="36" spans="1:11" ht="20" customHeight="1">
      <c r="A36" t="s">
        <v>22</v>
      </c>
      <c r="B36" t="s">
        <v>137</v>
      </c>
      <c r="C36">
        <v>13.98950004577637</v>
      </c>
      <c r="D36">
        <v>14.34700012207031</v>
      </c>
      <c r="E36">
        <v>13.91250038146973</v>
      </c>
      <c r="F36">
        <v>14.22599983215332</v>
      </c>
      <c r="G36">
        <v>14.14880657196045</v>
      </c>
      <c r="H36">
        <v>434744000</v>
      </c>
      <c r="I36" t="s">
        <v>138</v>
      </c>
      <c r="J36" t="s">
        <v>139</v>
      </c>
      <c r="K36" t="s">
        <v>37</v>
      </c>
    </row>
    <row r="37" spans="1:11" ht="20" customHeight="1">
      <c r="A37" t="s">
        <v>22</v>
      </c>
      <c r="B37" t="s">
        <v>140</v>
      </c>
      <c r="C37">
        <v>14.29650020599365</v>
      </c>
      <c r="D37">
        <v>14.34850025177002</v>
      </c>
      <c r="E37">
        <v>14.01875019073486</v>
      </c>
      <c r="F37">
        <v>14.24825000762939</v>
      </c>
      <c r="G37">
        <v>14.17093849182129</v>
      </c>
      <c r="H37">
        <v>344604000</v>
      </c>
      <c r="I37" t="s">
        <v>141</v>
      </c>
      <c r="J37" t="s">
        <v>142</v>
      </c>
      <c r="K37" t="s">
        <v>37</v>
      </c>
    </row>
    <row r="38" spans="1:11" ht="20" customHeight="1">
      <c r="A38" t="s">
        <v>22</v>
      </c>
      <c r="B38" t="s">
        <v>143</v>
      </c>
      <c r="C38">
        <v>14.29049968719482</v>
      </c>
      <c r="D38">
        <v>14.34274959564209</v>
      </c>
      <c r="E38">
        <v>13.96000003814697</v>
      </c>
      <c r="F38">
        <v>14.09525012969971</v>
      </c>
      <c r="G38">
        <v>14.01876926422119</v>
      </c>
      <c r="H38">
        <v>276100000</v>
      </c>
      <c r="I38" t="s">
        <v>144</v>
      </c>
      <c r="J38" t="s">
        <v>145</v>
      </c>
      <c r="K38" t="s">
        <v>37</v>
      </c>
    </row>
    <row r="39" spans="1:11" ht="20" customHeight="1">
      <c r="A39" t="s">
        <v>22</v>
      </c>
      <c r="B39" t="s">
        <v>146</v>
      </c>
      <c r="C39">
        <v>13.81075000762939</v>
      </c>
      <c r="D39">
        <v>14.00574970245361</v>
      </c>
      <c r="E39">
        <v>13.76774978637695</v>
      </c>
      <c r="F39">
        <v>13.97000026702881</v>
      </c>
      <c r="G39">
        <v>13.89419746398926</v>
      </c>
      <c r="H39">
        <v>267224000</v>
      </c>
      <c r="I39" t="s">
        <v>147</v>
      </c>
      <c r="J39" t="s">
        <v>148</v>
      </c>
      <c r="K39" t="s">
        <v>37</v>
      </c>
    </row>
    <row r="40" spans="1:11" ht="20" customHeight="1">
      <c r="A40" t="s">
        <v>22</v>
      </c>
      <c r="B40" t="s">
        <v>149</v>
      </c>
      <c r="C40">
        <v>14.03674983978271</v>
      </c>
      <c r="D40">
        <v>14.12150001525879</v>
      </c>
      <c r="E40">
        <v>13.79249954223633</v>
      </c>
      <c r="F40">
        <v>13.81149959564209</v>
      </c>
      <c r="G40">
        <v>13.73655605316162</v>
      </c>
      <c r="H40">
        <v>242392000</v>
      </c>
      <c r="I40" t="s">
        <v>150</v>
      </c>
      <c r="J40" t="s">
        <v>151</v>
      </c>
      <c r="K40" t="s">
        <v>37</v>
      </c>
    </row>
    <row r="41" spans="1:11" ht="20" customHeight="1">
      <c r="A41" t="s">
        <v>22</v>
      </c>
      <c r="B41" t="s">
        <v>152</v>
      </c>
      <c r="C41">
        <v>13.90299987792969</v>
      </c>
      <c r="D41">
        <v>13.98349952697754</v>
      </c>
      <c r="E41">
        <v>13.4067497253418</v>
      </c>
      <c r="F41">
        <v>13.4977502822876</v>
      </c>
      <c r="G41">
        <v>13.4245080947876</v>
      </c>
      <c r="H41">
        <v>298068000</v>
      </c>
      <c r="I41" t="s">
        <v>153</v>
      </c>
      <c r="J41" t="s">
        <v>154</v>
      </c>
      <c r="K41" t="s">
        <v>37</v>
      </c>
    </row>
    <row r="42" spans="1:11" ht="20" customHeight="1">
      <c r="A42" t="s">
        <v>22</v>
      </c>
      <c r="B42" t="s">
        <v>155</v>
      </c>
      <c r="C42">
        <v>13.58349990844727</v>
      </c>
      <c r="D42">
        <v>13.79975032806396</v>
      </c>
      <c r="E42">
        <v>13.50699996948242</v>
      </c>
      <c r="F42">
        <v>13.64550018310547</v>
      </c>
      <c r="G42">
        <v>13.57145881652832</v>
      </c>
      <c r="H42">
        <v>229212000</v>
      </c>
      <c r="I42" t="s">
        <v>156</v>
      </c>
      <c r="J42" t="s">
        <v>157</v>
      </c>
      <c r="K42" t="s">
        <v>37</v>
      </c>
    </row>
    <row r="43" spans="1:11" ht="20" customHeight="1">
      <c r="A43" t="s">
        <v>22</v>
      </c>
      <c r="B43" t="s">
        <v>158</v>
      </c>
      <c r="C43">
        <v>13.625</v>
      </c>
      <c r="D43">
        <v>13.79150009155273</v>
      </c>
      <c r="E43">
        <v>13.47749996185303</v>
      </c>
      <c r="F43">
        <v>13.52474975585938</v>
      </c>
      <c r="G43">
        <v>13.4513635635376</v>
      </c>
      <c r="H43">
        <v>219596000</v>
      </c>
      <c r="I43" t="s">
        <v>159</v>
      </c>
      <c r="J43" t="s">
        <v>160</v>
      </c>
      <c r="K43" t="s">
        <v>37</v>
      </c>
    </row>
    <row r="44" spans="1:11" ht="20" customHeight="1">
      <c r="A44" t="s">
        <v>22</v>
      </c>
      <c r="B44" t="s">
        <v>161</v>
      </c>
      <c r="C44">
        <v>13.52250003814697</v>
      </c>
      <c r="D44">
        <v>13.61174964904785</v>
      </c>
      <c r="E44">
        <v>13.23174953460693</v>
      </c>
      <c r="F44">
        <v>13.36100006103516</v>
      </c>
      <c r="G44">
        <v>13.28849983215332</v>
      </c>
      <c r="H44">
        <v>290480000</v>
      </c>
      <c r="I44" t="s">
        <v>162</v>
      </c>
      <c r="J44" t="s">
        <v>163</v>
      </c>
      <c r="K44" t="s">
        <v>37</v>
      </c>
    </row>
    <row r="45" spans="1:11" ht="20" customHeight="1">
      <c r="A45" t="s">
        <v>22</v>
      </c>
      <c r="B45" t="s">
        <v>164</v>
      </c>
      <c r="C45">
        <v>13.44999980926514</v>
      </c>
      <c r="D45">
        <v>13.5932502746582</v>
      </c>
      <c r="E45">
        <v>13.29125022888184</v>
      </c>
      <c r="F45">
        <v>13.59025001525879</v>
      </c>
      <c r="G45">
        <v>13.51650810241699</v>
      </c>
      <c r="H45">
        <v>233484000</v>
      </c>
      <c r="I45" t="s">
        <v>165</v>
      </c>
      <c r="J45" t="s">
        <v>166</v>
      </c>
      <c r="K45" t="s">
        <v>37</v>
      </c>
    </row>
    <row r="46" spans="1:11" ht="20" customHeight="1">
      <c r="A46" t="s">
        <v>22</v>
      </c>
      <c r="B46" t="s">
        <v>167</v>
      </c>
      <c r="C46">
        <v>13.42700004577637</v>
      </c>
      <c r="D46">
        <v>13.69274997711182</v>
      </c>
      <c r="E46">
        <v>13.03849983215332</v>
      </c>
      <c r="F46">
        <v>13.14124965667725</v>
      </c>
      <c r="G46">
        <v>13.06994438171387</v>
      </c>
      <c r="H46">
        <v>336896000</v>
      </c>
      <c r="I46" t="s">
        <v>168</v>
      </c>
      <c r="J46" t="s">
        <v>169</v>
      </c>
      <c r="K46" t="s">
        <v>37</v>
      </c>
    </row>
    <row r="47" spans="1:11" ht="20" customHeight="1">
      <c r="A47" t="s">
        <v>22</v>
      </c>
      <c r="B47" t="s">
        <v>170</v>
      </c>
      <c r="C47">
        <v>13.30599975585938</v>
      </c>
      <c r="D47">
        <v>13.44200038909912</v>
      </c>
      <c r="E47">
        <v>13.19149971008301</v>
      </c>
      <c r="F47">
        <v>13.39675045013428</v>
      </c>
      <c r="G47">
        <v>13.32405757904053</v>
      </c>
      <c r="H47">
        <v>250520000</v>
      </c>
      <c r="I47" t="s">
        <v>171</v>
      </c>
      <c r="J47" t="s">
        <v>172</v>
      </c>
      <c r="K47" t="s">
        <v>37</v>
      </c>
    </row>
    <row r="48" spans="1:11" ht="20" customHeight="1">
      <c r="A48" t="s">
        <v>22</v>
      </c>
      <c r="B48" t="s">
        <v>173</v>
      </c>
      <c r="C48">
        <v>13.19799995422363</v>
      </c>
      <c r="D48">
        <v>13.26000022888184</v>
      </c>
      <c r="E48">
        <v>12.60900020599365</v>
      </c>
      <c r="F48">
        <v>12.6269998550415</v>
      </c>
      <c r="G48">
        <v>12.55848503112793</v>
      </c>
      <c r="H48">
        <v>376520000</v>
      </c>
      <c r="I48" t="s">
        <v>174</v>
      </c>
      <c r="J48" t="s">
        <v>175</v>
      </c>
      <c r="K48" t="s">
        <v>37</v>
      </c>
    </row>
    <row r="49" spans="1:11" ht="20" customHeight="1">
      <c r="A49" t="s">
        <v>22</v>
      </c>
      <c r="B49" t="s">
        <v>176</v>
      </c>
      <c r="C49">
        <v>12.83850002288818</v>
      </c>
      <c r="D49">
        <v>13.19274997711182</v>
      </c>
      <c r="E49">
        <v>12.75</v>
      </c>
      <c r="F49">
        <v>13.02400016784668</v>
      </c>
      <c r="G49">
        <v>12.95332908630371</v>
      </c>
      <c r="H49">
        <v>320080000</v>
      </c>
      <c r="I49" t="s">
        <v>177</v>
      </c>
      <c r="J49" t="s">
        <v>178</v>
      </c>
      <c r="K49" t="s">
        <v>37</v>
      </c>
    </row>
    <row r="50" spans="1:11" ht="20" customHeight="1">
      <c r="A50" t="s">
        <v>22</v>
      </c>
      <c r="B50" t="s">
        <v>179</v>
      </c>
      <c r="C50">
        <v>12.85000038146973</v>
      </c>
      <c r="D50">
        <v>12.93649959564209</v>
      </c>
      <c r="E50">
        <v>12.30000019073486</v>
      </c>
      <c r="F50">
        <v>12.53400039672852</v>
      </c>
      <c r="G50">
        <v>12.46598815917969</v>
      </c>
      <c r="H50">
        <v>416820000</v>
      </c>
      <c r="I50" t="s">
        <v>180</v>
      </c>
      <c r="J50" t="s">
        <v>181</v>
      </c>
      <c r="K50" t="s">
        <v>37</v>
      </c>
    </row>
    <row r="51" spans="1:11" ht="20" customHeight="1">
      <c r="A51" t="s">
        <v>22</v>
      </c>
      <c r="B51" t="s">
        <v>182</v>
      </c>
      <c r="C51">
        <v>12.65775012969971</v>
      </c>
      <c r="D51">
        <v>12.83675003051758</v>
      </c>
      <c r="E51">
        <v>12.39500045776367</v>
      </c>
      <c r="F51">
        <v>12.58075046539307</v>
      </c>
      <c r="G51">
        <v>12.51248359680176</v>
      </c>
      <c r="H51">
        <v>299652000</v>
      </c>
      <c r="I51" t="s">
        <v>183</v>
      </c>
      <c r="J51" t="s">
        <v>184</v>
      </c>
      <c r="K51" t="s">
        <v>37</v>
      </c>
    </row>
    <row r="52" spans="1:11" ht="20" customHeight="1">
      <c r="A52" t="s">
        <v>22</v>
      </c>
      <c r="B52" t="s">
        <v>185</v>
      </c>
      <c r="C52">
        <v>12.70849990844727</v>
      </c>
      <c r="D52">
        <v>13.10499954223633</v>
      </c>
      <c r="E52">
        <v>12.60274982452393</v>
      </c>
      <c r="F52">
        <v>13.01949977874756</v>
      </c>
      <c r="G52">
        <v>12.94885349273682</v>
      </c>
      <c r="H52">
        <v>272900000</v>
      </c>
      <c r="I52" t="s">
        <v>186</v>
      </c>
      <c r="J52" t="s">
        <v>187</v>
      </c>
      <c r="K52" t="s">
        <v>37</v>
      </c>
    </row>
    <row r="53" spans="1:11" ht="20" customHeight="1">
      <c r="A53" t="s">
        <v>22</v>
      </c>
      <c r="B53" t="s">
        <v>188</v>
      </c>
      <c r="C53">
        <v>13.38924980163574</v>
      </c>
      <c r="D53">
        <v>13.82750034332275</v>
      </c>
      <c r="E53">
        <v>13.33699989318848</v>
      </c>
      <c r="F53">
        <v>13.79424953460693</v>
      </c>
      <c r="G53">
        <v>13.71940040588379</v>
      </c>
      <c r="H53">
        <v>410228000</v>
      </c>
      <c r="I53" t="s">
        <v>189</v>
      </c>
      <c r="J53" t="s">
        <v>190</v>
      </c>
      <c r="K53" t="s">
        <v>37</v>
      </c>
    </row>
    <row r="54" spans="1:11" ht="20" customHeight="1">
      <c r="A54" t="s">
        <v>22</v>
      </c>
      <c r="B54" t="s">
        <v>191</v>
      </c>
      <c r="C54">
        <v>14.16250038146973</v>
      </c>
      <c r="D54">
        <v>14.33899974822998</v>
      </c>
      <c r="E54">
        <v>13.99100017547607</v>
      </c>
      <c r="F54">
        <v>14.15999984741211</v>
      </c>
      <c r="G54">
        <v>14.08316612243652</v>
      </c>
      <c r="H54">
        <v>319028000</v>
      </c>
      <c r="I54" t="s">
        <v>192</v>
      </c>
      <c r="J54" t="s">
        <v>193</v>
      </c>
      <c r="K54" t="s">
        <v>37</v>
      </c>
    </row>
    <row r="55" spans="1:11" ht="20" customHeight="1">
      <c r="A55" t="s">
        <v>22</v>
      </c>
      <c r="B55" t="s">
        <v>194</v>
      </c>
      <c r="C55">
        <v>14.10974979400635</v>
      </c>
      <c r="D55">
        <v>14.58874988555908</v>
      </c>
      <c r="E55">
        <v>13.89500045776367</v>
      </c>
      <c r="F55">
        <v>14.5620002746582</v>
      </c>
      <c r="G55">
        <v>14.482985496521</v>
      </c>
      <c r="H55">
        <v>383348000</v>
      </c>
      <c r="I55" t="s">
        <v>195</v>
      </c>
      <c r="J55" t="s">
        <v>196</v>
      </c>
      <c r="K55" t="s">
        <v>37</v>
      </c>
    </row>
    <row r="56" spans="1:11" ht="20" customHeight="1">
      <c r="A56" t="s">
        <v>22</v>
      </c>
      <c r="B56" t="s">
        <v>197</v>
      </c>
      <c r="C56">
        <v>14.55249977111816</v>
      </c>
      <c r="D56">
        <v>14.69149971008301</v>
      </c>
      <c r="E56">
        <v>13.61075019836426</v>
      </c>
      <c r="F56">
        <v>13.63074970245361</v>
      </c>
      <c r="G56">
        <v>13.55678844451904</v>
      </c>
      <c r="H56">
        <v>582976000</v>
      </c>
      <c r="I56" t="s">
        <v>198</v>
      </c>
      <c r="J56" t="s">
        <v>199</v>
      </c>
      <c r="K56" t="s">
        <v>37</v>
      </c>
    </row>
    <row r="57" spans="1:11" ht="20" customHeight="1">
      <c r="A57" t="s">
        <v>22</v>
      </c>
      <c r="B57" t="s">
        <v>200</v>
      </c>
      <c r="C57">
        <v>13.60649967193604</v>
      </c>
      <c r="D57">
        <v>13.60649967193604</v>
      </c>
      <c r="E57">
        <v>12.62825012207031</v>
      </c>
      <c r="F57">
        <v>12.77000045776367</v>
      </c>
      <c r="G57">
        <v>12.70070934295654</v>
      </c>
      <c r="H57">
        <v>644068000</v>
      </c>
      <c r="I57" t="s">
        <v>201</v>
      </c>
      <c r="J57" t="s">
        <v>202</v>
      </c>
      <c r="K57" t="s">
        <v>37</v>
      </c>
    </row>
    <row r="58" spans="1:11" ht="20" customHeight="1">
      <c r="A58" t="s">
        <v>22</v>
      </c>
      <c r="B58" t="s">
        <v>203</v>
      </c>
      <c r="C58">
        <v>13.05375003814697</v>
      </c>
      <c r="D58">
        <v>13.4350004196167</v>
      </c>
      <c r="E58">
        <v>12.94824981689453</v>
      </c>
      <c r="F58">
        <v>13.41800022125244</v>
      </c>
      <c r="G58">
        <v>13.34519100189209</v>
      </c>
      <c r="H58">
        <v>404744000</v>
      </c>
      <c r="I58" t="s">
        <v>204</v>
      </c>
      <c r="J58" t="s">
        <v>205</v>
      </c>
      <c r="K58" t="s">
        <v>37</v>
      </c>
    </row>
    <row r="59" spans="1:11" ht="20" customHeight="1">
      <c r="A59" t="s">
        <v>22</v>
      </c>
      <c r="B59" t="s">
        <v>206</v>
      </c>
      <c r="C59">
        <v>13.47900009155273</v>
      </c>
      <c r="D59">
        <v>13.76599979400635</v>
      </c>
      <c r="E59">
        <v>13.31599998474121</v>
      </c>
      <c r="F59">
        <v>13.45674991607666</v>
      </c>
      <c r="G59">
        <v>13.3837308883667</v>
      </c>
      <c r="H59">
        <v>365812000</v>
      </c>
      <c r="I59" t="s">
        <v>207</v>
      </c>
      <c r="J59" t="s">
        <v>208</v>
      </c>
      <c r="K59" t="s">
        <v>37</v>
      </c>
    </row>
    <row r="60" spans="1:11" ht="20" customHeight="1">
      <c r="A60" t="s">
        <v>22</v>
      </c>
      <c r="B60" t="s">
        <v>209</v>
      </c>
      <c r="C60">
        <v>13.6272497177124</v>
      </c>
      <c r="D60">
        <v>13.66874980926514</v>
      </c>
      <c r="E60">
        <v>13.05924987792969</v>
      </c>
      <c r="F60">
        <v>13.29699993133545</v>
      </c>
      <c r="G60">
        <v>13.2248477935791</v>
      </c>
      <c r="H60">
        <v>346312000</v>
      </c>
      <c r="I60" t="s">
        <v>210</v>
      </c>
      <c r="J60" t="s">
        <v>211</v>
      </c>
      <c r="K60" t="s">
        <v>37</v>
      </c>
    </row>
    <row r="61" spans="1:11" ht="20" customHeight="1">
      <c r="A61" t="s">
        <v>22</v>
      </c>
      <c r="B61" t="s">
        <v>212</v>
      </c>
      <c r="C61">
        <v>13.17249965667725</v>
      </c>
      <c r="D61">
        <v>13.64949989318848</v>
      </c>
      <c r="E61">
        <v>13.1560001373291</v>
      </c>
      <c r="F61">
        <v>13.51525020599365</v>
      </c>
      <c r="G61">
        <v>13.44191455841064</v>
      </c>
      <c r="H61">
        <v>413776000</v>
      </c>
      <c r="I61" t="s">
        <v>213</v>
      </c>
      <c r="J61" t="s">
        <v>214</v>
      </c>
      <c r="K61" t="s">
        <v>37</v>
      </c>
    </row>
    <row r="62" spans="1:11" ht="20" customHeight="1">
      <c r="A62" t="s">
        <v>22</v>
      </c>
      <c r="B62" t="s">
        <v>215</v>
      </c>
      <c r="C62">
        <v>13.55249977111816</v>
      </c>
      <c r="D62">
        <v>13.5962495803833</v>
      </c>
      <c r="E62">
        <v>13.30375003814697</v>
      </c>
      <c r="F62">
        <v>13.42224979400635</v>
      </c>
      <c r="G62">
        <v>13.34941959381104</v>
      </c>
      <c r="H62">
        <v>312028000</v>
      </c>
      <c r="I62" t="s">
        <v>216</v>
      </c>
      <c r="J62" t="s">
        <v>217</v>
      </c>
      <c r="K62" t="s">
        <v>37</v>
      </c>
    </row>
    <row r="63" spans="1:11" ht="20" customHeight="1">
      <c r="A63" t="s">
        <v>22</v>
      </c>
      <c r="B63" t="s">
        <v>218</v>
      </c>
      <c r="C63">
        <v>13.46525001525879</v>
      </c>
      <c r="D63">
        <v>13.60575008392334</v>
      </c>
      <c r="E63">
        <v>13.1850004196167</v>
      </c>
      <c r="F63">
        <v>13.42875003814697</v>
      </c>
      <c r="G63">
        <v>13.355881690979</v>
      </c>
      <c r="H63">
        <v>510924000</v>
      </c>
      <c r="I63" t="s">
        <v>219</v>
      </c>
      <c r="J63" t="s">
        <v>220</v>
      </c>
      <c r="K63" t="s">
        <v>37</v>
      </c>
    </row>
    <row r="64" spans="1:11" ht="20" customHeight="1">
      <c r="A64" t="s">
        <v>22</v>
      </c>
      <c r="B64" t="s">
        <v>221</v>
      </c>
      <c r="C64">
        <v>13.21275043487549</v>
      </c>
      <c r="D64">
        <v>13.48750019073486</v>
      </c>
      <c r="E64">
        <v>13.10000038146973</v>
      </c>
      <c r="F64">
        <v>13.44025039672852</v>
      </c>
      <c r="G64">
        <v>13.3673210144043</v>
      </c>
      <c r="H64">
        <v>565936000</v>
      </c>
      <c r="I64" t="s">
        <v>222</v>
      </c>
      <c r="J64" t="s">
        <v>223</v>
      </c>
      <c r="K64" t="s">
        <v>37</v>
      </c>
    </row>
    <row r="65" spans="1:11" ht="20" customHeight="1">
      <c r="A65" t="s">
        <v>22</v>
      </c>
      <c r="B65" t="s">
        <v>224</v>
      </c>
      <c r="C65">
        <v>13.45400047302246</v>
      </c>
      <c r="D65">
        <v>13.49450016021729</v>
      </c>
      <c r="E65">
        <v>13.0649995803833</v>
      </c>
      <c r="F65">
        <v>13.08775043487549</v>
      </c>
      <c r="G65">
        <v>13.01673221588135</v>
      </c>
      <c r="H65">
        <v>341088000</v>
      </c>
      <c r="I65" t="s">
        <v>225</v>
      </c>
      <c r="J65" t="s">
        <v>226</v>
      </c>
      <c r="K65" t="s">
        <v>37</v>
      </c>
    </row>
    <row r="66" spans="1:11" ht="20" customHeight="1">
      <c r="A66" t="s">
        <v>22</v>
      </c>
      <c r="B66" t="s">
        <v>227</v>
      </c>
      <c r="C66">
        <v>13.17125034332275</v>
      </c>
      <c r="D66">
        <v>13.38249969482422</v>
      </c>
      <c r="E66">
        <v>13.01550006866455</v>
      </c>
      <c r="F66">
        <v>13.14000034332275</v>
      </c>
      <c r="G66">
        <v>13.06869888305664</v>
      </c>
      <c r="H66">
        <v>361356000</v>
      </c>
      <c r="I66" t="s">
        <v>228</v>
      </c>
      <c r="J66" t="s">
        <v>229</v>
      </c>
      <c r="K66" t="s">
        <v>37</v>
      </c>
    </row>
    <row r="67" spans="1:11" ht="20" customHeight="1">
      <c r="A67" t="s">
        <v>22</v>
      </c>
      <c r="B67" t="s">
        <v>230</v>
      </c>
      <c r="C67">
        <v>13.14249992370605</v>
      </c>
      <c r="D67">
        <v>13.16199970245361</v>
      </c>
      <c r="E67">
        <v>12.88500022888184</v>
      </c>
      <c r="F67">
        <v>12.95775032043457</v>
      </c>
      <c r="G67">
        <v>12.88744258880615</v>
      </c>
      <c r="H67">
        <v>346500000</v>
      </c>
      <c r="I67" t="s">
        <v>231</v>
      </c>
      <c r="J67" t="s">
        <v>232</v>
      </c>
      <c r="K67" t="s">
        <v>37</v>
      </c>
    </row>
    <row r="68" spans="1:11" ht="20" customHeight="1">
      <c r="A68" t="s">
        <v>22</v>
      </c>
      <c r="B68" t="s">
        <v>233</v>
      </c>
      <c r="C68">
        <v>13.03250026702881</v>
      </c>
      <c r="D68">
        <v>13.26949977874756</v>
      </c>
      <c r="E68">
        <v>13.02000045776367</v>
      </c>
      <c r="F68">
        <v>13.23474979400635</v>
      </c>
      <c r="G68">
        <v>13.16293621063232</v>
      </c>
      <c r="H68">
        <v>259916000</v>
      </c>
      <c r="I68" t="s">
        <v>234</v>
      </c>
      <c r="J68" t="s">
        <v>235</v>
      </c>
      <c r="K68" t="s">
        <v>37</v>
      </c>
    </row>
    <row r="69" spans="1:11" ht="20" customHeight="1">
      <c r="A69" t="s">
        <v>22</v>
      </c>
      <c r="B69" t="s">
        <v>236</v>
      </c>
      <c r="C69">
        <v>13.375</v>
      </c>
      <c r="D69">
        <v>13.40750026702881</v>
      </c>
      <c r="E69">
        <v>13.17049980163574</v>
      </c>
      <c r="F69">
        <v>13.26124954223633</v>
      </c>
      <c r="G69">
        <v>13.18929386138916</v>
      </c>
      <c r="H69">
        <v>167276000</v>
      </c>
      <c r="I69" t="s">
        <v>237</v>
      </c>
      <c r="J69" t="s">
        <v>238</v>
      </c>
      <c r="K69" t="s">
        <v>37</v>
      </c>
    </row>
    <row r="70" spans="1:11" ht="20" customHeight="1">
      <c r="A70" t="s">
        <v>22</v>
      </c>
      <c r="B70" t="s">
        <v>239</v>
      </c>
      <c r="C70">
        <v>13.26500034332275</v>
      </c>
      <c r="D70">
        <v>13.41250038146973</v>
      </c>
      <c r="E70">
        <v>12.97224998474121</v>
      </c>
      <c r="F70">
        <v>13.40149974822998</v>
      </c>
      <c r="G70">
        <v>13.32878112792969</v>
      </c>
      <c r="H70">
        <v>286952000</v>
      </c>
      <c r="I70" t="s">
        <v>240</v>
      </c>
      <c r="J70" t="s">
        <v>241</v>
      </c>
      <c r="K70" t="s">
        <v>37</v>
      </c>
    </row>
    <row r="71" spans="1:11" ht="20" customHeight="1">
      <c r="A71" t="s">
        <v>22</v>
      </c>
      <c r="B71" t="s">
        <v>242</v>
      </c>
      <c r="C71">
        <v>13.49225044250488</v>
      </c>
      <c r="D71">
        <v>13.5287504196167</v>
      </c>
      <c r="E71">
        <v>13.22824954986572</v>
      </c>
      <c r="F71">
        <v>13.39000034332275</v>
      </c>
      <c r="G71">
        <v>13.31734561920166</v>
      </c>
      <c r="H71">
        <v>296948000</v>
      </c>
      <c r="I71" t="s">
        <v>243</v>
      </c>
      <c r="J71" t="s">
        <v>244</v>
      </c>
      <c r="K71" t="s">
        <v>37</v>
      </c>
    </row>
    <row r="72" spans="1:11" ht="20" customHeight="1">
      <c r="A72" t="s">
        <v>22</v>
      </c>
      <c r="B72" t="s">
        <v>245</v>
      </c>
      <c r="C72">
        <v>13.35050010681152</v>
      </c>
      <c r="D72">
        <v>13.67350006103516</v>
      </c>
      <c r="E72">
        <v>13.23425006866455</v>
      </c>
      <c r="F72">
        <v>13.54450035095215</v>
      </c>
      <c r="G72">
        <v>13.47100639343262</v>
      </c>
      <c r="H72">
        <v>283360000</v>
      </c>
      <c r="I72" t="s">
        <v>246</v>
      </c>
      <c r="J72" t="s">
        <v>247</v>
      </c>
      <c r="K72" t="s">
        <v>37</v>
      </c>
    </row>
    <row r="73" spans="1:11" ht="20" customHeight="1">
      <c r="A73" t="s">
        <v>22</v>
      </c>
      <c r="B73" t="s">
        <v>248</v>
      </c>
      <c r="C73">
        <v>13.58749961853027</v>
      </c>
      <c r="D73">
        <v>13.65999984741211</v>
      </c>
      <c r="E73">
        <v>13.32900047302246</v>
      </c>
      <c r="F73">
        <v>13.39599990844727</v>
      </c>
      <c r="G73">
        <v>13.32724761962891</v>
      </c>
      <c r="H73">
        <v>199520000</v>
      </c>
      <c r="I73" t="s">
        <v>249</v>
      </c>
      <c r="J73" t="s">
        <v>250</v>
      </c>
      <c r="K73" t="s">
        <v>37</v>
      </c>
    </row>
    <row r="74" spans="1:11" ht="20" customHeight="1">
      <c r="A74" t="s">
        <v>22</v>
      </c>
      <c r="B74" t="s">
        <v>251</v>
      </c>
      <c r="C74">
        <v>13.44849967956543</v>
      </c>
      <c r="D74">
        <v>13.5600004196167</v>
      </c>
      <c r="E74">
        <v>13.38875007629395</v>
      </c>
      <c r="F74">
        <v>13.55825042724609</v>
      </c>
      <c r="G74">
        <v>13.48866558074951</v>
      </c>
      <c r="H74">
        <v>202244000</v>
      </c>
      <c r="I74" t="s">
        <v>252</v>
      </c>
      <c r="J74" t="s">
        <v>253</v>
      </c>
      <c r="K74" t="s">
        <v>37</v>
      </c>
    </row>
    <row r="75" spans="1:11" ht="20" customHeight="1">
      <c r="A75" t="s">
        <v>22</v>
      </c>
      <c r="B75" t="s">
        <v>254</v>
      </c>
      <c r="C75">
        <v>13.60124969482422</v>
      </c>
      <c r="D75">
        <v>13.73124980926514</v>
      </c>
      <c r="E75">
        <v>13.5</v>
      </c>
      <c r="F75">
        <v>13.60674953460693</v>
      </c>
      <c r="G75">
        <v>13.53691577911377</v>
      </c>
      <c r="H75">
        <v>223244000</v>
      </c>
      <c r="I75" t="s">
        <v>255</v>
      </c>
      <c r="J75" t="s">
        <v>256</v>
      </c>
      <c r="K75" t="s">
        <v>37</v>
      </c>
    </row>
    <row r="76" spans="1:11" ht="20" customHeight="1">
      <c r="A76" t="s">
        <v>22</v>
      </c>
      <c r="B76" t="s">
        <v>257</v>
      </c>
      <c r="C76">
        <v>13.58500003814697</v>
      </c>
      <c r="D76">
        <v>13.59875011444092</v>
      </c>
      <c r="E76">
        <v>13.2814998626709</v>
      </c>
      <c r="F76">
        <v>13.35000038146973</v>
      </c>
      <c r="G76">
        <v>13.28148365020752</v>
      </c>
      <c r="H76">
        <v>271920000</v>
      </c>
      <c r="I76" t="s">
        <v>258</v>
      </c>
      <c r="J76" t="s">
        <v>259</v>
      </c>
      <c r="K76" t="s">
        <v>37</v>
      </c>
    </row>
    <row r="77" spans="1:11" ht="20" customHeight="1">
      <c r="A77" t="s">
        <v>22</v>
      </c>
      <c r="B77" t="s">
        <v>260</v>
      </c>
      <c r="C77">
        <v>13.30049991607666</v>
      </c>
      <c r="D77">
        <v>13.41399955749512</v>
      </c>
      <c r="E77">
        <v>12.86824989318848</v>
      </c>
      <c r="F77">
        <v>12.93074989318848</v>
      </c>
      <c r="G77">
        <v>12.86438465118408</v>
      </c>
      <c r="H77">
        <v>401300000</v>
      </c>
      <c r="I77" t="s">
        <v>261</v>
      </c>
      <c r="J77" t="s">
        <v>262</v>
      </c>
      <c r="K77" t="s">
        <v>37</v>
      </c>
    </row>
    <row r="78" spans="1:11" ht="20" customHeight="1">
      <c r="A78" t="s">
        <v>22</v>
      </c>
      <c r="B78" t="s">
        <v>263</v>
      </c>
      <c r="C78">
        <v>12.86900043487549</v>
      </c>
      <c r="D78">
        <v>13.06875038146973</v>
      </c>
      <c r="E78">
        <v>12.84949970245361</v>
      </c>
      <c r="F78">
        <v>12.97224998474121</v>
      </c>
      <c r="G78">
        <v>12.90567302703857</v>
      </c>
      <c r="H78">
        <v>207764000</v>
      </c>
      <c r="I78" t="s">
        <v>264</v>
      </c>
      <c r="J78" t="s">
        <v>265</v>
      </c>
      <c r="K78" t="s">
        <v>37</v>
      </c>
    </row>
    <row r="79" spans="1:11" ht="20" customHeight="1">
      <c r="A79" t="s">
        <v>22</v>
      </c>
      <c r="B79" t="s">
        <v>266</v>
      </c>
      <c r="C79">
        <v>12.96724987030029</v>
      </c>
      <c r="D79">
        <v>13.02000045776367</v>
      </c>
      <c r="E79">
        <v>12.82299995422363</v>
      </c>
      <c r="F79">
        <v>13.01325035095215</v>
      </c>
      <c r="G79">
        <v>12.94646263122559</v>
      </c>
      <c r="H79">
        <v>209264000</v>
      </c>
      <c r="I79" t="s">
        <v>267</v>
      </c>
      <c r="J79" t="s">
        <v>268</v>
      </c>
      <c r="K79" t="s">
        <v>37</v>
      </c>
    </row>
    <row r="80" spans="1:11" ht="20" customHeight="1">
      <c r="A80" t="s">
        <v>22</v>
      </c>
      <c r="B80" t="s">
        <v>269</v>
      </c>
      <c r="C80">
        <v>13.08800029754639</v>
      </c>
      <c r="D80">
        <v>13.38875007629395</v>
      </c>
      <c r="E80">
        <v>13.07750034332275</v>
      </c>
      <c r="F80">
        <v>13.30875015258789</v>
      </c>
      <c r="G80">
        <v>13.24044513702393</v>
      </c>
      <c r="H80">
        <v>270156000</v>
      </c>
      <c r="I80" t="s">
        <v>270</v>
      </c>
      <c r="J80" t="s">
        <v>271</v>
      </c>
      <c r="K80" t="s">
        <v>37</v>
      </c>
    </row>
    <row r="81" spans="1:11" ht="20" customHeight="1">
      <c r="A81" t="s">
        <v>22</v>
      </c>
      <c r="B81" t="s">
        <v>272</v>
      </c>
      <c r="C81">
        <v>13.4397497177124</v>
      </c>
      <c r="D81">
        <v>13.46399974822998</v>
      </c>
      <c r="E81">
        <v>13.1867504119873</v>
      </c>
      <c r="F81">
        <v>13.36050033569336</v>
      </c>
      <c r="G81">
        <v>13.29192924499512</v>
      </c>
      <c r="H81">
        <v>193016000</v>
      </c>
      <c r="I81" t="s">
        <v>273</v>
      </c>
      <c r="J81" t="s">
        <v>274</v>
      </c>
      <c r="K81" t="s">
        <v>37</v>
      </c>
    </row>
    <row r="82" spans="1:11" ht="20" customHeight="1">
      <c r="A82" t="s">
        <v>22</v>
      </c>
      <c r="B82" t="s">
        <v>275</v>
      </c>
      <c r="C82">
        <v>13.42249965667725</v>
      </c>
      <c r="D82">
        <v>13.4372501373291</v>
      </c>
      <c r="E82">
        <v>13.21249961853027</v>
      </c>
      <c r="F82">
        <v>13.24250030517578</v>
      </c>
      <c r="G82">
        <v>13.17453670501709</v>
      </c>
      <c r="H82">
        <v>223116000</v>
      </c>
      <c r="I82" t="s">
        <v>276</v>
      </c>
      <c r="J82" t="s">
        <v>277</v>
      </c>
      <c r="K82" t="s">
        <v>37</v>
      </c>
    </row>
    <row r="83" spans="1:11" ht="20" customHeight="1">
      <c r="A83" t="s">
        <v>22</v>
      </c>
      <c r="B83" t="s">
        <v>278</v>
      </c>
      <c r="C83">
        <v>13.36674976348877</v>
      </c>
      <c r="D83">
        <v>13.37950038909912</v>
      </c>
      <c r="E83">
        <v>13.17850017547607</v>
      </c>
      <c r="F83">
        <v>13.3412504196167</v>
      </c>
      <c r="G83">
        <v>13.27277851104736</v>
      </c>
      <c r="H83">
        <v>231384000</v>
      </c>
      <c r="I83" t="s">
        <v>279</v>
      </c>
      <c r="J83" t="s">
        <v>280</v>
      </c>
      <c r="K83" t="s">
        <v>37</v>
      </c>
    </row>
    <row r="84" spans="1:11" ht="20" customHeight="1">
      <c r="A84" t="s">
        <v>22</v>
      </c>
      <c r="B84" t="s">
        <v>281</v>
      </c>
      <c r="C84">
        <v>13.37899971008301</v>
      </c>
      <c r="D84">
        <v>13.40499973297119</v>
      </c>
      <c r="E84">
        <v>13.07050037384033</v>
      </c>
      <c r="F84">
        <v>13.27200031280518</v>
      </c>
      <c r="G84">
        <v>13.20388412475586</v>
      </c>
      <c r="H84">
        <v>342064000</v>
      </c>
      <c r="I84" t="s">
        <v>282</v>
      </c>
      <c r="J84" t="s">
        <v>283</v>
      </c>
      <c r="K84" t="s">
        <v>37</v>
      </c>
    </row>
    <row r="85" spans="1:11" ht="20" customHeight="1">
      <c r="A85" t="s">
        <v>22</v>
      </c>
      <c r="B85" t="s">
        <v>284</v>
      </c>
      <c r="C85">
        <v>13.07474994659424</v>
      </c>
      <c r="D85">
        <v>13.36999988555908</v>
      </c>
      <c r="E85">
        <v>12.96749973297119</v>
      </c>
      <c r="F85">
        <v>13.33224964141846</v>
      </c>
      <c r="G85">
        <v>13.26382446289062</v>
      </c>
      <c r="H85">
        <v>302332000</v>
      </c>
      <c r="I85" t="s">
        <v>285</v>
      </c>
      <c r="J85" t="s">
        <v>286</v>
      </c>
      <c r="K85" t="s">
        <v>37</v>
      </c>
    </row>
    <row r="86" spans="1:11" ht="20" customHeight="1">
      <c r="A86" t="s">
        <v>22</v>
      </c>
      <c r="B86" t="s">
        <v>287</v>
      </c>
      <c r="C86">
        <v>13.31925010681152</v>
      </c>
      <c r="D86">
        <v>13.33724975585938</v>
      </c>
      <c r="E86">
        <v>13.05399990081787</v>
      </c>
      <c r="F86">
        <v>13.27824974060059</v>
      </c>
      <c r="G86">
        <v>13.21010112762451</v>
      </c>
      <c r="H86">
        <v>185580000</v>
      </c>
      <c r="I86" t="s">
        <v>288</v>
      </c>
      <c r="J86" t="s">
        <v>289</v>
      </c>
      <c r="K86" t="s">
        <v>37</v>
      </c>
    </row>
    <row r="87" spans="1:11" ht="20" customHeight="1">
      <c r="A87" t="s">
        <v>22</v>
      </c>
      <c r="B87" t="s">
        <v>290</v>
      </c>
      <c r="C87">
        <v>13.25599956512451</v>
      </c>
      <c r="D87">
        <v>13.27499961853027</v>
      </c>
      <c r="E87">
        <v>13.00500011444092</v>
      </c>
      <c r="F87">
        <v>13.00924968719482</v>
      </c>
      <c r="G87">
        <v>12.94248199462891</v>
      </c>
      <c r="H87">
        <v>179144000</v>
      </c>
      <c r="I87" t="s">
        <v>291</v>
      </c>
      <c r="J87" t="s">
        <v>292</v>
      </c>
      <c r="K87" t="s">
        <v>37</v>
      </c>
    </row>
    <row r="88" spans="1:11" ht="20" customHeight="1">
      <c r="A88" t="s">
        <v>22</v>
      </c>
      <c r="B88" t="s">
        <v>293</v>
      </c>
      <c r="C88">
        <v>13.03724956512451</v>
      </c>
      <c r="D88">
        <v>13.13249969482422</v>
      </c>
      <c r="E88">
        <v>12.93875026702881</v>
      </c>
      <c r="F88">
        <v>12.99374961853027</v>
      </c>
      <c r="G88">
        <v>12.92706203460693</v>
      </c>
      <c r="H88">
        <v>97884000</v>
      </c>
      <c r="I88" t="s">
        <v>294</v>
      </c>
      <c r="J88" t="s">
        <v>295</v>
      </c>
      <c r="K88" t="s">
        <v>37</v>
      </c>
    </row>
    <row r="89" spans="1:11" ht="20" customHeight="1">
      <c r="A89" t="s">
        <v>22</v>
      </c>
      <c r="B89" t="s">
        <v>296</v>
      </c>
      <c r="C89">
        <v>13.0625</v>
      </c>
      <c r="D89">
        <v>13.0625</v>
      </c>
      <c r="E89">
        <v>12.76325035095215</v>
      </c>
      <c r="F89">
        <v>12.89999961853027</v>
      </c>
      <c r="G89">
        <v>12.8337926864624</v>
      </c>
      <c r="H89">
        <v>212564000</v>
      </c>
      <c r="I89" t="s">
        <v>297</v>
      </c>
      <c r="J89" t="s">
        <v>298</v>
      </c>
      <c r="K89" t="s">
        <v>37</v>
      </c>
    </row>
    <row r="90" spans="1:11" ht="20" customHeight="1">
      <c r="A90" t="s">
        <v>22</v>
      </c>
      <c r="B90" t="s">
        <v>299</v>
      </c>
      <c r="C90">
        <v>12.92500019073486</v>
      </c>
      <c r="D90">
        <v>13.07250022888184</v>
      </c>
      <c r="E90">
        <v>12.84224987030029</v>
      </c>
      <c r="F90">
        <v>12.94324970245361</v>
      </c>
      <c r="G90">
        <v>12.87682247161865</v>
      </c>
      <c r="H90">
        <v>170372000</v>
      </c>
      <c r="I90" t="s">
        <v>300</v>
      </c>
      <c r="J90" t="s">
        <v>301</v>
      </c>
      <c r="K90" t="s">
        <v>37</v>
      </c>
    </row>
    <row r="91" spans="1:11" ht="20" customHeight="1">
      <c r="A91" t="s">
        <v>22</v>
      </c>
      <c r="B91" t="s">
        <v>302</v>
      </c>
      <c r="C91">
        <v>12.99024963378906</v>
      </c>
      <c r="D91">
        <v>13.21374988555908</v>
      </c>
      <c r="E91">
        <v>12.89675045013428</v>
      </c>
      <c r="F91">
        <v>13.14575004577637</v>
      </c>
      <c r="G91">
        <v>13.07828330993652</v>
      </c>
      <c r="H91">
        <v>225396000</v>
      </c>
      <c r="I91" t="s">
        <v>303</v>
      </c>
      <c r="J91" t="s">
        <v>304</v>
      </c>
      <c r="K91" t="s">
        <v>37</v>
      </c>
    </row>
    <row r="92" spans="1:11" ht="20" customHeight="1">
      <c r="A92" t="s">
        <v>22</v>
      </c>
      <c r="B92" t="s">
        <v>305</v>
      </c>
      <c r="C92">
        <v>13.13650035858154</v>
      </c>
      <c r="D92">
        <v>13.15100002288818</v>
      </c>
      <c r="E92">
        <v>12.91499996185303</v>
      </c>
      <c r="F92">
        <v>13.05500030517578</v>
      </c>
      <c r="G92">
        <v>12.98799705505371</v>
      </c>
      <c r="H92">
        <v>192424000</v>
      </c>
      <c r="I92" t="s">
        <v>306</v>
      </c>
      <c r="J92" t="s">
        <v>307</v>
      </c>
      <c r="K92" t="s">
        <v>37</v>
      </c>
    </row>
    <row r="93" spans="1:11" ht="20" customHeight="1">
      <c r="A93" t="s">
        <v>22</v>
      </c>
      <c r="B93" t="s">
        <v>308</v>
      </c>
      <c r="C93">
        <v>13.10424995422363</v>
      </c>
      <c r="D93">
        <v>13.65250015258789</v>
      </c>
      <c r="E93">
        <v>12.96249961853027</v>
      </c>
      <c r="F93">
        <v>13.11349964141846</v>
      </c>
      <c r="G93">
        <v>13.04619598388672</v>
      </c>
      <c r="H93">
        <v>560640000</v>
      </c>
      <c r="I93" t="s">
        <v>309</v>
      </c>
      <c r="J93" t="s">
        <v>310</v>
      </c>
      <c r="K93" t="s">
        <v>37</v>
      </c>
    </row>
    <row r="94" spans="1:11" ht="20" customHeight="1">
      <c r="A94" t="s">
        <v>22</v>
      </c>
      <c r="B94" t="s">
        <v>311</v>
      </c>
      <c r="C94">
        <v>13.09974956512451</v>
      </c>
      <c r="D94">
        <v>13.44349956512451</v>
      </c>
      <c r="E94">
        <v>13.08699989318848</v>
      </c>
      <c r="F94">
        <v>13.40474987030029</v>
      </c>
      <c r="G94">
        <v>13.33595561981201</v>
      </c>
      <c r="H94">
        <v>322760000</v>
      </c>
      <c r="I94" t="s">
        <v>312</v>
      </c>
      <c r="J94" t="s">
        <v>313</v>
      </c>
      <c r="K94" t="s">
        <v>37</v>
      </c>
    </row>
    <row r="95" spans="1:11" ht="20" customHeight="1">
      <c r="A95" t="s">
        <v>22</v>
      </c>
      <c r="B95" t="s">
        <v>314</v>
      </c>
      <c r="C95">
        <v>13.22249984741211</v>
      </c>
      <c r="D95">
        <v>13.24499988555908</v>
      </c>
      <c r="E95">
        <v>12.58600044250488</v>
      </c>
      <c r="F95">
        <v>12.61450004577637</v>
      </c>
      <c r="G95">
        <v>12.54975891113281</v>
      </c>
      <c r="H95">
        <v>580424000</v>
      </c>
      <c r="I95" t="s">
        <v>315</v>
      </c>
      <c r="J95" t="s">
        <v>316</v>
      </c>
      <c r="K95" t="s">
        <v>37</v>
      </c>
    </row>
    <row r="96" spans="1:11" ht="20" customHeight="1">
      <c r="A96" t="s">
        <v>22</v>
      </c>
      <c r="B96" t="s">
        <v>317</v>
      </c>
      <c r="C96">
        <v>12.96749973297119</v>
      </c>
      <c r="D96">
        <v>13.37775039672852</v>
      </c>
      <c r="E96">
        <v>12.88650035858154</v>
      </c>
      <c r="F96">
        <v>13.3439998626709</v>
      </c>
      <c r="G96">
        <v>13.27551364898682</v>
      </c>
      <c r="H96">
        <v>461480000</v>
      </c>
      <c r="I96" t="s">
        <v>318</v>
      </c>
      <c r="J96" t="s">
        <v>319</v>
      </c>
      <c r="K96" t="s">
        <v>37</v>
      </c>
    </row>
    <row r="97" spans="1:11" ht="20" customHeight="1">
      <c r="A97" t="s">
        <v>22</v>
      </c>
      <c r="B97" t="s">
        <v>320</v>
      </c>
      <c r="C97">
        <v>13.36250019073486</v>
      </c>
      <c r="D97">
        <v>13.42099952697754</v>
      </c>
      <c r="E97">
        <v>13.04199981689453</v>
      </c>
      <c r="F97">
        <v>13.27674961090088</v>
      </c>
      <c r="G97">
        <v>13.20861053466797</v>
      </c>
      <c r="H97">
        <v>292528000</v>
      </c>
      <c r="I97" t="s">
        <v>321</v>
      </c>
      <c r="J97" t="s">
        <v>322</v>
      </c>
      <c r="K97" t="s">
        <v>37</v>
      </c>
    </row>
    <row r="98" spans="1:11" ht="20" customHeight="1">
      <c r="A98" t="s">
        <v>22</v>
      </c>
      <c r="B98" t="s">
        <v>323</v>
      </c>
      <c r="C98">
        <v>13.41874980926514</v>
      </c>
      <c r="D98">
        <v>13.96100044250488</v>
      </c>
      <c r="E98">
        <v>13.36250019073486</v>
      </c>
      <c r="F98">
        <v>13.62150001525879</v>
      </c>
      <c r="G98">
        <v>13.55159091949463</v>
      </c>
      <c r="H98">
        <v>518344000</v>
      </c>
      <c r="I98" t="s">
        <v>324</v>
      </c>
      <c r="J98" t="s">
        <v>325</v>
      </c>
      <c r="K98" t="s">
        <v>37</v>
      </c>
    </row>
    <row r="99" spans="1:11" ht="20" customHeight="1">
      <c r="A99" t="s">
        <v>22</v>
      </c>
      <c r="B99" t="s">
        <v>326</v>
      </c>
      <c r="C99">
        <v>13.7524995803833</v>
      </c>
      <c r="D99">
        <v>13.75450038909912</v>
      </c>
      <c r="E99">
        <v>13.34500026702881</v>
      </c>
      <c r="F99">
        <v>13.48474979400635</v>
      </c>
      <c r="G99">
        <v>13.41554164886475</v>
      </c>
      <c r="H99">
        <v>291476000</v>
      </c>
      <c r="I99" t="s">
        <v>327</v>
      </c>
      <c r="J99" t="s">
        <v>328</v>
      </c>
      <c r="K99" t="s">
        <v>37</v>
      </c>
    </row>
    <row r="100" spans="1:11" ht="20" customHeight="1">
      <c r="A100" t="s">
        <v>22</v>
      </c>
      <c r="B100" t="s">
        <v>329</v>
      </c>
      <c r="C100">
        <v>13.48999977111816</v>
      </c>
      <c r="D100">
        <v>13.625</v>
      </c>
      <c r="E100">
        <v>13.38500022888184</v>
      </c>
      <c r="F100">
        <v>13.5317497253418</v>
      </c>
      <c r="G100">
        <v>13.46229934692383</v>
      </c>
      <c r="H100">
        <v>210028000</v>
      </c>
      <c r="I100" t="s">
        <v>330</v>
      </c>
      <c r="J100" t="s">
        <v>331</v>
      </c>
      <c r="K100" t="s">
        <v>37</v>
      </c>
    </row>
    <row r="101" spans="1:11" ht="20" customHeight="1">
      <c r="A101" t="s">
        <v>22</v>
      </c>
      <c r="B101" t="s">
        <v>332</v>
      </c>
      <c r="C101">
        <v>13.57499980926514</v>
      </c>
      <c r="D101">
        <v>13.59974956512451</v>
      </c>
      <c r="E101">
        <v>13.18050003051758</v>
      </c>
      <c r="F101">
        <v>13.20024967193604</v>
      </c>
      <c r="G101">
        <v>13.13250160217285</v>
      </c>
      <c r="H101">
        <v>283120000</v>
      </c>
      <c r="I101" t="s">
        <v>333</v>
      </c>
      <c r="J101" t="s">
        <v>334</v>
      </c>
      <c r="K101" t="s">
        <v>37</v>
      </c>
    </row>
    <row r="102" spans="1:11" ht="20" customHeight="1">
      <c r="A102" t="s">
        <v>22</v>
      </c>
      <c r="B102" t="s">
        <v>335</v>
      </c>
      <c r="C102">
        <v>13.22799968719482</v>
      </c>
      <c r="D102">
        <v>13.32524967193604</v>
      </c>
      <c r="E102">
        <v>12.84850025177002</v>
      </c>
      <c r="F102">
        <v>12.85949993133545</v>
      </c>
      <c r="G102">
        <v>12.79349994659424</v>
      </c>
      <c r="H102">
        <v>277780000</v>
      </c>
      <c r="I102" t="s">
        <v>336</v>
      </c>
      <c r="J102" t="s">
        <v>337</v>
      </c>
      <c r="K102" t="s">
        <v>37</v>
      </c>
    </row>
    <row r="103" spans="1:11" ht="20" customHeight="1">
      <c r="A103" t="s">
        <v>22</v>
      </c>
      <c r="B103" t="s">
        <v>338</v>
      </c>
      <c r="C103">
        <v>13.01624965667725</v>
      </c>
      <c r="D103">
        <v>13.0939998626709</v>
      </c>
      <c r="E103">
        <v>12.8439998626709</v>
      </c>
      <c r="F103">
        <v>13.02525043487549</v>
      </c>
      <c r="G103">
        <v>12.95839977264404</v>
      </c>
      <c r="H103">
        <v>226188000</v>
      </c>
      <c r="I103" t="s">
        <v>339</v>
      </c>
      <c r="J103" t="s">
        <v>340</v>
      </c>
      <c r="K103" t="s">
        <v>37</v>
      </c>
    </row>
    <row r="104" spans="1:11" ht="20" customHeight="1">
      <c r="A104" t="s">
        <v>22</v>
      </c>
      <c r="B104" t="s">
        <v>341</v>
      </c>
      <c r="C104">
        <v>13.11174964904785</v>
      </c>
      <c r="D104">
        <v>13.43050003051758</v>
      </c>
      <c r="E104">
        <v>13.05675029754639</v>
      </c>
      <c r="F104">
        <v>13.36575031280518</v>
      </c>
      <c r="G104">
        <v>13.29715442657471</v>
      </c>
      <c r="H104">
        <v>258572000</v>
      </c>
      <c r="I104" t="s">
        <v>342</v>
      </c>
      <c r="J104" t="s">
        <v>343</v>
      </c>
      <c r="K104" t="s">
        <v>37</v>
      </c>
    </row>
    <row r="105" spans="1:11" ht="20" customHeight="1">
      <c r="A105" t="s">
        <v>22</v>
      </c>
      <c r="B105" t="s">
        <v>344</v>
      </c>
      <c r="C105">
        <v>13.41849994659424</v>
      </c>
      <c r="D105">
        <v>13.9992504119873</v>
      </c>
      <c r="E105">
        <v>13.25300025939941</v>
      </c>
      <c r="F105">
        <v>13.86750030517578</v>
      </c>
      <c r="G105">
        <v>13.7963285446167</v>
      </c>
      <c r="H105">
        <v>337780000</v>
      </c>
      <c r="I105" t="s">
        <v>345</v>
      </c>
      <c r="J105" t="s">
        <v>346</v>
      </c>
      <c r="K105" t="s">
        <v>37</v>
      </c>
    </row>
    <row r="106" spans="1:11" ht="20" customHeight="1">
      <c r="A106" t="s">
        <v>22</v>
      </c>
      <c r="B106" t="s">
        <v>347</v>
      </c>
      <c r="C106">
        <v>13.73999977111816</v>
      </c>
      <c r="D106">
        <v>13.8417501449585</v>
      </c>
      <c r="E106">
        <v>13.6272497177124</v>
      </c>
      <c r="F106">
        <v>13.71249961853027</v>
      </c>
      <c r="G106">
        <v>13.64212417602539</v>
      </c>
      <c r="H106">
        <v>246820000</v>
      </c>
      <c r="I106" t="s">
        <v>348</v>
      </c>
      <c r="J106" t="s">
        <v>349</v>
      </c>
      <c r="K106" t="s">
        <v>37</v>
      </c>
    </row>
    <row r="107" spans="1:11" ht="20" customHeight="1">
      <c r="A107" t="s">
        <v>22</v>
      </c>
      <c r="B107" t="s">
        <v>350</v>
      </c>
      <c r="C107">
        <v>13.7817497253418</v>
      </c>
      <c r="D107">
        <v>13.82849979400635</v>
      </c>
      <c r="E107">
        <v>13.23649978637695</v>
      </c>
      <c r="F107">
        <v>13.65324974060059</v>
      </c>
      <c r="G107">
        <v>13.58317756652832</v>
      </c>
      <c r="H107">
        <v>251112000</v>
      </c>
      <c r="I107" t="s">
        <v>351</v>
      </c>
      <c r="J107" t="s">
        <v>352</v>
      </c>
      <c r="K107" t="s">
        <v>37</v>
      </c>
    </row>
    <row r="108" spans="1:11" ht="20" customHeight="1">
      <c r="A108" t="s">
        <v>22</v>
      </c>
      <c r="B108" t="s">
        <v>353</v>
      </c>
      <c r="C108">
        <v>13.58049964904785</v>
      </c>
      <c r="D108">
        <v>13.64474964141846</v>
      </c>
      <c r="E108">
        <v>13.38749980926514</v>
      </c>
      <c r="F108">
        <v>13.4352502822876</v>
      </c>
      <c r="G108">
        <v>13.36629772186279</v>
      </c>
      <c r="H108">
        <v>163980000</v>
      </c>
      <c r="I108" t="s">
        <v>354</v>
      </c>
      <c r="J108" t="s">
        <v>355</v>
      </c>
      <c r="K108" t="s">
        <v>37</v>
      </c>
    </row>
    <row r="109" spans="1:11" ht="20" customHeight="1">
      <c r="A109" t="s">
        <v>22</v>
      </c>
      <c r="B109" t="s">
        <v>356</v>
      </c>
      <c r="C109">
        <v>13.22999954223633</v>
      </c>
      <c r="D109">
        <v>13.23274993896484</v>
      </c>
      <c r="E109">
        <v>12.79374980926514</v>
      </c>
      <c r="F109">
        <v>12.91775035858154</v>
      </c>
      <c r="G109">
        <v>12.85145282745361</v>
      </c>
      <c r="H109">
        <v>371272000</v>
      </c>
      <c r="I109" t="s">
        <v>357</v>
      </c>
      <c r="J109" t="s">
        <v>358</v>
      </c>
      <c r="K109" t="s">
        <v>37</v>
      </c>
    </row>
    <row r="110" spans="1:11" ht="20" customHeight="1">
      <c r="A110" t="s">
        <v>22</v>
      </c>
      <c r="B110" t="s">
        <v>359</v>
      </c>
      <c r="C110">
        <v>12.99625015258789</v>
      </c>
      <c r="D110">
        <v>13.33975028991699</v>
      </c>
      <c r="E110">
        <v>12.96049976348877</v>
      </c>
      <c r="F110">
        <v>13.05099964141846</v>
      </c>
      <c r="G110">
        <v>12.98401737213135</v>
      </c>
      <c r="H110">
        <v>228316000</v>
      </c>
      <c r="I110" t="s">
        <v>360</v>
      </c>
      <c r="J110" t="s">
        <v>361</v>
      </c>
      <c r="K110" t="s">
        <v>37</v>
      </c>
    </row>
    <row r="111" spans="1:11" ht="20" customHeight="1">
      <c r="A111" t="s">
        <v>22</v>
      </c>
      <c r="B111" t="s">
        <v>362</v>
      </c>
      <c r="C111">
        <v>13.07499980926514</v>
      </c>
      <c r="D111">
        <v>13.33475017547607</v>
      </c>
      <c r="E111">
        <v>12.91149997711182</v>
      </c>
      <c r="F111">
        <v>12.98974990844727</v>
      </c>
      <c r="G111">
        <v>12.92308330535889</v>
      </c>
      <c r="H111">
        <v>271552000</v>
      </c>
      <c r="I111" t="s">
        <v>363</v>
      </c>
      <c r="J111" t="s">
        <v>364</v>
      </c>
      <c r="K111" t="s">
        <v>37</v>
      </c>
    </row>
    <row r="112" spans="1:11" ht="20" customHeight="1">
      <c r="A112" t="s">
        <v>22</v>
      </c>
      <c r="B112" t="s">
        <v>365</v>
      </c>
      <c r="C112">
        <v>13.05325031280518</v>
      </c>
      <c r="D112">
        <v>13.27075004577637</v>
      </c>
      <c r="E112">
        <v>12.90275001525879</v>
      </c>
      <c r="F112">
        <v>13.23700046539307</v>
      </c>
      <c r="G112">
        <v>13.16906642913818</v>
      </c>
      <c r="H112">
        <v>217204000</v>
      </c>
      <c r="I112" t="s">
        <v>366</v>
      </c>
      <c r="J112" t="s">
        <v>367</v>
      </c>
      <c r="K112" t="s">
        <v>37</v>
      </c>
    </row>
    <row r="113" spans="1:11" ht="20" customHeight="1">
      <c r="A113" t="s">
        <v>22</v>
      </c>
      <c r="B113" t="s">
        <v>368</v>
      </c>
      <c r="C113">
        <v>13.39875030517578</v>
      </c>
      <c r="D113">
        <v>13.57199954986572</v>
      </c>
      <c r="E113">
        <v>13.28549957275391</v>
      </c>
      <c r="F113">
        <v>13.55675029754639</v>
      </c>
      <c r="G113">
        <v>13.48717308044434</v>
      </c>
      <c r="H113">
        <v>220440000</v>
      </c>
      <c r="I113" t="s">
        <v>369</v>
      </c>
      <c r="J113" t="s">
        <v>370</v>
      </c>
      <c r="K113" t="s">
        <v>37</v>
      </c>
    </row>
    <row r="114" spans="1:11" ht="20" customHeight="1">
      <c r="A114" t="s">
        <v>22</v>
      </c>
      <c r="B114" t="s">
        <v>371</v>
      </c>
      <c r="C114">
        <v>13.63599967956543</v>
      </c>
      <c r="D114">
        <v>13.93175029754639</v>
      </c>
      <c r="E114">
        <v>13.51650047302246</v>
      </c>
      <c r="F114">
        <v>13.5305004119873</v>
      </c>
      <c r="G114">
        <v>13.46105670928955</v>
      </c>
      <c r="H114">
        <v>245408000</v>
      </c>
      <c r="I114" t="s">
        <v>372</v>
      </c>
      <c r="J114" t="s">
        <v>373</v>
      </c>
      <c r="K114" t="s">
        <v>37</v>
      </c>
    </row>
    <row r="115" spans="1:11" ht="20" customHeight="1">
      <c r="A115" t="s">
        <v>22</v>
      </c>
      <c r="B115" t="s">
        <v>374</v>
      </c>
      <c r="C115">
        <v>13.5310001373291</v>
      </c>
      <c r="D115">
        <v>13.67350006103516</v>
      </c>
      <c r="E115">
        <v>13.33775043487549</v>
      </c>
      <c r="F115">
        <v>13.66425037384033</v>
      </c>
      <c r="G115">
        <v>13.59412002563477</v>
      </c>
      <c r="H115">
        <v>201340000</v>
      </c>
      <c r="I115" t="s">
        <v>375</v>
      </c>
      <c r="J115" t="s">
        <v>376</v>
      </c>
      <c r="K115" t="s">
        <v>37</v>
      </c>
    </row>
    <row r="116" spans="1:11" ht="20" customHeight="1">
      <c r="A116" t="s">
        <v>22</v>
      </c>
      <c r="B116" t="s">
        <v>377</v>
      </c>
      <c r="C116">
        <v>13.72500038146973</v>
      </c>
      <c r="D116">
        <v>13.73725032806396</v>
      </c>
      <c r="E116">
        <v>13.54574966430664</v>
      </c>
      <c r="F116">
        <v>13.59099960327148</v>
      </c>
      <c r="G116">
        <v>13.52124881744385</v>
      </c>
      <c r="H116">
        <v>169152000</v>
      </c>
      <c r="I116" t="s">
        <v>378</v>
      </c>
      <c r="J116" t="s">
        <v>379</v>
      </c>
      <c r="K116" t="s">
        <v>37</v>
      </c>
    </row>
    <row r="117" spans="1:11" ht="20" customHeight="1">
      <c r="A117" t="s">
        <v>22</v>
      </c>
      <c r="B117" t="s">
        <v>380</v>
      </c>
      <c r="C117">
        <v>13.72725009918213</v>
      </c>
      <c r="D117">
        <v>14.47375011444092</v>
      </c>
      <c r="E117">
        <v>13.72725009918213</v>
      </c>
      <c r="F117">
        <v>14.43875026702881</v>
      </c>
      <c r="G117">
        <v>14.36464405059814</v>
      </c>
      <c r="H117">
        <v>434624000</v>
      </c>
      <c r="I117" t="s">
        <v>381</v>
      </c>
      <c r="J117" t="s">
        <v>382</v>
      </c>
      <c r="K117" t="s">
        <v>37</v>
      </c>
    </row>
    <row r="118" spans="1:11" ht="20" customHeight="1">
      <c r="A118" t="s">
        <v>22</v>
      </c>
      <c r="B118" t="s">
        <v>383</v>
      </c>
      <c r="C118">
        <v>14.34074974060059</v>
      </c>
      <c r="D118">
        <v>14.58325004577637</v>
      </c>
      <c r="E118">
        <v>14.22249984741211</v>
      </c>
      <c r="F118">
        <v>14.26325035095215</v>
      </c>
      <c r="G118">
        <v>14.19004726409912</v>
      </c>
      <c r="H118">
        <v>287560000</v>
      </c>
      <c r="I118" t="s">
        <v>384</v>
      </c>
      <c r="J118" t="s">
        <v>385</v>
      </c>
      <c r="K118" t="s">
        <v>37</v>
      </c>
    </row>
    <row r="119" spans="1:11" ht="20" customHeight="1">
      <c r="A119" t="s">
        <v>22</v>
      </c>
      <c r="B119" t="s">
        <v>386</v>
      </c>
      <c r="C119">
        <v>14.46325016021729</v>
      </c>
      <c r="D119">
        <v>14.90499973297119</v>
      </c>
      <c r="E119">
        <v>14.3415002822876</v>
      </c>
      <c r="F119">
        <v>14.76424980163574</v>
      </c>
      <c r="G119">
        <v>14.68847274780273</v>
      </c>
      <c r="H119">
        <v>485352000</v>
      </c>
      <c r="I119" t="s">
        <v>387</v>
      </c>
      <c r="J119" t="s">
        <v>388</v>
      </c>
      <c r="K119" t="s">
        <v>37</v>
      </c>
    </row>
    <row r="120" spans="1:11" ht="20" customHeight="1">
      <c r="A120" t="s">
        <v>22</v>
      </c>
      <c r="B120" t="s">
        <v>389</v>
      </c>
      <c r="C120">
        <v>14.98025035858154</v>
      </c>
      <c r="D120">
        <v>15.27225017547607</v>
      </c>
      <c r="E120">
        <v>14.92500019073486</v>
      </c>
      <c r="F120">
        <v>15.2507495880127</v>
      </c>
      <c r="G120">
        <v>15.1724796295166</v>
      </c>
      <c r="H120">
        <v>450828000</v>
      </c>
      <c r="I120" t="s">
        <v>390</v>
      </c>
      <c r="J120" t="s">
        <v>391</v>
      </c>
      <c r="K120" t="s">
        <v>37</v>
      </c>
    </row>
    <row r="121" spans="1:11" ht="20" customHeight="1">
      <c r="A121" t="s">
        <v>22</v>
      </c>
      <c r="B121" t="s">
        <v>392</v>
      </c>
      <c r="C121">
        <v>15.05000019073486</v>
      </c>
      <c r="D121">
        <v>15.29125022888184</v>
      </c>
      <c r="E121">
        <v>14.77499961853027</v>
      </c>
      <c r="F121">
        <v>14.96125030517578</v>
      </c>
      <c r="G121">
        <v>14.88446140289307</v>
      </c>
      <c r="H121">
        <v>374756000</v>
      </c>
      <c r="I121" t="s">
        <v>393</v>
      </c>
      <c r="J121" t="s">
        <v>394</v>
      </c>
      <c r="K121" t="s">
        <v>37</v>
      </c>
    </row>
    <row r="122" spans="1:11" ht="20" customHeight="1">
      <c r="A122" t="s">
        <v>22</v>
      </c>
      <c r="B122" t="s">
        <v>395</v>
      </c>
      <c r="C122">
        <v>15.06424999237061</v>
      </c>
      <c r="D122">
        <v>15.3725004196167</v>
      </c>
      <c r="E122">
        <v>14.94999980926514</v>
      </c>
      <c r="F122">
        <v>15.33024978637695</v>
      </c>
      <c r="G122">
        <v>15.2515697479248</v>
      </c>
      <c r="H122">
        <v>321960000</v>
      </c>
      <c r="I122" t="s">
        <v>396</v>
      </c>
      <c r="J122" t="s">
        <v>397</v>
      </c>
      <c r="K122" t="s">
        <v>37</v>
      </c>
    </row>
    <row r="123" spans="1:11" ht="20" customHeight="1">
      <c r="A123" t="s">
        <v>22</v>
      </c>
      <c r="B123" t="s">
        <v>398</v>
      </c>
      <c r="C123">
        <v>15.17099952697754</v>
      </c>
      <c r="D123">
        <v>15.22350025177002</v>
      </c>
      <c r="E123">
        <v>14.77999973297119</v>
      </c>
      <c r="F123">
        <v>14.9060001373291</v>
      </c>
      <c r="G123">
        <v>14.82949542999268</v>
      </c>
      <c r="H123">
        <v>274756000</v>
      </c>
      <c r="I123" t="s">
        <v>399</v>
      </c>
      <c r="J123" t="s">
        <v>400</v>
      </c>
      <c r="K123" t="s">
        <v>37</v>
      </c>
    </row>
    <row r="124" spans="1:11" ht="20" customHeight="1">
      <c r="A124" t="s">
        <v>22</v>
      </c>
      <c r="B124" t="s">
        <v>401</v>
      </c>
      <c r="C124">
        <v>14.72900009155273</v>
      </c>
      <c r="D124">
        <v>14.87325000762939</v>
      </c>
      <c r="E124">
        <v>14.57499980926514</v>
      </c>
      <c r="F124">
        <v>14.82900047302246</v>
      </c>
      <c r="G124">
        <v>14.75289726257324</v>
      </c>
      <c r="H124">
        <v>233868000</v>
      </c>
      <c r="I124" t="s">
        <v>402</v>
      </c>
      <c r="J124" t="s">
        <v>403</v>
      </c>
      <c r="K124" t="s">
        <v>37</v>
      </c>
    </row>
    <row r="125" spans="1:11" ht="20" customHeight="1">
      <c r="A125" t="s">
        <v>22</v>
      </c>
      <c r="B125" t="s">
        <v>404</v>
      </c>
      <c r="C125">
        <v>15.02449989318848</v>
      </c>
      <c r="D125">
        <v>15.17700004577637</v>
      </c>
      <c r="E125">
        <v>14.84675025939941</v>
      </c>
      <c r="F125">
        <v>14.92650032043457</v>
      </c>
      <c r="G125">
        <v>14.84989261627197</v>
      </c>
      <c r="H125">
        <v>271724000</v>
      </c>
      <c r="I125" t="s">
        <v>405</v>
      </c>
      <c r="J125" t="s">
        <v>406</v>
      </c>
      <c r="K125" t="s">
        <v>37</v>
      </c>
    </row>
    <row r="126" spans="1:11" ht="20" customHeight="1">
      <c r="A126" t="s">
        <v>22</v>
      </c>
      <c r="B126" t="s">
        <v>407</v>
      </c>
      <c r="C126">
        <v>14.77474975585938</v>
      </c>
      <c r="D126">
        <v>15.13325023651123</v>
      </c>
      <c r="E126">
        <v>14.32499980926514</v>
      </c>
      <c r="F126">
        <v>14.35575008392334</v>
      </c>
      <c r="G126">
        <v>14.28207206726074</v>
      </c>
      <c r="H126">
        <v>325884000</v>
      </c>
      <c r="I126" t="s">
        <v>408</v>
      </c>
      <c r="J126" t="s">
        <v>409</v>
      </c>
      <c r="K126" t="s">
        <v>37</v>
      </c>
    </row>
    <row r="127" spans="1:11" ht="20" customHeight="1">
      <c r="A127" t="s">
        <v>22</v>
      </c>
      <c r="B127" t="s">
        <v>410</v>
      </c>
      <c r="C127">
        <v>14.07524967193604</v>
      </c>
      <c r="D127">
        <v>14.23875045776367</v>
      </c>
      <c r="E127">
        <v>13.38949966430664</v>
      </c>
      <c r="F127">
        <v>14.14200019836426</v>
      </c>
      <c r="G127">
        <v>14.06941986083984</v>
      </c>
      <c r="H127">
        <v>391780000</v>
      </c>
      <c r="I127" t="s">
        <v>411</v>
      </c>
      <c r="J127" t="s">
        <v>412</v>
      </c>
      <c r="K127" t="s">
        <v>37</v>
      </c>
    </row>
    <row r="128" spans="1:11" ht="20" customHeight="1">
      <c r="A128" t="s">
        <v>22</v>
      </c>
      <c r="B128" t="s">
        <v>413</v>
      </c>
      <c r="C128">
        <v>14.1227502822876</v>
      </c>
      <c r="D128">
        <v>14.50675010681152</v>
      </c>
      <c r="E128">
        <v>13.75599956512451</v>
      </c>
      <c r="F128">
        <v>14.49899959564209</v>
      </c>
      <c r="G128">
        <v>14.42458724975586</v>
      </c>
      <c r="H128">
        <v>448320000</v>
      </c>
      <c r="I128" t="s">
        <v>414</v>
      </c>
      <c r="J128" t="s">
        <v>415</v>
      </c>
      <c r="K128" t="s">
        <v>37</v>
      </c>
    </row>
    <row r="129" spans="1:11" ht="20" customHeight="1">
      <c r="A129" t="s">
        <v>22</v>
      </c>
      <c r="B129" t="s">
        <v>416</v>
      </c>
      <c r="C129">
        <v>14.04549980163574</v>
      </c>
      <c r="D129">
        <v>14.3747501373291</v>
      </c>
      <c r="E129">
        <v>13.2162504196167</v>
      </c>
      <c r="F129">
        <v>13.30749988555908</v>
      </c>
      <c r="G129">
        <v>13.23920249938965</v>
      </c>
      <c r="H129">
        <v>824436000</v>
      </c>
      <c r="I129" t="s">
        <v>417</v>
      </c>
      <c r="J129" t="s">
        <v>418</v>
      </c>
      <c r="K129" t="s">
        <v>37</v>
      </c>
    </row>
    <row r="130" spans="1:11" ht="20" customHeight="1">
      <c r="A130" t="s">
        <v>22</v>
      </c>
      <c r="B130" t="s">
        <v>419</v>
      </c>
      <c r="C130">
        <v>13.7524995803833</v>
      </c>
      <c r="D130">
        <v>13.85449981689453</v>
      </c>
      <c r="E130">
        <v>13.36100006103516</v>
      </c>
      <c r="F130">
        <v>13.71450042724609</v>
      </c>
      <c r="G130">
        <v>13.64411354064941</v>
      </c>
      <c r="H130">
        <v>500932000</v>
      </c>
      <c r="I130" t="s">
        <v>420</v>
      </c>
      <c r="J130" t="s">
        <v>421</v>
      </c>
      <c r="K130" t="s">
        <v>37</v>
      </c>
    </row>
    <row r="131" spans="1:11" ht="20" customHeight="1">
      <c r="A131" t="s">
        <v>22</v>
      </c>
      <c r="B131" t="s">
        <v>422</v>
      </c>
      <c r="C131">
        <v>13.875</v>
      </c>
      <c r="D131">
        <v>13.92500019073486</v>
      </c>
      <c r="E131">
        <v>13.55325031280518</v>
      </c>
      <c r="F131">
        <v>13.8417501449585</v>
      </c>
      <c r="G131">
        <v>13.77070999145508</v>
      </c>
      <c r="H131">
        <v>353184000</v>
      </c>
      <c r="I131" t="s">
        <v>423</v>
      </c>
      <c r="J131" t="s">
        <v>424</v>
      </c>
      <c r="K131" t="s">
        <v>37</v>
      </c>
    </row>
    <row r="132" spans="1:11" ht="20" customHeight="1">
      <c r="A132" t="s">
        <v>22</v>
      </c>
      <c r="B132" t="s">
        <v>425</v>
      </c>
      <c r="C132">
        <v>13.89999961853027</v>
      </c>
      <c r="D132">
        <v>13.92049980163574</v>
      </c>
      <c r="E132">
        <v>13.39599990844727</v>
      </c>
      <c r="F132">
        <v>13.40625</v>
      </c>
      <c r="G132">
        <v>13.33744239807129</v>
      </c>
      <c r="H132">
        <v>264116000</v>
      </c>
      <c r="I132" t="s">
        <v>426</v>
      </c>
      <c r="J132" t="s">
        <v>427</v>
      </c>
      <c r="K132" t="s">
        <v>37</v>
      </c>
    </row>
    <row r="133" spans="1:11" ht="20" customHeight="1">
      <c r="A133" t="s">
        <v>22</v>
      </c>
      <c r="B133" t="s">
        <v>428</v>
      </c>
      <c r="C133">
        <v>13.42625045776367</v>
      </c>
      <c r="D133">
        <v>13.45149993896484</v>
      </c>
      <c r="E133">
        <v>12.79874992370605</v>
      </c>
      <c r="F133">
        <v>12.80475044250488</v>
      </c>
      <c r="G133">
        <v>12.7390308380127</v>
      </c>
      <c r="H133">
        <v>377592000</v>
      </c>
      <c r="I133" t="s">
        <v>429</v>
      </c>
      <c r="J133" t="s">
        <v>430</v>
      </c>
      <c r="K133" t="s">
        <v>37</v>
      </c>
    </row>
    <row r="134" spans="1:11" ht="20" customHeight="1">
      <c r="A134" t="s">
        <v>22</v>
      </c>
      <c r="B134" t="s">
        <v>431</v>
      </c>
      <c r="C134">
        <v>12.80074977874756</v>
      </c>
      <c r="D134">
        <v>12.97500038146973</v>
      </c>
      <c r="E134">
        <v>12.08374977111816</v>
      </c>
      <c r="F134">
        <v>12.37024974822998</v>
      </c>
      <c r="G134">
        <v>12.3067626953125</v>
      </c>
      <c r="H134">
        <v>573344000</v>
      </c>
      <c r="I134" t="s">
        <v>432</v>
      </c>
      <c r="J134" t="s">
        <v>433</v>
      </c>
      <c r="K134" t="s">
        <v>37</v>
      </c>
    </row>
    <row r="135" spans="1:11" ht="20" customHeight="1">
      <c r="A135" t="s">
        <v>22</v>
      </c>
      <c r="B135" t="s">
        <v>434</v>
      </c>
      <c r="C135">
        <v>12.55000019073486</v>
      </c>
      <c r="D135">
        <v>12.55000019073486</v>
      </c>
      <c r="E135">
        <v>11.67924976348877</v>
      </c>
      <c r="F135">
        <v>12.46150016784668</v>
      </c>
      <c r="G135">
        <v>12.39754199981689</v>
      </c>
      <c r="H135">
        <v>542840000</v>
      </c>
      <c r="I135" t="s">
        <v>435</v>
      </c>
      <c r="J135" t="s">
        <v>436</v>
      </c>
      <c r="K135" t="s">
        <v>37</v>
      </c>
    </row>
    <row r="136" spans="1:11" ht="20" customHeight="1">
      <c r="A136" t="s">
        <v>22</v>
      </c>
      <c r="B136" t="s">
        <v>437</v>
      </c>
      <c r="C136">
        <v>12.44999980926514</v>
      </c>
      <c r="D136">
        <v>12.4712495803833</v>
      </c>
      <c r="E136">
        <v>11.56649971008301</v>
      </c>
      <c r="F136">
        <v>11.5932502746582</v>
      </c>
      <c r="G136">
        <v>11.5337495803833</v>
      </c>
      <c r="H136">
        <v>543112000</v>
      </c>
      <c r="I136" t="s">
        <v>438</v>
      </c>
      <c r="J136" t="s">
        <v>439</v>
      </c>
      <c r="K136" t="s">
        <v>37</v>
      </c>
    </row>
    <row r="137" spans="1:11" ht="20" customHeight="1">
      <c r="A137" t="s">
        <v>22</v>
      </c>
      <c r="B137" t="s">
        <v>440</v>
      </c>
      <c r="C137">
        <v>12.13024997711182</v>
      </c>
      <c r="D137">
        <v>12.61674976348877</v>
      </c>
      <c r="E137">
        <v>12.05924987792969</v>
      </c>
      <c r="F137">
        <v>12.52025032043457</v>
      </c>
      <c r="G137">
        <v>12.46029090881348</v>
      </c>
      <c r="H137">
        <v>521824000</v>
      </c>
      <c r="I137" t="s">
        <v>441</v>
      </c>
      <c r="J137" t="s">
        <v>442</v>
      </c>
      <c r="K137" t="s">
        <v>37</v>
      </c>
    </row>
    <row r="138" spans="1:11" ht="20" customHeight="1">
      <c r="A138" t="s">
        <v>22</v>
      </c>
      <c r="B138" t="s">
        <v>443</v>
      </c>
      <c r="C138">
        <v>12.84049987792969</v>
      </c>
      <c r="D138">
        <v>12.97999954223633</v>
      </c>
      <c r="E138">
        <v>12.45750045776367</v>
      </c>
      <c r="F138">
        <v>12.4682502746582</v>
      </c>
      <c r="G138">
        <v>12.40854072570801</v>
      </c>
      <c r="H138">
        <v>384376000</v>
      </c>
      <c r="I138" t="s">
        <v>444</v>
      </c>
      <c r="J138" t="s">
        <v>445</v>
      </c>
      <c r="K138" t="s">
        <v>37</v>
      </c>
    </row>
    <row r="139" spans="1:11" ht="20" customHeight="1">
      <c r="A139" t="s">
        <v>22</v>
      </c>
      <c r="B139" t="s">
        <v>446</v>
      </c>
      <c r="C139">
        <v>12.94999980926514</v>
      </c>
      <c r="D139">
        <v>13.04625034332275</v>
      </c>
      <c r="E139">
        <v>12.73449993133545</v>
      </c>
      <c r="F139">
        <v>12.99349975585938</v>
      </c>
      <c r="G139">
        <v>12.93127632141113</v>
      </c>
      <c r="H139">
        <v>299916000</v>
      </c>
      <c r="I139" t="s">
        <v>447</v>
      </c>
      <c r="J139" t="s">
        <v>448</v>
      </c>
      <c r="K139" t="s">
        <v>37</v>
      </c>
    </row>
    <row r="140" spans="1:11" ht="20" customHeight="1">
      <c r="A140" t="s">
        <v>22</v>
      </c>
      <c r="B140" t="s">
        <v>449</v>
      </c>
      <c r="C140">
        <v>12.64824962615967</v>
      </c>
      <c r="D140">
        <v>12.88875007629395</v>
      </c>
      <c r="E140">
        <v>12.59000015258789</v>
      </c>
      <c r="F140">
        <v>12.85599994659424</v>
      </c>
      <c r="G140">
        <v>12.79443454742432</v>
      </c>
      <c r="H140">
        <v>243964000</v>
      </c>
      <c r="I140" t="s">
        <v>450</v>
      </c>
      <c r="J140" t="s">
        <v>451</v>
      </c>
      <c r="K140" t="s">
        <v>37</v>
      </c>
    </row>
    <row r="141" spans="1:11" ht="20" customHeight="1">
      <c r="A141" t="s">
        <v>22</v>
      </c>
      <c r="B141" t="s">
        <v>452</v>
      </c>
      <c r="C141">
        <v>12.86474990844727</v>
      </c>
      <c r="D141">
        <v>13.20674991607666</v>
      </c>
      <c r="E141">
        <v>12.76725006103516</v>
      </c>
      <c r="F141">
        <v>13.19124984741211</v>
      </c>
      <c r="G141">
        <v>13.12807846069336</v>
      </c>
      <c r="H141">
        <v>221988000</v>
      </c>
      <c r="I141" t="s">
        <v>453</v>
      </c>
      <c r="J141" t="s">
        <v>454</v>
      </c>
      <c r="K141" t="s">
        <v>37</v>
      </c>
    </row>
    <row r="142" spans="1:11" ht="20" customHeight="1">
      <c r="A142" t="s">
        <v>22</v>
      </c>
      <c r="B142" t="s">
        <v>455</v>
      </c>
      <c r="C142">
        <v>13.35649967193604</v>
      </c>
      <c r="D142">
        <v>13.51249980926514</v>
      </c>
      <c r="E142">
        <v>13.11674976348877</v>
      </c>
      <c r="F142">
        <v>13.29125022888184</v>
      </c>
      <c r="G142">
        <v>13.22760009765625</v>
      </c>
      <c r="H142">
        <v>272128000</v>
      </c>
      <c r="I142" t="s">
        <v>456</v>
      </c>
      <c r="J142" t="s">
        <v>457</v>
      </c>
      <c r="K142" t="s">
        <v>37</v>
      </c>
    </row>
    <row r="143" spans="1:11" ht="20" customHeight="1">
      <c r="A143" t="s">
        <v>22</v>
      </c>
      <c r="B143" t="s">
        <v>458</v>
      </c>
      <c r="C143">
        <v>13.03975009918213</v>
      </c>
      <c r="D143">
        <v>13.45324993133545</v>
      </c>
      <c r="E143">
        <v>12.98950004577637</v>
      </c>
      <c r="F143">
        <v>13.3412504196167</v>
      </c>
      <c r="G143">
        <v>13.27735996246338</v>
      </c>
      <c r="H143">
        <v>243864000</v>
      </c>
      <c r="I143" t="s">
        <v>459</v>
      </c>
      <c r="J143" t="s">
        <v>460</v>
      </c>
      <c r="K143" t="s">
        <v>37</v>
      </c>
    </row>
    <row r="144" spans="1:11" ht="20" customHeight="1">
      <c r="A144" t="s">
        <v>22</v>
      </c>
      <c r="B144" t="s">
        <v>461</v>
      </c>
      <c r="C144">
        <v>13.13650035858154</v>
      </c>
      <c r="D144">
        <v>13.18400001525879</v>
      </c>
      <c r="E144">
        <v>12.71700000762939</v>
      </c>
      <c r="F144">
        <v>12.72249984741211</v>
      </c>
      <c r="G144">
        <v>12.66157341003418</v>
      </c>
      <c r="H144">
        <v>293896000</v>
      </c>
      <c r="I144" t="s">
        <v>462</v>
      </c>
      <c r="J144" t="s">
        <v>463</v>
      </c>
      <c r="K144" t="s">
        <v>37</v>
      </c>
    </row>
    <row r="145" spans="1:11" ht="20" customHeight="1">
      <c r="A145" t="s">
        <v>22</v>
      </c>
      <c r="B145" t="s">
        <v>464</v>
      </c>
      <c r="C145">
        <v>12.75</v>
      </c>
      <c r="D145">
        <v>12.92150020599365</v>
      </c>
      <c r="E145">
        <v>12.61250019073486</v>
      </c>
      <c r="F145">
        <v>12.8457498550415</v>
      </c>
      <c r="G145">
        <v>12.78423309326172</v>
      </c>
      <c r="H145">
        <v>299208000</v>
      </c>
      <c r="I145" t="s">
        <v>465</v>
      </c>
      <c r="J145" t="s">
        <v>466</v>
      </c>
      <c r="K145" t="s">
        <v>37</v>
      </c>
    </row>
    <row r="146" spans="1:11" ht="20" customHeight="1">
      <c r="A146" t="s">
        <v>22</v>
      </c>
      <c r="B146" t="s">
        <v>467</v>
      </c>
      <c r="C146">
        <v>12.91275024414062</v>
      </c>
      <c r="D146">
        <v>13.39449977874756</v>
      </c>
      <c r="E146">
        <v>12.9067497253418</v>
      </c>
      <c r="F146">
        <v>13.18624973297119</v>
      </c>
      <c r="G146">
        <v>13.12310218811035</v>
      </c>
      <c r="H146">
        <v>297804000</v>
      </c>
      <c r="I146" t="s">
        <v>468</v>
      </c>
      <c r="J146" t="s">
        <v>469</v>
      </c>
      <c r="K146" t="s">
        <v>37</v>
      </c>
    </row>
    <row r="147" spans="1:11" ht="20" customHeight="1">
      <c r="A147" t="s">
        <v>22</v>
      </c>
      <c r="B147" t="s">
        <v>470</v>
      </c>
      <c r="C147">
        <v>13.25424957275391</v>
      </c>
      <c r="D147">
        <v>13.3444995880127</v>
      </c>
      <c r="E147">
        <v>13.02124977111816</v>
      </c>
      <c r="F147">
        <v>13.07075023651123</v>
      </c>
      <c r="G147">
        <v>13.00815296173096</v>
      </c>
      <c r="H147">
        <v>222048000</v>
      </c>
      <c r="I147" t="s">
        <v>471</v>
      </c>
      <c r="J147" t="s">
        <v>472</v>
      </c>
      <c r="K147" t="s">
        <v>37</v>
      </c>
    </row>
    <row r="148" spans="1:11" ht="20" customHeight="1">
      <c r="A148" t="s">
        <v>22</v>
      </c>
      <c r="B148" t="s">
        <v>473</v>
      </c>
      <c r="C148">
        <v>13.15124988555908</v>
      </c>
      <c r="D148">
        <v>13.15925025939941</v>
      </c>
      <c r="E148">
        <v>12.63675022125244</v>
      </c>
      <c r="F148">
        <v>12.64299964904785</v>
      </c>
      <c r="G148">
        <v>12.5824556350708</v>
      </c>
      <c r="H148">
        <v>245840000</v>
      </c>
      <c r="I148" t="s">
        <v>474</v>
      </c>
      <c r="J148" t="s">
        <v>475</v>
      </c>
      <c r="K148" t="s">
        <v>37</v>
      </c>
    </row>
    <row r="149" spans="1:11" ht="20" customHeight="1">
      <c r="A149" t="s">
        <v>22</v>
      </c>
      <c r="B149" t="s">
        <v>476</v>
      </c>
      <c r="C149">
        <v>12.4995002746582</v>
      </c>
      <c r="D149">
        <v>12.71475028991699</v>
      </c>
      <c r="E149">
        <v>12.27200031280518</v>
      </c>
      <c r="F149">
        <v>12.53524971008301</v>
      </c>
      <c r="G149">
        <v>12.47521877288818</v>
      </c>
      <c r="H149">
        <v>295144000</v>
      </c>
      <c r="I149" t="s">
        <v>477</v>
      </c>
      <c r="J149" t="s">
        <v>478</v>
      </c>
      <c r="K149" t="s">
        <v>37</v>
      </c>
    </row>
    <row r="150" spans="1:11" ht="20" customHeight="1">
      <c r="A150" t="s">
        <v>22</v>
      </c>
      <c r="B150" t="s">
        <v>479</v>
      </c>
      <c r="C150">
        <v>12.55449962615967</v>
      </c>
      <c r="D150">
        <v>12.85624980926514</v>
      </c>
      <c r="E150">
        <v>12.37349987030029</v>
      </c>
      <c r="F150">
        <v>12.83924961090088</v>
      </c>
      <c r="G150">
        <v>12.77776145935059</v>
      </c>
      <c r="H150">
        <v>363968000</v>
      </c>
      <c r="I150" t="s">
        <v>480</v>
      </c>
      <c r="J150" t="s">
        <v>481</v>
      </c>
      <c r="K150" t="s">
        <v>37</v>
      </c>
    </row>
    <row r="151" spans="1:11" ht="20" customHeight="1">
      <c r="A151" t="s">
        <v>22</v>
      </c>
      <c r="B151" t="s">
        <v>482</v>
      </c>
      <c r="C151">
        <v>12.82024955749512</v>
      </c>
      <c r="D151">
        <v>13.0625</v>
      </c>
      <c r="E151">
        <v>12.69999980926514</v>
      </c>
      <c r="F151">
        <v>12.94824981689453</v>
      </c>
      <c r="G151">
        <v>12.8862419128418</v>
      </c>
      <c r="H151">
        <v>273520000</v>
      </c>
      <c r="I151" t="s">
        <v>483</v>
      </c>
      <c r="J151" t="s">
        <v>484</v>
      </c>
      <c r="K151" t="s">
        <v>37</v>
      </c>
    </row>
    <row r="152" spans="1:11" ht="20" customHeight="1">
      <c r="A152" t="s">
        <v>22</v>
      </c>
      <c r="B152" t="s">
        <v>485</v>
      </c>
      <c r="C152">
        <v>12.84200000762939</v>
      </c>
      <c r="D152">
        <v>12.97525024414062</v>
      </c>
      <c r="E152">
        <v>12.70499992370605</v>
      </c>
      <c r="F152">
        <v>12.87174987792969</v>
      </c>
      <c r="G152">
        <v>12.81010913848877</v>
      </c>
      <c r="H152">
        <v>200204000</v>
      </c>
      <c r="I152" t="s">
        <v>486</v>
      </c>
      <c r="J152" t="s">
        <v>487</v>
      </c>
      <c r="K152" t="s">
        <v>37</v>
      </c>
    </row>
    <row r="153" spans="1:11" ht="20" customHeight="1">
      <c r="A153" t="s">
        <v>22</v>
      </c>
      <c r="B153" t="s">
        <v>488</v>
      </c>
      <c r="C153">
        <v>13.01550006866455</v>
      </c>
      <c r="D153">
        <v>13.47049999237061</v>
      </c>
      <c r="E153">
        <v>12.98250007629395</v>
      </c>
      <c r="F153">
        <v>13.34825038909912</v>
      </c>
      <c r="G153">
        <v>13.28432559967041</v>
      </c>
      <c r="H153">
        <v>314776000</v>
      </c>
      <c r="I153" t="s">
        <v>489</v>
      </c>
      <c r="J153" t="s">
        <v>490</v>
      </c>
      <c r="K153" t="s">
        <v>37</v>
      </c>
    </row>
    <row r="154" spans="1:11" ht="20" customHeight="1">
      <c r="A154" t="s">
        <v>22</v>
      </c>
      <c r="B154" t="s">
        <v>491</v>
      </c>
      <c r="C154">
        <v>13.57225036621094</v>
      </c>
      <c r="D154">
        <v>13.86999988555908</v>
      </c>
      <c r="E154">
        <v>13.51124954223633</v>
      </c>
      <c r="F154">
        <v>13.8117504119873</v>
      </c>
      <c r="G154">
        <v>13.74560832977295</v>
      </c>
      <c r="H154">
        <v>308276000</v>
      </c>
      <c r="I154" t="s">
        <v>492</v>
      </c>
      <c r="J154" t="s">
        <v>493</v>
      </c>
      <c r="K154" t="s">
        <v>37</v>
      </c>
    </row>
    <row r="155" spans="1:11" ht="20" customHeight="1">
      <c r="A155" t="s">
        <v>22</v>
      </c>
      <c r="B155" t="s">
        <v>494</v>
      </c>
      <c r="C155">
        <v>13.86750030517578</v>
      </c>
      <c r="D155">
        <v>14.01399993896484</v>
      </c>
      <c r="E155">
        <v>13.73299980163574</v>
      </c>
      <c r="F155">
        <v>13.98750019073486</v>
      </c>
      <c r="G155">
        <v>13.9205150604248</v>
      </c>
      <c r="H155">
        <v>255672000</v>
      </c>
      <c r="I155" t="s">
        <v>495</v>
      </c>
      <c r="J155" t="s">
        <v>496</v>
      </c>
      <c r="K155" t="s">
        <v>37</v>
      </c>
    </row>
    <row r="156" spans="1:11" ht="20" customHeight="1">
      <c r="A156" t="s">
        <v>22</v>
      </c>
      <c r="B156" t="s">
        <v>497</v>
      </c>
      <c r="C156">
        <v>13.9997501373291</v>
      </c>
      <c r="D156">
        <v>14.05424976348877</v>
      </c>
      <c r="E156">
        <v>13.77350044250488</v>
      </c>
      <c r="F156">
        <v>13.86149978637695</v>
      </c>
      <c r="G156">
        <v>13.79511833190918</v>
      </c>
      <c r="H156">
        <v>191744000</v>
      </c>
      <c r="I156" t="s">
        <v>498</v>
      </c>
      <c r="J156" t="s">
        <v>499</v>
      </c>
      <c r="K156" t="s">
        <v>37</v>
      </c>
    </row>
    <row r="157" spans="1:11" ht="20" customHeight="1">
      <c r="A157" t="s">
        <v>22</v>
      </c>
      <c r="B157" t="s">
        <v>500</v>
      </c>
      <c r="C157">
        <v>13.88074970245361</v>
      </c>
      <c r="D157">
        <v>14.24349975585938</v>
      </c>
      <c r="E157">
        <v>13.71150016784668</v>
      </c>
      <c r="F157">
        <v>14.14350032806396</v>
      </c>
      <c r="G157">
        <v>14.07576656341553</v>
      </c>
      <c r="H157">
        <v>251284000</v>
      </c>
      <c r="I157" t="s">
        <v>501</v>
      </c>
      <c r="J157" t="s">
        <v>502</v>
      </c>
      <c r="K157" t="s">
        <v>37</v>
      </c>
    </row>
    <row r="158" spans="1:11" ht="20" customHeight="1">
      <c r="A158" t="s">
        <v>22</v>
      </c>
      <c r="B158" t="s">
        <v>503</v>
      </c>
      <c r="C158">
        <v>14.25275039672852</v>
      </c>
      <c r="D158">
        <v>14.47150039672852</v>
      </c>
      <c r="E158">
        <v>14.24899959564209</v>
      </c>
      <c r="F158">
        <v>14.31700038909912</v>
      </c>
      <c r="G158">
        <v>14.24843883514404</v>
      </c>
      <c r="H158">
        <v>244416000</v>
      </c>
      <c r="I158" t="s">
        <v>504</v>
      </c>
      <c r="J158" t="s">
        <v>505</v>
      </c>
      <c r="K158" t="s">
        <v>37</v>
      </c>
    </row>
    <row r="159" spans="1:11" ht="20" customHeight="1">
      <c r="A159" t="s">
        <v>22</v>
      </c>
      <c r="B159" t="s">
        <v>506</v>
      </c>
      <c r="C159">
        <v>14.21399974822998</v>
      </c>
      <c r="D159">
        <v>14.40799999237061</v>
      </c>
      <c r="E159">
        <v>14.17500019073486</v>
      </c>
      <c r="F159">
        <v>14.39999961853027</v>
      </c>
      <c r="G159">
        <v>14.33104133605957</v>
      </c>
      <c r="H159">
        <v>195172000</v>
      </c>
      <c r="I159" t="s">
        <v>507</v>
      </c>
      <c r="J159" t="s">
        <v>508</v>
      </c>
      <c r="K159" t="s">
        <v>37</v>
      </c>
    </row>
    <row r="160" spans="1:11" ht="20" customHeight="1">
      <c r="A160" t="s">
        <v>22</v>
      </c>
      <c r="B160" t="s">
        <v>509</v>
      </c>
      <c r="C160">
        <v>14.28975009918213</v>
      </c>
      <c r="D160">
        <v>15.35249996185303</v>
      </c>
      <c r="E160">
        <v>14.13924980163574</v>
      </c>
      <c r="F160">
        <v>15.20899963378906</v>
      </c>
      <c r="G160">
        <v>15.1361665725708</v>
      </c>
      <c r="H160">
        <v>869324000</v>
      </c>
      <c r="I160" t="s">
        <v>510</v>
      </c>
      <c r="J160" t="s">
        <v>511</v>
      </c>
      <c r="K160" t="s">
        <v>37</v>
      </c>
    </row>
    <row r="161" spans="1:11" ht="20" customHeight="1">
      <c r="A161" t="s">
        <v>22</v>
      </c>
      <c r="B161" t="s">
        <v>512</v>
      </c>
      <c r="C161">
        <v>15.23149967193604</v>
      </c>
      <c r="D161">
        <v>15.69999980926514</v>
      </c>
      <c r="E161">
        <v>15.1257495880127</v>
      </c>
      <c r="F161">
        <v>15.67949962615967</v>
      </c>
      <c r="G161">
        <v>15.60441398620605</v>
      </c>
      <c r="H161">
        <v>676212000</v>
      </c>
      <c r="I161" t="s">
        <v>513</v>
      </c>
      <c r="J161" t="s">
        <v>514</v>
      </c>
      <c r="K161" t="s">
        <v>37</v>
      </c>
    </row>
    <row r="162" spans="1:11" ht="20" customHeight="1">
      <c r="A162" t="s">
        <v>22</v>
      </c>
      <c r="B162" t="s">
        <v>515</v>
      </c>
      <c r="C162">
        <v>15.625</v>
      </c>
      <c r="D162">
        <v>15.72049999237061</v>
      </c>
      <c r="E162">
        <v>15.22749996185303</v>
      </c>
      <c r="F162">
        <v>15.27700042724609</v>
      </c>
      <c r="G162">
        <v>15.20383930206299</v>
      </c>
      <c r="H162">
        <v>385500000</v>
      </c>
      <c r="I162" t="s">
        <v>516</v>
      </c>
      <c r="J162" t="s">
        <v>517</v>
      </c>
      <c r="K162" t="s">
        <v>37</v>
      </c>
    </row>
    <row r="163" spans="1:11" ht="20" customHeight="1">
      <c r="A163" t="s">
        <v>22</v>
      </c>
      <c r="B163" t="s">
        <v>518</v>
      </c>
      <c r="C163">
        <v>15.66250038146973</v>
      </c>
      <c r="D163">
        <v>16.2142505645752</v>
      </c>
      <c r="E163">
        <v>15.63150024414062</v>
      </c>
      <c r="F163">
        <v>16.13725090026855</v>
      </c>
      <c r="G163">
        <v>16.05997276306152</v>
      </c>
      <c r="H163">
        <v>598480000</v>
      </c>
      <c r="I163" t="s">
        <v>519</v>
      </c>
      <c r="J163" t="s">
        <v>520</v>
      </c>
      <c r="K163" t="s">
        <v>37</v>
      </c>
    </row>
    <row r="164" spans="1:11" ht="20" customHeight="1">
      <c r="A164" t="s">
        <v>22</v>
      </c>
      <c r="B164" t="s">
        <v>521</v>
      </c>
      <c r="C164">
        <v>16.05299949645996</v>
      </c>
      <c r="D164">
        <v>16.16575050354004</v>
      </c>
      <c r="E164">
        <v>15.86524963378906</v>
      </c>
      <c r="F164">
        <v>15.91250038146973</v>
      </c>
      <c r="G164">
        <v>15.83629703521729</v>
      </c>
      <c r="H164">
        <v>335208000</v>
      </c>
      <c r="I164" t="s">
        <v>522</v>
      </c>
      <c r="J164" t="s">
        <v>523</v>
      </c>
      <c r="K164" t="s">
        <v>37</v>
      </c>
    </row>
    <row r="165" spans="1:11" ht="20" customHeight="1">
      <c r="A165" t="s">
        <v>22</v>
      </c>
      <c r="B165" t="s">
        <v>524</v>
      </c>
      <c r="C165">
        <v>15.53649997711182</v>
      </c>
      <c r="D165">
        <v>15.80749988555908</v>
      </c>
      <c r="E165">
        <v>15.23299980163574</v>
      </c>
      <c r="F165">
        <v>15.36174964904785</v>
      </c>
      <c r="G165">
        <v>15.28818225860596</v>
      </c>
      <c r="H165">
        <v>404420000</v>
      </c>
      <c r="I165" t="s">
        <v>525</v>
      </c>
      <c r="J165" t="s">
        <v>526</v>
      </c>
      <c r="K165" t="s">
        <v>37</v>
      </c>
    </row>
    <row r="166" spans="1:11" ht="20" customHeight="1">
      <c r="A166" t="s">
        <v>22</v>
      </c>
      <c r="B166" t="s">
        <v>527</v>
      </c>
      <c r="C166">
        <v>15.32324981689453</v>
      </c>
      <c r="D166">
        <v>15.49699974060059</v>
      </c>
      <c r="E166">
        <v>14.96300029754639</v>
      </c>
      <c r="F166">
        <v>15.17125034332275</v>
      </c>
      <c r="G166">
        <v>15.09859752655029</v>
      </c>
      <c r="H166">
        <v>334132000</v>
      </c>
      <c r="I166" t="s">
        <v>528</v>
      </c>
      <c r="J166" t="s">
        <v>529</v>
      </c>
      <c r="K166" t="s">
        <v>37</v>
      </c>
    </row>
    <row r="167" spans="1:11" ht="20" customHeight="1">
      <c r="A167" t="s">
        <v>22</v>
      </c>
      <c r="B167" t="s">
        <v>530</v>
      </c>
      <c r="C167">
        <v>15.11874961853027</v>
      </c>
      <c r="D167">
        <v>15.36250019073486</v>
      </c>
      <c r="E167">
        <v>15.10225009918213</v>
      </c>
      <c r="F167">
        <v>15.36050033569336</v>
      </c>
      <c r="G167">
        <v>15.28693866729736</v>
      </c>
      <c r="H167">
        <v>216776000</v>
      </c>
      <c r="I167" t="s">
        <v>531</v>
      </c>
      <c r="J167" t="s">
        <v>532</v>
      </c>
      <c r="K167" t="s">
        <v>37</v>
      </c>
    </row>
    <row r="168" spans="1:11" ht="20" customHeight="1">
      <c r="A168" t="s">
        <v>22</v>
      </c>
      <c r="B168" t="s">
        <v>533</v>
      </c>
      <c r="C168">
        <v>15.375</v>
      </c>
      <c r="D168">
        <v>15.43850040435791</v>
      </c>
      <c r="E168">
        <v>14.7834997177124</v>
      </c>
      <c r="F168">
        <v>14.85025024414062</v>
      </c>
      <c r="G168">
        <v>14.77913093566895</v>
      </c>
      <c r="H168">
        <v>277788000</v>
      </c>
      <c r="I168" t="s">
        <v>534</v>
      </c>
      <c r="J168" t="s">
        <v>535</v>
      </c>
      <c r="K168" t="s">
        <v>37</v>
      </c>
    </row>
    <row r="169" spans="1:11" ht="20" customHeight="1">
      <c r="A169" t="s">
        <v>22</v>
      </c>
      <c r="B169" t="s">
        <v>536</v>
      </c>
      <c r="C169">
        <v>14.93424987792969</v>
      </c>
      <c r="D169">
        <v>15.33500003814697</v>
      </c>
      <c r="E169">
        <v>14.90025043487549</v>
      </c>
      <c r="F169">
        <v>15.26525020599365</v>
      </c>
      <c r="G169">
        <v>15.19214534759521</v>
      </c>
      <c r="H169">
        <v>227500000</v>
      </c>
      <c r="I169" t="s">
        <v>537</v>
      </c>
      <c r="J169" t="s">
        <v>538</v>
      </c>
      <c r="K169" t="s">
        <v>37</v>
      </c>
    </row>
    <row r="170" spans="1:11" ht="20" customHeight="1">
      <c r="A170" t="s">
        <v>22</v>
      </c>
      <c r="B170" t="s">
        <v>539</v>
      </c>
      <c r="C170">
        <v>15.1850004196167</v>
      </c>
      <c r="D170">
        <v>15.47900009155273</v>
      </c>
      <c r="E170">
        <v>15.125</v>
      </c>
      <c r="F170">
        <v>15.47799968719482</v>
      </c>
      <c r="G170">
        <v>15.40387725830078</v>
      </c>
      <c r="H170">
        <v>197796000</v>
      </c>
      <c r="I170" t="s">
        <v>540</v>
      </c>
      <c r="J170" t="s">
        <v>541</v>
      </c>
      <c r="K170" t="s">
        <v>37</v>
      </c>
    </row>
    <row r="171" spans="1:11" ht="20" customHeight="1">
      <c r="A171" t="s">
        <v>22</v>
      </c>
      <c r="B171" t="s">
        <v>542</v>
      </c>
      <c r="C171">
        <v>15.57849979400635</v>
      </c>
      <c r="D171">
        <v>15.67049980163574</v>
      </c>
      <c r="E171">
        <v>15.35449981689453</v>
      </c>
      <c r="F171">
        <v>15.38175010681152</v>
      </c>
      <c r="G171">
        <v>15.3080883026123</v>
      </c>
      <c r="H171">
        <v>164572000</v>
      </c>
      <c r="I171" t="s">
        <v>543</v>
      </c>
      <c r="J171" t="s">
        <v>544</v>
      </c>
      <c r="K171" t="s">
        <v>37</v>
      </c>
    </row>
    <row r="172" spans="1:11" ht="20" customHeight="1">
      <c r="A172" t="s">
        <v>22</v>
      </c>
      <c r="B172" t="s">
        <v>545</v>
      </c>
      <c r="C172">
        <v>15.36450004577637</v>
      </c>
      <c r="D172">
        <v>15.53225040435791</v>
      </c>
      <c r="E172">
        <v>15.21549987792969</v>
      </c>
      <c r="F172">
        <v>15.27674961090088</v>
      </c>
      <c r="G172">
        <v>15.20359039306641</v>
      </c>
      <c r="H172">
        <v>209416000</v>
      </c>
      <c r="I172" t="s">
        <v>546</v>
      </c>
      <c r="J172" t="s">
        <v>547</v>
      </c>
      <c r="K172" t="s">
        <v>37</v>
      </c>
    </row>
    <row r="173" spans="1:11" ht="20" customHeight="1">
      <c r="A173" t="s">
        <v>22</v>
      </c>
      <c r="B173" t="s">
        <v>548</v>
      </c>
      <c r="C173">
        <v>15.39999961853027</v>
      </c>
      <c r="D173">
        <v>15.43649959564209</v>
      </c>
      <c r="E173">
        <v>15.07149982452393</v>
      </c>
      <c r="F173">
        <v>15.32474994659424</v>
      </c>
      <c r="G173">
        <v>15.25136089324951</v>
      </c>
      <c r="H173">
        <v>173196000</v>
      </c>
      <c r="I173" t="s">
        <v>549</v>
      </c>
      <c r="J173" t="s">
        <v>550</v>
      </c>
      <c r="K173" t="s">
        <v>37</v>
      </c>
    </row>
    <row r="174" spans="1:11" ht="20" customHeight="1">
      <c r="A174" t="s">
        <v>22</v>
      </c>
      <c r="B174" t="s">
        <v>551</v>
      </c>
      <c r="C174">
        <v>15.17450046539307</v>
      </c>
      <c r="D174">
        <v>15.36499977111816</v>
      </c>
      <c r="E174">
        <v>14.99699974060059</v>
      </c>
      <c r="F174">
        <v>15.00949954986572</v>
      </c>
      <c r="G174">
        <v>14.93761920928955</v>
      </c>
      <c r="H174">
        <v>201912000</v>
      </c>
      <c r="I174" t="s">
        <v>552</v>
      </c>
      <c r="J174" t="s">
        <v>553</v>
      </c>
      <c r="K174" t="s">
        <v>37</v>
      </c>
    </row>
    <row r="175" spans="1:11" ht="20" customHeight="1">
      <c r="A175" t="s">
        <v>22</v>
      </c>
      <c r="B175" t="s">
        <v>554</v>
      </c>
      <c r="C175">
        <v>15.125</v>
      </c>
      <c r="D175">
        <v>15.24674987792969</v>
      </c>
      <c r="E175">
        <v>14.78750038146973</v>
      </c>
      <c r="F175">
        <v>14.83675003051758</v>
      </c>
      <c r="G175">
        <v>14.76569843292236</v>
      </c>
      <c r="H175">
        <v>203912000</v>
      </c>
      <c r="I175" t="s">
        <v>555</v>
      </c>
      <c r="J175" t="s">
        <v>556</v>
      </c>
      <c r="K175" t="s">
        <v>37</v>
      </c>
    </row>
    <row r="176" spans="1:11" ht="20" customHeight="1">
      <c r="A176" t="s">
        <v>22</v>
      </c>
      <c r="B176" t="s">
        <v>557</v>
      </c>
      <c r="C176">
        <v>14.63724994659424</v>
      </c>
      <c r="D176">
        <v>14.63749980926514</v>
      </c>
      <c r="E176">
        <v>14.01025009155273</v>
      </c>
      <c r="F176">
        <v>14.35124969482422</v>
      </c>
      <c r="G176">
        <v>14.28252410888672</v>
      </c>
      <c r="H176">
        <v>405324000</v>
      </c>
      <c r="I176" t="s">
        <v>558</v>
      </c>
      <c r="J176" t="s">
        <v>559</v>
      </c>
      <c r="K176" t="s">
        <v>37</v>
      </c>
    </row>
    <row r="177" spans="1:11" ht="20" customHeight="1">
      <c r="A177" t="s">
        <v>22</v>
      </c>
      <c r="B177" t="s">
        <v>560</v>
      </c>
      <c r="C177">
        <v>14.70899963378906</v>
      </c>
      <c r="D177">
        <v>14.81350040435791</v>
      </c>
      <c r="E177">
        <v>14.38749980926514</v>
      </c>
      <c r="F177">
        <v>14.45849990844727</v>
      </c>
      <c r="G177">
        <v>14.38926029205322</v>
      </c>
      <c r="H177">
        <v>292024000</v>
      </c>
      <c r="I177" t="s">
        <v>561</v>
      </c>
      <c r="J177" t="s">
        <v>562</v>
      </c>
      <c r="K177" t="s">
        <v>37</v>
      </c>
    </row>
    <row r="178" spans="1:11" ht="20" customHeight="1">
      <c r="A178" t="s">
        <v>22</v>
      </c>
      <c r="B178" t="s">
        <v>563</v>
      </c>
      <c r="C178">
        <v>14.49524974822998</v>
      </c>
      <c r="D178">
        <v>14.57124996185303</v>
      </c>
      <c r="E178">
        <v>14.2180004119873</v>
      </c>
      <c r="F178">
        <v>14.52299976348877</v>
      </c>
      <c r="G178">
        <v>14.45345115661621</v>
      </c>
      <c r="H178">
        <v>193380000</v>
      </c>
      <c r="I178" t="s">
        <v>564</v>
      </c>
      <c r="J178" t="s">
        <v>565</v>
      </c>
      <c r="K178" t="s">
        <v>37</v>
      </c>
    </row>
    <row r="179" spans="1:11" ht="20" customHeight="1">
      <c r="A179" t="s">
        <v>22</v>
      </c>
      <c r="B179" t="s">
        <v>566</v>
      </c>
      <c r="C179">
        <v>14.80825042724609</v>
      </c>
      <c r="D179">
        <v>14.9707498550415</v>
      </c>
      <c r="E179">
        <v>14.67175006866455</v>
      </c>
      <c r="F179">
        <v>14.8122501373291</v>
      </c>
      <c r="G179">
        <v>14.74131774902344</v>
      </c>
      <c r="H179">
        <v>229328000</v>
      </c>
      <c r="I179" t="s">
        <v>567</v>
      </c>
      <c r="J179" t="s">
        <v>568</v>
      </c>
      <c r="K179" t="s">
        <v>37</v>
      </c>
    </row>
    <row r="180" spans="1:11" ht="20" customHeight="1">
      <c r="A180" t="s">
        <v>22</v>
      </c>
      <c r="B180" t="s">
        <v>569</v>
      </c>
      <c r="C180">
        <v>14.78724956512451</v>
      </c>
      <c r="D180">
        <v>14.80599975585938</v>
      </c>
      <c r="E180">
        <v>14.25</v>
      </c>
      <c r="F180">
        <v>14.26574993133545</v>
      </c>
      <c r="G180">
        <v>14.19743061065674</v>
      </c>
      <c r="H180">
        <v>268904000</v>
      </c>
      <c r="I180" t="s">
        <v>570</v>
      </c>
      <c r="J180" t="s">
        <v>571</v>
      </c>
      <c r="K180" t="s">
        <v>37</v>
      </c>
    </row>
    <row r="181" spans="1:11" ht="20" customHeight="1">
      <c r="A181" t="s">
        <v>22</v>
      </c>
      <c r="B181" t="s">
        <v>572</v>
      </c>
      <c r="C181">
        <v>13.82499980926514</v>
      </c>
      <c r="D181">
        <v>14.35474967956543</v>
      </c>
      <c r="E181">
        <v>13.75</v>
      </c>
      <c r="F181">
        <v>14.30624961853027</v>
      </c>
      <c r="G181">
        <v>14.23773860931396</v>
      </c>
      <c r="H181">
        <v>285584000</v>
      </c>
      <c r="I181" t="s">
        <v>573</v>
      </c>
      <c r="J181" t="s">
        <v>574</v>
      </c>
      <c r="K181" t="s">
        <v>37</v>
      </c>
    </row>
    <row r="182" spans="1:11" ht="20" customHeight="1">
      <c r="A182" t="s">
        <v>22</v>
      </c>
      <c r="B182" t="s">
        <v>575</v>
      </c>
      <c r="C182">
        <v>14.00949954986572</v>
      </c>
      <c r="D182">
        <v>14.26025009155273</v>
      </c>
      <c r="E182">
        <v>13.70925045013428</v>
      </c>
      <c r="F182">
        <v>13.75850009918213</v>
      </c>
      <c r="G182">
        <v>13.69261264801025</v>
      </c>
      <c r="H182">
        <v>303408000</v>
      </c>
      <c r="I182" t="s">
        <v>576</v>
      </c>
      <c r="J182" t="s">
        <v>577</v>
      </c>
      <c r="K182" t="s">
        <v>37</v>
      </c>
    </row>
    <row r="183" spans="1:11" ht="20" customHeight="1">
      <c r="A183" t="s">
        <v>22</v>
      </c>
      <c r="B183" t="s">
        <v>578</v>
      </c>
      <c r="C183">
        <v>14.0337495803833</v>
      </c>
      <c r="D183">
        <v>14.08075046539307</v>
      </c>
      <c r="E183">
        <v>13.45899963378906</v>
      </c>
      <c r="F183">
        <v>13.66524982452393</v>
      </c>
      <c r="G183">
        <v>13.59980773925781</v>
      </c>
      <c r="H183">
        <v>285404000</v>
      </c>
      <c r="I183" t="s">
        <v>579</v>
      </c>
      <c r="J183" t="s">
        <v>580</v>
      </c>
      <c r="K183" t="s">
        <v>37</v>
      </c>
    </row>
    <row r="184" spans="1:11" ht="20" customHeight="1">
      <c r="A184" t="s">
        <v>22</v>
      </c>
      <c r="B184" t="s">
        <v>581</v>
      </c>
      <c r="C184">
        <v>13.89000034332275</v>
      </c>
      <c r="D184">
        <v>14.32800006866455</v>
      </c>
      <c r="E184">
        <v>13.74849987030029</v>
      </c>
      <c r="F184">
        <v>14.24300003051758</v>
      </c>
      <c r="G184">
        <v>14.17479038238525</v>
      </c>
      <c r="H184">
        <v>258616000</v>
      </c>
      <c r="I184" t="s">
        <v>582</v>
      </c>
      <c r="J184" t="s">
        <v>583</v>
      </c>
      <c r="K184" t="s">
        <v>37</v>
      </c>
    </row>
    <row r="185" spans="1:11" ht="20" customHeight="1">
      <c r="A185" t="s">
        <v>22</v>
      </c>
      <c r="B185" t="s">
        <v>584</v>
      </c>
      <c r="C185">
        <v>14.1569995880127</v>
      </c>
      <c r="D185">
        <v>14.16924953460693</v>
      </c>
      <c r="E185">
        <v>13.85350036621094</v>
      </c>
      <c r="F185">
        <v>14.16549968719482</v>
      </c>
      <c r="G185">
        <v>14.0976619720459</v>
      </c>
      <c r="H185">
        <v>216980000</v>
      </c>
      <c r="I185" t="s">
        <v>585</v>
      </c>
      <c r="J185" t="s">
        <v>586</v>
      </c>
      <c r="K185" t="s">
        <v>37</v>
      </c>
    </row>
    <row r="186" spans="1:11" ht="20" customHeight="1">
      <c r="A186" t="s">
        <v>22</v>
      </c>
      <c r="B186" t="s">
        <v>587</v>
      </c>
      <c r="C186">
        <v>14.26700019836426</v>
      </c>
      <c r="D186">
        <v>14.4042501449585</v>
      </c>
      <c r="E186">
        <v>14.00399971008301</v>
      </c>
      <c r="F186">
        <v>14.01574993133545</v>
      </c>
      <c r="G186">
        <v>13.94863033294678</v>
      </c>
      <c r="H186">
        <v>186256000</v>
      </c>
      <c r="I186" t="s">
        <v>588</v>
      </c>
      <c r="J186" t="s">
        <v>589</v>
      </c>
      <c r="K186" t="s">
        <v>37</v>
      </c>
    </row>
    <row r="187" spans="1:11" ht="20" customHeight="1">
      <c r="A187" t="s">
        <v>22</v>
      </c>
      <c r="B187" t="s">
        <v>590</v>
      </c>
      <c r="C187">
        <v>13.56649971008301</v>
      </c>
      <c r="D187">
        <v>14.07950019836426</v>
      </c>
      <c r="E187">
        <v>13.54325008392334</v>
      </c>
      <c r="F187">
        <v>14.06575012207031</v>
      </c>
      <c r="G187">
        <v>13.99839210510254</v>
      </c>
      <c r="H187">
        <v>344000000</v>
      </c>
      <c r="I187" t="s">
        <v>591</v>
      </c>
      <c r="J187" t="s">
        <v>592</v>
      </c>
      <c r="K187" t="s">
        <v>37</v>
      </c>
    </row>
    <row r="188" spans="1:11" ht="20" customHeight="1">
      <c r="A188" t="s">
        <v>22</v>
      </c>
      <c r="B188" t="s">
        <v>593</v>
      </c>
      <c r="C188">
        <v>14.30249977111816</v>
      </c>
      <c r="D188">
        <v>14.68375015258789</v>
      </c>
      <c r="E188">
        <v>14.27050018310547</v>
      </c>
      <c r="F188">
        <v>14.61250019073486</v>
      </c>
      <c r="G188">
        <v>14.54251956939697</v>
      </c>
      <c r="H188">
        <v>321592000</v>
      </c>
      <c r="I188" t="s">
        <v>594</v>
      </c>
      <c r="J188" t="s">
        <v>595</v>
      </c>
      <c r="K188" t="s">
        <v>37</v>
      </c>
    </row>
    <row r="189" spans="1:11" ht="20" customHeight="1">
      <c r="A189" t="s">
        <v>22</v>
      </c>
      <c r="B189" t="s">
        <v>596</v>
      </c>
      <c r="C189">
        <v>15.16374969482422</v>
      </c>
      <c r="D189">
        <v>15.22200012207031</v>
      </c>
      <c r="E189">
        <v>14.86950016021729</v>
      </c>
      <c r="F189">
        <v>14.99174976348877</v>
      </c>
      <c r="G189">
        <v>14.91995811462402</v>
      </c>
      <c r="H189">
        <v>672992000</v>
      </c>
      <c r="I189" t="s">
        <v>597</v>
      </c>
      <c r="J189" t="s">
        <v>598</v>
      </c>
      <c r="K189" t="s">
        <v>37</v>
      </c>
    </row>
    <row r="190" spans="1:11" ht="20" customHeight="1">
      <c r="A190" t="s">
        <v>22</v>
      </c>
      <c r="B190" t="s">
        <v>599</v>
      </c>
      <c r="C190">
        <v>15.21249961853027</v>
      </c>
      <c r="D190">
        <v>15.74499988555908</v>
      </c>
      <c r="E190">
        <v>15.17599964141846</v>
      </c>
      <c r="F190">
        <v>15.61200046539307</v>
      </c>
      <c r="G190">
        <v>15.53723430633545</v>
      </c>
      <c r="H190">
        <v>554816000</v>
      </c>
      <c r="I190" t="s">
        <v>600</v>
      </c>
      <c r="J190" t="s">
        <v>601</v>
      </c>
      <c r="K190" t="s">
        <v>37</v>
      </c>
    </row>
    <row r="191" spans="1:11" ht="20" customHeight="1">
      <c r="A191" t="s">
        <v>22</v>
      </c>
      <c r="B191" t="s">
        <v>602</v>
      </c>
      <c r="C191">
        <v>15.76599979400635</v>
      </c>
      <c r="D191">
        <v>15.81849956512451</v>
      </c>
      <c r="E191">
        <v>15.48250007629395</v>
      </c>
      <c r="F191">
        <v>15.64774990081787</v>
      </c>
      <c r="G191">
        <v>15.57281398773193</v>
      </c>
      <c r="H191">
        <v>435408000</v>
      </c>
      <c r="I191" t="s">
        <v>603</v>
      </c>
      <c r="J191" t="s">
        <v>604</v>
      </c>
      <c r="K191" t="s">
        <v>37</v>
      </c>
    </row>
    <row r="192" spans="1:11" ht="20" customHeight="1">
      <c r="A192" t="s">
        <v>22</v>
      </c>
      <c r="B192" t="s">
        <v>605</v>
      </c>
      <c r="C192">
        <v>15.73425006866455</v>
      </c>
      <c r="D192">
        <v>15.79374980926514</v>
      </c>
      <c r="E192">
        <v>15.58625030517578</v>
      </c>
      <c r="F192">
        <v>15.69999980926514</v>
      </c>
      <c r="G192">
        <v>15.62481498718262</v>
      </c>
      <c r="H192">
        <v>370440000</v>
      </c>
      <c r="I192" t="s">
        <v>606</v>
      </c>
      <c r="J192" t="s">
        <v>607</v>
      </c>
      <c r="K192" t="s">
        <v>37</v>
      </c>
    </row>
    <row r="193" spans="1:11" ht="20" customHeight="1">
      <c r="A193" t="s">
        <v>22</v>
      </c>
      <c r="B193" t="s">
        <v>608</v>
      </c>
      <c r="C193">
        <v>15.69974994659424</v>
      </c>
      <c r="D193">
        <v>15.75</v>
      </c>
      <c r="E193">
        <v>15.46000003814697</v>
      </c>
      <c r="F193">
        <v>15.48799991607666</v>
      </c>
      <c r="G193">
        <v>15.41382789611816</v>
      </c>
      <c r="H193">
        <v>581476000</v>
      </c>
      <c r="I193" t="s">
        <v>609</v>
      </c>
      <c r="J193" t="s">
        <v>610</v>
      </c>
      <c r="K193" t="s">
        <v>37</v>
      </c>
    </row>
    <row r="194" spans="1:11" ht="20" customHeight="1">
      <c r="A194" t="s">
        <v>22</v>
      </c>
      <c r="B194" t="s">
        <v>611</v>
      </c>
      <c r="C194">
        <v>15.50100040435791</v>
      </c>
      <c r="D194">
        <v>16.27750015258789</v>
      </c>
      <c r="E194">
        <v>15.50100040435791</v>
      </c>
      <c r="F194">
        <v>16.24449920654297</v>
      </c>
      <c r="G194">
        <v>16.16670989990234</v>
      </c>
      <c r="H194">
        <v>644536000</v>
      </c>
      <c r="I194" t="s">
        <v>612</v>
      </c>
      <c r="J194" t="s">
        <v>613</v>
      </c>
      <c r="K194" t="s">
        <v>37</v>
      </c>
    </row>
    <row r="195" spans="1:11" ht="20" customHeight="1">
      <c r="A195" t="s">
        <v>22</v>
      </c>
      <c r="B195" t="s">
        <v>614</v>
      </c>
      <c r="C195">
        <v>16.27000045776367</v>
      </c>
      <c r="D195">
        <v>16.38825035095215</v>
      </c>
      <c r="E195">
        <v>15.90324974060059</v>
      </c>
      <c r="F195">
        <v>16.26449966430664</v>
      </c>
      <c r="G195">
        <v>16.18660926818848</v>
      </c>
      <c r="H195">
        <v>472804000</v>
      </c>
      <c r="I195" t="s">
        <v>615</v>
      </c>
      <c r="J195" t="s">
        <v>616</v>
      </c>
      <c r="K195" t="s">
        <v>37</v>
      </c>
    </row>
    <row r="196" spans="1:11" ht="20" customHeight="1">
      <c r="A196" t="s">
        <v>22</v>
      </c>
      <c r="B196" t="s">
        <v>617</v>
      </c>
      <c r="C196">
        <v>16.25225067138672</v>
      </c>
      <c r="D196">
        <v>16.91875076293945</v>
      </c>
      <c r="E196">
        <v>16.23550033569336</v>
      </c>
      <c r="F196">
        <v>16.77824974060059</v>
      </c>
      <c r="G196">
        <v>16.69789886474609</v>
      </c>
      <c r="H196">
        <v>594168000</v>
      </c>
      <c r="I196" t="s">
        <v>618</v>
      </c>
      <c r="J196" t="s">
        <v>619</v>
      </c>
      <c r="K196" t="s">
        <v>37</v>
      </c>
    </row>
    <row r="197" spans="1:11" ht="20" customHeight="1">
      <c r="A197" t="s">
        <v>22</v>
      </c>
      <c r="B197" t="s">
        <v>620</v>
      </c>
      <c r="C197">
        <v>16.70075035095215</v>
      </c>
      <c r="D197">
        <v>17.25900077819824</v>
      </c>
      <c r="E197">
        <v>16.58300018310547</v>
      </c>
      <c r="F197">
        <v>16.96974945068359</v>
      </c>
      <c r="G197">
        <v>16.88848304748535</v>
      </c>
      <c r="H197">
        <v>580008000</v>
      </c>
      <c r="I197" t="s">
        <v>621</v>
      </c>
      <c r="J197" t="s">
        <v>622</v>
      </c>
      <c r="K197" t="s">
        <v>37</v>
      </c>
    </row>
    <row r="198" spans="1:11" ht="20" customHeight="1">
      <c r="A198" t="s">
        <v>22</v>
      </c>
      <c r="B198" t="s">
        <v>623</v>
      </c>
      <c r="C198">
        <v>17.11249923706055</v>
      </c>
      <c r="D198">
        <v>17.6609992980957</v>
      </c>
      <c r="E198">
        <v>17.09550094604492</v>
      </c>
      <c r="F198">
        <v>17.57825088500977</v>
      </c>
      <c r="G198">
        <v>17.49406814575195</v>
      </c>
      <c r="H198">
        <v>617120000</v>
      </c>
      <c r="I198" t="s">
        <v>624</v>
      </c>
      <c r="J198" t="s">
        <v>625</v>
      </c>
      <c r="K198" t="s">
        <v>37</v>
      </c>
    </row>
    <row r="199" spans="1:11" ht="20" customHeight="1">
      <c r="A199" t="s">
        <v>22</v>
      </c>
      <c r="B199" t="s">
        <v>626</v>
      </c>
      <c r="C199">
        <v>17.57125091552734</v>
      </c>
      <c r="D199">
        <v>17.8125</v>
      </c>
      <c r="E199">
        <v>17.19275093078613</v>
      </c>
      <c r="F199">
        <v>17.61899948120117</v>
      </c>
      <c r="G199">
        <v>17.53462600708008</v>
      </c>
      <c r="H199">
        <v>575756000</v>
      </c>
      <c r="I199" t="s">
        <v>627</v>
      </c>
      <c r="J199" t="s">
        <v>628</v>
      </c>
      <c r="K199" t="s">
        <v>37</v>
      </c>
    </row>
    <row r="200" spans="1:11" ht="20" customHeight="1">
      <c r="A200" t="s">
        <v>22</v>
      </c>
      <c r="B200" t="s">
        <v>629</v>
      </c>
      <c r="C200">
        <v>17.52725028991699</v>
      </c>
      <c r="D200">
        <v>17.62150001525879</v>
      </c>
      <c r="E200">
        <v>17.25099945068359</v>
      </c>
      <c r="F200">
        <v>17.45700073242188</v>
      </c>
      <c r="G200">
        <v>17.3734016418457</v>
      </c>
      <c r="H200">
        <v>323848000</v>
      </c>
      <c r="I200" t="s">
        <v>630</v>
      </c>
      <c r="J200" t="s">
        <v>631</v>
      </c>
      <c r="K200" t="s">
        <v>37</v>
      </c>
    </row>
    <row r="201" spans="1:11" ht="20" customHeight="1">
      <c r="A201" t="s">
        <v>22</v>
      </c>
      <c r="B201" t="s">
        <v>632</v>
      </c>
      <c r="C201">
        <v>17.51575088500977</v>
      </c>
      <c r="D201">
        <v>17.57500076293945</v>
      </c>
      <c r="E201">
        <v>17.25575065612793</v>
      </c>
      <c r="F201">
        <v>17.35824966430664</v>
      </c>
      <c r="G201">
        <v>17.27908134460449</v>
      </c>
      <c r="H201">
        <v>381656000</v>
      </c>
      <c r="I201" t="s">
        <v>633</v>
      </c>
      <c r="J201" t="s">
        <v>634</v>
      </c>
      <c r="K201" t="s">
        <v>37</v>
      </c>
    </row>
    <row r="202" spans="1:11" ht="20" customHeight="1">
      <c r="A202" t="s">
        <v>22</v>
      </c>
      <c r="B202" t="s">
        <v>635</v>
      </c>
      <c r="C202">
        <v>17.35000038146973</v>
      </c>
      <c r="D202">
        <v>17.49200057983398</v>
      </c>
      <c r="E202">
        <v>17.17600059509277</v>
      </c>
      <c r="F202">
        <v>17.42499923706055</v>
      </c>
      <c r="G202">
        <v>17.34552574157715</v>
      </c>
      <c r="H202">
        <v>287772000</v>
      </c>
      <c r="I202" t="s">
        <v>636</v>
      </c>
      <c r="J202" t="s">
        <v>637</v>
      </c>
      <c r="K202" t="s">
        <v>37</v>
      </c>
    </row>
    <row r="203" spans="1:11" ht="20" customHeight="1">
      <c r="A203" t="s">
        <v>22</v>
      </c>
      <c r="B203" t="s">
        <v>638</v>
      </c>
      <c r="C203">
        <v>17.47949981689453</v>
      </c>
      <c r="D203">
        <v>17.93925094604492</v>
      </c>
      <c r="E203">
        <v>17.44375038146973</v>
      </c>
      <c r="F203">
        <v>17.82525062561035</v>
      </c>
      <c r="G203">
        <v>17.74395370483398</v>
      </c>
      <c r="H203">
        <v>416308000</v>
      </c>
      <c r="I203" t="s">
        <v>639</v>
      </c>
      <c r="J203" t="s">
        <v>640</v>
      </c>
      <c r="K203" t="s">
        <v>37</v>
      </c>
    </row>
    <row r="204" spans="1:11" ht="20" customHeight="1">
      <c r="A204" t="s">
        <v>22</v>
      </c>
      <c r="B204" t="s">
        <v>641</v>
      </c>
      <c r="C204">
        <v>17.9060001373291</v>
      </c>
      <c r="D204">
        <v>18.03949928283691</v>
      </c>
      <c r="E204">
        <v>17.66275024414062</v>
      </c>
      <c r="F204">
        <v>18.01874923706055</v>
      </c>
      <c r="G204">
        <v>17.93656730651855</v>
      </c>
      <c r="H204">
        <v>321376000</v>
      </c>
      <c r="I204" t="s">
        <v>642</v>
      </c>
      <c r="J204" t="s">
        <v>643</v>
      </c>
      <c r="K204" t="s">
        <v>37</v>
      </c>
    </row>
    <row r="205" spans="1:11" ht="20" customHeight="1">
      <c r="A205" t="s">
        <v>22</v>
      </c>
      <c r="B205" t="s">
        <v>644</v>
      </c>
      <c r="C205">
        <v>17.91500091552734</v>
      </c>
      <c r="D205">
        <v>18.01625061035156</v>
      </c>
      <c r="E205">
        <v>17.72800064086914</v>
      </c>
      <c r="F205">
        <v>17.78849983215332</v>
      </c>
      <c r="G205">
        <v>17.70737075805664</v>
      </c>
      <c r="H205">
        <v>243032000</v>
      </c>
      <c r="I205" t="s">
        <v>645</v>
      </c>
      <c r="J205" t="s">
        <v>646</v>
      </c>
      <c r="K205" t="s">
        <v>37</v>
      </c>
    </row>
    <row r="206" spans="1:11" ht="20" customHeight="1">
      <c r="A206" t="s">
        <v>22</v>
      </c>
      <c r="B206" t="s">
        <v>647</v>
      </c>
      <c r="C206">
        <v>17.79075050354004</v>
      </c>
      <c r="D206">
        <v>17.95475006103516</v>
      </c>
      <c r="E206">
        <v>17.58449935913086</v>
      </c>
      <c r="F206">
        <v>17.81024932861328</v>
      </c>
      <c r="G206">
        <v>17.72901916503906</v>
      </c>
      <c r="H206">
        <v>307124000</v>
      </c>
      <c r="I206" t="s">
        <v>648</v>
      </c>
      <c r="J206" t="s">
        <v>649</v>
      </c>
      <c r="K206" t="s">
        <v>37</v>
      </c>
    </row>
    <row r="207" spans="1:11" ht="20" customHeight="1">
      <c r="A207" t="s">
        <v>22</v>
      </c>
      <c r="B207" t="s">
        <v>650</v>
      </c>
      <c r="C207">
        <v>17.77449989318848</v>
      </c>
      <c r="D207">
        <v>18.83499908447266</v>
      </c>
      <c r="E207">
        <v>17.75625038146973</v>
      </c>
      <c r="F207">
        <v>18.65724945068359</v>
      </c>
      <c r="G207">
        <v>18.57215881347656</v>
      </c>
      <c r="H207">
        <v>809656000</v>
      </c>
      <c r="I207" t="s">
        <v>651</v>
      </c>
      <c r="J207" t="s">
        <v>652</v>
      </c>
      <c r="K207" t="s">
        <v>37</v>
      </c>
    </row>
    <row r="208" spans="1:11" ht="20" customHeight="1">
      <c r="A208" t="s">
        <v>22</v>
      </c>
      <c r="B208" t="s">
        <v>653</v>
      </c>
      <c r="C208">
        <v>18.78400039672852</v>
      </c>
      <c r="D208">
        <v>19.375</v>
      </c>
      <c r="E208">
        <v>18.58399963378906</v>
      </c>
      <c r="F208">
        <v>18.63875007629395</v>
      </c>
      <c r="G208">
        <v>18.55374336242676</v>
      </c>
      <c r="H208">
        <v>968856000</v>
      </c>
      <c r="I208" t="s">
        <v>654</v>
      </c>
      <c r="J208" t="s">
        <v>655</v>
      </c>
      <c r="K208" t="s">
        <v>37</v>
      </c>
    </row>
    <row r="209" spans="1:11" ht="20" customHeight="1">
      <c r="A209" t="s">
        <v>22</v>
      </c>
      <c r="B209" t="s">
        <v>656</v>
      </c>
      <c r="C209">
        <v>18.43524932861328</v>
      </c>
      <c r="D209">
        <v>18.53650093078613</v>
      </c>
      <c r="E209">
        <v>17.82275009155273</v>
      </c>
      <c r="F209">
        <v>18.42724990844727</v>
      </c>
      <c r="G209">
        <v>18.34320831298828</v>
      </c>
      <c r="H209">
        <v>672384000</v>
      </c>
      <c r="I209" t="s">
        <v>657</v>
      </c>
      <c r="J209" t="s">
        <v>658</v>
      </c>
      <c r="K209" t="s">
        <v>37</v>
      </c>
    </row>
    <row r="210" spans="1:11" ht="20" customHeight="1">
      <c r="A210" t="s">
        <v>22</v>
      </c>
      <c r="B210" t="s">
        <v>659</v>
      </c>
      <c r="C210">
        <v>18.47150039672852</v>
      </c>
      <c r="D210">
        <v>18.9637508392334</v>
      </c>
      <c r="E210">
        <v>18.38599967956543</v>
      </c>
      <c r="F210">
        <v>18.88674926757812</v>
      </c>
      <c r="G210">
        <v>18.80061340332031</v>
      </c>
      <c r="H210">
        <v>580144000</v>
      </c>
      <c r="I210" t="s">
        <v>660</v>
      </c>
      <c r="J210" t="s">
        <v>661</v>
      </c>
      <c r="K210" t="s">
        <v>37</v>
      </c>
    </row>
    <row r="211" spans="1:11" ht="20" customHeight="1">
      <c r="A211" t="s">
        <v>22</v>
      </c>
      <c r="B211" t="s">
        <v>662</v>
      </c>
      <c r="C211">
        <v>19.00774955749512</v>
      </c>
      <c r="D211">
        <v>19.15275001525879</v>
      </c>
      <c r="E211">
        <v>18.90774917602539</v>
      </c>
      <c r="F211">
        <v>19.05724906921387</v>
      </c>
      <c r="G211">
        <v>18.9703369140625</v>
      </c>
      <c r="H211">
        <v>332356000</v>
      </c>
      <c r="I211" t="s">
        <v>663</v>
      </c>
      <c r="J211" t="s">
        <v>664</v>
      </c>
      <c r="K211" t="s">
        <v>37</v>
      </c>
    </row>
    <row r="212" spans="1:11" ht="20" customHeight="1">
      <c r="A212" t="s">
        <v>22</v>
      </c>
      <c r="B212" t="s">
        <v>665</v>
      </c>
      <c r="C212">
        <v>19.22775077819824</v>
      </c>
      <c r="D212">
        <v>19.42000007629395</v>
      </c>
      <c r="E212">
        <v>19.08824920654297</v>
      </c>
      <c r="F212">
        <v>19.20549964904785</v>
      </c>
      <c r="G212">
        <v>19.1179027557373</v>
      </c>
      <c r="H212">
        <v>320924000</v>
      </c>
      <c r="I212" t="s">
        <v>666</v>
      </c>
      <c r="J212" t="s">
        <v>667</v>
      </c>
      <c r="K212" t="s">
        <v>37</v>
      </c>
    </row>
    <row r="213" spans="1:11" ht="20" customHeight="1">
      <c r="A213" t="s">
        <v>22</v>
      </c>
      <c r="B213" t="s">
        <v>668</v>
      </c>
      <c r="C213">
        <v>19.2805004119873</v>
      </c>
      <c r="D213">
        <v>19.34550094604492</v>
      </c>
      <c r="E213">
        <v>18.89450073242188</v>
      </c>
      <c r="F213">
        <v>19.0310001373291</v>
      </c>
      <c r="G213">
        <v>18.94420433044434</v>
      </c>
      <c r="H213">
        <v>278364000</v>
      </c>
      <c r="I213" t="s">
        <v>669</v>
      </c>
      <c r="J213" t="s">
        <v>670</v>
      </c>
      <c r="K213" t="s">
        <v>37</v>
      </c>
    </row>
    <row r="214" spans="1:11" ht="20" customHeight="1">
      <c r="A214" t="s">
        <v>22</v>
      </c>
      <c r="B214" t="s">
        <v>671</v>
      </c>
      <c r="C214">
        <v>19.36124992370605</v>
      </c>
      <c r="D214">
        <v>20.07875061035156</v>
      </c>
      <c r="E214">
        <v>19.31900024414062</v>
      </c>
      <c r="F214">
        <v>19.98500061035156</v>
      </c>
      <c r="G214">
        <v>19.89385032653809</v>
      </c>
      <c r="H214">
        <v>495436000</v>
      </c>
      <c r="I214" t="s">
        <v>672</v>
      </c>
      <c r="J214" t="s">
        <v>673</v>
      </c>
      <c r="K214" t="s">
        <v>37</v>
      </c>
    </row>
    <row r="215" spans="1:11" ht="20" customHeight="1">
      <c r="A215" t="s">
        <v>22</v>
      </c>
      <c r="B215" t="s">
        <v>674</v>
      </c>
      <c r="C215">
        <v>19.88249969482422</v>
      </c>
      <c r="D215">
        <v>20.0987491607666</v>
      </c>
      <c r="E215">
        <v>19.6569995880127</v>
      </c>
      <c r="F215">
        <v>20.0267505645752</v>
      </c>
      <c r="G215">
        <v>19.93541145324707</v>
      </c>
      <c r="H215">
        <v>367632000</v>
      </c>
      <c r="I215" t="s">
        <v>675</v>
      </c>
      <c r="J215" t="s">
        <v>676</v>
      </c>
      <c r="K215" t="s">
        <v>37</v>
      </c>
    </row>
    <row r="216" spans="1:11" ht="20" customHeight="1">
      <c r="A216" t="s">
        <v>22</v>
      </c>
      <c r="B216" t="s">
        <v>677</v>
      </c>
      <c r="C216">
        <v>19.9992504119873</v>
      </c>
      <c r="D216">
        <v>20.16250038146973</v>
      </c>
      <c r="E216">
        <v>19.86375045776367</v>
      </c>
      <c r="F216">
        <v>20.00250053405762</v>
      </c>
      <c r="G216">
        <v>19.9112720489502</v>
      </c>
      <c r="H216">
        <v>326568000</v>
      </c>
      <c r="I216" t="s">
        <v>678</v>
      </c>
      <c r="J216" t="s">
        <v>679</v>
      </c>
      <c r="K216" t="s">
        <v>37</v>
      </c>
    </row>
    <row r="217" spans="1:11" ht="20" customHeight="1">
      <c r="A217" t="s">
        <v>22</v>
      </c>
      <c r="B217" t="s">
        <v>680</v>
      </c>
      <c r="C217">
        <v>20.125</v>
      </c>
      <c r="D217">
        <v>20.45599937438965</v>
      </c>
      <c r="E217">
        <v>20.01899909973145</v>
      </c>
      <c r="F217">
        <v>20.21199989318848</v>
      </c>
      <c r="G217">
        <v>20.11981773376465</v>
      </c>
      <c r="H217">
        <v>480136000</v>
      </c>
      <c r="I217" t="s">
        <v>681</v>
      </c>
      <c r="J217" t="s">
        <v>682</v>
      </c>
      <c r="K217" t="s">
        <v>37</v>
      </c>
    </row>
    <row r="218" spans="1:11" ht="20" customHeight="1">
      <c r="A218" t="s">
        <v>22</v>
      </c>
      <c r="B218" t="s">
        <v>683</v>
      </c>
      <c r="C218">
        <v>20.44025039672852</v>
      </c>
      <c r="D218">
        <v>20.50525093078613</v>
      </c>
      <c r="E218">
        <v>20.28775024414062</v>
      </c>
      <c r="F218">
        <v>20.48699951171875</v>
      </c>
      <c r="G218">
        <v>20.39355850219727</v>
      </c>
      <c r="H218">
        <v>342764000</v>
      </c>
      <c r="I218" t="s">
        <v>684</v>
      </c>
      <c r="J218" t="s">
        <v>685</v>
      </c>
      <c r="K218" t="s">
        <v>37</v>
      </c>
    </row>
    <row r="219" spans="1:11" ht="20" customHeight="1">
      <c r="A219" t="s">
        <v>22</v>
      </c>
      <c r="B219" t="s">
        <v>686</v>
      </c>
      <c r="C219">
        <v>20.73749923706055</v>
      </c>
      <c r="D219">
        <v>20.84199905395508</v>
      </c>
      <c r="E219">
        <v>20.35025024414062</v>
      </c>
      <c r="F219">
        <v>20.69849967956543</v>
      </c>
      <c r="G219">
        <v>20.60409736633301</v>
      </c>
      <c r="H219">
        <v>446708000</v>
      </c>
      <c r="I219" t="s">
        <v>687</v>
      </c>
      <c r="J219" t="s">
        <v>688</v>
      </c>
      <c r="K219" t="s">
        <v>37</v>
      </c>
    </row>
    <row r="220" spans="1:11" ht="20" customHeight="1">
      <c r="A220" t="s">
        <v>22</v>
      </c>
      <c r="B220" t="s">
        <v>689</v>
      </c>
      <c r="C220">
        <v>20.85350036621094</v>
      </c>
      <c r="D220">
        <v>20.875</v>
      </c>
      <c r="E220">
        <v>20.33200073242188</v>
      </c>
      <c r="F220">
        <v>20.37174987792969</v>
      </c>
      <c r="G220">
        <v>20.27884292602539</v>
      </c>
      <c r="H220">
        <v>418428000</v>
      </c>
      <c r="I220" t="s">
        <v>690</v>
      </c>
      <c r="J220" t="s">
        <v>691</v>
      </c>
      <c r="K220" t="s">
        <v>37</v>
      </c>
    </row>
    <row r="221" spans="1:11" ht="20" customHeight="1">
      <c r="A221" t="s">
        <v>22</v>
      </c>
      <c r="B221" t="s">
        <v>692</v>
      </c>
      <c r="C221">
        <v>19.85650062561035</v>
      </c>
      <c r="D221">
        <v>20.13299942016602</v>
      </c>
      <c r="E221">
        <v>19.70075035095215</v>
      </c>
      <c r="F221">
        <v>19.90275001525879</v>
      </c>
      <c r="G221">
        <v>19.81197547912598</v>
      </c>
      <c r="H221">
        <v>503300000</v>
      </c>
      <c r="I221" t="s">
        <v>693</v>
      </c>
      <c r="J221" t="s">
        <v>694</v>
      </c>
      <c r="K221" t="s">
        <v>37</v>
      </c>
    </row>
    <row r="222" spans="1:11" ht="20" customHeight="1">
      <c r="A222" t="s">
        <v>22</v>
      </c>
      <c r="B222" t="s">
        <v>695</v>
      </c>
      <c r="C222">
        <v>19.96249961853027</v>
      </c>
      <c r="D222">
        <v>20.08024978637695</v>
      </c>
      <c r="E222">
        <v>19.75424957275391</v>
      </c>
      <c r="F222">
        <v>20.05024909973145</v>
      </c>
      <c r="G222">
        <v>19.95879936218262</v>
      </c>
      <c r="H222">
        <v>296624000</v>
      </c>
      <c r="I222" t="s">
        <v>696</v>
      </c>
      <c r="J222" t="s">
        <v>697</v>
      </c>
      <c r="K222" t="s">
        <v>37</v>
      </c>
    </row>
    <row r="223" spans="1:11" ht="20" customHeight="1">
      <c r="A223" t="s">
        <v>22</v>
      </c>
      <c r="B223" t="s">
        <v>698</v>
      </c>
      <c r="C223">
        <v>20.23999977111816</v>
      </c>
      <c r="D223">
        <v>20.53274917602539</v>
      </c>
      <c r="E223">
        <v>20.1877498626709</v>
      </c>
      <c r="F223">
        <v>20.51250076293945</v>
      </c>
      <c r="G223">
        <v>20.41894721984863</v>
      </c>
      <c r="H223">
        <v>321984000</v>
      </c>
      <c r="I223" t="s">
        <v>699</v>
      </c>
      <c r="J223" t="s">
        <v>700</v>
      </c>
      <c r="K223" t="s">
        <v>37</v>
      </c>
    </row>
    <row r="224" spans="1:11" ht="20" customHeight="1">
      <c r="A224" t="s">
        <v>22</v>
      </c>
      <c r="B224" t="s">
        <v>701</v>
      </c>
      <c r="C224">
        <v>20.40049934387207</v>
      </c>
      <c r="D224">
        <v>20.46125030517578</v>
      </c>
      <c r="E224">
        <v>20.11400032043457</v>
      </c>
      <c r="F224">
        <v>20.25</v>
      </c>
      <c r="G224">
        <v>20.15764045715332</v>
      </c>
      <c r="H224">
        <v>290708000</v>
      </c>
      <c r="I224" t="s">
        <v>702</v>
      </c>
      <c r="J224" t="s">
        <v>703</v>
      </c>
      <c r="K224" t="s">
        <v>37</v>
      </c>
    </row>
    <row r="225" spans="1:11" ht="20" customHeight="1">
      <c r="A225" t="s">
        <v>22</v>
      </c>
      <c r="B225" t="s">
        <v>704</v>
      </c>
      <c r="C225">
        <v>20.35774993896484</v>
      </c>
      <c r="D225">
        <v>20.41774940490723</v>
      </c>
      <c r="E225">
        <v>19.75275039672852</v>
      </c>
      <c r="F225">
        <v>19.84149932861328</v>
      </c>
      <c r="G225">
        <v>19.75100708007812</v>
      </c>
      <c r="H225">
        <v>380100000</v>
      </c>
      <c r="I225" t="s">
        <v>705</v>
      </c>
      <c r="J225" t="s">
        <v>706</v>
      </c>
      <c r="K225" t="s">
        <v>37</v>
      </c>
    </row>
    <row r="226" spans="1:11" ht="20" customHeight="1">
      <c r="A226" t="s">
        <v>22</v>
      </c>
      <c r="B226" t="s">
        <v>707</v>
      </c>
      <c r="C226">
        <v>19.8117504119873</v>
      </c>
      <c r="D226">
        <v>19.84700012207031</v>
      </c>
      <c r="E226">
        <v>18.85849952697754</v>
      </c>
      <c r="F226">
        <v>18.96624946594238</v>
      </c>
      <c r="G226">
        <v>18.87975311279297</v>
      </c>
      <c r="H226">
        <v>550564000</v>
      </c>
      <c r="I226" t="s">
        <v>708</v>
      </c>
      <c r="J226" t="s">
        <v>709</v>
      </c>
      <c r="K226" t="s">
        <v>37</v>
      </c>
    </row>
    <row r="227" spans="1:11" ht="20" customHeight="1">
      <c r="A227" t="s">
        <v>22</v>
      </c>
      <c r="B227" t="s">
        <v>710</v>
      </c>
      <c r="C227">
        <v>19.0305004119873</v>
      </c>
      <c r="D227">
        <v>19.1569995880127</v>
      </c>
      <c r="E227">
        <v>18.07299995422363</v>
      </c>
      <c r="F227">
        <v>18.1609992980957</v>
      </c>
      <c r="G227">
        <v>18.07816505432129</v>
      </c>
      <c r="H227">
        <v>688224000</v>
      </c>
      <c r="I227" t="s">
        <v>711</v>
      </c>
      <c r="J227" t="s">
        <v>712</v>
      </c>
      <c r="K227" t="s">
        <v>37</v>
      </c>
    </row>
    <row r="228" spans="1:11" ht="20" customHeight="1">
      <c r="A228" t="s">
        <v>22</v>
      </c>
      <c r="B228" t="s">
        <v>713</v>
      </c>
      <c r="C228">
        <v>17.91525077819824</v>
      </c>
      <c r="D228">
        <v>19.04199981689453</v>
      </c>
      <c r="E228">
        <v>17.86549949645996</v>
      </c>
      <c r="F228">
        <v>18.77975082397461</v>
      </c>
      <c r="G228">
        <v>18.6941032409668</v>
      </c>
      <c r="H228">
        <v>749060000</v>
      </c>
      <c r="I228" t="s">
        <v>714</v>
      </c>
      <c r="J228" t="s">
        <v>715</v>
      </c>
      <c r="K228" t="s">
        <v>37</v>
      </c>
    </row>
    <row r="229" spans="1:11" ht="20" customHeight="1">
      <c r="A229" t="s">
        <v>22</v>
      </c>
      <c r="B229" t="s">
        <v>716</v>
      </c>
      <c r="C229">
        <v>18.72999954223633</v>
      </c>
      <c r="D229">
        <v>18.83799934387207</v>
      </c>
      <c r="E229">
        <v>18.16399955749512</v>
      </c>
      <c r="F229">
        <v>18.61199951171875</v>
      </c>
      <c r="G229">
        <v>18.52711486816406</v>
      </c>
      <c r="H229">
        <v>434687000</v>
      </c>
      <c r="I229" t="s">
        <v>717</v>
      </c>
      <c r="J229" t="s">
        <v>718</v>
      </c>
      <c r="K229" t="s">
        <v>37</v>
      </c>
    </row>
    <row r="230" spans="1:11" ht="20" customHeight="1">
      <c r="A230" t="s">
        <v>22</v>
      </c>
      <c r="B230" t="s">
        <v>719</v>
      </c>
      <c r="C230">
        <v>18.88199996948242</v>
      </c>
      <c r="D230">
        <v>19.52700042724609</v>
      </c>
      <c r="E230">
        <v>18.74200057983398</v>
      </c>
      <c r="F230">
        <v>19.40999984741211</v>
      </c>
      <c r="G230">
        <v>19.32147216796875</v>
      </c>
      <c r="H230">
        <v>371017000</v>
      </c>
      <c r="I230" t="s">
        <v>720</v>
      </c>
      <c r="J230" t="s">
        <v>721</v>
      </c>
      <c r="K230" t="s">
        <v>37</v>
      </c>
    </row>
    <row r="231" spans="1:11" ht="20" customHeight="1">
      <c r="A231" t="s">
        <v>22</v>
      </c>
      <c r="B231" t="s">
        <v>722</v>
      </c>
      <c r="C231">
        <v>19.64200019836426</v>
      </c>
      <c r="D231">
        <v>19.88699913024902</v>
      </c>
      <c r="E231">
        <v>19.27599906921387</v>
      </c>
      <c r="F231">
        <v>19.5939998626709</v>
      </c>
      <c r="G231">
        <v>19.50463485717773</v>
      </c>
      <c r="H231">
        <v>323826000</v>
      </c>
      <c r="I231" t="s">
        <v>723</v>
      </c>
      <c r="J231" t="s">
        <v>724</v>
      </c>
      <c r="K231" t="s">
        <v>37</v>
      </c>
    </row>
    <row r="232" spans="1:11" ht="20" customHeight="1">
      <c r="A232" t="s">
        <v>22</v>
      </c>
      <c r="B232" t="s">
        <v>725</v>
      </c>
      <c r="C232">
        <v>19.6560001373291</v>
      </c>
      <c r="D232">
        <v>19.70000076293945</v>
      </c>
      <c r="E232">
        <v>19.25</v>
      </c>
      <c r="F232">
        <v>19.5580005645752</v>
      </c>
      <c r="G232">
        <v>19.46880340576172</v>
      </c>
      <c r="H232">
        <v>195672000</v>
      </c>
      <c r="I232" t="s">
        <v>726</v>
      </c>
      <c r="J232" t="s">
        <v>727</v>
      </c>
      <c r="K232" t="s">
        <v>37</v>
      </c>
    </row>
    <row r="233" spans="1:11" ht="20" customHeight="1">
      <c r="A233" t="s">
        <v>22</v>
      </c>
      <c r="B233" t="s">
        <v>728</v>
      </c>
      <c r="C233">
        <v>19.31100082397461</v>
      </c>
      <c r="D233">
        <v>19.4419994354248</v>
      </c>
      <c r="E233">
        <v>18.91399955749512</v>
      </c>
      <c r="F233">
        <v>19.29400062561035</v>
      </c>
      <c r="G233">
        <v>19.20600700378418</v>
      </c>
      <c r="H233">
        <v>203943000</v>
      </c>
      <c r="I233" t="s">
        <v>729</v>
      </c>
      <c r="J233" t="s">
        <v>730</v>
      </c>
      <c r="K233" t="s">
        <v>37</v>
      </c>
    </row>
    <row r="234" spans="1:11" ht="20" customHeight="1">
      <c r="A234" t="s">
        <v>22</v>
      </c>
      <c r="B234" t="s">
        <v>731</v>
      </c>
      <c r="C234">
        <v>19.26499938964844</v>
      </c>
      <c r="D234">
        <v>19.62199974060059</v>
      </c>
      <c r="E234">
        <v>18.74099922180176</v>
      </c>
      <c r="F234">
        <v>19.20800018310547</v>
      </c>
      <c r="G234">
        <v>19.12039375305176</v>
      </c>
      <c r="H234">
        <v>248863000</v>
      </c>
      <c r="I234" t="s">
        <v>732</v>
      </c>
      <c r="J234" t="s">
        <v>733</v>
      </c>
      <c r="K234" t="s">
        <v>37</v>
      </c>
    </row>
    <row r="235" spans="1:11" ht="20" customHeight="1">
      <c r="A235" t="s">
        <v>22</v>
      </c>
      <c r="B235" t="s">
        <v>734</v>
      </c>
      <c r="C235">
        <v>19.31900024414062</v>
      </c>
      <c r="D235">
        <v>19.64599990844727</v>
      </c>
      <c r="E235">
        <v>18.9950008392334</v>
      </c>
      <c r="F235">
        <v>19.50300025939941</v>
      </c>
      <c r="G235">
        <v>19.4140510559082</v>
      </c>
      <c r="H235">
        <v>202191000</v>
      </c>
      <c r="I235" t="s">
        <v>735</v>
      </c>
      <c r="J235" t="s">
        <v>736</v>
      </c>
      <c r="K235" t="s">
        <v>37</v>
      </c>
    </row>
    <row r="236" spans="1:11" ht="20" customHeight="1">
      <c r="A236" t="s">
        <v>22</v>
      </c>
      <c r="B236" t="s">
        <v>737</v>
      </c>
      <c r="C236">
        <v>19.51899909973145</v>
      </c>
      <c r="D236">
        <v>19.85300064086914</v>
      </c>
      <c r="E236">
        <v>19.32799911499023</v>
      </c>
      <c r="F236">
        <v>19.66200065612793</v>
      </c>
      <c r="G236">
        <v>19.57232666015625</v>
      </c>
      <c r="H236">
        <v>190781000</v>
      </c>
      <c r="I236" t="s">
        <v>738</v>
      </c>
      <c r="J236" t="s">
        <v>739</v>
      </c>
      <c r="K236" t="s">
        <v>37</v>
      </c>
    </row>
    <row r="237" spans="1:11" ht="20" customHeight="1">
      <c r="A237" t="s">
        <v>22</v>
      </c>
      <c r="B237" t="s">
        <v>740</v>
      </c>
      <c r="C237">
        <v>19.41799926757812</v>
      </c>
      <c r="D237">
        <v>19.6299991607666</v>
      </c>
      <c r="E237">
        <v>19.26300048828125</v>
      </c>
      <c r="F237">
        <v>19.49900054931641</v>
      </c>
      <c r="G237">
        <v>19.41007041931152</v>
      </c>
      <c r="H237">
        <v>183497000</v>
      </c>
      <c r="I237" t="s">
        <v>741</v>
      </c>
      <c r="J237" t="s">
        <v>742</v>
      </c>
      <c r="K237" t="s">
        <v>37</v>
      </c>
    </row>
    <row r="238" spans="1:11" ht="20" customHeight="1">
      <c r="A238" t="s">
        <v>22</v>
      </c>
      <c r="B238" t="s">
        <v>743</v>
      </c>
      <c r="C238">
        <v>19.70000076293945</v>
      </c>
      <c r="D238">
        <v>19.96100044250488</v>
      </c>
      <c r="E238">
        <v>19.36100006103516</v>
      </c>
      <c r="F238">
        <v>19.75</v>
      </c>
      <c r="G238">
        <v>19.65992546081543</v>
      </c>
      <c r="H238">
        <v>217444000</v>
      </c>
      <c r="I238" t="s">
        <v>744</v>
      </c>
      <c r="J238" t="s">
        <v>745</v>
      </c>
      <c r="K238" t="s">
        <v>37</v>
      </c>
    </row>
    <row r="239" spans="1:11" ht="20" customHeight="1">
      <c r="A239" t="s">
        <v>22</v>
      </c>
      <c r="B239" t="s">
        <v>746</v>
      </c>
      <c r="C239">
        <v>19.73999977111816</v>
      </c>
      <c r="D239">
        <v>20.22200012207031</v>
      </c>
      <c r="E239">
        <v>19.21999931335449</v>
      </c>
      <c r="F239">
        <v>19.81500053405762</v>
      </c>
      <c r="G239">
        <v>19.7246265411377</v>
      </c>
      <c r="H239">
        <v>301811000</v>
      </c>
      <c r="I239" t="s">
        <v>747</v>
      </c>
      <c r="J239" t="s">
        <v>748</v>
      </c>
      <c r="K239" t="s">
        <v>37</v>
      </c>
    </row>
    <row r="240" spans="1:11" ht="20" customHeight="1">
      <c r="A240" t="s">
        <v>22</v>
      </c>
      <c r="B240" t="s">
        <v>749</v>
      </c>
      <c r="C240">
        <v>19.98999977111816</v>
      </c>
      <c r="D240">
        <v>20.31800079345703</v>
      </c>
      <c r="E240">
        <v>19.82799911499023</v>
      </c>
      <c r="F240">
        <v>20.27400016784668</v>
      </c>
      <c r="G240">
        <v>20.18153190612793</v>
      </c>
      <c r="H240">
        <v>231309000</v>
      </c>
      <c r="I240" t="s">
        <v>750</v>
      </c>
      <c r="J240" t="s">
        <v>751</v>
      </c>
      <c r="K240" t="s">
        <v>37</v>
      </c>
    </row>
    <row r="241" spans="1:11" ht="20" customHeight="1">
      <c r="A241" t="s">
        <v>22</v>
      </c>
      <c r="B241" t="s">
        <v>752</v>
      </c>
      <c r="C241">
        <v>20.5</v>
      </c>
      <c r="D241">
        <v>20.73299980163574</v>
      </c>
      <c r="E241">
        <v>20.34199905395508</v>
      </c>
      <c r="F241">
        <v>20.63699913024902</v>
      </c>
      <c r="G241">
        <v>20.54287528991699</v>
      </c>
      <c r="H241">
        <v>211435000</v>
      </c>
      <c r="I241" t="s">
        <v>753</v>
      </c>
      <c r="J241" t="s">
        <v>754</v>
      </c>
      <c r="K241" t="s">
        <v>37</v>
      </c>
    </row>
    <row r="242" spans="1:11" ht="20" customHeight="1">
      <c r="A242" t="s">
        <v>22</v>
      </c>
      <c r="B242" t="s">
        <v>755</v>
      </c>
      <c r="C242">
        <v>20.52400016784668</v>
      </c>
      <c r="D242">
        <v>20.56999969482422</v>
      </c>
      <c r="E242">
        <v>20.20999908447266</v>
      </c>
      <c r="F242">
        <v>20.36599922180176</v>
      </c>
      <c r="G242">
        <v>20.27310943603516</v>
      </c>
      <c r="H242">
        <v>178497000</v>
      </c>
      <c r="I242" t="s">
        <v>756</v>
      </c>
      <c r="J242" t="s">
        <v>757</v>
      </c>
      <c r="K242" t="s">
        <v>37</v>
      </c>
    </row>
    <row r="243" spans="1:11" ht="20" customHeight="1">
      <c r="A243" t="s">
        <v>22</v>
      </c>
      <c r="B243" t="s">
        <v>758</v>
      </c>
      <c r="C243">
        <v>20.44599914550781</v>
      </c>
      <c r="D243">
        <v>20.50799942016602</v>
      </c>
      <c r="E243">
        <v>20.14299964904785</v>
      </c>
      <c r="F243">
        <v>20.29500007629395</v>
      </c>
      <c r="G243">
        <v>20.20243644714355</v>
      </c>
      <c r="H243">
        <v>146443000</v>
      </c>
      <c r="I243" t="s">
        <v>759</v>
      </c>
      <c r="J243" t="s">
        <v>760</v>
      </c>
      <c r="K243" t="s">
        <v>37</v>
      </c>
    </row>
    <row r="244" spans="1:11" ht="20" customHeight="1">
      <c r="A244" t="s">
        <v>22</v>
      </c>
      <c r="B244" t="s">
        <v>761</v>
      </c>
      <c r="C244">
        <v>20.32200050354004</v>
      </c>
      <c r="D244">
        <v>20.43000030517578</v>
      </c>
      <c r="E244">
        <v>19.83499908447266</v>
      </c>
      <c r="F244">
        <v>19.93600082397461</v>
      </c>
      <c r="G244">
        <v>19.8450756072998</v>
      </c>
      <c r="H244">
        <v>179238000</v>
      </c>
      <c r="I244" t="s">
        <v>762</v>
      </c>
      <c r="J244" t="s">
        <v>763</v>
      </c>
      <c r="K244" t="s">
        <v>37</v>
      </c>
    </row>
    <row r="245" spans="1:11" ht="20" customHeight="1">
      <c r="A245" t="s">
        <v>22</v>
      </c>
      <c r="B245" t="s">
        <v>764</v>
      </c>
      <c r="C245">
        <v>20.04299926757812</v>
      </c>
      <c r="D245">
        <v>20.04899978637695</v>
      </c>
      <c r="E245">
        <v>19.43000030517578</v>
      </c>
      <c r="F245">
        <v>19.69899940490723</v>
      </c>
      <c r="G245">
        <v>19.60915565490723</v>
      </c>
      <c r="H245">
        <v>185925000</v>
      </c>
      <c r="I245" t="s">
        <v>765</v>
      </c>
      <c r="J245" t="s">
        <v>766</v>
      </c>
      <c r="K245" t="s">
        <v>37</v>
      </c>
    </row>
    <row r="246" spans="1:11" ht="20" customHeight="1">
      <c r="A246" t="s">
        <v>22</v>
      </c>
      <c r="B246" t="s">
        <v>767</v>
      </c>
      <c r="C246">
        <v>19.8700008392334</v>
      </c>
      <c r="D246">
        <v>20.02899932861328</v>
      </c>
      <c r="E246">
        <v>19.6200008392334</v>
      </c>
      <c r="F246">
        <v>19.90500068664551</v>
      </c>
      <c r="G246">
        <v>19.81421661376953</v>
      </c>
      <c r="H246">
        <v>151652000</v>
      </c>
      <c r="I246" t="s">
        <v>768</v>
      </c>
      <c r="J246" t="s">
        <v>769</v>
      </c>
      <c r="K246" t="s">
        <v>37</v>
      </c>
    </row>
    <row r="247" spans="1:11" ht="20" customHeight="1">
      <c r="A247" t="s">
        <v>22</v>
      </c>
      <c r="B247" t="s">
        <v>770</v>
      </c>
      <c r="C247">
        <v>19.90500068664551</v>
      </c>
      <c r="D247">
        <v>20.2140007019043</v>
      </c>
      <c r="E247">
        <v>19.85099983215332</v>
      </c>
      <c r="F247">
        <v>20.1879997253418</v>
      </c>
      <c r="G247">
        <v>20.0959300994873</v>
      </c>
      <c r="H247">
        <v>183063000</v>
      </c>
      <c r="I247" t="s">
        <v>771</v>
      </c>
      <c r="J247" t="s">
        <v>772</v>
      </c>
      <c r="K247" t="s">
        <v>37</v>
      </c>
    </row>
    <row r="248" spans="1:11" ht="20" customHeight="1">
      <c r="A248" t="s">
        <v>22</v>
      </c>
      <c r="B248" t="s">
        <v>773</v>
      </c>
      <c r="C248">
        <v>20.13500022888184</v>
      </c>
      <c r="D248">
        <v>20.28700065612793</v>
      </c>
      <c r="E248">
        <v>19.45299911499023</v>
      </c>
      <c r="F248">
        <v>19.95000076293945</v>
      </c>
      <c r="G248">
        <v>19.8590087890625</v>
      </c>
      <c r="H248">
        <v>210876000</v>
      </c>
      <c r="I248" t="s">
        <v>774</v>
      </c>
      <c r="J248" t="s">
        <v>775</v>
      </c>
      <c r="K248" t="s">
        <v>37</v>
      </c>
    </row>
    <row r="249" spans="1:11" ht="20" customHeight="1">
      <c r="A249" t="s">
        <v>22</v>
      </c>
      <c r="B249" t="s">
        <v>776</v>
      </c>
      <c r="C249">
        <v>19.68499946594238</v>
      </c>
      <c r="D249">
        <v>19.77000045776367</v>
      </c>
      <c r="E249">
        <v>19.26700019836426</v>
      </c>
      <c r="F249">
        <v>19.45800018310547</v>
      </c>
      <c r="G249">
        <v>19.36925315856934</v>
      </c>
      <c r="H249">
        <v>204585000</v>
      </c>
      <c r="I249" t="s">
        <v>777</v>
      </c>
      <c r="J249" t="s">
        <v>778</v>
      </c>
      <c r="K249" t="s">
        <v>37</v>
      </c>
    </row>
    <row r="250" spans="1:11" ht="20" customHeight="1">
      <c r="A250" t="s">
        <v>22</v>
      </c>
      <c r="B250" t="s">
        <v>779</v>
      </c>
      <c r="C250">
        <v>19.5</v>
      </c>
      <c r="D250">
        <v>19.63400077819824</v>
      </c>
      <c r="E250">
        <v>19</v>
      </c>
      <c r="F250">
        <v>19.04000091552734</v>
      </c>
      <c r="G250">
        <v>18.95315742492676</v>
      </c>
      <c r="H250">
        <v>285913000</v>
      </c>
      <c r="I250" t="s">
        <v>780</v>
      </c>
      <c r="J250" t="s">
        <v>781</v>
      </c>
      <c r="K250" t="s">
        <v>37</v>
      </c>
    </row>
    <row r="251" spans="1:11" ht="20" customHeight="1">
      <c r="A251" t="s">
        <v>22</v>
      </c>
      <c r="B251" t="s">
        <v>782</v>
      </c>
      <c r="C251">
        <v>19.49399948120117</v>
      </c>
      <c r="D251">
        <v>20.4950008392334</v>
      </c>
      <c r="E251">
        <v>18.76199913024902</v>
      </c>
      <c r="F251">
        <v>19.79800033569336</v>
      </c>
      <c r="G251">
        <v>19.70770454406738</v>
      </c>
      <c r="H251">
        <v>766555000</v>
      </c>
      <c r="I251" t="s">
        <v>783</v>
      </c>
      <c r="J251" t="s">
        <v>784</v>
      </c>
      <c r="K251" t="s">
        <v>37</v>
      </c>
    </row>
    <row r="252" spans="1:11" ht="20" customHeight="1">
      <c r="A252" t="s">
        <v>22</v>
      </c>
      <c r="B252" t="s">
        <v>785</v>
      </c>
      <c r="C252">
        <v>19.99099922180176</v>
      </c>
      <c r="D252">
        <v>20.86499977111816</v>
      </c>
      <c r="E252">
        <v>19.9330005645752</v>
      </c>
      <c r="F252">
        <v>20.81599998474121</v>
      </c>
      <c r="G252">
        <v>20.7210636138916</v>
      </c>
      <c r="H252">
        <v>675741000</v>
      </c>
      <c r="I252" t="s">
        <v>786</v>
      </c>
      <c r="J252" t="s">
        <v>787</v>
      </c>
      <c r="K252" t="s">
        <v>37</v>
      </c>
    </row>
    <row r="253" spans="1:11" ht="20" customHeight="1">
      <c r="A253" t="s">
        <v>22</v>
      </c>
      <c r="B253" t="s">
        <v>788</v>
      </c>
      <c r="C253">
        <v>20.97100067138672</v>
      </c>
      <c r="D253">
        <v>21.99699974060059</v>
      </c>
      <c r="E253">
        <v>20.95000076293945</v>
      </c>
      <c r="F253">
        <v>21.95800018310547</v>
      </c>
      <c r="G253">
        <v>21.85785675048828</v>
      </c>
      <c r="H253">
        <v>575807000</v>
      </c>
      <c r="I253" t="s">
        <v>789</v>
      </c>
      <c r="J253" t="s">
        <v>790</v>
      </c>
      <c r="K253" t="s">
        <v>37</v>
      </c>
    </row>
    <row r="254" spans="1:11" ht="20" customHeight="1">
      <c r="A254" t="s">
        <v>22</v>
      </c>
      <c r="B254" t="s">
        <v>791</v>
      </c>
      <c r="C254">
        <v>21.75300025939941</v>
      </c>
      <c r="D254">
        <v>21.95899963378906</v>
      </c>
      <c r="E254">
        <v>21.53499984741211</v>
      </c>
      <c r="F254">
        <v>21.79299926757812</v>
      </c>
      <c r="G254">
        <v>21.69360542297363</v>
      </c>
      <c r="H254">
        <v>297299000</v>
      </c>
      <c r="I254" t="s">
        <v>792</v>
      </c>
      <c r="J254" t="s">
        <v>793</v>
      </c>
      <c r="K254" t="s">
        <v>37</v>
      </c>
    </row>
    <row r="255" spans="1:11" ht="20" customHeight="1">
      <c r="A255" t="s">
        <v>22</v>
      </c>
      <c r="B255" t="s">
        <v>794</v>
      </c>
      <c r="C255">
        <v>21.73699951171875</v>
      </c>
      <c r="D255">
        <v>22.46999931335449</v>
      </c>
      <c r="E255">
        <v>21.72200012207031</v>
      </c>
      <c r="F255">
        <v>22.21299934387207</v>
      </c>
      <c r="G255">
        <v>22.11169052124023</v>
      </c>
      <c r="H255">
        <v>347701000</v>
      </c>
      <c r="I255" t="s">
        <v>795</v>
      </c>
      <c r="J255" t="s">
        <v>796</v>
      </c>
      <c r="K255" t="s">
        <v>37</v>
      </c>
    </row>
    <row r="256" spans="1:11" ht="20" customHeight="1">
      <c r="A256" t="s">
        <v>22</v>
      </c>
      <c r="B256" t="s">
        <v>797</v>
      </c>
      <c r="C256">
        <v>22.20000076293945</v>
      </c>
      <c r="D256">
        <v>22.34000015258789</v>
      </c>
      <c r="E256">
        <v>21.79000091552734</v>
      </c>
      <c r="F256">
        <v>22.06800079345703</v>
      </c>
      <c r="G256">
        <v>21.96735572814941</v>
      </c>
      <c r="H256">
        <v>237940000</v>
      </c>
      <c r="I256" t="s">
        <v>798</v>
      </c>
      <c r="J256" t="s">
        <v>799</v>
      </c>
      <c r="K256" t="s">
        <v>37</v>
      </c>
    </row>
    <row r="257" spans="1:11" ht="20" customHeight="1">
      <c r="A257" t="s">
        <v>22</v>
      </c>
      <c r="B257" t="s">
        <v>800</v>
      </c>
      <c r="C257">
        <v>22.18400001525879</v>
      </c>
      <c r="D257">
        <v>22.72200012207031</v>
      </c>
      <c r="E257">
        <v>22.16699981689453</v>
      </c>
      <c r="F257">
        <v>22.63599967956543</v>
      </c>
      <c r="G257">
        <v>22.53275680541992</v>
      </c>
      <c r="H257">
        <v>304722000</v>
      </c>
      <c r="I257" t="s">
        <v>801</v>
      </c>
      <c r="J257" t="s">
        <v>802</v>
      </c>
      <c r="K257" t="s">
        <v>37</v>
      </c>
    </row>
    <row r="258" spans="1:11" ht="20" customHeight="1">
      <c r="A258" t="s">
        <v>22</v>
      </c>
      <c r="B258" t="s">
        <v>803</v>
      </c>
      <c r="C258">
        <v>22.82999992370605</v>
      </c>
      <c r="D258">
        <v>23.04299926757812</v>
      </c>
      <c r="E258">
        <v>22.55100059509277</v>
      </c>
      <c r="F258">
        <v>22.6879997253418</v>
      </c>
      <c r="G258">
        <v>22.58452415466309</v>
      </c>
      <c r="H258">
        <v>262580000</v>
      </c>
      <c r="I258" t="s">
        <v>804</v>
      </c>
      <c r="J258" t="s">
        <v>805</v>
      </c>
      <c r="K258" t="s">
        <v>37</v>
      </c>
    </row>
    <row r="259" spans="1:11" ht="20" customHeight="1">
      <c r="A259" t="s">
        <v>22</v>
      </c>
      <c r="B259" t="s">
        <v>806</v>
      </c>
      <c r="C259">
        <v>22.69499969482422</v>
      </c>
      <c r="D259">
        <v>22.69499969482422</v>
      </c>
      <c r="E259">
        <v>22.1200008392334</v>
      </c>
      <c r="F259">
        <v>22.38500022888184</v>
      </c>
      <c r="G259">
        <v>22.28683471679688</v>
      </c>
      <c r="H259">
        <v>259850000</v>
      </c>
      <c r="I259" t="s">
        <v>807</v>
      </c>
      <c r="J259" t="s">
        <v>808</v>
      </c>
      <c r="K259" t="s">
        <v>37</v>
      </c>
    </row>
    <row r="260" spans="1:11" ht="20" customHeight="1">
      <c r="A260" t="s">
        <v>22</v>
      </c>
      <c r="B260" t="s">
        <v>809</v>
      </c>
      <c r="C260">
        <v>22.48500061035156</v>
      </c>
      <c r="D260">
        <v>22.69700050354004</v>
      </c>
      <c r="E260">
        <v>22.35700035095215</v>
      </c>
      <c r="F260">
        <v>22.44099998474121</v>
      </c>
      <c r="G260">
        <v>22.34258651733398</v>
      </c>
      <c r="H260">
        <v>201767000</v>
      </c>
      <c r="I260" t="s">
        <v>810</v>
      </c>
      <c r="J260" t="s">
        <v>811</v>
      </c>
      <c r="K260" t="s">
        <v>37</v>
      </c>
    </row>
    <row r="261" spans="1:11" ht="20" customHeight="1">
      <c r="A261" t="s">
        <v>22</v>
      </c>
      <c r="B261" t="s">
        <v>812</v>
      </c>
      <c r="C261">
        <v>22.51799964904785</v>
      </c>
      <c r="D261">
        <v>22.5930004119873</v>
      </c>
      <c r="E261">
        <v>22.29500007629395</v>
      </c>
      <c r="F261">
        <v>22.39599990844727</v>
      </c>
      <c r="G261">
        <v>22.29778480529785</v>
      </c>
      <c r="H261">
        <v>187834000</v>
      </c>
      <c r="I261" t="s">
        <v>813</v>
      </c>
      <c r="J261" t="s">
        <v>814</v>
      </c>
      <c r="K261" t="s">
        <v>37</v>
      </c>
    </row>
    <row r="262" spans="1:11" ht="20" customHeight="1">
      <c r="A262" t="s">
        <v>22</v>
      </c>
      <c r="B262" t="s">
        <v>815</v>
      </c>
      <c r="C262">
        <v>22.32500076293945</v>
      </c>
      <c r="D262">
        <v>22.98600006103516</v>
      </c>
      <c r="E262">
        <v>22.20000076293945</v>
      </c>
      <c r="F262">
        <v>22.8430004119873</v>
      </c>
      <c r="G262">
        <v>22.74283027648926</v>
      </c>
      <c r="H262">
        <v>280532000</v>
      </c>
      <c r="I262" t="s">
        <v>816</v>
      </c>
      <c r="J262" t="s">
        <v>817</v>
      </c>
      <c r="K262" t="s">
        <v>37</v>
      </c>
    </row>
    <row r="263" spans="1:11" ht="20" customHeight="1">
      <c r="A263" t="s">
        <v>22</v>
      </c>
      <c r="B263" t="s">
        <v>818</v>
      </c>
      <c r="C263">
        <v>22.83300018310547</v>
      </c>
      <c r="D263">
        <v>22.89900016784668</v>
      </c>
      <c r="E263">
        <v>22.52199935913086</v>
      </c>
      <c r="F263">
        <v>22.66200065612793</v>
      </c>
      <c r="G263">
        <v>22.5626220703125</v>
      </c>
      <c r="H263">
        <v>198107000</v>
      </c>
      <c r="I263" t="s">
        <v>819</v>
      </c>
      <c r="J263" t="s">
        <v>820</v>
      </c>
      <c r="K263" t="s">
        <v>37</v>
      </c>
    </row>
    <row r="264" spans="1:11" ht="20" customHeight="1">
      <c r="A264" t="s">
        <v>22</v>
      </c>
      <c r="B264" t="s">
        <v>821</v>
      </c>
      <c r="C264">
        <v>22.51300048828125</v>
      </c>
      <c r="D264">
        <v>22.61000061035156</v>
      </c>
      <c r="E264">
        <v>21.97699928283691</v>
      </c>
      <c r="F264">
        <v>22.3390007019043</v>
      </c>
      <c r="G264">
        <v>22.24103546142578</v>
      </c>
      <c r="H264">
        <v>254434000</v>
      </c>
      <c r="I264" t="s">
        <v>822</v>
      </c>
      <c r="J264" t="s">
        <v>823</v>
      </c>
      <c r="K264" t="s">
        <v>37</v>
      </c>
    </row>
    <row r="265" spans="1:11" ht="20" customHeight="1">
      <c r="A265" t="s">
        <v>22</v>
      </c>
      <c r="B265" t="s">
        <v>824</v>
      </c>
      <c r="C265">
        <v>22.3120002746582</v>
      </c>
      <c r="D265">
        <v>22.53800010681152</v>
      </c>
      <c r="E265">
        <v>22.13100051879883</v>
      </c>
      <c r="F265">
        <v>22.17700004577637</v>
      </c>
      <c r="G265">
        <v>22.07974815368652</v>
      </c>
      <c r="H265">
        <v>196856000</v>
      </c>
      <c r="I265" t="s">
        <v>825</v>
      </c>
      <c r="J265" t="s">
        <v>826</v>
      </c>
      <c r="K265" t="s">
        <v>37</v>
      </c>
    </row>
    <row r="266" spans="1:11" ht="20" customHeight="1">
      <c r="A266" t="s">
        <v>22</v>
      </c>
      <c r="B266" t="s">
        <v>827</v>
      </c>
      <c r="C266">
        <v>22.34799957275391</v>
      </c>
      <c r="D266">
        <v>22.62599945068359</v>
      </c>
      <c r="E266">
        <v>22.27000045776367</v>
      </c>
      <c r="F266">
        <v>22.47800064086914</v>
      </c>
      <c r="G266">
        <v>22.37942695617676</v>
      </c>
      <c r="H266">
        <v>248376000</v>
      </c>
      <c r="I266" t="s">
        <v>828</v>
      </c>
      <c r="J266" t="s">
        <v>829</v>
      </c>
      <c r="K266" t="s">
        <v>37</v>
      </c>
    </row>
    <row r="267" spans="1:11" ht="20" customHeight="1">
      <c r="A267" t="s">
        <v>22</v>
      </c>
      <c r="B267" t="s">
        <v>830</v>
      </c>
      <c r="C267">
        <v>22.68400001525879</v>
      </c>
      <c r="D267">
        <v>22.9640007019043</v>
      </c>
      <c r="E267">
        <v>21.85799980163574</v>
      </c>
      <c r="F267">
        <v>22.15200042724609</v>
      </c>
      <c r="G267">
        <v>22.05485916137695</v>
      </c>
      <c r="H267">
        <v>297500000</v>
      </c>
      <c r="I267" t="s">
        <v>831</v>
      </c>
      <c r="J267" t="s">
        <v>832</v>
      </c>
      <c r="K267" t="s">
        <v>37</v>
      </c>
    </row>
    <row r="268" spans="1:11" ht="20" customHeight="1">
      <c r="A268" t="s">
        <v>22</v>
      </c>
      <c r="B268" t="s">
        <v>833</v>
      </c>
      <c r="C268">
        <v>22.27499961853027</v>
      </c>
      <c r="D268">
        <v>22.40999984741211</v>
      </c>
      <c r="E268">
        <v>22.08600044250488</v>
      </c>
      <c r="F268">
        <v>22.24200057983398</v>
      </c>
      <c r="G268">
        <v>22.14446640014648</v>
      </c>
      <c r="H268">
        <v>199755000</v>
      </c>
      <c r="I268" t="s">
        <v>834</v>
      </c>
      <c r="J268" t="s">
        <v>835</v>
      </c>
      <c r="K268" t="s">
        <v>37</v>
      </c>
    </row>
    <row r="269" spans="1:11" ht="20" customHeight="1">
      <c r="A269" t="s">
        <v>22</v>
      </c>
      <c r="B269" t="s">
        <v>836</v>
      </c>
      <c r="C269">
        <v>22.30900001525879</v>
      </c>
      <c r="D269">
        <v>22.36700057983398</v>
      </c>
      <c r="E269">
        <v>21.96599960327148</v>
      </c>
      <c r="F269">
        <v>22.34099960327148</v>
      </c>
      <c r="G269">
        <v>22.24302864074707</v>
      </c>
      <c r="H269">
        <v>166538000</v>
      </c>
      <c r="I269" t="s">
        <v>837</v>
      </c>
      <c r="J269" t="s">
        <v>838</v>
      </c>
      <c r="K269" t="s">
        <v>37</v>
      </c>
    </row>
    <row r="270" spans="1:11" ht="20" customHeight="1">
      <c r="A270" t="s">
        <v>22</v>
      </c>
      <c r="B270" t="s">
        <v>839</v>
      </c>
      <c r="C270">
        <v>22.1830005645752</v>
      </c>
      <c r="D270">
        <v>22.27700042724609</v>
      </c>
      <c r="E270">
        <v>21.92700004577637</v>
      </c>
      <c r="F270">
        <v>22.24200057983398</v>
      </c>
      <c r="G270">
        <v>22.14446640014648</v>
      </c>
      <c r="H270">
        <v>156033000</v>
      </c>
      <c r="I270" t="s">
        <v>840</v>
      </c>
      <c r="J270" t="s">
        <v>841</v>
      </c>
      <c r="K270" t="s">
        <v>37</v>
      </c>
    </row>
    <row r="271" spans="1:11" ht="20" customHeight="1">
      <c r="A271" t="s">
        <v>22</v>
      </c>
      <c r="B271" t="s">
        <v>842</v>
      </c>
      <c r="C271">
        <v>22.29999923706055</v>
      </c>
      <c r="D271">
        <v>22.32099914550781</v>
      </c>
      <c r="E271">
        <v>21.82999992370605</v>
      </c>
      <c r="F271">
        <v>21.89999961853027</v>
      </c>
      <c r="G271">
        <v>21.80395889282227</v>
      </c>
      <c r="H271">
        <v>294503000</v>
      </c>
      <c r="I271" t="s">
        <v>843</v>
      </c>
      <c r="J271" t="s">
        <v>844</v>
      </c>
      <c r="K271" t="s">
        <v>37</v>
      </c>
    </row>
    <row r="272" spans="1:11" ht="20" customHeight="1">
      <c r="A272" t="s">
        <v>22</v>
      </c>
      <c r="B272" t="s">
        <v>845</v>
      </c>
      <c r="C272">
        <v>21.14599990844727</v>
      </c>
      <c r="D272">
        <v>21.4330005645752</v>
      </c>
      <c r="E272">
        <v>20.66200065612793</v>
      </c>
      <c r="F272">
        <v>21.11300086975098</v>
      </c>
      <c r="G272">
        <v>21.02041625976562</v>
      </c>
      <c r="H272">
        <v>349440000</v>
      </c>
      <c r="I272" t="s">
        <v>846</v>
      </c>
      <c r="J272" t="s">
        <v>847</v>
      </c>
      <c r="K272" t="s">
        <v>37</v>
      </c>
    </row>
    <row r="273" spans="1:11" ht="20" customHeight="1">
      <c r="A273" t="s">
        <v>22</v>
      </c>
      <c r="B273" t="s">
        <v>848</v>
      </c>
      <c r="C273">
        <v>21.41699981689453</v>
      </c>
      <c r="D273">
        <v>21.42499923706055</v>
      </c>
      <c r="E273">
        <v>20.95000076293945</v>
      </c>
      <c r="F273">
        <v>21.24600028991699</v>
      </c>
      <c r="G273">
        <v>21.15283012390137</v>
      </c>
      <c r="H273">
        <v>204688000</v>
      </c>
      <c r="I273" t="s">
        <v>849</v>
      </c>
      <c r="J273" t="s">
        <v>850</v>
      </c>
      <c r="K273" t="s">
        <v>37</v>
      </c>
    </row>
    <row r="274" spans="1:11" ht="20" customHeight="1">
      <c r="A274" t="s">
        <v>22</v>
      </c>
      <c r="B274" t="s">
        <v>851</v>
      </c>
      <c r="C274">
        <v>21.36599922180176</v>
      </c>
      <c r="D274">
        <v>21.95999908447266</v>
      </c>
      <c r="E274">
        <v>21.19599914550781</v>
      </c>
      <c r="F274">
        <v>21.94099998474121</v>
      </c>
      <c r="G274">
        <v>21.84477806091309</v>
      </c>
      <c r="H274">
        <v>268726000</v>
      </c>
      <c r="I274" t="s">
        <v>852</v>
      </c>
      <c r="J274" t="s">
        <v>853</v>
      </c>
      <c r="K274" t="s">
        <v>37</v>
      </c>
    </row>
    <row r="275" spans="1:11" ht="20" customHeight="1">
      <c r="A275" t="s">
        <v>22</v>
      </c>
      <c r="B275" t="s">
        <v>854</v>
      </c>
      <c r="C275">
        <v>22.13999938964844</v>
      </c>
      <c r="D275">
        <v>22.53499984741211</v>
      </c>
      <c r="E275">
        <v>21.88999938964844</v>
      </c>
      <c r="F275">
        <v>22.48200035095215</v>
      </c>
      <c r="G275">
        <v>22.38340759277344</v>
      </c>
      <c r="H275">
        <v>248555000</v>
      </c>
      <c r="I275" t="s">
        <v>855</v>
      </c>
      <c r="J275" t="s">
        <v>856</v>
      </c>
      <c r="K275" t="s">
        <v>37</v>
      </c>
    </row>
    <row r="276" spans="1:11" ht="20" customHeight="1">
      <c r="A276" t="s">
        <v>22</v>
      </c>
      <c r="B276" t="s">
        <v>857</v>
      </c>
      <c r="C276">
        <v>22.06999969482422</v>
      </c>
      <c r="D276">
        <v>22.14900016784668</v>
      </c>
      <c r="E276">
        <v>21.86100006103516</v>
      </c>
      <c r="F276">
        <v>22.08099937438965</v>
      </c>
      <c r="G276">
        <v>21.98416709899902</v>
      </c>
      <c r="H276">
        <v>217655000</v>
      </c>
      <c r="I276" t="s">
        <v>858</v>
      </c>
      <c r="J276" t="s">
        <v>859</v>
      </c>
      <c r="K276" t="s">
        <v>37</v>
      </c>
    </row>
    <row r="277" spans="1:11" ht="20" customHeight="1">
      <c r="A277" t="s">
        <v>22</v>
      </c>
      <c r="B277" t="s">
        <v>860</v>
      </c>
      <c r="C277">
        <v>21.70999908447266</v>
      </c>
      <c r="D277">
        <v>21.79899978637695</v>
      </c>
      <c r="E277">
        <v>21.32500076293945</v>
      </c>
      <c r="F277">
        <v>21.65999984741211</v>
      </c>
      <c r="G277">
        <v>21.56501579284668</v>
      </c>
      <c r="H277">
        <v>245215000</v>
      </c>
      <c r="I277" t="s">
        <v>861</v>
      </c>
      <c r="J277" t="s">
        <v>862</v>
      </c>
      <c r="K277" t="s">
        <v>37</v>
      </c>
    </row>
    <row r="278" spans="1:11" ht="20" customHeight="1">
      <c r="A278" t="s">
        <v>22</v>
      </c>
      <c r="B278" t="s">
        <v>863</v>
      </c>
      <c r="C278">
        <v>21.2140007019043</v>
      </c>
      <c r="D278">
        <v>21.41900062561035</v>
      </c>
      <c r="E278">
        <v>20.65099906921387</v>
      </c>
      <c r="F278">
        <v>20.69899940490723</v>
      </c>
      <c r="G278">
        <v>20.60822868347168</v>
      </c>
      <c r="H278">
        <v>343069000</v>
      </c>
      <c r="I278" t="s">
        <v>864</v>
      </c>
      <c r="J278" t="s">
        <v>865</v>
      </c>
      <c r="K278" t="s">
        <v>37</v>
      </c>
    </row>
    <row r="279" spans="1:11" ht="20" customHeight="1">
      <c r="A279" t="s">
        <v>22</v>
      </c>
      <c r="B279" t="s">
        <v>866</v>
      </c>
      <c r="C279">
        <v>20.94000053405762</v>
      </c>
      <c r="D279">
        <v>21.01700019836426</v>
      </c>
      <c r="E279">
        <v>20.46699905395508</v>
      </c>
      <c r="F279">
        <v>20.51700019836426</v>
      </c>
      <c r="G279">
        <v>20.42702674865723</v>
      </c>
      <c r="H279">
        <v>218394000</v>
      </c>
      <c r="I279" t="s">
        <v>867</v>
      </c>
      <c r="J279" t="s">
        <v>868</v>
      </c>
      <c r="K279" t="s">
        <v>37</v>
      </c>
    </row>
    <row r="280" spans="1:11" ht="20" customHeight="1">
      <c r="A280" t="s">
        <v>22</v>
      </c>
      <c r="B280" t="s">
        <v>869</v>
      </c>
      <c r="C280">
        <v>20.76799964904785</v>
      </c>
      <c r="D280">
        <v>21.06599998474121</v>
      </c>
      <c r="E280">
        <v>20.6879997253418</v>
      </c>
      <c r="F280">
        <v>20.71599960327148</v>
      </c>
      <c r="G280">
        <v>20.62515830993652</v>
      </c>
      <c r="H280">
        <v>221009000</v>
      </c>
      <c r="I280" t="s">
        <v>870</v>
      </c>
      <c r="J280" t="s">
        <v>871</v>
      </c>
      <c r="K280" t="s">
        <v>37</v>
      </c>
    </row>
    <row r="281" spans="1:11" ht="20" customHeight="1">
      <c r="A281" t="s">
        <v>22</v>
      </c>
      <c r="B281" t="s">
        <v>872</v>
      </c>
      <c r="C281">
        <v>20.75</v>
      </c>
      <c r="D281">
        <v>20.85899925231934</v>
      </c>
      <c r="E281">
        <v>20.20299911499023</v>
      </c>
      <c r="F281">
        <v>20.74200057983398</v>
      </c>
      <c r="G281">
        <v>20.65104293823242</v>
      </c>
      <c r="H281">
        <v>240978000</v>
      </c>
      <c r="I281" t="s">
        <v>873</v>
      </c>
      <c r="J281" t="s">
        <v>874</v>
      </c>
      <c r="K281" t="s">
        <v>37</v>
      </c>
    </row>
    <row r="282" spans="1:11" ht="20" customHeight="1">
      <c r="A282" t="s">
        <v>22</v>
      </c>
      <c r="B282" t="s">
        <v>875</v>
      </c>
      <c r="C282">
        <v>20.50399971008301</v>
      </c>
      <c r="D282">
        <v>20.54199981689453</v>
      </c>
      <c r="E282">
        <v>19.55500030517578</v>
      </c>
      <c r="F282">
        <v>19.73200035095215</v>
      </c>
      <c r="G282">
        <v>19.64546966552734</v>
      </c>
      <c r="H282">
        <v>345635000</v>
      </c>
      <c r="I282" t="s">
        <v>876</v>
      </c>
      <c r="J282" t="s">
        <v>877</v>
      </c>
      <c r="K282" t="s">
        <v>37</v>
      </c>
    </row>
    <row r="283" spans="1:11" ht="20" customHeight="1">
      <c r="A283" t="s">
        <v>22</v>
      </c>
      <c r="B283" t="s">
        <v>878</v>
      </c>
      <c r="C283">
        <v>19.95000076293945</v>
      </c>
      <c r="D283">
        <v>20.64800071716309</v>
      </c>
      <c r="E283">
        <v>19.85400009155273</v>
      </c>
      <c r="F283">
        <v>20.45100021362305</v>
      </c>
      <c r="G283">
        <v>20.36131477355957</v>
      </c>
      <c r="H283">
        <v>279282000</v>
      </c>
      <c r="I283" t="s">
        <v>879</v>
      </c>
      <c r="J283" t="s">
        <v>880</v>
      </c>
      <c r="K283" t="s">
        <v>37</v>
      </c>
    </row>
    <row r="284" spans="1:11" ht="20" customHeight="1">
      <c r="A284" t="s">
        <v>22</v>
      </c>
      <c r="B284" t="s">
        <v>881</v>
      </c>
      <c r="C284">
        <v>20.1200008392334</v>
      </c>
      <c r="D284">
        <v>20.71999931335449</v>
      </c>
      <c r="E284">
        <v>20.07999992370605</v>
      </c>
      <c r="F284">
        <v>20.70000076293945</v>
      </c>
      <c r="G284">
        <v>20.60922622680664</v>
      </c>
      <c r="H284">
        <v>297202000</v>
      </c>
      <c r="I284" t="s">
        <v>882</v>
      </c>
      <c r="J284" t="s">
        <v>883</v>
      </c>
      <c r="K284" t="s">
        <v>37</v>
      </c>
    </row>
    <row r="285" spans="1:11" ht="20" customHeight="1">
      <c r="A285" t="s">
        <v>22</v>
      </c>
      <c r="B285" t="s">
        <v>884</v>
      </c>
      <c r="C285">
        <v>21.09199905395508</v>
      </c>
      <c r="D285">
        <v>21.32200050354004</v>
      </c>
      <c r="E285">
        <v>20.97200012207031</v>
      </c>
      <c r="F285">
        <v>21.07500076293945</v>
      </c>
      <c r="G285">
        <v>20.98258399963379</v>
      </c>
      <c r="H285">
        <v>256919000</v>
      </c>
      <c r="I285" t="s">
        <v>885</v>
      </c>
      <c r="J285" t="s">
        <v>886</v>
      </c>
      <c r="K285" t="s">
        <v>37</v>
      </c>
    </row>
    <row r="286" spans="1:11" ht="20" customHeight="1">
      <c r="A286" t="s">
        <v>22</v>
      </c>
      <c r="B286" t="s">
        <v>887</v>
      </c>
      <c r="C286">
        <v>21.10099983215332</v>
      </c>
      <c r="D286">
        <v>21.20599937438965</v>
      </c>
      <c r="E286">
        <v>20.77499961853027</v>
      </c>
      <c r="F286">
        <v>20.83099937438965</v>
      </c>
      <c r="G286">
        <v>20.73965072631836</v>
      </c>
      <c r="H286">
        <v>151258000</v>
      </c>
      <c r="I286" t="s">
        <v>888</v>
      </c>
      <c r="J286" t="s">
        <v>889</v>
      </c>
      <c r="K286" t="s">
        <v>37</v>
      </c>
    </row>
    <row r="287" spans="1:11" ht="20" customHeight="1">
      <c r="A287" t="s">
        <v>22</v>
      </c>
      <c r="B287" t="s">
        <v>890</v>
      </c>
      <c r="C287">
        <v>20.57500076293945</v>
      </c>
      <c r="D287">
        <v>21.0629997253418</v>
      </c>
      <c r="E287">
        <v>20.51099967956543</v>
      </c>
      <c r="F287">
        <v>20.69499969482422</v>
      </c>
      <c r="G287">
        <v>20.60424423217773</v>
      </c>
      <c r="H287">
        <v>163388000</v>
      </c>
      <c r="I287" t="s">
        <v>891</v>
      </c>
      <c r="J287" t="s">
        <v>892</v>
      </c>
      <c r="K287" t="s">
        <v>37</v>
      </c>
    </row>
    <row r="288" spans="1:11" ht="20" customHeight="1">
      <c r="A288" t="s">
        <v>22</v>
      </c>
      <c r="B288" t="s">
        <v>893</v>
      </c>
      <c r="C288">
        <v>20.82799911499023</v>
      </c>
      <c r="D288">
        <v>21.05699920654297</v>
      </c>
      <c r="E288">
        <v>20.52799987792969</v>
      </c>
      <c r="F288">
        <v>20.67099952697754</v>
      </c>
      <c r="G288">
        <v>20.58035278320312</v>
      </c>
      <c r="H288">
        <v>162134000</v>
      </c>
      <c r="I288" t="s">
        <v>894</v>
      </c>
      <c r="J288" t="s">
        <v>895</v>
      </c>
      <c r="K288" t="s">
        <v>37</v>
      </c>
    </row>
    <row r="289" spans="1:11" ht="20" customHeight="1">
      <c r="A289" t="s">
        <v>22</v>
      </c>
      <c r="B289" t="s">
        <v>896</v>
      </c>
      <c r="C289">
        <v>20.91799926757812</v>
      </c>
      <c r="D289">
        <v>20.98999977111816</v>
      </c>
      <c r="E289">
        <v>20.71299934387207</v>
      </c>
      <c r="F289">
        <v>20.93899917602539</v>
      </c>
      <c r="G289">
        <v>20.84717559814453</v>
      </c>
      <c r="H289">
        <v>180652000</v>
      </c>
      <c r="I289" t="s">
        <v>897</v>
      </c>
      <c r="J289" t="s">
        <v>898</v>
      </c>
      <c r="K289" t="s">
        <v>37</v>
      </c>
    </row>
    <row r="290" spans="1:11" ht="20" customHeight="1">
      <c r="A290" t="s">
        <v>22</v>
      </c>
      <c r="B290" t="s">
        <v>899</v>
      </c>
      <c r="C290">
        <v>21.28800010681152</v>
      </c>
      <c r="D290">
        <v>21.7549991607666</v>
      </c>
      <c r="E290">
        <v>21.12199974060059</v>
      </c>
      <c r="F290">
        <v>21.74600028991699</v>
      </c>
      <c r="G290">
        <v>21.65063667297363</v>
      </c>
      <c r="H290">
        <v>243589000</v>
      </c>
      <c r="I290" t="s">
        <v>900</v>
      </c>
      <c r="J290" t="s">
        <v>901</v>
      </c>
      <c r="K290" t="s">
        <v>37</v>
      </c>
    </row>
    <row r="291" spans="1:11" ht="20" customHeight="1">
      <c r="A291" t="s">
        <v>22</v>
      </c>
      <c r="B291" t="s">
        <v>902</v>
      </c>
      <c r="C291">
        <v>21.80999946594238</v>
      </c>
      <c r="D291">
        <v>21.93099975585938</v>
      </c>
      <c r="E291">
        <v>21.66200065612793</v>
      </c>
      <c r="F291">
        <v>21.86199951171875</v>
      </c>
      <c r="G291">
        <v>21.76612854003906</v>
      </c>
      <c r="H291">
        <v>226994000</v>
      </c>
      <c r="I291" t="s">
        <v>903</v>
      </c>
      <c r="J291" t="s">
        <v>904</v>
      </c>
      <c r="K291" t="s">
        <v>37</v>
      </c>
    </row>
    <row r="292" spans="1:11" ht="20" customHeight="1">
      <c r="A292" t="s">
        <v>22</v>
      </c>
      <c r="B292" t="s">
        <v>905</v>
      </c>
      <c r="C292">
        <v>21.74900054931641</v>
      </c>
      <c r="D292">
        <v>22.29100036621094</v>
      </c>
      <c r="E292">
        <v>21.64399909973145</v>
      </c>
      <c r="F292">
        <v>22.22200012207031</v>
      </c>
      <c r="G292">
        <v>22.12454986572266</v>
      </c>
      <c r="H292">
        <v>189494000</v>
      </c>
      <c r="I292" t="s">
        <v>906</v>
      </c>
      <c r="J292" t="s">
        <v>907</v>
      </c>
      <c r="K292" t="s">
        <v>37</v>
      </c>
    </row>
    <row r="293" spans="1:11" ht="20" customHeight="1">
      <c r="A293" t="s">
        <v>22</v>
      </c>
      <c r="B293" t="s">
        <v>908</v>
      </c>
      <c r="C293">
        <v>22.27599906921387</v>
      </c>
      <c r="D293">
        <v>22.37899971008301</v>
      </c>
      <c r="E293">
        <v>22.03700065612793</v>
      </c>
      <c r="F293">
        <v>22.29000091552734</v>
      </c>
      <c r="G293">
        <v>22.1922550201416</v>
      </c>
      <c r="H293">
        <v>161473000</v>
      </c>
      <c r="I293" t="s">
        <v>909</v>
      </c>
      <c r="J293" t="s">
        <v>910</v>
      </c>
      <c r="K293" t="s">
        <v>37</v>
      </c>
    </row>
    <row r="294" spans="1:11" ht="20" customHeight="1">
      <c r="A294" t="s">
        <v>22</v>
      </c>
      <c r="B294" t="s">
        <v>911</v>
      </c>
      <c r="C294">
        <v>22.30500030517578</v>
      </c>
      <c r="D294">
        <v>22.4330005645752</v>
      </c>
      <c r="E294">
        <v>21.98200035095215</v>
      </c>
      <c r="F294">
        <v>22.10300064086914</v>
      </c>
      <c r="G294">
        <v>22.00607109069824</v>
      </c>
      <c r="H294">
        <v>146276000</v>
      </c>
      <c r="I294" t="s">
        <v>912</v>
      </c>
      <c r="J294" t="s">
        <v>913</v>
      </c>
      <c r="K294" t="s">
        <v>37</v>
      </c>
    </row>
    <row r="295" spans="1:11" ht="20" customHeight="1">
      <c r="A295" t="s">
        <v>22</v>
      </c>
      <c r="B295" t="s">
        <v>914</v>
      </c>
      <c r="C295">
        <v>22.09700012207031</v>
      </c>
      <c r="D295">
        <v>22.71100044250488</v>
      </c>
      <c r="E295">
        <v>22.08300018310547</v>
      </c>
      <c r="F295">
        <v>22.6919994354248</v>
      </c>
      <c r="G295">
        <v>22.59248733520508</v>
      </c>
      <c r="H295">
        <v>187590000</v>
      </c>
      <c r="I295" t="s">
        <v>915</v>
      </c>
      <c r="J295" t="s">
        <v>916</v>
      </c>
      <c r="K295" t="s">
        <v>37</v>
      </c>
    </row>
    <row r="296" spans="1:11" ht="20" customHeight="1">
      <c r="A296" t="s">
        <v>22</v>
      </c>
      <c r="B296" t="s">
        <v>917</v>
      </c>
      <c r="C296">
        <v>22.82299995422363</v>
      </c>
      <c r="D296">
        <v>23.1299991607666</v>
      </c>
      <c r="E296">
        <v>22.56100082397461</v>
      </c>
      <c r="F296">
        <v>22.72599983215332</v>
      </c>
      <c r="G296">
        <v>22.62633514404297</v>
      </c>
      <c r="H296">
        <v>249384000</v>
      </c>
      <c r="I296" t="s">
        <v>918</v>
      </c>
      <c r="J296" t="s">
        <v>919</v>
      </c>
      <c r="K296" t="s">
        <v>37</v>
      </c>
    </row>
    <row r="297" spans="1:11" ht="20" customHeight="1">
      <c r="A297" t="s">
        <v>22</v>
      </c>
      <c r="B297" t="s">
        <v>920</v>
      </c>
      <c r="C297">
        <v>22.97299957275391</v>
      </c>
      <c r="D297">
        <v>23.35499954223633</v>
      </c>
      <c r="E297">
        <v>22.77000045776367</v>
      </c>
      <c r="F297">
        <v>23.16600036621094</v>
      </c>
      <c r="G297">
        <v>23.06440925598145</v>
      </c>
      <c r="H297">
        <v>230235000</v>
      </c>
      <c r="I297" t="s">
        <v>921</v>
      </c>
      <c r="J297" t="s">
        <v>922</v>
      </c>
      <c r="K297" t="s">
        <v>37</v>
      </c>
    </row>
    <row r="298" spans="1:11" ht="20" customHeight="1">
      <c r="A298" t="s">
        <v>22</v>
      </c>
      <c r="B298" t="s">
        <v>923</v>
      </c>
      <c r="C298">
        <v>23.98900032043457</v>
      </c>
      <c r="D298">
        <v>25.25900077819824</v>
      </c>
      <c r="E298">
        <v>23.92399978637695</v>
      </c>
      <c r="F298">
        <v>24.71699905395508</v>
      </c>
      <c r="G298">
        <v>24.60860633850098</v>
      </c>
      <c r="H298">
        <v>485898000</v>
      </c>
      <c r="I298" t="s">
        <v>924</v>
      </c>
      <c r="J298" t="s">
        <v>925</v>
      </c>
      <c r="K298" t="s">
        <v>37</v>
      </c>
    </row>
    <row r="299" spans="1:11" ht="20" customHeight="1">
      <c r="A299" t="s">
        <v>22</v>
      </c>
      <c r="B299" t="s">
        <v>926</v>
      </c>
      <c r="C299">
        <v>24.47400093078613</v>
      </c>
      <c r="D299">
        <v>25.09000015258789</v>
      </c>
      <c r="E299">
        <v>24.2819995880127</v>
      </c>
      <c r="F299">
        <v>24.45100021362305</v>
      </c>
      <c r="G299">
        <v>24.34377670288086</v>
      </c>
      <c r="H299">
        <v>245990000</v>
      </c>
      <c r="I299" t="s">
        <v>927</v>
      </c>
      <c r="J299" t="s">
        <v>928</v>
      </c>
      <c r="K299" t="s">
        <v>37</v>
      </c>
    </row>
    <row r="300" spans="1:11" ht="20" customHeight="1">
      <c r="A300" t="s">
        <v>22</v>
      </c>
      <c r="B300" t="s">
        <v>929</v>
      </c>
      <c r="C300">
        <v>24.87800025939941</v>
      </c>
      <c r="D300">
        <v>24.95000076293945</v>
      </c>
      <c r="E300">
        <v>24.52300071716309</v>
      </c>
      <c r="F300">
        <v>24.94099998474121</v>
      </c>
      <c r="G300">
        <v>24.83162498474121</v>
      </c>
      <c r="H300">
        <v>234204000</v>
      </c>
      <c r="I300" t="s">
        <v>930</v>
      </c>
      <c r="J300" t="s">
        <v>931</v>
      </c>
      <c r="K300" t="s">
        <v>37</v>
      </c>
    </row>
    <row r="301" spans="1:11" ht="20" customHeight="1">
      <c r="A301" t="s">
        <v>22</v>
      </c>
      <c r="B301" t="s">
        <v>932</v>
      </c>
      <c r="C301">
        <v>25.00099945068359</v>
      </c>
      <c r="D301">
        <v>25.70899963378906</v>
      </c>
      <c r="E301">
        <v>25</v>
      </c>
      <c r="F301">
        <v>25.5669994354248</v>
      </c>
      <c r="G301">
        <v>25.45487976074219</v>
      </c>
      <c r="H301">
        <v>292503000</v>
      </c>
      <c r="I301" t="s">
        <v>933</v>
      </c>
      <c r="J301" t="s">
        <v>934</v>
      </c>
      <c r="K301" t="s">
        <v>37</v>
      </c>
    </row>
    <row r="302" spans="1:11" ht="20" customHeight="1">
      <c r="A302" t="s">
        <v>22</v>
      </c>
      <c r="B302" t="s">
        <v>935</v>
      </c>
      <c r="C302">
        <v>25.64900016784668</v>
      </c>
      <c r="D302">
        <v>25.89399909973145</v>
      </c>
      <c r="E302">
        <v>25.22699928283691</v>
      </c>
      <c r="F302">
        <v>25.82699966430664</v>
      </c>
      <c r="G302">
        <v>25.7137451171875</v>
      </c>
      <c r="H302">
        <v>265740000</v>
      </c>
      <c r="I302" t="s">
        <v>936</v>
      </c>
      <c r="J302" t="s">
        <v>937</v>
      </c>
      <c r="K302" t="s">
        <v>37</v>
      </c>
    </row>
    <row r="303" spans="1:11" ht="20" customHeight="1">
      <c r="A303" t="s">
        <v>22</v>
      </c>
      <c r="B303" t="s">
        <v>938</v>
      </c>
      <c r="C303">
        <v>25.82200050354004</v>
      </c>
      <c r="D303">
        <v>26.67799949645996</v>
      </c>
      <c r="E303">
        <v>25.79999923706055</v>
      </c>
      <c r="F303">
        <v>26.40099906921387</v>
      </c>
      <c r="G303">
        <v>26.28522109985352</v>
      </c>
      <c r="H303">
        <v>294112000</v>
      </c>
      <c r="I303" t="s">
        <v>939</v>
      </c>
      <c r="J303" t="s">
        <v>940</v>
      </c>
      <c r="K303" t="s">
        <v>37</v>
      </c>
    </row>
    <row r="304" spans="1:11" ht="20" customHeight="1">
      <c r="A304" t="s">
        <v>22</v>
      </c>
      <c r="B304" t="s">
        <v>941</v>
      </c>
      <c r="C304">
        <v>26.67000007629395</v>
      </c>
      <c r="D304">
        <v>26.78400039672852</v>
      </c>
      <c r="E304">
        <v>26.23500061035156</v>
      </c>
      <c r="F304">
        <v>26.59799957275391</v>
      </c>
      <c r="G304">
        <v>26.48135757446289</v>
      </c>
      <c r="H304">
        <v>239910000</v>
      </c>
      <c r="I304" t="s">
        <v>942</v>
      </c>
      <c r="J304" t="s">
        <v>943</v>
      </c>
      <c r="K304" t="s">
        <v>37</v>
      </c>
    </row>
    <row r="305" spans="1:11" ht="20" customHeight="1">
      <c r="A305" t="s">
        <v>22</v>
      </c>
      <c r="B305" t="s">
        <v>944</v>
      </c>
      <c r="C305">
        <v>27.22900009155273</v>
      </c>
      <c r="D305">
        <v>31.36499977111816</v>
      </c>
      <c r="E305">
        <v>27.11800003051758</v>
      </c>
      <c r="F305">
        <v>29.80100059509277</v>
      </c>
      <c r="G305">
        <v>29.67031288146973</v>
      </c>
      <c r="H305">
        <v>1153631000</v>
      </c>
      <c r="I305" t="s">
        <v>945</v>
      </c>
      <c r="J305" t="s">
        <v>946</v>
      </c>
      <c r="K305" t="s">
        <v>37</v>
      </c>
    </row>
    <row r="306" spans="1:11" ht="20" customHeight="1">
      <c r="A306" t="s">
        <v>22</v>
      </c>
      <c r="B306" t="s">
        <v>947</v>
      </c>
      <c r="C306">
        <v>30.1870002746582</v>
      </c>
      <c r="D306">
        <v>31.39999961853027</v>
      </c>
      <c r="E306">
        <v>29.40999984741211</v>
      </c>
      <c r="F306">
        <v>29.75200080871582</v>
      </c>
      <c r="G306">
        <v>29.62153053283691</v>
      </c>
      <c r="H306">
        <v>851260000</v>
      </c>
      <c r="I306" t="s">
        <v>948</v>
      </c>
      <c r="J306" t="s">
        <v>949</v>
      </c>
      <c r="K306" t="s">
        <v>37</v>
      </c>
    </row>
    <row r="307" spans="1:11" ht="20" customHeight="1">
      <c r="A307" t="s">
        <v>22</v>
      </c>
      <c r="B307" t="s">
        <v>950</v>
      </c>
      <c r="C307">
        <v>30.14900016784668</v>
      </c>
      <c r="D307">
        <v>31.10000038146973</v>
      </c>
      <c r="E307">
        <v>29.9069995880127</v>
      </c>
      <c r="F307">
        <v>30.80400085449219</v>
      </c>
      <c r="G307">
        <v>30.66891860961914</v>
      </c>
      <c r="H307">
        <v>503101000</v>
      </c>
      <c r="I307" t="s">
        <v>951</v>
      </c>
      <c r="J307" t="s">
        <v>952</v>
      </c>
      <c r="K307" t="s">
        <v>37</v>
      </c>
    </row>
    <row r="308" spans="1:11" ht="20" customHeight="1">
      <c r="A308" t="s">
        <v>22</v>
      </c>
      <c r="B308" t="s">
        <v>953</v>
      </c>
      <c r="C308">
        <v>32.28200149536133</v>
      </c>
      <c r="D308">
        <v>32.31000137329102</v>
      </c>
      <c r="E308">
        <v>29.9640007019043</v>
      </c>
      <c r="F308">
        <v>30.6569995880127</v>
      </c>
      <c r="G308">
        <v>30.52256011962891</v>
      </c>
      <c r="H308">
        <v>646746000</v>
      </c>
      <c r="I308" t="s">
        <v>954</v>
      </c>
      <c r="J308" t="s">
        <v>955</v>
      </c>
      <c r="K308" t="s">
        <v>37</v>
      </c>
    </row>
    <row r="309" spans="1:11" ht="20" customHeight="1">
      <c r="A309" t="s">
        <v>22</v>
      </c>
      <c r="B309" t="s">
        <v>956</v>
      </c>
      <c r="C309">
        <v>29.35600090026855</v>
      </c>
      <c r="D309">
        <v>30.85000038146973</v>
      </c>
      <c r="E309">
        <v>28.77799987792969</v>
      </c>
      <c r="F309">
        <v>29.45899963378906</v>
      </c>
      <c r="G309">
        <v>29.32981491088867</v>
      </c>
      <c r="H309">
        <v>636206000</v>
      </c>
      <c r="I309" t="s">
        <v>957</v>
      </c>
      <c r="J309" t="s">
        <v>958</v>
      </c>
      <c r="K309" t="s">
        <v>37</v>
      </c>
    </row>
    <row r="310" spans="1:11" ht="20" customHeight="1">
      <c r="A310" t="s">
        <v>22</v>
      </c>
      <c r="B310" t="s">
        <v>959</v>
      </c>
      <c r="C310">
        <v>30.4680004119873</v>
      </c>
      <c r="D310">
        <v>30.59000015258789</v>
      </c>
      <c r="E310">
        <v>29.77700042724609</v>
      </c>
      <c r="F310">
        <v>30.38999938964844</v>
      </c>
      <c r="G310">
        <v>30.25673294067383</v>
      </c>
      <c r="H310">
        <v>332172000</v>
      </c>
      <c r="I310" t="s">
        <v>960</v>
      </c>
      <c r="J310" t="s">
        <v>961</v>
      </c>
      <c r="K310" t="s">
        <v>37</v>
      </c>
    </row>
    <row r="311" spans="1:11" ht="20" customHeight="1">
      <c r="A311" t="s">
        <v>22</v>
      </c>
      <c r="B311" t="s">
        <v>962</v>
      </c>
      <c r="C311">
        <v>30.01000022888184</v>
      </c>
      <c r="D311">
        <v>30.68000030517578</v>
      </c>
      <c r="E311">
        <v>29.6299991607666</v>
      </c>
      <c r="F311">
        <v>30.38999938964844</v>
      </c>
      <c r="G311">
        <v>30.25673294067383</v>
      </c>
      <c r="H311">
        <v>413054000</v>
      </c>
      <c r="I311" t="s">
        <v>963</v>
      </c>
      <c r="J311" t="s">
        <v>964</v>
      </c>
      <c r="K311" t="s">
        <v>37</v>
      </c>
    </row>
    <row r="312" spans="1:11" ht="20" customHeight="1">
      <c r="A312" t="s">
        <v>22</v>
      </c>
      <c r="B312" t="s">
        <v>965</v>
      </c>
      <c r="C312">
        <v>30.55200004577637</v>
      </c>
      <c r="D312">
        <v>30.64399909973145</v>
      </c>
      <c r="E312">
        <v>29.24699974060059</v>
      </c>
      <c r="F312">
        <v>30.02499961853027</v>
      </c>
      <c r="G312">
        <v>29.89332962036133</v>
      </c>
      <c r="H312">
        <v>384909000</v>
      </c>
      <c r="I312" t="s">
        <v>966</v>
      </c>
      <c r="J312" t="s">
        <v>967</v>
      </c>
      <c r="K312" t="s">
        <v>37</v>
      </c>
    </row>
    <row r="313" spans="1:11" ht="20" customHeight="1">
      <c r="A313" t="s">
        <v>22</v>
      </c>
      <c r="B313" t="s">
        <v>968</v>
      </c>
      <c r="C313">
        <v>29.75900077819824</v>
      </c>
      <c r="D313">
        <v>30.38999938964844</v>
      </c>
      <c r="E313">
        <v>29.70599937438965</v>
      </c>
      <c r="F313">
        <v>30.20299911499023</v>
      </c>
      <c r="G313">
        <v>30.07054901123047</v>
      </c>
      <c r="H313">
        <v>264484000</v>
      </c>
      <c r="I313" t="s">
        <v>969</v>
      </c>
      <c r="J313" t="s">
        <v>970</v>
      </c>
      <c r="K313" t="s">
        <v>37</v>
      </c>
    </row>
    <row r="314" spans="1:11" ht="20" customHeight="1">
      <c r="A314" t="s">
        <v>22</v>
      </c>
      <c r="B314" t="s">
        <v>971</v>
      </c>
      <c r="C314">
        <v>30.41799926757812</v>
      </c>
      <c r="D314">
        <v>30.50900077819824</v>
      </c>
      <c r="E314">
        <v>28.79999923706055</v>
      </c>
      <c r="F314">
        <v>29.26099967956543</v>
      </c>
      <c r="G314">
        <v>29.13268089294434</v>
      </c>
      <c r="H314">
        <v>428508000</v>
      </c>
      <c r="I314" t="s">
        <v>972</v>
      </c>
      <c r="J314" t="s">
        <v>973</v>
      </c>
      <c r="K314" t="s">
        <v>37</v>
      </c>
    </row>
    <row r="315" spans="1:11" ht="20" customHeight="1">
      <c r="A315" t="s">
        <v>22</v>
      </c>
      <c r="B315" t="s">
        <v>974</v>
      </c>
      <c r="C315">
        <v>32.36700057983398</v>
      </c>
      <c r="D315">
        <v>32.7599983215332</v>
      </c>
      <c r="E315">
        <v>31.32099914550781</v>
      </c>
      <c r="F315">
        <v>31.67499923706055</v>
      </c>
      <c r="G315">
        <v>31.53609848022461</v>
      </c>
      <c r="H315">
        <v>781711000</v>
      </c>
      <c r="I315" t="s">
        <v>975</v>
      </c>
      <c r="J315" t="s">
        <v>976</v>
      </c>
      <c r="K315" t="s">
        <v>37</v>
      </c>
    </row>
    <row r="316" spans="1:11" ht="20" customHeight="1">
      <c r="A316" t="s">
        <v>22</v>
      </c>
      <c r="B316" t="s">
        <v>977</v>
      </c>
      <c r="C316">
        <v>32.24300003051758</v>
      </c>
      <c r="D316">
        <v>33.0880012512207</v>
      </c>
      <c r="E316">
        <v>31.90500068664551</v>
      </c>
      <c r="F316">
        <v>32.98500061035156</v>
      </c>
      <c r="G316">
        <v>32.84035110473633</v>
      </c>
      <c r="H316">
        <v>533867000</v>
      </c>
      <c r="I316" t="s">
        <v>978</v>
      </c>
      <c r="J316" t="s">
        <v>979</v>
      </c>
      <c r="K316" t="s">
        <v>37</v>
      </c>
    </row>
    <row r="317" spans="1:11" ht="20" customHeight="1">
      <c r="A317" t="s">
        <v>22</v>
      </c>
      <c r="B317" t="s">
        <v>980</v>
      </c>
      <c r="C317">
        <v>33.51699829101562</v>
      </c>
      <c r="D317">
        <v>34.64699935913086</v>
      </c>
      <c r="E317">
        <v>31.89999961853027</v>
      </c>
      <c r="F317">
        <v>31.95599937438965</v>
      </c>
      <c r="G317">
        <v>31.81586456298828</v>
      </c>
      <c r="H317">
        <v>754335000</v>
      </c>
      <c r="I317" t="s">
        <v>981</v>
      </c>
      <c r="J317" t="s">
        <v>982</v>
      </c>
      <c r="K317" t="s">
        <v>37</v>
      </c>
    </row>
    <row r="318" spans="1:11" ht="20" customHeight="1">
      <c r="A318" t="s">
        <v>22</v>
      </c>
      <c r="B318" t="s">
        <v>983</v>
      </c>
      <c r="C318">
        <v>31.53499984741211</v>
      </c>
      <c r="D318">
        <v>32.36000061035156</v>
      </c>
      <c r="E318">
        <v>30.8799991607666</v>
      </c>
      <c r="F318">
        <v>31.74600028991699</v>
      </c>
      <c r="G318">
        <v>31.60678291320801</v>
      </c>
      <c r="H318">
        <v>532163000</v>
      </c>
      <c r="I318" t="s">
        <v>984</v>
      </c>
      <c r="J318" t="s">
        <v>985</v>
      </c>
      <c r="K318" t="s">
        <v>37</v>
      </c>
    </row>
    <row r="319" spans="1:11" ht="20" customHeight="1">
      <c r="A319" t="s">
        <v>22</v>
      </c>
      <c r="B319" t="s">
        <v>986</v>
      </c>
      <c r="C319">
        <v>31.46100044250488</v>
      </c>
      <c r="D319">
        <v>32.85499954223633</v>
      </c>
      <c r="E319">
        <v>30.92799949645996</v>
      </c>
      <c r="F319">
        <v>32.67399978637695</v>
      </c>
      <c r="G319">
        <v>32.53070831298828</v>
      </c>
      <c r="H319">
        <v>435162000</v>
      </c>
      <c r="I319" t="s">
        <v>987</v>
      </c>
      <c r="J319" t="s">
        <v>988</v>
      </c>
      <c r="K319" t="s">
        <v>37</v>
      </c>
    </row>
    <row r="320" spans="1:11" ht="20" customHeight="1">
      <c r="A320" t="s">
        <v>22</v>
      </c>
      <c r="B320" t="s">
        <v>989</v>
      </c>
      <c r="C320">
        <v>32.59999847412109</v>
      </c>
      <c r="D320">
        <v>32.70999908447266</v>
      </c>
      <c r="E320">
        <v>31.35000038146973</v>
      </c>
      <c r="F320">
        <v>31.50300025939941</v>
      </c>
      <c r="G320">
        <v>31.36484909057617</v>
      </c>
      <c r="H320">
        <v>283069000</v>
      </c>
      <c r="I320" t="s">
        <v>990</v>
      </c>
      <c r="J320" t="s">
        <v>991</v>
      </c>
      <c r="K320" t="s">
        <v>37</v>
      </c>
    </row>
    <row r="321" spans="1:11" ht="20" customHeight="1">
      <c r="A321" t="s">
        <v>22</v>
      </c>
      <c r="B321" t="s">
        <v>992</v>
      </c>
      <c r="C321">
        <v>32.36600112915039</v>
      </c>
      <c r="D321">
        <v>33.4119987487793</v>
      </c>
      <c r="E321">
        <v>32.0359992980957</v>
      </c>
      <c r="F321">
        <v>33.37599945068359</v>
      </c>
      <c r="G321">
        <v>33.22963333129883</v>
      </c>
      <c r="H321">
        <v>454964000</v>
      </c>
      <c r="I321" t="s">
        <v>993</v>
      </c>
      <c r="J321" t="s">
        <v>994</v>
      </c>
      <c r="K321" t="s">
        <v>37</v>
      </c>
    </row>
    <row r="322" spans="1:11" ht="20" customHeight="1">
      <c r="A322" t="s">
        <v>22</v>
      </c>
      <c r="B322" t="s">
        <v>995</v>
      </c>
      <c r="C322">
        <v>33.16899871826172</v>
      </c>
      <c r="D322">
        <v>33.35300064086914</v>
      </c>
      <c r="E322">
        <v>31.86400032043457</v>
      </c>
      <c r="F322">
        <v>32.67599868774414</v>
      </c>
      <c r="G322">
        <v>32.53269577026367</v>
      </c>
      <c r="H322">
        <v>622066000</v>
      </c>
      <c r="I322" t="s">
        <v>996</v>
      </c>
      <c r="J322" t="s">
        <v>997</v>
      </c>
      <c r="K322" t="s">
        <v>37</v>
      </c>
    </row>
    <row r="323" spans="1:11" ht="20" customHeight="1">
      <c r="A323" t="s">
        <v>22</v>
      </c>
      <c r="B323" t="s">
        <v>998</v>
      </c>
      <c r="C323">
        <v>33.21900177001953</v>
      </c>
      <c r="D323">
        <v>33.28900146484375</v>
      </c>
      <c r="E323">
        <v>31.3799991607666</v>
      </c>
      <c r="F323">
        <v>31.43499946594238</v>
      </c>
      <c r="G323">
        <v>31.30097770690918</v>
      </c>
      <c r="H323">
        <v>484368000</v>
      </c>
      <c r="I323" t="s">
        <v>999</v>
      </c>
      <c r="J323" t="s">
        <v>1000</v>
      </c>
      <c r="K323" t="s">
        <v>37</v>
      </c>
    </row>
    <row r="324" spans="1:11" ht="20" customHeight="1">
      <c r="A324" t="s">
        <v>22</v>
      </c>
      <c r="B324" t="s">
        <v>1001</v>
      </c>
      <c r="C324">
        <v>31.2140007019043</v>
      </c>
      <c r="D324">
        <v>32.47800064086914</v>
      </c>
      <c r="E324">
        <v>31.02499961853027</v>
      </c>
      <c r="F324">
        <v>32.12599945068359</v>
      </c>
      <c r="G324">
        <v>31.98903274536133</v>
      </c>
      <c r="H324">
        <v>472890000</v>
      </c>
      <c r="I324" t="s">
        <v>1002</v>
      </c>
      <c r="J324" t="s">
        <v>1003</v>
      </c>
      <c r="K324" t="s">
        <v>37</v>
      </c>
    </row>
    <row r="325" spans="1:11" ht="20" customHeight="1">
      <c r="A325" t="s">
        <v>22</v>
      </c>
      <c r="B325" t="s">
        <v>1004</v>
      </c>
      <c r="C325">
        <v>32</v>
      </c>
      <c r="D325">
        <v>32.12900161743164</v>
      </c>
      <c r="E325">
        <v>30.1299991607666</v>
      </c>
      <c r="F325">
        <v>30.69300079345703</v>
      </c>
      <c r="G325">
        <v>30.56214332580566</v>
      </c>
      <c r="H325">
        <v>544325000</v>
      </c>
      <c r="I325" t="s">
        <v>1005</v>
      </c>
      <c r="J325" t="s">
        <v>1006</v>
      </c>
      <c r="K325" t="s">
        <v>37</v>
      </c>
    </row>
    <row r="326" spans="1:11" ht="20" customHeight="1">
      <c r="A326" t="s">
        <v>22</v>
      </c>
      <c r="B326" t="s">
        <v>1007</v>
      </c>
      <c r="C326">
        <v>29.8799991607666</v>
      </c>
      <c r="D326">
        <v>30.24099922180176</v>
      </c>
      <c r="E326">
        <v>28.03800010681152</v>
      </c>
      <c r="F326">
        <v>30.03700065612793</v>
      </c>
      <c r="G326">
        <v>29.90893745422363</v>
      </c>
      <c r="H326">
        <v>658938000</v>
      </c>
      <c r="I326" t="s">
        <v>1008</v>
      </c>
      <c r="J326" t="s">
        <v>1009</v>
      </c>
      <c r="K326" t="s">
        <v>37</v>
      </c>
    </row>
    <row r="327" spans="1:11" ht="20" customHeight="1">
      <c r="A327" t="s">
        <v>22</v>
      </c>
      <c r="B327" t="s">
        <v>1010</v>
      </c>
      <c r="C327">
        <v>30.95700073242188</v>
      </c>
      <c r="D327">
        <v>32.44900131225586</v>
      </c>
      <c r="E327">
        <v>30.65099906921387</v>
      </c>
      <c r="F327">
        <v>32.42699813842773</v>
      </c>
      <c r="G327">
        <v>32.28874588012695</v>
      </c>
      <c r="H327">
        <v>593053000</v>
      </c>
      <c r="I327" t="s">
        <v>1011</v>
      </c>
      <c r="J327" t="s">
        <v>1012</v>
      </c>
      <c r="K327" t="s">
        <v>37</v>
      </c>
    </row>
    <row r="328" spans="1:11" ht="20" customHeight="1">
      <c r="A328" t="s">
        <v>22</v>
      </c>
      <c r="B328" t="s">
        <v>1013</v>
      </c>
      <c r="C328">
        <v>31.99900054931641</v>
      </c>
      <c r="D328">
        <v>32.29000091552734</v>
      </c>
      <c r="E328">
        <v>31.42099952697754</v>
      </c>
      <c r="F328">
        <v>31.82600021362305</v>
      </c>
      <c r="G328">
        <v>31.69031143188477</v>
      </c>
      <c r="H328">
        <v>475551000</v>
      </c>
      <c r="I328" t="s">
        <v>1014</v>
      </c>
      <c r="J328" t="s">
        <v>1015</v>
      </c>
      <c r="K328" t="s">
        <v>37</v>
      </c>
    </row>
    <row r="329" spans="1:11" ht="20" customHeight="1">
      <c r="A329" t="s">
        <v>22</v>
      </c>
      <c r="B329" t="s">
        <v>1016</v>
      </c>
      <c r="C329">
        <v>31.73399925231934</v>
      </c>
      <c r="D329">
        <v>32.20500183105469</v>
      </c>
      <c r="E329">
        <v>30.42799949645996</v>
      </c>
      <c r="F329">
        <v>30.48999977111816</v>
      </c>
      <c r="G329">
        <v>30.36001205444336</v>
      </c>
      <c r="H329">
        <v>488507000</v>
      </c>
      <c r="I329" t="s">
        <v>1017</v>
      </c>
      <c r="J329" t="s">
        <v>1018</v>
      </c>
      <c r="K329" t="s">
        <v>37</v>
      </c>
    </row>
    <row r="330" spans="1:11" ht="20" customHeight="1">
      <c r="A330" t="s">
        <v>22</v>
      </c>
      <c r="B330" t="s">
        <v>1019</v>
      </c>
      <c r="C330">
        <v>31.14999961853027</v>
      </c>
      <c r="D330">
        <v>31.30500030517578</v>
      </c>
      <c r="E330">
        <v>29.86100006103516</v>
      </c>
      <c r="F330">
        <v>30.19799995422363</v>
      </c>
      <c r="G330">
        <v>30.06925773620605</v>
      </c>
      <c r="H330">
        <v>488825000</v>
      </c>
      <c r="I330" t="s">
        <v>1020</v>
      </c>
      <c r="J330" t="s">
        <v>1021</v>
      </c>
      <c r="K330" t="s">
        <v>37</v>
      </c>
    </row>
    <row r="331" spans="1:11" ht="20" customHeight="1">
      <c r="A331" t="s">
        <v>22</v>
      </c>
      <c r="B331" t="s">
        <v>1022</v>
      </c>
      <c r="C331">
        <v>30.24900054931641</v>
      </c>
      <c r="D331">
        <v>30.29400062561035</v>
      </c>
      <c r="E331">
        <v>28.11599922180176</v>
      </c>
      <c r="F331">
        <v>28.1609992980957</v>
      </c>
      <c r="G331">
        <v>28.04093551635742</v>
      </c>
      <c r="H331">
        <v>598344000</v>
      </c>
      <c r="I331" t="s">
        <v>1023</v>
      </c>
      <c r="J331" t="s">
        <v>1024</v>
      </c>
      <c r="K331" t="s">
        <v>37</v>
      </c>
    </row>
    <row r="332" spans="1:11" ht="20" customHeight="1">
      <c r="A332" t="s">
        <v>22</v>
      </c>
      <c r="B332" t="s">
        <v>1025</v>
      </c>
      <c r="C332">
        <v>27.69899940490723</v>
      </c>
      <c r="D332">
        <v>28.67799949645996</v>
      </c>
      <c r="E332">
        <v>27.25</v>
      </c>
      <c r="F332">
        <v>28.33699989318848</v>
      </c>
      <c r="G332">
        <v>28.21618843078613</v>
      </c>
      <c r="H332">
        <v>667035000</v>
      </c>
      <c r="I332" t="s">
        <v>1026</v>
      </c>
      <c r="J332" t="s">
        <v>1027</v>
      </c>
      <c r="K332" t="s">
        <v>37</v>
      </c>
    </row>
    <row r="333" spans="1:11" ht="20" customHeight="1">
      <c r="A333" t="s">
        <v>22</v>
      </c>
      <c r="B333" t="s">
        <v>1028</v>
      </c>
      <c r="C333">
        <v>28.39999961853027</v>
      </c>
      <c r="D333">
        <v>30.5</v>
      </c>
      <c r="E333">
        <v>27.83799934387207</v>
      </c>
      <c r="F333">
        <v>30.45899963378906</v>
      </c>
      <c r="G333">
        <v>30.32914352416992</v>
      </c>
      <c r="H333">
        <v>698297000</v>
      </c>
      <c r="I333" t="s">
        <v>1029</v>
      </c>
      <c r="J333" t="s">
        <v>1030</v>
      </c>
      <c r="K333" t="s">
        <v>37</v>
      </c>
    </row>
    <row r="334" spans="1:11" ht="20" customHeight="1">
      <c r="A334" t="s">
        <v>22</v>
      </c>
      <c r="B334" t="s">
        <v>1031</v>
      </c>
      <c r="C334">
        <v>31.15200042724609</v>
      </c>
      <c r="D334">
        <v>31.15999984741211</v>
      </c>
      <c r="E334">
        <v>28.0930004119873</v>
      </c>
      <c r="F334">
        <v>28.38699913024902</v>
      </c>
      <c r="G334">
        <v>28.2659797668457</v>
      </c>
      <c r="H334">
        <v>707366000</v>
      </c>
      <c r="I334" t="s">
        <v>1032</v>
      </c>
      <c r="J334" t="s">
        <v>1033</v>
      </c>
      <c r="K334" t="s">
        <v>37</v>
      </c>
    </row>
    <row r="335" spans="1:11" ht="20" customHeight="1">
      <c r="A335" t="s">
        <v>22</v>
      </c>
      <c r="B335" t="s">
        <v>1034</v>
      </c>
      <c r="C335">
        <v>27.98500061035156</v>
      </c>
      <c r="D335">
        <v>28.92200088500977</v>
      </c>
      <c r="E335">
        <v>27.76000022888184</v>
      </c>
      <c r="F335">
        <v>27.80100059509277</v>
      </c>
      <c r="G335">
        <v>27.68247413635254</v>
      </c>
      <c r="H335">
        <v>713758000</v>
      </c>
      <c r="I335" t="s">
        <v>1035</v>
      </c>
      <c r="J335" t="s">
        <v>1036</v>
      </c>
      <c r="K335" t="s">
        <v>37</v>
      </c>
    </row>
    <row r="336" spans="1:11" ht="20" customHeight="1">
      <c r="A336" t="s">
        <v>22</v>
      </c>
      <c r="B336" t="s">
        <v>1037</v>
      </c>
      <c r="C336">
        <v>27.30500030517578</v>
      </c>
      <c r="D336">
        <v>28.14399909973145</v>
      </c>
      <c r="E336">
        <v>27.14500045776367</v>
      </c>
      <c r="F336">
        <v>27.7189998626709</v>
      </c>
      <c r="G336">
        <v>27.60082626342773</v>
      </c>
      <c r="H336">
        <v>461847000</v>
      </c>
      <c r="I336" t="s">
        <v>1038</v>
      </c>
      <c r="J336" t="s">
        <v>1039</v>
      </c>
      <c r="K336" t="s">
        <v>37</v>
      </c>
    </row>
    <row r="337" spans="1:11" ht="20" customHeight="1">
      <c r="A337" t="s">
        <v>22</v>
      </c>
      <c r="B337" t="s">
        <v>1040</v>
      </c>
      <c r="C337">
        <v>28.37400054931641</v>
      </c>
      <c r="D337">
        <v>29.1200008392334</v>
      </c>
      <c r="E337">
        <v>27.40099906921387</v>
      </c>
      <c r="F337">
        <v>29.07500076293945</v>
      </c>
      <c r="G337">
        <v>28.95104598999023</v>
      </c>
      <c r="H337">
        <v>524385000</v>
      </c>
      <c r="I337" t="s">
        <v>1041</v>
      </c>
      <c r="J337" t="s">
        <v>1042</v>
      </c>
      <c r="K337" t="s">
        <v>37</v>
      </c>
    </row>
    <row r="338" spans="1:11" ht="20" customHeight="1">
      <c r="A338" t="s">
        <v>22</v>
      </c>
      <c r="B338" t="s">
        <v>1043</v>
      </c>
      <c r="C338">
        <v>28.89100074768066</v>
      </c>
      <c r="D338">
        <v>29.55500030517578</v>
      </c>
      <c r="E338">
        <v>28.44899940490723</v>
      </c>
      <c r="F338">
        <v>29.39999961853027</v>
      </c>
      <c r="G338">
        <v>29.27465438842773</v>
      </c>
      <c r="H338">
        <v>395184000</v>
      </c>
      <c r="I338" t="s">
        <v>1044</v>
      </c>
      <c r="J338" t="s">
        <v>1045</v>
      </c>
      <c r="K338" t="s">
        <v>37</v>
      </c>
    </row>
    <row r="339" spans="1:11" ht="20" customHeight="1">
      <c r="A339" t="s">
        <v>22</v>
      </c>
      <c r="B339" t="s">
        <v>1046</v>
      </c>
      <c r="C339">
        <v>29.7549991607666</v>
      </c>
      <c r="D339">
        <v>30.05900001525879</v>
      </c>
      <c r="E339">
        <v>29.43099975585938</v>
      </c>
      <c r="F339">
        <v>29.63999938964844</v>
      </c>
      <c r="G339">
        <v>29.51363372802734</v>
      </c>
      <c r="H339">
        <v>343022000</v>
      </c>
      <c r="I339" t="s">
        <v>1047</v>
      </c>
      <c r="J339" t="s">
        <v>1048</v>
      </c>
      <c r="K339" t="s">
        <v>37</v>
      </c>
    </row>
    <row r="340" spans="1:11" ht="20" customHeight="1">
      <c r="A340" t="s">
        <v>22</v>
      </c>
      <c r="B340" t="s">
        <v>1049</v>
      </c>
      <c r="C340">
        <v>29.65999984741211</v>
      </c>
      <c r="D340">
        <v>31.08699989318848</v>
      </c>
      <c r="E340">
        <v>29.63999938964844</v>
      </c>
      <c r="F340">
        <v>30.94499969482422</v>
      </c>
      <c r="G340">
        <v>30.81306648254395</v>
      </c>
      <c r="H340">
        <v>403686000</v>
      </c>
      <c r="I340" t="s">
        <v>1050</v>
      </c>
      <c r="J340" t="s">
        <v>1051</v>
      </c>
      <c r="K340" t="s">
        <v>37</v>
      </c>
    </row>
    <row r="341" spans="1:11" ht="20" customHeight="1">
      <c r="A341" t="s">
        <v>22</v>
      </c>
      <c r="B341" t="s">
        <v>1052</v>
      </c>
      <c r="C341">
        <v>31.3120002746582</v>
      </c>
      <c r="D341">
        <v>31.32999992370605</v>
      </c>
      <c r="E341">
        <v>30.01199913024902</v>
      </c>
      <c r="F341">
        <v>30.32200050354004</v>
      </c>
      <c r="G341">
        <v>30.19272422790527</v>
      </c>
      <c r="H341">
        <v>420591000</v>
      </c>
      <c r="I341" t="s">
        <v>1053</v>
      </c>
      <c r="J341" t="s">
        <v>1054</v>
      </c>
      <c r="K341" t="s">
        <v>37</v>
      </c>
    </row>
    <row r="342" spans="1:11" ht="20" customHeight="1">
      <c r="A342" t="s">
        <v>22</v>
      </c>
      <c r="B342" t="s">
        <v>1055</v>
      </c>
      <c r="C342">
        <v>30.27300071716309</v>
      </c>
      <c r="D342">
        <v>30.54800033569336</v>
      </c>
      <c r="E342">
        <v>29.36599922180176</v>
      </c>
      <c r="F342">
        <v>30.00099945068359</v>
      </c>
      <c r="G342">
        <v>29.87309455871582</v>
      </c>
      <c r="H342">
        <v>343139000</v>
      </c>
      <c r="I342" t="s">
        <v>1056</v>
      </c>
      <c r="J342" t="s">
        <v>1057</v>
      </c>
      <c r="K342" t="s">
        <v>37</v>
      </c>
    </row>
    <row r="343" spans="1:11" ht="20" customHeight="1">
      <c r="A343" t="s">
        <v>22</v>
      </c>
      <c r="B343" t="s">
        <v>1058</v>
      </c>
      <c r="C343">
        <v>29.82699966430664</v>
      </c>
      <c r="D343">
        <v>30.45700073242188</v>
      </c>
      <c r="E343">
        <v>29.54000091552734</v>
      </c>
      <c r="F343">
        <v>29.58600044250488</v>
      </c>
      <c r="G343">
        <v>29.45986557006836</v>
      </c>
      <c r="H343">
        <v>308864000</v>
      </c>
      <c r="I343" t="s">
        <v>1059</v>
      </c>
      <c r="J343" t="s">
        <v>1060</v>
      </c>
      <c r="K343" t="s">
        <v>37</v>
      </c>
    </row>
    <row r="344" spans="1:11" ht="20" customHeight="1">
      <c r="A344" t="s">
        <v>22</v>
      </c>
      <c r="B344" t="s">
        <v>1061</v>
      </c>
      <c r="C344">
        <v>29.67399978637695</v>
      </c>
      <c r="D344">
        <v>30.03000068664551</v>
      </c>
      <c r="E344">
        <v>29.33099937438965</v>
      </c>
      <c r="F344">
        <v>29.4109992980957</v>
      </c>
      <c r="G344">
        <v>29.28561019897461</v>
      </c>
      <c r="H344">
        <v>266530000</v>
      </c>
      <c r="I344" t="s">
        <v>1062</v>
      </c>
      <c r="J344" t="s">
        <v>1063</v>
      </c>
      <c r="K344" t="s">
        <v>37</v>
      </c>
    </row>
    <row r="345" spans="1:11" ht="20" customHeight="1">
      <c r="A345" t="s">
        <v>22</v>
      </c>
      <c r="B345" t="s">
        <v>1064</v>
      </c>
      <c r="C345">
        <v>29.81500053405762</v>
      </c>
      <c r="D345">
        <v>30.71100044250488</v>
      </c>
      <c r="E345">
        <v>29.78499984741211</v>
      </c>
      <c r="F345">
        <v>30.12100028991699</v>
      </c>
      <c r="G345">
        <v>29.99258041381836</v>
      </c>
      <c r="H345">
        <v>391547000</v>
      </c>
      <c r="I345" t="s">
        <v>1065</v>
      </c>
      <c r="J345" t="s">
        <v>1066</v>
      </c>
      <c r="K345" t="s">
        <v>37</v>
      </c>
    </row>
    <row r="346" spans="1:11" ht="20" customHeight="1">
      <c r="A346" t="s">
        <v>22</v>
      </c>
      <c r="B346" t="s">
        <v>1067</v>
      </c>
      <c r="C346">
        <v>30.27700042724609</v>
      </c>
      <c r="D346">
        <v>30.4680004119873</v>
      </c>
      <c r="E346">
        <v>28.34900093078613</v>
      </c>
      <c r="F346">
        <v>29.29000091552734</v>
      </c>
      <c r="G346">
        <v>29.16512680053711</v>
      </c>
      <c r="H346">
        <v>527154000</v>
      </c>
      <c r="I346" t="s">
        <v>1068</v>
      </c>
      <c r="J346" t="s">
        <v>1069</v>
      </c>
      <c r="K346" t="s">
        <v>37</v>
      </c>
    </row>
    <row r="347" spans="1:11" ht="20" customHeight="1">
      <c r="A347" t="s">
        <v>22</v>
      </c>
      <c r="B347" t="s">
        <v>1070</v>
      </c>
      <c r="C347">
        <v>28.94899940490723</v>
      </c>
      <c r="D347">
        <v>29.41600036621094</v>
      </c>
      <c r="E347">
        <v>27.53300094604492</v>
      </c>
      <c r="F347">
        <v>27.60400009155273</v>
      </c>
      <c r="G347">
        <v>27.48631286621094</v>
      </c>
      <c r="H347">
        <v>498064000</v>
      </c>
      <c r="I347" t="s">
        <v>1071</v>
      </c>
      <c r="J347" t="s">
        <v>1072</v>
      </c>
      <c r="K347" t="s">
        <v>37</v>
      </c>
    </row>
    <row r="348" spans="1:11" ht="20" customHeight="1">
      <c r="A348" t="s">
        <v>22</v>
      </c>
      <c r="B348" t="s">
        <v>1073</v>
      </c>
      <c r="C348">
        <v>27.63999938964844</v>
      </c>
      <c r="D348">
        <v>28.4379997253418</v>
      </c>
      <c r="E348">
        <v>27.06500053405762</v>
      </c>
      <c r="F348">
        <v>28.17799949645996</v>
      </c>
      <c r="G348">
        <v>28.05786514282227</v>
      </c>
      <c r="H348">
        <v>454186000</v>
      </c>
      <c r="I348" t="s">
        <v>1074</v>
      </c>
      <c r="J348" t="s">
        <v>1075</v>
      </c>
      <c r="K348" t="s">
        <v>37</v>
      </c>
    </row>
    <row r="349" spans="1:11" ht="20" customHeight="1">
      <c r="A349" t="s">
        <v>22</v>
      </c>
      <c r="B349" t="s">
        <v>1076</v>
      </c>
      <c r="C349">
        <v>28.14100074768066</v>
      </c>
      <c r="D349">
        <v>28.42200088500977</v>
      </c>
      <c r="E349">
        <v>27.05699920654297</v>
      </c>
      <c r="F349">
        <v>27.24699974060059</v>
      </c>
      <c r="G349">
        <v>27.13083648681641</v>
      </c>
      <c r="H349">
        <v>409939000</v>
      </c>
      <c r="I349" t="s">
        <v>1077</v>
      </c>
      <c r="J349" t="s">
        <v>1078</v>
      </c>
      <c r="K349" t="s">
        <v>37</v>
      </c>
    </row>
    <row r="350" spans="1:11" ht="20" customHeight="1">
      <c r="A350" t="s">
        <v>22</v>
      </c>
      <c r="B350" t="s">
        <v>1079</v>
      </c>
      <c r="C350">
        <v>26.58099937438965</v>
      </c>
      <c r="D350">
        <v>27.4689998626709</v>
      </c>
      <c r="E350">
        <v>25.64399909973145</v>
      </c>
      <c r="F350">
        <v>27.39999961853027</v>
      </c>
      <c r="G350">
        <v>27.28318214416504</v>
      </c>
      <c r="H350">
        <v>594681000</v>
      </c>
      <c r="I350" t="s">
        <v>1080</v>
      </c>
      <c r="J350" t="s">
        <v>1081</v>
      </c>
      <c r="K350" t="s">
        <v>37</v>
      </c>
    </row>
    <row r="351" spans="1:11" ht="20" customHeight="1">
      <c r="A351" t="s">
        <v>22</v>
      </c>
      <c r="B351" t="s">
        <v>1082</v>
      </c>
      <c r="C351">
        <v>27.32299995422363</v>
      </c>
      <c r="D351">
        <v>28.06500053405762</v>
      </c>
      <c r="E351">
        <v>26.8390007019043</v>
      </c>
      <c r="F351">
        <v>27.8169994354248</v>
      </c>
      <c r="G351">
        <v>27.69840240478516</v>
      </c>
      <c r="H351">
        <v>404089000</v>
      </c>
      <c r="I351" t="s">
        <v>1083</v>
      </c>
      <c r="J351" t="s">
        <v>1084</v>
      </c>
      <c r="K351" t="s">
        <v>37</v>
      </c>
    </row>
    <row r="352" spans="1:11" ht="20" customHeight="1">
      <c r="A352" t="s">
        <v>22</v>
      </c>
      <c r="B352" t="s">
        <v>1085</v>
      </c>
      <c r="C352">
        <v>28.0669994354248</v>
      </c>
      <c r="D352">
        <v>28.59499931335449</v>
      </c>
      <c r="E352">
        <v>27.60799980163574</v>
      </c>
      <c r="F352">
        <v>27.99900054931641</v>
      </c>
      <c r="G352">
        <v>27.8796329498291</v>
      </c>
      <c r="H352">
        <v>383413000</v>
      </c>
      <c r="I352" t="s">
        <v>1086</v>
      </c>
      <c r="J352" t="s">
        <v>1087</v>
      </c>
      <c r="K352" t="s">
        <v>37</v>
      </c>
    </row>
    <row r="353" spans="1:11" ht="20" customHeight="1">
      <c r="A353" t="s">
        <v>22</v>
      </c>
      <c r="B353" t="s">
        <v>1088</v>
      </c>
      <c r="C353">
        <v>28.37899971008301</v>
      </c>
      <c r="D353">
        <v>28.47999954223633</v>
      </c>
      <c r="E353">
        <v>26.49799919128418</v>
      </c>
      <c r="F353">
        <v>26.57500076293945</v>
      </c>
      <c r="G353">
        <v>26.46170043945312</v>
      </c>
      <c r="H353">
        <v>540171000</v>
      </c>
      <c r="I353" t="s">
        <v>1089</v>
      </c>
      <c r="J353" t="s">
        <v>1090</v>
      </c>
      <c r="K353" t="s">
        <v>37</v>
      </c>
    </row>
    <row r="354" spans="1:11" ht="20" customHeight="1">
      <c r="A354" t="s">
        <v>22</v>
      </c>
      <c r="B354" t="s">
        <v>1091</v>
      </c>
      <c r="C354">
        <v>26.29999923706055</v>
      </c>
      <c r="D354">
        <v>27.19700050354004</v>
      </c>
      <c r="E354">
        <v>26.20999908447266</v>
      </c>
      <c r="F354">
        <v>26.9419994354248</v>
      </c>
      <c r="G354">
        <v>26.82713890075684</v>
      </c>
      <c r="H354">
        <v>395832000</v>
      </c>
      <c r="I354" t="s">
        <v>1092</v>
      </c>
      <c r="J354" t="s">
        <v>1093</v>
      </c>
      <c r="K354" t="s">
        <v>37</v>
      </c>
    </row>
    <row r="355" spans="1:11" ht="20" customHeight="1">
      <c r="A355" t="s">
        <v>22</v>
      </c>
      <c r="B355" t="s">
        <v>1094</v>
      </c>
      <c r="C355">
        <v>26.26000022888184</v>
      </c>
      <c r="D355">
        <v>26.63800048828125</v>
      </c>
      <c r="E355">
        <v>25.77000045776367</v>
      </c>
      <c r="F355">
        <v>25.90299987792969</v>
      </c>
      <c r="G355">
        <v>25.79256248474121</v>
      </c>
      <c r="H355">
        <v>424270000</v>
      </c>
      <c r="I355" t="s">
        <v>1095</v>
      </c>
      <c r="J355" t="s">
        <v>1096</v>
      </c>
      <c r="K355" t="s">
        <v>37</v>
      </c>
    </row>
    <row r="356" spans="1:11" ht="20" customHeight="1">
      <c r="A356" t="s">
        <v>22</v>
      </c>
      <c r="B356" t="s">
        <v>1097</v>
      </c>
      <c r="C356">
        <v>26.07900047302246</v>
      </c>
      <c r="D356">
        <v>26.54299926757812</v>
      </c>
      <c r="E356">
        <v>25.05200004577637</v>
      </c>
      <c r="F356">
        <v>25.0669994354248</v>
      </c>
      <c r="G356">
        <v>24.96013069152832</v>
      </c>
      <c r="H356">
        <v>488315000</v>
      </c>
      <c r="I356" t="s">
        <v>1098</v>
      </c>
      <c r="J356" t="s">
        <v>1099</v>
      </c>
      <c r="K356" t="s">
        <v>37</v>
      </c>
    </row>
    <row r="357" spans="1:11" ht="20" customHeight="1">
      <c r="A357" t="s">
        <v>22</v>
      </c>
      <c r="B357" t="s">
        <v>1100</v>
      </c>
      <c r="C357">
        <v>25.30400085449219</v>
      </c>
      <c r="D357">
        <v>25.57900047302246</v>
      </c>
      <c r="E357">
        <v>24.07799911499023</v>
      </c>
      <c r="F357">
        <v>24.14999961853027</v>
      </c>
      <c r="G357">
        <v>24.04704093933105</v>
      </c>
      <c r="H357">
        <v>435181000</v>
      </c>
      <c r="I357" t="s">
        <v>1101</v>
      </c>
      <c r="J357" t="s">
        <v>1102</v>
      </c>
      <c r="K357" t="s">
        <v>37</v>
      </c>
    </row>
    <row r="358" spans="1:11" ht="20" customHeight="1">
      <c r="A358" t="s">
        <v>22</v>
      </c>
      <c r="B358" t="s">
        <v>1103</v>
      </c>
      <c r="C358">
        <v>23.50699996948242</v>
      </c>
      <c r="D358">
        <v>24.82299995422363</v>
      </c>
      <c r="E358">
        <v>23.26300048828125</v>
      </c>
      <c r="F358">
        <v>23.37400054931641</v>
      </c>
      <c r="G358">
        <v>23.27434730529785</v>
      </c>
      <c r="H358">
        <v>718958000</v>
      </c>
      <c r="I358" t="s">
        <v>1104</v>
      </c>
      <c r="J358" t="s">
        <v>1105</v>
      </c>
      <c r="K358" t="s">
        <v>37</v>
      </c>
    </row>
    <row r="359" spans="1:11" ht="20" customHeight="1">
      <c r="A359" t="s">
        <v>22</v>
      </c>
      <c r="B359" t="s">
        <v>1106</v>
      </c>
      <c r="C359">
        <v>22.32999992370605</v>
      </c>
      <c r="D359">
        <v>23.3799991607666</v>
      </c>
      <c r="E359">
        <v>20.88800048828125</v>
      </c>
      <c r="F359">
        <v>23.37199974060059</v>
      </c>
      <c r="G359">
        <v>23.2723560333252</v>
      </c>
      <c r="H359">
        <v>913982000</v>
      </c>
      <c r="I359" t="s">
        <v>1107</v>
      </c>
      <c r="J359" t="s">
        <v>1108</v>
      </c>
      <c r="K359" t="s">
        <v>37</v>
      </c>
    </row>
    <row r="360" spans="1:11" ht="20" customHeight="1">
      <c r="A360" t="s">
        <v>22</v>
      </c>
      <c r="B360" t="s">
        <v>1109</v>
      </c>
      <c r="C360">
        <v>22.54599952697754</v>
      </c>
      <c r="D360">
        <v>22.94300079345703</v>
      </c>
      <c r="E360">
        <v>22</v>
      </c>
      <c r="F360">
        <v>22.32399940490723</v>
      </c>
      <c r="G360">
        <v>22.22882652282715</v>
      </c>
      <c r="H360">
        <v>664616000</v>
      </c>
      <c r="I360" t="s">
        <v>1110</v>
      </c>
      <c r="J360" t="s">
        <v>1111</v>
      </c>
      <c r="K360" t="s">
        <v>37</v>
      </c>
    </row>
    <row r="361" spans="1:11" ht="20" customHeight="1">
      <c r="A361" t="s">
        <v>22</v>
      </c>
      <c r="B361" t="s">
        <v>1112</v>
      </c>
      <c r="C361">
        <v>23.23999977111816</v>
      </c>
      <c r="D361">
        <v>24.05699920654297</v>
      </c>
      <c r="E361">
        <v>22.29999923706055</v>
      </c>
      <c r="F361">
        <v>22.77199935913086</v>
      </c>
      <c r="G361">
        <v>22.67491340637207</v>
      </c>
      <c r="H361">
        <v>755959000</v>
      </c>
      <c r="I361" t="s">
        <v>1113</v>
      </c>
      <c r="J361" t="s">
        <v>1114</v>
      </c>
      <c r="K361" t="s">
        <v>37</v>
      </c>
    </row>
    <row r="362" spans="1:11" ht="20" customHeight="1">
      <c r="A362" t="s">
        <v>22</v>
      </c>
      <c r="B362" t="s">
        <v>1115</v>
      </c>
      <c r="C362">
        <v>23.56800079345703</v>
      </c>
      <c r="D362">
        <v>23.9950008392334</v>
      </c>
      <c r="E362">
        <v>21.67499923706055</v>
      </c>
      <c r="F362">
        <v>21.94400024414062</v>
      </c>
      <c r="G362">
        <v>21.85044097900391</v>
      </c>
      <c r="H362">
        <v>573353000</v>
      </c>
      <c r="I362" t="s">
        <v>1116</v>
      </c>
      <c r="J362" t="s">
        <v>1117</v>
      </c>
      <c r="K362" t="s">
        <v>37</v>
      </c>
    </row>
    <row r="363" spans="1:11" ht="20" customHeight="1">
      <c r="A363" t="s">
        <v>22</v>
      </c>
      <c r="B363" t="s">
        <v>1118</v>
      </c>
      <c r="C363">
        <v>22.01199913024902</v>
      </c>
      <c r="D363">
        <v>22.85799980163574</v>
      </c>
      <c r="E363">
        <v>21.29599952697754</v>
      </c>
      <c r="F363">
        <v>22.84000015258789</v>
      </c>
      <c r="G363">
        <v>22.74262619018555</v>
      </c>
      <c r="H363">
        <v>543774000</v>
      </c>
      <c r="I363" t="s">
        <v>1119</v>
      </c>
      <c r="J363" t="s">
        <v>1120</v>
      </c>
      <c r="K363" t="s">
        <v>37</v>
      </c>
    </row>
    <row r="364" spans="1:11" ht="20" customHeight="1">
      <c r="A364" t="s">
        <v>22</v>
      </c>
      <c r="B364" t="s">
        <v>1121</v>
      </c>
      <c r="C364">
        <v>23.18199920654297</v>
      </c>
      <c r="D364">
        <v>24.50900077819824</v>
      </c>
      <c r="E364">
        <v>23.05200004577637</v>
      </c>
      <c r="F364">
        <v>24.48600006103516</v>
      </c>
      <c r="G364">
        <v>24.38160514831543</v>
      </c>
      <c r="H364">
        <v>564680000</v>
      </c>
      <c r="I364" t="s">
        <v>1122</v>
      </c>
      <c r="J364" t="s">
        <v>1123</v>
      </c>
      <c r="K364" t="s">
        <v>37</v>
      </c>
    </row>
    <row r="365" spans="1:11" ht="20" customHeight="1">
      <c r="A365" t="s">
        <v>22</v>
      </c>
      <c r="B365" t="s">
        <v>1124</v>
      </c>
      <c r="C365">
        <v>25.10400009155273</v>
      </c>
      <c r="D365">
        <v>25.14500045776367</v>
      </c>
      <c r="E365">
        <v>23.88999938964844</v>
      </c>
      <c r="F365">
        <v>24.63800048828125</v>
      </c>
      <c r="G365">
        <v>24.53296089172363</v>
      </c>
      <c r="H365">
        <v>518925000</v>
      </c>
      <c r="I365" t="s">
        <v>1125</v>
      </c>
      <c r="J365" t="s">
        <v>1126</v>
      </c>
      <c r="K365" t="s">
        <v>37</v>
      </c>
    </row>
    <row r="366" spans="1:11" ht="20" customHeight="1">
      <c r="A366" t="s">
        <v>22</v>
      </c>
      <c r="B366" t="s">
        <v>1127</v>
      </c>
      <c r="C366">
        <v>25.79400062561035</v>
      </c>
      <c r="D366">
        <v>25.8169994354248</v>
      </c>
      <c r="E366">
        <v>24.55299949645996</v>
      </c>
      <c r="F366">
        <v>25.24200057983398</v>
      </c>
      <c r="G366">
        <v>25.13438606262207</v>
      </c>
      <c r="H366">
        <v>543419000</v>
      </c>
      <c r="I366" t="s">
        <v>1128</v>
      </c>
      <c r="J366" t="s">
        <v>1129</v>
      </c>
      <c r="K366" t="s">
        <v>37</v>
      </c>
    </row>
    <row r="367" spans="1:11" ht="20" customHeight="1">
      <c r="A367" t="s">
        <v>22</v>
      </c>
      <c r="B367" t="s">
        <v>1130</v>
      </c>
      <c r="C367">
        <v>24.45800018310547</v>
      </c>
      <c r="D367">
        <v>25.07699966430664</v>
      </c>
      <c r="E367">
        <v>23.78000068664551</v>
      </c>
      <c r="F367">
        <v>23.94799995422363</v>
      </c>
      <c r="G367">
        <v>23.84589958190918</v>
      </c>
      <c r="H367">
        <v>410178000</v>
      </c>
      <c r="I367" t="s">
        <v>1131</v>
      </c>
      <c r="J367" t="s">
        <v>1132</v>
      </c>
      <c r="K367" t="s">
        <v>37</v>
      </c>
    </row>
    <row r="368" spans="1:11" ht="20" customHeight="1">
      <c r="A368" t="s">
        <v>22</v>
      </c>
      <c r="B368" t="s">
        <v>1133</v>
      </c>
      <c r="C368">
        <v>23.97200012207031</v>
      </c>
      <c r="D368">
        <v>24.63500022888184</v>
      </c>
      <c r="E368">
        <v>23.63199996948242</v>
      </c>
      <c r="F368">
        <v>24.31900024414062</v>
      </c>
      <c r="G368">
        <v>24.2153205871582</v>
      </c>
      <c r="H368">
        <v>354829000</v>
      </c>
      <c r="I368" t="s">
        <v>1134</v>
      </c>
      <c r="J368" t="s">
        <v>1135</v>
      </c>
      <c r="K368" t="s">
        <v>37</v>
      </c>
    </row>
    <row r="369" spans="1:11" ht="20" customHeight="1">
      <c r="A369" t="s">
        <v>22</v>
      </c>
      <c r="B369" t="s">
        <v>1136</v>
      </c>
      <c r="C369">
        <v>24.37199974060059</v>
      </c>
      <c r="D369">
        <v>25.18199920654297</v>
      </c>
      <c r="E369">
        <v>24.20199966430664</v>
      </c>
      <c r="F369">
        <v>24.72800064086914</v>
      </c>
      <c r="G369">
        <v>24.6225757598877</v>
      </c>
      <c r="H369">
        <v>376868000</v>
      </c>
      <c r="I369" t="s">
        <v>1137</v>
      </c>
      <c r="J369" t="s">
        <v>1138</v>
      </c>
      <c r="K369" t="s">
        <v>37</v>
      </c>
    </row>
    <row r="370" spans="1:11" ht="20" customHeight="1">
      <c r="A370" t="s">
        <v>22</v>
      </c>
      <c r="B370" t="s">
        <v>1139</v>
      </c>
      <c r="C370">
        <v>24.35899925231934</v>
      </c>
      <c r="D370">
        <v>25.22999954223633</v>
      </c>
      <c r="E370">
        <v>23.97999954223633</v>
      </c>
      <c r="F370">
        <v>25.10799980163574</v>
      </c>
      <c r="G370">
        <v>25.00095748901367</v>
      </c>
      <c r="H370">
        <v>410359000</v>
      </c>
      <c r="I370" t="s">
        <v>1140</v>
      </c>
      <c r="J370" t="s">
        <v>1141</v>
      </c>
      <c r="K370" t="s">
        <v>37</v>
      </c>
    </row>
    <row r="371" spans="1:11" ht="20" customHeight="1">
      <c r="A371" t="s">
        <v>22</v>
      </c>
      <c r="B371" t="s">
        <v>1142</v>
      </c>
      <c r="C371">
        <v>25.62199974060059</v>
      </c>
      <c r="D371">
        <v>26.72500038146973</v>
      </c>
      <c r="E371">
        <v>25.35300064086914</v>
      </c>
      <c r="F371">
        <v>26.70499992370605</v>
      </c>
      <c r="G371">
        <v>26.59114265441895</v>
      </c>
      <c r="H371">
        <v>524282000</v>
      </c>
      <c r="I371" t="s">
        <v>1143</v>
      </c>
      <c r="J371" t="s">
        <v>1144</v>
      </c>
      <c r="K371" t="s">
        <v>37</v>
      </c>
    </row>
    <row r="372" spans="1:11" ht="20" customHeight="1">
      <c r="A372" t="s">
        <v>22</v>
      </c>
      <c r="B372" t="s">
        <v>1145</v>
      </c>
      <c r="C372">
        <v>25.9950008392334</v>
      </c>
      <c r="D372">
        <v>26.92499923706055</v>
      </c>
      <c r="E372">
        <v>25.60000038146973</v>
      </c>
      <c r="F372">
        <v>25.82399940490723</v>
      </c>
      <c r="G372">
        <v>25.71390151977539</v>
      </c>
      <c r="H372">
        <v>513200000</v>
      </c>
      <c r="I372" t="s">
        <v>1146</v>
      </c>
      <c r="J372" t="s">
        <v>1147</v>
      </c>
      <c r="K372" t="s">
        <v>37</v>
      </c>
    </row>
    <row r="373" spans="1:11" ht="20" customHeight="1">
      <c r="A373" t="s">
        <v>22</v>
      </c>
      <c r="B373" t="s">
        <v>1148</v>
      </c>
      <c r="C373">
        <v>25.91600036621094</v>
      </c>
      <c r="D373">
        <v>26.15200042724609</v>
      </c>
      <c r="E373">
        <v>23.77300071716309</v>
      </c>
      <c r="F373">
        <v>23.94899940490723</v>
      </c>
      <c r="G373">
        <v>23.84689712524414</v>
      </c>
      <c r="H373">
        <v>605472000</v>
      </c>
      <c r="I373" t="s">
        <v>1149</v>
      </c>
      <c r="J373" t="s">
        <v>1150</v>
      </c>
      <c r="K373" t="s">
        <v>37</v>
      </c>
    </row>
    <row r="374" spans="1:11" ht="20" customHeight="1">
      <c r="A374" t="s">
        <v>22</v>
      </c>
      <c r="B374" t="s">
        <v>1151</v>
      </c>
      <c r="C374">
        <v>23.93400001525879</v>
      </c>
      <c r="D374">
        <v>24.875</v>
      </c>
      <c r="E374">
        <v>23.7549991607666</v>
      </c>
      <c r="F374">
        <v>24.26700019836426</v>
      </c>
      <c r="G374">
        <v>24.16353797912598</v>
      </c>
      <c r="H374">
        <v>440424000</v>
      </c>
      <c r="I374" t="s">
        <v>1152</v>
      </c>
      <c r="J374" t="s">
        <v>1153</v>
      </c>
      <c r="K374" t="s">
        <v>37</v>
      </c>
    </row>
    <row r="375" spans="1:11" ht="20" customHeight="1">
      <c r="A375" t="s">
        <v>22</v>
      </c>
      <c r="B375" t="s">
        <v>1154</v>
      </c>
      <c r="C375">
        <v>24.94899940490723</v>
      </c>
      <c r="D375">
        <v>26.54500007629395</v>
      </c>
      <c r="E375">
        <v>24.78400039672852</v>
      </c>
      <c r="F375">
        <v>26.4950008392334</v>
      </c>
      <c r="G375">
        <v>26.38204574584961</v>
      </c>
      <c r="H375">
        <v>699869000</v>
      </c>
      <c r="I375" t="s">
        <v>1155</v>
      </c>
      <c r="J375" t="s">
        <v>1156</v>
      </c>
      <c r="K375" t="s">
        <v>37</v>
      </c>
    </row>
    <row r="376" spans="1:11" ht="20" customHeight="1">
      <c r="A376" t="s">
        <v>22</v>
      </c>
      <c r="B376" t="s">
        <v>1157</v>
      </c>
      <c r="C376">
        <v>26.25900077819824</v>
      </c>
      <c r="D376">
        <v>26.58200073242188</v>
      </c>
      <c r="E376">
        <v>25.55200004577637</v>
      </c>
      <c r="F376">
        <v>26.51099967956543</v>
      </c>
      <c r="G376">
        <v>26.39797210693359</v>
      </c>
      <c r="H376">
        <v>732676000</v>
      </c>
      <c r="I376" t="s">
        <v>1158</v>
      </c>
      <c r="J376" t="s">
        <v>1159</v>
      </c>
      <c r="K376" t="s">
        <v>37</v>
      </c>
    </row>
    <row r="377" spans="1:11" ht="20" customHeight="1">
      <c r="A377" t="s">
        <v>22</v>
      </c>
      <c r="B377" t="s">
        <v>1160</v>
      </c>
      <c r="C377">
        <v>25.6299991607666</v>
      </c>
      <c r="D377">
        <v>25.78499984741211</v>
      </c>
      <c r="E377">
        <v>24.16500091552734</v>
      </c>
      <c r="F377">
        <v>24.50699996948242</v>
      </c>
      <c r="G377">
        <v>24.40251731872559</v>
      </c>
      <c r="H377">
        <v>810595000</v>
      </c>
      <c r="I377" t="s">
        <v>1161</v>
      </c>
      <c r="J377" t="s">
        <v>1162</v>
      </c>
      <c r="K377" t="s">
        <v>37</v>
      </c>
    </row>
    <row r="378" spans="1:11" ht="20" customHeight="1">
      <c r="A378" t="s">
        <v>22</v>
      </c>
      <c r="B378" t="s">
        <v>1163</v>
      </c>
      <c r="C378">
        <v>24.66799926757812</v>
      </c>
      <c r="D378">
        <v>24.98600006103516</v>
      </c>
      <c r="E378">
        <v>23.10000038146973</v>
      </c>
      <c r="F378">
        <v>23.64200019836426</v>
      </c>
      <c r="G378">
        <v>23.54119873046875</v>
      </c>
      <c r="H378">
        <v>761255000</v>
      </c>
      <c r="I378" t="s">
        <v>1164</v>
      </c>
      <c r="J378" t="s">
        <v>1165</v>
      </c>
      <c r="K378" t="s">
        <v>37</v>
      </c>
    </row>
    <row r="379" spans="1:11" ht="20" customHeight="1">
      <c r="A379" t="s">
        <v>22</v>
      </c>
      <c r="B379" t="s">
        <v>1166</v>
      </c>
      <c r="C379">
        <v>23.03499984741211</v>
      </c>
      <c r="D379">
        <v>24.06399917602539</v>
      </c>
      <c r="E379">
        <v>23</v>
      </c>
      <c r="F379">
        <v>23.38999938964844</v>
      </c>
      <c r="G379">
        <v>23.29027938842773</v>
      </c>
      <c r="H379">
        <v>633422000</v>
      </c>
      <c r="I379" t="s">
        <v>1167</v>
      </c>
      <c r="J379" t="s">
        <v>1168</v>
      </c>
      <c r="K379" t="s">
        <v>37</v>
      </c>
    </row>
    <row r="380" spans="1:11" ht="20" customHeight="1">
      <c r="A380" t="s">
        <v>22</v>
      </c>
      <c r="B380" t="s">
        <v>1169</v>
      </c>
      <c r="C380">
        <v>23.80200004577637</v>
      </c>
      <c r="D380">
        <v>24.15500068664551</v>
      </c>
      <c r="E380">
        <v>22.30100059509277</v>
      </c>
      <c r="F380">
        <v>22.38699913024902</v>
      </c>
      <c r="G380">
        <v>22.29155540466309</v>
      </c>
      <c r="H380">
        <v>566511000</v>
      </c>
      <c r="I380" t="s">
        <v>1170</v>
      </c>
      <c r="J380" t="s">
        <v>1171</v>
      </c>
      <c r="K380" t="s">
        <v>37</v>
      </c>
    </row>
    <row r="381" spans="1:11" ht="20" customHeight="1">
      <c r="A381" t="s">
        <v>22</v>
      </c>
      <c r="B381" t="s">
        <v>1172</v>
      </c>
      <c r="C381">
        <v>21.01499938964844</v>
      </c>
      <c r="D381">
        <v>23.79999923706055</v>
      </c>
      <c r="E381">
        <v>20.88999938964844</v>
      </c>
      <c r="F381">
        <v>23.74799919128418</v>
      </c>
      <c r="G381">
        <v>23.64674949645996</v>
      </c>
      <c r="H381">
        <v>735801000</v>
      </c>
      <c r="I381" t="s">
        <v>1173</v>
      </c>
      <c r="J381" t="s">
        <v>1174</v>
      </c>
      <c r="K381" t="s">
        <v>37</v>
      </c>
    </row>
    <row r="382" spans="1:11" ht="20" customHeight="1">
      <c r="A382" t="s">
        <v>22</v>
      </c>
      <c r="B382" t="s">
        <v>1175</v>
      </c>
      <c r="C382">
        <v>23.72100067138672</v>
      </c>
      <c r="D382">
        <v>24.21699905395508</v>
      </c>
      <c r="E382">
        <v>23.38100051879883</v>
      </c>
      <c r="F382">
        <v>24.1569995880127</v>
      </c>
      <c r="G382">
        <v>24.05401039123535</v>
      </c>
      <c r="H382">
        <v>528866000</v>
      </c>
      <c r="I382" t="s">
        <v>1176</v>
      </c>
      <c r="J382" t="s">
        <v>1177</v>
      </c>
      <c r="K382" t="s">
        <v>37</v>
      </c>
    </row>
    <row r="383" spans="1:11" ht="20" customHeight="1">
      <c r="A383" t="s">
        <v>22</v>
      </c>
      <c r="B383" t="s">
        <v>1178</v>
      </c>
      <c r="C383">
        <v>23.99200057983398</v>
      </c>
      <c r="D383">
        <v>24.66500091552734</v>
      </c>
      <c r="E383">
        <v>23.70700073242188</v>
      </c>
      <c r="F383">
        <v>24.38500022888184</v>
      </c>
      <c r="G383">
        <v>24.28103446960449</v>
      </c>
      <c r="H383">
        <v>477319000</v>
      </c>
      <c r="I383" t="s">
        <v>1179</v>
      </c>
      <c r="J383" t="s">
        <v>1180</v>
      </c>
      <c r="K383" t="s">
        <v>37</v>
      </c>
    </row>
    <row r="384" spans="1:11" ht="20" customHeight="1">
      <c r="A384" t="s">
        <v>22</v>
      </c>
      <c r="B384" t="s">
        <v>1181</v>
      </c>
      <c r="C384">
        <v>24.29100036621094</v>
      </c>
      <c r="D384">
        <v>24.37700080871582</v>
      </c>
      <c r="E384">
        <v>23.13199996948242</v>
      </c>
      <c r="F384">
        <v>23.47699928283691</v>
      </c>
      <c r="G384">
        <v>23.37690925598145</v>
      </c>
      <c r="H384">
        <v>412056000</v>
      </c>
      <c r="I384" t="s">
        <v>1182</v>
      </c>
      <c r="J384" t="s">
        <v>1183</v>
      </c>
      <c r="K384" t="s">
        <v>37</v>
      </c>
    </row>
    <row r="385" spans="1:11" ht="20" customHeight="1">
      <c r="A385" t="s">
        <v>22</v>
      </c>
      <c r="B385" t="s">
        <v>1184</v>
      </c>
      <c r="C385">
        <v>23.75600051879883</v>
      </c>
      <c r="D385">
        <v>24.40900039672852</v>
      </c>
      <c r="E385">
        <v>23.41500091552734</v>
      </c>
      <c r="F385">
        <v>24.21999931335449</v>
      </c>
      <c r="G385">
        <v>24.120849609375</v>
      </c>
      <c r="H385">
        <v>389642000</v>
      </c>
      <c r="I385" t="s">
        <v>1185</v>
      </c>
      <c r="J385" t="s">
        <v>1186</v>
      </c>
      <c r="K385" t="s">
        <v>37</v>
      </c>
    </row>
    <row r="386" spans="1:11" ht="20" customHeight="1">
      <c r="A386" t="s">
        <v>22</v>
      </c>
      <c r="B386" t="s">
        <v>1187</v>
      </c>
      <c r="C386">
        <v>24.26199913024902</v>
      </c>
      <c r="D386">
        <v>24.32600021362305</v>
      </c>
      <c r="E386">
        <v>23.4689998626709</v>
      </c>
      <c r="F386">
        <v>23.7140007019043</v>
      </c>
      <c r="G386">
        <v>23.61692047119141</v>
      </c>
      <c r="H386">
        <v>365095000</v>
      </c>
      <c r="I386" t="s">
        <v>1188</v>
      </c>
      <c r="J386" t="s">
        <v>1189</v>
      </c>
      <c r="K386" t="s">
        <v>37</v>
      </c>
    </row>
    <row r="387" spans="1:11" ht="20" customHeight="1">
      <c r="A387" t="s">
        <v>22</v>
      </c>
      <c r="B387" t="s">
        <v>1190</v>
      </c>
      <c r="C387">
        <v>23.38400077819824</v>
      </c>
      <c r="D387">
        <v>23.68000030517578</v>
      </c>
      <c r="E387">
        <v>22.48200035095215</v>
      </c>
      <c r="F387">
        <v>22.93600082397461</v>
      </c>
      <c r="G387">
        <v>22.84210777282715</v>
      </c>
      <c r="H387">
        <v>431415000</v>
      </c>
      <c r="I387" t="s">
        <v>1191</v>
      </c>
      <c r="J387" t="s">
        <v>1192</v>
      </c>
      <c r="K387" t="s">
        <v>37</v>
      </c>
    </row>
    <row r="388" spans="1:11" ht="20" customHeight="1">
      <c r="A388" t="s">
        <v>22</v>
      </c>
      <c r="B388" t="s">
        <v>1193</v>
      </c>
      <c r="C388">
        <v>22.8169994354248</v>
      </c>
      <c r="D388">
        <v>23.03300094604492</v>
      </c>
      <c r="E388">
        <v>21.32999992370605</v>
      </c>
      <c r="F388">
        <v>21.35199928283691</v>
      </c>
      <c r="G388">
        <v>21.26459121704102</v>
      </c>
      <c r="H388">
        <v>450821000</v>
      </c>
      <c r="I388" t="s">
        <v>1194</v>
      </c>
      <c r="J388" t="s">
        <v>1195</v>
      </c>
      <c r="K388" t="s">
        <v>37</v>
      </c>
    </row>
    <row r="389" spans="1:11" ht="20" customHeight="1">
      <c r="A389" t="s">
        <v>22</v>
      </c>
      <c r="B389" t="s">
        <v>1196</v>
      </c>
      <c r="C389">
        <v>21.30900001525879</v>
      </c>
      <c r="D389">
        <v>22.37299919128418</v>
      </c>
      <c r="E389">
        <v>20.64999961853027</v>
      </c>
      <c r="F389">
        <v>21.51399993896484</v>
      </c>
      <c r="G389">
        <v>21.42592811584473</v>
      </c>
      <c r="H389">
        <v>557467000</v>
      </c>
      <c r="I389" t="s">
        <v>1197</v>
      </c>
      <c r="J389" t="s">
        <v>1198</v>
      </c>
      <c r="K389" t="s">
        <v>37</v>
      </c>
    </row>
    <row r="390" spans="1:11" ht="20" customHeight="1">
      <c r="A390" t="s">
        <v>22</v>
      </c>
      <c r="B390" t="s">
        <v>1199</v>
      </c>
      <c r="C390">
        <v>22.38699913024902</v>
      </c>
      <c r="D390">
        <v>23.21999931335449</v>
      </c>
      <c r="E390">
        <v>22.24699974060059</v>
      </c>
      <c r="F390">
        <v>23.01399993896484</v>
      </c>
      <c r="G390">
        <v>22.91978645324707</v>
      </c>
      <c r="H390">
        <v>492742000</v>
      </c>
      <c r="I390" t="s">
        <v>1200</v>
      </c>
      <c r="J390" t="s">
        <v>1201</v>
      </c>
      <c r="K390" t="s">
        <v>37</v>
      </c>
    </row>
    <row r="391" spans="1:11" ht="20" customHeight="1">
      <c r="A391" t="s">
        <v>22</v>
      </c>
      <c r="B391" t="s">
        <v>1202</v>
      </c>
      <c r="C391">
        <v>22.5310001373291</v>
      </c>
      <c r="D391">
        <v>22.78800010681152</v>
      </c>
      <c r="E391">
        <v>21.88199996948242</v>
      </c>
      <c r="F391">
        <v>22.65800094604492</v>
      </c>
      <c r="G391">
        <v>22.56524467468262</v>
      </c>
      <c r="H391">
        <v>428066000</v>
      </c>
      <c r="I391" t="s">
        <v>1203</v>
      </c>
      <c r="J391" t="s">
        <v>1204</v>
      </c>
      <c r="K391" t="s">
        <v>37</v>
      </c>
    </row>
    <row r="392" spans="1:11" ht="20" customHeight="1">
      <c r="A392" t="s">
        <v>22</v>
      </c>
      <c r="B392" t="s">
        <v>1205</v>
      </c>
      <c r="C392">
        <v>23.02199935913086</v>
      </c>
      <c r="D392">
        <v>23.14500045776367</v>
      </c>
      <c r="E392">
        <v>22.04599952697754</v>
      </c>
      <c r="F392">
        <v>22.10000038146973</v>
      </c>
      <c r="G392">
        <v>22.00953102111816</v>
      </c>
      <c r="H392">
        <v>367209000</v>
      </c>
      <c r="I392" t="s">
        <v>1206</v>
      </c>
      <c r="J392" t="s">
        <v>1207</v>
      </c>
      <c r="K392" t="s">
        <v>37</v>
      </c>
    </row>
    <row r="393" spans="1:11" ht="20" customHeight="1">
      <c r="A393" t="s">
        <v>22</v>
      </c>
      <c r="B393" t="s">
        <v>1208</v>
      </c>
      <c r="C393">
        <v>21.86899948120117</v>
      </c>
      <c r="D393">
        <v>22.26199913024902</v>
      </c>
      <c r="E393">
        <v>21.15900039672852</v>
      </c>
      <c r="F393">
        <v>21.32999992370605</v>
      </c>
      <c r="G393">
        <v>21.24267959594727</v>
      </c>
      <c r="H393">
        <v>385354000</v>
      </c>
      <c r="I393" t="s">
        <v>1209</v>
      </c>
      <c r="J393" t="s">
        <v>1210</v>
      </c>
      <c r="K393" t="s">
        <v>37</v>
      </c>
    </row>
    <row r="394" spans="1:11" ht="20" customHeight="1">
      <c r="A394" t="s">
        <v>22</v>
      </c>
      <c r="B394" t="s">
        <v>1211</v>
      </c>
      <c r="C394">
        <v>21.51799964904785</v>
      </c>
      <c r="D394">
        <v>23.03800010681152</v>
      </c>
      <c r="E394">
        <v>21.32200050354004</v>
      </c>
      <c r="F394">
        <v>22.97299957275391</v>
      </c>
      <c r="G394">
        <v>22.87895011901855</v>
      </c>
      <c r="H394">
        <v>491996000</v>
      </c>
      <c r="I394" t="s">
        <v>1212</v>
      </c>
      <c r="J394" t="s">
        <v>1213</v>
      </c>
      <c r="K394" t="s">
        <v>37</v>
      </c>
    </row>
    <row r="395" spans="1:11" ht="20" customHeight="1">
      <c r="A395" t="s">
        <v>22</v>
      </c>
      <c r="B395" t="s">
        <v>1214</v>
      </c>
      <c r="C395">
        <v>23.5</v>
      </c>
      <c r="D395">
        <v>24.59700012207031</v>
      </c>
      <c r="E395">
        <v>23.17200088500977</v>
      </c>
      <c r="F395">
        <v>24.49600028991699</v>
      </c>
      <c r="G395">
        <v>24.39571952819824</v>
      </c>
      <c r="H395">
        <v>671422000</v>
      </c>
      <c r="I395" t="s">
        <v>1215</v>
      </c>
      <c r="J395" t="s">
        <v>1216</v>
      </c>
      <c r="K395" t="s">
        <v>37</v>
      </c>
    </row>
    <row r="396" spans="1:11" ht="20" customHeight="1">
      <c r="A396" t="s">
        <v>22</v>
      </c>
      <c r="B396" t="s">
        <v>1217</v>
      </c>
      <c r="C396">
        <v>24.1200008392334</v>
      </c>
      <c r="D396">
        <v>24.84199905395508</v>
      </c>
      <c r="E396">
        <v>23.9060001373291</v>
      </c>
      <c r="F396">
        <v>24.76600074768066</v>
      </c>
      <c r="G396">
        <v>24.66461181640625</v>
      </c>
      <c r="H396">
        <v>471941000</v>
      </c>
      <c r="I396" t="s">
        <v>1218</v>
      </c>
      <c r="J396" t="s">
        <v>1219</v>
      </c>
      <c r="K396" t="s">
        <v>37</v>
      </c>
    </row>
    <row r="397" spans="1:11" ht="20" customHeight="1">
      <c r="A397" t="s">
        <v>22</v>
      </c>
      <c r="B397" t="s">
        <v>1220</v>
      </c>
      <c r="C397">
        <v>24.79899978637695</v>
      </c>
      <c r="D397">
        <v>26.56900024414062</v>
      </c>
      <c r="E397">
        <v>24.62400054931641</v>
      </c>
      <c r="F397">
        <v>26.45299911499023</v>
      </c>
      <c r="G397">
        <v>26.34470176696777</v>
      </c>
      <c r="H397">
        <v>730719000</v>
      </c>
      <c r="I397" t="s">
        <v>1221</v>
      </c>
      <c r="J397" t="s">
        <v>1222</v>
      </c>
      <c r="K397" t="s">
        <v>37</v>
      </c>
    </row>
    <row r="398" spans="1:11" ht="20" customHeight="1">
      <c r="A398" t="s">
        <v>22</v>
      </c>
      <c r="B398" t="s">
        <v>1223</v>
      </c>
      <c r="C398">
        <v>26.50699996948242</v>
      </c>
      <c r="D398">
        <v>27.15200042724609</v>
      </c>
      <c r="E398">
        <v>25.96699905395508</v>
      </c>
      <c r="F398">
        <v>26.73399925231934</v>
      </c>
      <c r="G398">
        <v>26.62455940246582</v>
      </c>
      <c r="H398">
        <v>591727000</v>
      </c>
      <c r="I398" t="s">
        <v>1224</v>
      </c>
      <c r="J398" t="s">
        <v>1225</v>
      </c>
      <c r="K398" t="s">
        <v>37</v>
      </c>
    </row>
    <row r="399" spans="1:11" ht="20" customHeight="1">
      <c r="A399" t="s">
        <v>22</v>
      </c>
      <c r="B399" t="s">
        <v>1226</v>
      </c>
      <c r="C399">
        <v>26.72699928283691</v>
      </c>
      <c r="D399">
        <v>27.23800086975098</v>
      </c>
      <c r="E399">
        <v>26.07200050354004</v>
      </c>
      <c r="F399">
        <v>26.52400016784668</v>
      </c>
      <c r="G399">
        <v>26.4154167175293</v>
      </c>
      <c r="H399">
        <v>547007000</v>
      </c>
      <c r="I399" t="s">
        <v>1227</v>
      </c>
      <c r="J399" t="s">
        <v>1228</v>
      </c>
      <c r="K399" t="s">
        <v>37</v>
      </c>
    </row>
    <row r="400" spans="1:11" ht="20" customHeight="1">
      <c r="A400" t="s">
        <v>22</v>
      </c>
      <c r="B400" t="s">
        <v>1229</v>
      </c>
      <c r="C400">
        <v>26.12599945068359</v>
      </c>
      <c r="D400">
        <v>26.61199951171875</v>
      </c>
      <c r="E400">
        <v>25.57500076293945</v>
      </c>
      <c r="F400">
        <v>25.63400077819824</v>
      </c>
      <c r="G400">
        <v>25.52906608581543</v>
      </c>
      <c r="H400">
        <v>502120000</v>
      </c>
      <c r="I400" t="s">
        <v>1230</v>
      </c>
      <c r="J400" t="s">
        <v>1231</v>
      </c>
      <c r="K400" t="s">
        <v>37</v>
      </c>
    </row>
    <row r="401" spans="1:11" ht="20" customHeight="1">
      <c r="A401" t="s">
        <v>22</v>
      </c>
      <c r="B401" t="s">
        <v>1232</v>
      </c>
      <c r="C401">
        <v>26.16600036621094</v>
      </c>
      <c r="D401">
        <v>28.31999969482422</v>
      </c>
      <c r="E401">
        <v>25.9069995880127</v>
      </c>
      <c r="F401">
        <v>28.14999961853027</v>
      </c>
      <c r="G401">
        <v>28.03475761413574</v>
      </c>
      <c r="H401">
        <v>877379000</v>
      </c>
      <c r="I401" t="s">
        <v>1233</v>
      </c>
      <c r="J401" t="s">
        <v>1234</v>
      </c>
      <c r="K401" t="s">
        <v>37</v>
      </c>
    </row>
    <row r="402" spans="1:11" ht="20" customHeight="1">
      <c r="A402" t="s">
        <v>22</v>
      </c>
      <c r="B402" t="s">
        <v>1235</v>
      </c>
      <c r="C402">
        <v>27.88599967956543</v>
      </c>
      <c r="D402">
        <v>28.35799980163574</v>
      </c>
      <c r="E402">
        <v>27.27099990844727</v>
      </c>
      <c r="F402">
        <v>27.6919994354248</v>
      </c>
      <c r="G402">
        <v>27.57863807678223</v>
      </c>
      <c r="H402">
        <v>579016000</v>
      </c>
      <c r="I402" t="s">
        <v>1236</v>
      </c>
      <c r="J402" t="s">
        <v>1237</v>
      </c>
      <c r="K402" t="s">
        <v>37</v>
      </c>
    </row>
    <row r="403" spans="1:11" ht="20" customHeight="1">
      <c r="A403" t="s">
        <v>22</v>
      </c>
      <c r="B403" t="s">
        <v>1238</v>
      </c>
      <c r="C403">
        <v>27.75600051879883</v>
      </c>
      <c r="D403">
        <v>28.25</v>
      </c>
      <c r="E403">
        <v>27.20599937438965</v>
      </c>
      <c r="F403">
        <v>28.2189998626709</v>
      </c>
      <c r="G403">
        <v>28.10347938537598</v>
      </c>
      <c r="H403">
        <v>425494000</v>
      </c>
      <c r="I403" t="s">
        <v>1239</v>
      </c>
      <c r="J403" t="s">
        <v>1240</v>
      </c>
      <c r="K403" t="s">
        <v>37</v>
      </c>
    </row>
    <row r="404" spans="1:11" ht="20" customHeight="1">
      <c r="A404" t="s">
        <v>22</v>
      </c>
      <c r="B404" t="s">
        <v>1241</v>
      </c>
      <c r="C404">
        <v>28.69499969482422</v>
      </c>
      <c r="D404">
        <v>28.94599914550781</v>
      </c>
      <c r="E404">
        <v>27.97999954223633</v>
      </c>
      <c r="F404">
        <v>28.6560001373291</v>
      </c>
      <c r="G404">
        <v>28.53868865966797</v>
      </c>
      <c r="H404">
        <v>488984000</v>
      </c>
      <c r="I404" t="s">
        <v>1242</v>
      </c>
      <c r="J404" t="s">
        <v>1243</v>
      </c>
      <c r="K404" t="s">
        <v>37</v>
      </c>
    </row>
    <row r="405" spans="1:11" ht="20" customHeight="1">
      <c r="A405" t="s">
        <v>22</v>
      </c>
      <c r="B405" t="s">
        <v>1244</v>
      </c>
      <c r="C405">
        <v>28.30400085449219</v>
      </c>
      <c r="D405">
        <v>28.49600028991699</v>
      </c>
      <c r="E405">
        <v>27.50300025939941</v>
      </c>
      <c r="F405">
        <v>27.69000053405762</v>
      </c>
      <c r="G405">
        <v>27.5766429901123</v>
      </c>
      <c r="H405">
        <v>463487000</v>
      </c>
      <c r="I405" t="s">
        <v>1245</v>
      </c>
      <c r="J405" t="s">
        <v>1246</v>
      </c>
      <c r="K405" t="s">
        <v>37</v>
      </c>
    </row>
    <row r="406" spans="1:11" ht="20" customHeight="1">
      <c r="A406" t="s">
        <v>22</v>
      </c>
      <c r="B406" t="s">
        <v>1247</v>
      </c>
      <c r="C406">
        <v>27.7819995880127</v>
      </c>
      <c r="D406">
        <v>28.24799919128418</v>
      </c>
      <c r="E406">
        <v>27.27000045776367</v>
      </c>
      <c r="F406">
        <v>27.2859992980957</v>
      </c>
      <c r="G406">
        <v>27.1742992401123</v>
      </c>
      <c r="H406">
        <v>523440000</v>
      </c>
      <c r="I406" t="s">
        <v>1248</v>
      </c>
      <c r="J406" t="s">
        <v>1249</v>
      </c>
      <c r="K406" t="s">
        <v>37</v>
      </c>
    </row>
    <row r="407" spans="1:11" ht="20" customHeight="1">
      <c r="A407" t="s">
        <v>22</v>
      </c>
      <c r="B407" t="s">
        <v>1250</v>
      </c>
      <c r="C407">
        <v>27.375</v>
      </c>
      <c r="D407">
        <v>27.49600028991699</v>
      </c>
      <c r="E407">
        <v>26.26700019836426</v>
      </c>
      <c r="F407">
        <v>26.71199989318848</v>
      </c>
      <c r="G407">
        <v>26.6026496887207</v>
      </c>
      <c r="H407">
        <v>517235000</v>
      </c>
      <c r="I407" t="s">
        <v>1251</v>
      </c>
      <c r="J407" t="s">
        <v>1252</v>
      </c>
      <c r="K407" t="s">
        <v>37</v>
      </c>
    </row>
    <row r="408" spans="1:11" ht="20" customHeight="1">
      <c r="A408" t="s">
        <v>22</v>
      </c>
      <c r="B408" t="s">
        <v>1253</v>
      </c>
      <c r="C408">
        <v>26.72800064086914</v>
      </c>
      <c r="D408">
        <v>27.5580005645752</v>
      </c>
      <c r="E408">
        <v>26.61300086975098</v>
      </c>
      <c r="F408">
        <v>27.36000061035156</v>
      </c>
      <c r="G408">
        <v>27.24799537658691</v>
      </c>
      <c r="H408">
        <v>397120000</v>
      </c>
      <c r="I408" t="s">
        <v>1254</v>
      </c>
      <c r="J408" t="s">
        <v>1255</v>
      </c>
      <c r="K408" t="s">
        <v>37</v>
      </c>
    </row>
    <row r="409" spans="1:11" ht="20" customHeight="1">
      <c r="A409" t="s">
        <v>22</v>
      </c>
      <c r="B409" t="s">
        <v>1256</v>
      </c>
      <c r="C409">
        <v>27.25399971008301</v>
      </c>
      <c r="D409">
        <v>27.31900024414062</v>
      </c>
      <c r="E409">
        <v>25.81999969482422</v>
      </c>
      <c r="F409">
        <v>25.93099975585938</v>
      </c>
      <c r="G409">
        <v>25.82484436035156</v>
      </c>
      <c r="H409">
        <v>436615000</v>
      </c>
      <c r="I409" t="s">
        <v>1257</v>
      </c>
      <c r="J409" t="s">
        <v>1258</v>
      </c>
      <c r="K409" t="s">
        <v>37</v>
      </c>
    </row>
    <row r="410" spans="1:11" ht="20" customHeight="1">
      <c r="A410" t="s">
        <v>22</v>
      </c>
      <c r="B410" t="s">
        <v>1259</v>
      </c>
      <c r="C410">
        <v>24.93400001525879</v>
      </c>
      <c r="D410">
        <v>25.29999923706055</v>
      </c>
      <c r="E410">
        <v>24.00300025939941</v>
      </c>
      <c r="F410">
        <v>24.4069995880127</v>
      </c>
      <c r="G410">
        <v>24.30708312988281</v>
      </c>
      <c r="H410">
        <v>703833000</v>
      </c>
      <c r="I410" t="s">
        <v>1260</v>
      </c>
      <c r="J410" t="s">
        <v>1261</v>
      </c>
      <c r="K410" t="s">
        <v>37</v>
      </c>
    </row>
    <row r="411" spans="1:11" ht="20" customHeight="1">
      <c r="A411" t="s">
        <v>22</v>
      </c>
      <c r="B411" t="s">
        <v>1262</v>
      </c>
      <c r="C411">
        <v>24.44099998474121</v>
      </c>
      <c r="D411">
        <v>24.72200012207031</v>
      </c>
      <c r="E411">
        <v>23.47800064086914</v>
      </c>
      <c r="F411">
        <v>24.20800018310547</v>
      </c>
      <c r="G411">
        <v>24.10890007019043</v>
      </c>
      <c r="H411">
        <v>557992000</v>
      </c>
      <c r="I411" t="s">
        <v>1263</v>
      </c>
      <c r="J411" t="s">
        <v>1264</v>
      </c>
      <c r="K411" t="s">
        <v>37</v>
      </c>
    </row>
    <row r="412" spans="1:11" ht="20" customHeight="1">
      <c r="A412" t="s">
        <v>22</v>
      </c>
      <c r="B412" t="s">
        <v>1265</v>
      </c>
      <c r="C412">
        <v>23.91699981689453</v>
      </c>
      <c r="D412">
        <v>23.92300033569336</v>
      </c>
      <c r="E412">
        <v>23.0620002746582</v>
      </c>
      <c r="F412">
        <v>23.11899948120117</v>
      </c>
      <c r="G412">
        <v>23.02435684204102</v>
      </c>
      <c r="H412">
        <v>524781000</v>
      </c>
      <c r="I412" t="s">
        <v>1266</v>
      </c>
      <c r="J412" t="s">
        <v>1267</v>
      </c>
      <c r="K412" t="s">
        <v>37</v>
      </c>
    </row>
    <row r="413" spans="1:11" ht="20" customHeight="1">
      <c r="A413" t="s">
        <v>22</v>
      </c>
      <c r="B413" t="s">
        <v>1268</v>
      </c>
      <c r="C413">
        <v>22.2140007019043</v>
      </c>
      <c r="D413">
        <v>22.31999969482422</v>
      </c>
      <c r="E413">
        <v>21.65999984741211</v>
      </c>
      <c r="F413">
        <v>21.91699981689453</v>
      </c>
      <c r="G413">
        <v>21.82727813720703</v>
      </c>
      <c r="H413">
        <v>575207000</v>
      </c>
      <c r="I413" t="s">
        <v>1269</v>
      </c>
      <c r="J413" t="s">
        <v>1270</v>
      </c>
      <c r="K413" t="s">
        <v>37</v>
      </c>
    </row>
    <row r="414" spans="1:11" ht="20" customHeight="1">
      <c r="A414" t="s">
        <v>22</v>
      </c>
      <c r="B414" t="s">
        <v>1271</v>
      </c>
      <c r="C414">
        <v>22.53700065612793</v>
      </c>
      <c r="D414">
        <v>22.72500038146973</v>
      </c>
      <c r="E414">
        <v>21.2819995880127</v>
      </c>
      <c r="F414">
        <v>21.50399971008301</v>
      </c>
      <c r="G414">
        <v>21.41596794128418</v>
      </c>
      <c r="H414">
        <v>662258000</v>
      </c>
      <c r="I414" t="s">
        <v>1272</v>
      </c>
      <c r="J414" t="s">
        <v>1273</v>
      </c>
      <c r="K414" t="s">
        <v>37</v>
      </c>
    </row>
    <row r="415" spans="1:11" ht="20" customHeight="1">
      <c r="A415" t="s">
        <v>22</v>
      </c>
      <c r="B415" t="s">
        <v>1274</v>
      </c>
      <c r="C415">
        <v>21.72800064086914</v>
      </c>
      <c r="D415">
        <v>22.5</v>
      </c>
      <c r="E415">
        <v>21.45499992370605</v>
      </c>
      <c r="F415">
        <v>22.20299911499023</v>
      </c>
      <c r="G415">
        <v>22.11210441589355</v>
      </c>
      <c r="H415">
        <v>516943000</v>
      </c>
      <c r="I415" t="s">
        <v>1275</v>
      </c>
      <c r="J415" t="s">
        <v>1276</v>
      </c>
      <c r="K415" t="s">
        <v>37</v>
      </c>
    </row>
    <row r="416" spans="1:11" ht="20" customHeight="1">
      <c r="A416" t="s">
        <v>22</v>
      </c>
      <c r="B416" t="s">
        <v>1277</v>
      </c>
      <c r="C416">
        <v>22.5049991607666</v>
      </c>
      <c r="D416">
        <v>22.77700042724609</v>
      </c>
      <c r="E416">
        <v>21.16300010681152</v>
      </c>
      <c r="F416">
        <v>21.25799942016602</v>
      </c>
      <c r="G416">
        <v>21.17097663879395</v>
      </c>
      <c r="H416">
        <v>569097000</v>
      </c>
      <c r="I416" t="s">
        <v>1278</v>
      </c>
      <c r="J416" t="s">
        <v>1279</v>
      </c>
      <c r="K416" t="s">
        <v>37</v>
      </c>
    </row>
    <row r="417" spans="1:11" ht="20" customHeight="1">
      <c r="A417" t="s">
        <v>22</v>
      </c>
      <c r="B417" t="s">
        <v>1280</v>
      </c>
      <c r="C417">
        <v>21.20000076293945</v>
      </c>
      <c r="D417">
        <v>22.08799934387207</v>
      </c>
      <c r="E417">
        <v>21.07900047302246</v>
      </c>
      <c r="F417">
        <v>21.78300094604492</v>
      </c>
      <c r="G417">
        <v>21.69382858276367</v>
      </c>
      <c r="H417">
        <v>525701000</v>
      </c>
      <c r="I417" t="s">
        <v>1281</v>
      </c>
      <c r="J417" t="s">
        <v>1282</v>
      </c>
      <c r="K417" t="s">
        <v>37</v>
      </c>
    </row>
    <row r="418" spans="1:11" ht="20" customHeight="1">
      <c r="A418" t="s">
        <v>22</v>
      </c>
      <c r="B418" t="s">
        <v>1283</v>
      </c>
      <c r="C418">
        <v>21.71999931335449</v>
      </c>
      <c r="D418">
        <v>22.37299919128418</v>
      </c>
      <c r="E418">
        <v>21.31399917602539</v>
      </c>
      <c r="F418">
        <v>22.19799995422363</v>
      </c>
      <c r="G418">
        <v>22.10712814331055</v>
      </c>
      <c r="H418">
        <v>512781000</v>
      </c>
      <c r="I418" t="s">
        <v>1284</v>
      </c>
      <c r="J418" t="s">
        <v>1285</v>
      </c>
      <c r="K418" t="s">
        <v>37</v>
      </c>
    </row>
    <row r="419" spans="1:11" ht="20" customHeight="1">
      <c r="A419" t="s">
        <v>22</v>
      </c>
      <c r="B419" t="s">
        <v>1286</v>
      </c>
      <c r="C419">
        <v>22.51700019836426</v>
      </c>
      <c r="D419">
        <v>22.67000007629395</v>
      </c>
      <c r="E419">
        <v>21.20000076293945</v>
      </c>
      <c r="F419">
        <v>21.48200035095215</v>
      </c>
      <c r="G419">
        <v>21.39406204223633</v>
      </c>
      <c r="H419">
        <v>468974000</v>
      </c>
      <c r="I419" t="s">
        <v>1287</v>
      </c>
      <c r="J419" t="s">
        <v>1288</v>
      </c>
      <c r="K419" t="s">
        <v>37</v>
      </c>
    </row>
    <row r="420" spans="1:11" ht="20" customHeight="1">
      <c r="A420" t="s">
        <v>22</v>
      </c>
      <c r="B420" t="s">
        <v>1289</v>
      </c>
      <c r="C420">
        <v>21.70899963378906</v>
      </c>
      <c r="D420">
        <v>22.39200019836426</v>
      </c>
      <c r="E420">
        <v>20</v>
      </c>
      <c r="F420">
        <v>20.1830005645752</v>
      </c>
      <c r="G420">
        <v>20.10037612915039</v>
      </c>
      <c r="H420">
        <v>656209000</v>
      </c>
      <c r="I420" t="s">
        <v>1290</v>
      </c>
      <c r="J420" t="s">
        <v>1291</v>
      </c>
      <c r="K420" t="s">
        <v>37</v>
      </c>
    </row>
    <row r="421" spans="1:11" ht="20" customHeight="1">
      <c r="A421" t="s">
        <v>22</v>
      </c>
      <c r="B421" t="s">
        <v>1292</v>
      </c>
      <c r="C421">
        <v>20.30299949645996</v>
      </c>
      <c r="D421">
        <v>20.48600006103516</v>
      </c>
      <c r="E421">
        <v>19.5</v>
      </c>
      <c r="F421">
        <v>19.51499938964844</v>
      </c>
      <c r="G421">
        <v>19.43511009216309</v>
      </c>
      <c r="H421">
        <v>624713000</v>
      </c>
      <c r="I421" t="s">
        <v>1293</v>
      </c>
      <c r="J421" t="s">
        <v>1294</v>
      </c>
      <c r="K421" t="s">
        <v>37</v>
      </c>
    </row>
    <row r="422" spans="1:11" ht="20" customHeight="1">
      <c r="A422" t="s">
        <v>22</v>
      </c>
      <c r="B422" t="s">
        <v>1295</v>
      </c>
      <c r="C422">
        <v>19.20199966430664</v>
      </c>
      <c r="D422">
        <v>19.94499969482422</v>
      </c>
      <c r="E422">
        <v>19.09600067138672</v>
      </c>
      <c r="F422">
        <v>19.90200042724609</v>
      </c>
      <c r="G422">
        <v>19.82052612304688</v>
      </c>
      <c r="H422">
        <v>641566000</v>
      </c>
      <c r="I422" t="s">
        <v>1296</v>
      </c>
      <c r="J422" t="s">
        <v>1297</v>
      </c>
      <c r="K422" t="s">
        <v>37</v>
      </c>
    </row>
    <row r="423" spans="1:11" ht="20" customHeight="1">
      <c r="A423" t="s">
        <v>22</v>
      </c>
      <c r="B423" t="s">
        <v>1298</v>
      </c>
      <c r="C423">
        <v>19.7180004119873</v>
      </c>
      <c r="D423">
        <v>19.78800010681152</v>
      </c>
      <c r="E423">
        <v>18.67000007629395</v>
      </c>
      <c r="F423">
        <v>18.78800010681152</v>
      </c>
      <c r="G423">
        <v>18.71108436584473</v>
      </c>
      <c r="H423">
        <v>653143000</v>
      </c>
      <c r="I423" t="s">
        <v>1299</v>
      </c>
      <c r="J423" t="s">
        <v>1300</v>
      </c>
      <c r="K423" t="s">
        <v>37</v>
      </c>
    </row>
    <row r="424" spans="1:11" ht="20" customHeight="1">
      <c r="A424" t="s">
        <v>22</v>
      </c>
      <c r="B424" t="s">
        <v>1301</v>
      </c>
      <c r="C424">
        <v>18.59799957275391</v>
      </c>
      <c r="D424">
        <v>19.16699981689453</v>
      </c>
      <c r="E424">
        <v>18.29000091552734</v>
      </c>
      <c r="F424">
        <v>18.41500091552734</v>
      </c>
      <c r="G424">
        <v>18.3396110534668</v>
      </c>
      <c r="H424">
        <v>499460000</v>
      </c>
      <c r="I424" t="s">
        <v>1302</v>
      </c>
      <c r="J424" t="s">
        <v>1303</v>
      </c>
      <c r="K424" t="s">
        <v>37</v>
      </c>
    </row>
    <row r="425" spans="1:11" ht="20" customHeight="1">
      <c r="A425" t="s">
        <v>22</v>
      </c>
      <c r="B425" t="s">
        <v>1304</v>
      </c>
      <c r="C425">
        <v>18.96699905395508</v>
      </c>
      <c r="D425">
        <v>20.03700065612793</v>
      </c>
      <c r="E425">
        <v>18.48999977111816</v>
      </c>
      <c r="F425">
        <v>19.7819995880127</v>
      </c>
      <c r="G425">
        <v>19.70101737976074</v>
      </c>
      <c r="H425">
        <v>570327000</v>
      </c>
      <c r="I425" t="s">
        <v>1305</v>
      </c>
      <c r="J425" t="s">
        <v>1306</v>
      </c>
      <c r="K425" t="s">
        <v>37</v>
      </c>
    </row>
    <row r="426" spans="1:11" ht="20" customHeight="1">
      <c r="A426" t="s">
        <v>22</v>
      </c>
      <c r="B426" t="s">
        <v>1307</v>
      </c>
      <c r="C426">
        <v>19.40200042724609</v>
      </c>
      <c r="D426">
        <v>20.12800025939941</v>
      </c>
      <c r="E426">
        <v>18.51700019836426</v>
      </c>
      <c r="F426">
        <v>18.54700088500977</v>
      </c>
      <c r="G426">
        <v>18.4710807800293</v>
      </c>
      <c r="H426">
        <v>500435000</v>
      </c>
      <c r="I426" t="s">
        <v>1308</v>
      </c>
      <c r="J426" t="s">
        <v>1309</v>
      </c>
      <c r="K426" t="s">
        <v>37</v>
      </c>
    </row>
    <row r="427" spans="1:11" ht="20" customHeight="1">
      <c r="A427" t="s">
        <v>22</v>
      </c>
      <c r="B427" t="s">
        <v>1310</v>
      </c>
      <c r="C427">
        <v>18.54100036621094</v>
      </c>
      <c r="D427">
        <v>19.57399940490723</v>
      </c>
      <c r="E427">
        <v>18.39100074768066</v>
      </c>
      <c r="F427">
        <v>19.53300094604492</v>
      </c>
      <c r="G427">
        <v>19.45303726196289</v>
      </c>
      <c r="H427">
        <v>572049000</v>
      </c>
      <c r="I427" t="s">
        <v>1311</v>
      </c>
      <c r="J427" t="s">
        <v>1312</v>
      </c>
      <c r="K427" t="s">
        <v>37</v>
      </c>
    </row>
    <row r="428" spans="1:11" ht="20" customHeight="1">
      <c r="A428" t="s">
        <v>22</v>
      </c>
      <c r="B428" t="s">
        <v>1313</v>
      </c>
      <c r="C428">
        <v>19.39999961853027</v>
      </c>
      <c r="D428">
        <v>19.82500076293945</v>
      </c>
      <c r="E428">
        <v>19.13299942016602</v>
      </c>
      <c r="F428">
        <v>19.60199928283691</v>
      </c>
      <c r="G428">
        <v>19.52175140380859</v>
      </c>
      <c r="H428">
        <v>475751000</v>
      </c>
      <c r="I428" t="s">
        <v>1314</v>
      </c>
      <c r="J428" t="s">
        <v>1315</v>
      </c>
      <c r="K428" t="s">
        <v>37</v>
      </c>
    </row>
    <row r="429" spans="1:11" ht="20" customHeight="1">
      <c r="A429" t="s">
        <v>22</v>
      </c>
      <c r="B429" t="s">
        <v>1316</v>
      </c>
      <c r="C429">
        <v>19.92300033569336</v>
      </c>
      <c r="D429">
        <v>20.39999961853027</v>
      </c>
      <c r="E429">
        <v>18.75099945068359</v>
      </c>
      <c r="F429">
        <v>20.33399963378906</v>
      </c>
      <c r="G429">
        <v>20.25075721740723</v>
      </c>
      <c r="H429">
        <v>648855000</v>
      </c>
      <c r="I429" t="s">
        <v>1317</v>
      </c>
      <c r="J429" t="s">
        <v>1318</v>
      </c>
      <c r="K429" t="s">
        <v>37</v>
      </c>
    </row>
    <row r="430" spans="1:11" ht="20" customHeight="1">
      <c r="A430" t="s">
        <v>22</v>
      </c>
      <c r="B430" t="s">
        <v>1319</v>
      </c>
      <c r="C430">
        <v>19.86700057983398</v>
      </c>
      <c r="D430">
        <v>19.92499923706055</v>
      </c>
      <c r="E430">
        <v>18.5</v>
      </c>
      <c r="F430">
        <v>18.8439998626709</v>
      </c>
      <c r="G430">
        <v>18.76685905456543</v>
      </c>
      <c r="H430">
        <v>626331000</v>
      </c>
      <c r="I430" t="s">
        <v>1320</v>
      </c>
      <c r="J430" t="s">
        <v>1321</v>
      </c>
      <c r="K430" t="s">
        <v>37</v>
      </c>
    </row>
    <row r="431" spans="1:11" ht="20" customHeight="1">
      <c r="A431" t="s">
        <v>22</v>
      </c>
      <c r="B431" t="s">
        <v>1322</v>
      </c>
      <c r="C431">
        <v>18.73600006103516</v>
      </c>
      <c r="D431">
        <v>19.51199913024902</v>
      </c>
      <c r="E431">
        <v>17.98999977111816</v>
      </c>
      <c r="F431">
        <v>18.67499923706055</v>
      </c>
      <c r="G431">
        <v>18.59855079650879</v>
      </c>
      <c r="H431">
        <v>633297000</v>
      </c>
      <c r="I431" t="s">
        <v>1323</v>
      </c>
      <c r="J431" t="s">
        <v>1324</v>
      </c>
      <c r="K431" t="s">
        <v>37</v>
      </c>
    </row>
    <row r="432" spans="1:11" ht="20" customHeight="1">
      <c r="A432" t="s">
        <v>22</v>
      </c>
      <c r="B432" t="s">
        <v>1325</v>
      </c>
      <c r="C432">
        <v>18.03400039672852</v>
      </c>
      <c r="D432">
        <v>18.2549991607666</v>
      </c>
      <c r="E432">
        <v>16.82699966430664</v>
      </c>
      <c r="F432">
        <v>16.95000076293945</v>
      </c>
      <c r="G432">
        <v>16.88061141967773</v>
      </c>
      <c r="H432">
        <v>644455000</v>
      </c>
      <c r="I432" t="s">
        <v>1326</v>
      </c>
      <c r="J432" t="s">
        <v>1327</v>
      </c>
      <c r="K432" t="s">
        <v>37</v>
      </c>
    </row>
    <row r="433" spans="1:11" ht="20" customHeight="1">
      <c r="A433" t="s">
        <v>22</v>
      </c>
      <c r="B433" t="s">
        <v>1328</v>
      </c>
      <c r="C433">
        <v>17.68899917602539</v>
      </c>
      <c r="D433">
        <v>18.19799995422363</v>
      </c>
      <c r="E433">
        <v>17.02499961853027</v>
      </c>
      <c r="F433">
        <v>17.59499931335449</v>
      </c>
      <c r="G433">
        <v>17.52297019958496</v>
      </c>
      <c r="H433">
        <v>761474000</v>
      </c>
      <c r="I433" t="s">
        <v>1329</v>
      </c>
      <c r="J433" t="s">
        <v>1330</v>
      </c>
      <c r="K433" t="s">
        <v>37</v>
      </c>
    </row>
    <row r="434" spans="1:11" ht="20" customHeight="1">
      <c r="A434" t="s">
        <v>22</v>
      </c>
      <c r="B434" t="s">
        <v>1331</v>
      </c>
      <c r="C434">
        <v>17.34700012207031</v>
      </c>
      <c r="D434">
        <v>17.75300025939941</v>
      </c>
      <c r="E434">
        <v>16.56800079345703</v>
      </c>
      <c r="F434">
        <v>16.6299991607666</v>
      </c>
      <c r="G434">
        <v>16.56192016601562</v>
      </c>
      <c r="H434">
        <v>670167000</v>
      </c>
      <c r="I434" t="s">
        <v>1332</v>
      </c>
      <c r="J434" t="s">
        <v>1333</v>
      </c>
      <c r="K434" t="s">
        <v>37</v>
      </c>
    </row>
    <row r="435" spans="1:11" ht="20" customHeight="1">
      <c r="A435" t="s">
        <v>22</v>
      </c>
      <c r="B435" t="s">
        <v>1334</v>
      </c>
      <c r="C435">
        <v>16.2189998626709</v>
      </c>
      <c r="D435">
        <v>16.78800010681152</v>
      </c>
      <c r="E435">
        <v>15.56700038909912</v>
      </c>
      <c r="F435">
        <v>16.17499923706055</v>
      </c>
      <c r="G435">
        <v>16.10878562927246</v>
      </c>
      <c r="H435">
        <v>708728000</v>
      </c>
      <c r="I435" t="s">
        <v>1335</v>
      </c>
      <c r="J435" t="s">
        <v>1336</v>
      </c>
      <c r="K435" t="s">
        <v>37</v>
      </c>
    </row>
    <row r="436" spans="1:11" ht="20" customHeight="1">
      <c r="A436" t="s">
        <v>22</v>
      </c>
      <c r="B436" t="s">
        <v>1337</v>
      </c>
      <c r="C436">
        <v>16.78800010681152</v>
      </c>
      <c r="D436">
        <v>17.92799949645996</v>
      </c>
      <c r="E436">
        <v>16.5930004119873</v>
      </c>
      <c r="F436">
        <v>17.70599937438965</v>
      </c>
      <c r="G436">
        <v>17.63351631164551</v>
      </c>
      <c r="H436">
        <v>670437000</v>
      </c>
      <c r="I436" t="s">
        <v>1338</v>
      </c>
      <c r="J436" t="s">
        <v>1339</v>
      </c>
      <c r="K436" t="s">
        <v>37</v>
      </c>
    </row>
    <row r="437" spans="1:11" ht="20" customHeight="1">
      <c r="A437" t="s">
        <v>22</v>
      </c>
      <c r="B437" t="s">
        <v>1340</v>
      </c>
      <c r="C437">
        <v>17.50900077819824</v>
      </c>
      <c r="D437">
        <v>17.78800010681152</v>
      </c>
      <c r="E437">
        <v>17.10600090026855</v>
      </c>
      <c r="F437">
        <v>17.26399993896484</v>
      </c>
      <c r="G437">
        <v>17.19332695007324</v>
      </c>
      <c r="H437">
        <v>521446000</v>
      </c>
      <c r="I437" t="s">
        <v>1341</v>
      </c>
      <c r="J437" t="s">
        <v>1342</v>
      </c>
      <c r="K437" t="s">
        <v>37</v>
      </c>
    </row>
    <row r="438" spans="1:11" ht="20" customHeight="1">
      <c r="A438" t="s">
        <v>22</v>
      </c>
      <c r="B438" t="s">
        <v>1343</v>
      </c>
      <c r="C438">
        <v>18.07399940490723</v>
      </c>
      <c r="D438">
        <v>18.37100028991699</v>
      </c>
      <c r="E438">
        <v>17.63400077819824</v>
      </c>
      <c r="F438">
        <v>18.17700004577637</v>
      </c>
      <c r="G438">
        <v>18.10259056091309</v>
      </c>
      <c r="H438">
        <v>585830000</v>
      </c>
      <c r="I438" t="s">
        <v>1344</v>
      </c>
      <c r="J438" t="s">
        <v>1345</v>
      </c>
      <c r="K438" t="s">
        <v>37</v>
      </c>
    </row>
    <row r="439" spans="1:11" ht="20" customHeight="1">
      <c r="A439" t="s">
        <v>22</v>
      </c>
      <c r="B439" t="s">
        <v>1346</v>
      </c>
      <c r="C439">
        <v>17.70499992370605</v>
      </c>
      <c r="D439">
        <v>18.11800003051758</v>
      </c>
      <c r="E439">
        <v>16.86400032043457</v>
      </c>
      <c r="F439">
        <v>16.9379997253418</v>
      </c>
      <c r="G439">
        <v>16.86865997314453</v>
      </c>
      <c r="H439">
        <v>545161000</v>
      </c>
      <c r="I439" t="s">
        <v>1347</v>
      </c>
      <c r="J439" t="s">
        <v>1348</v>
      </c>
      <c r="K439" t="s">
        <v>37</v>
      </c>
    </row>
    <row r="440" spans="1:11" ht="20" customHeight="1">
      <c r="A440" t="s">
        <v>22</v>
      </c>
      <c r="B440" t="s">
        <v>1349</v>
      </c>
      <c r="C440">
        <v>16.9370002746582</v>
      </c>
      <c r="D440">
        <v>17.6870002746582</v>
      </c>
      <c r="E440">
        <v>16.73399925231934</v>
      </c>
      <c r="F440">
        <v>17.12400054931641</v>
      </c>
      <c r="G440">
        <v>17.05390167236328</v>
      </c>
      <c r="H440">
        <v>621310000</v>
      </c>
      <c r="I440" t="s">
        <v>1350</v>
      </c>
      <c r="J440" t="s">
        <v>1351</v>
      </c>
      <c r="K440" t="s">
        <v>37</v>
      </c>
    </row>
    <row r="441" spans="1:11" ht="20" customHeight="1">
      <c r="A441" t="s">
        <v>22</v>
      </c>
      <c r="B441" t="s">
        <v>1352</v>
      </c>
      <c r="C441">
        <v>17.33200073242188</v>
      </c>
      <c r="D441">
        <v>17.40999984741211</v>
      </c>
      <c r="E441">
        <v>15.75500011444092</v>
      </c>
      <c r="F441">
        <v>16.69400024414062</v>
      </c>
      <c r="G441">
        <v>16.62566184997559</v>
      </c>
      <c r="H441">
        <v>739105000</v>
      </c>
      <c r="I441" t="s">
        <v>1353</v>
      </c>
      <c r="J441" t="s">
        <v>1354</v>
      </c>
      <c r="K441" t="s">
        <v>37</v>
      </c>
    </row>
    <row r="442" spans="1:11" ht="20" customHeight="1">
      <c r="A442" t="s">
        <v>22</v>
      </c>
      <c r="B442" t="s">
        <v>1355</v>
      </c>
      <c r="C442">
        <v>16.27400016784668</v>
      </c>
      <c r="D442">
        <v>16.91500091552734</v>
      </c>
      <c r="E442">
        <v>16.17900085449219</v>
      </c>
      <c r="F442">
        <v>16.89800071716309</v>
      </c>
      <c r="G442">
        <v>16.82882499694824</v>
      </c>
      <c r="H442">
        <v>639889000</v>
      </c>
      <c r="I442" t="s">
        <v>1356</v>
      </c>
      <c r="J442" t="s">
        <v>1357</v>
      </c>
      <c r="K442" t="s">
        <v>37</v>
      </c>
    </row>
    <row r="443" spans="1:11" ht="20" customHeight="1">
      <c r="A443" t="s">
        <v>22</v>
      </c>
      <c r="B443" t="s">
        <v>1358</v>
      </c>
      <c r="C443">
        <v>16.51000022888184</v>
      </c>
      <c r="D443">
        <v>16.59700012207031</v>
      </c>
      <c r="E443">
        <v>15.77999973297119</v>
      </c>
      <c r="F443">
        <v>16.15399932861328</v>
      </c>
      <c r="G443">
        <v>16.08786773681641</v>
      </c>
      <c r="H443">
        <v>588550000</v>
      </c>
      <c r="I443" t="s">
        <v>1359</v>
      </c>
      <c r="J443" t="s">
        <v>1360</v>
      </c>
      <c r="K443" t="s">
        <v>37</v>
      </c>
    </row>
    <row r="444" spans="1:11" ht="20" customHeight="1">
      <c r="A444" t="s">
        <v>22</v>
      </c>
      <c r="B444" t="s">
        <v>1361</v>
      </c>
      <c r="C444">
        <v>16.02000045776367</v>
      </c>
      <c r="D444">
        <v>17.11100006103516</v>
      </c>
      <c r="E444">
        <v>16</v>
      </c>
      <c r="F444">
        <v>16.97500038146973</v>
      </c>
      <c r="G444">
        <v>16.90550804138184</v>
      </c>
      <c r="H444">
        <v>781132000</v>
      </c>
      <c r="I444" t="s">
        <v>1362</v>
      </c>
      <c r="J444" t="s">
        <v>1363</v>
      </c>
      <c r="K444" t="s">
        <v>37</v>
      </c>
    </row>
    <row r="445" spans="1:11" ht="20" customHeight="1">
      <c r="A445" t="s">
        <v>22</v>
      </c>
      <c r="B445" t="s">
        <v>1364</v>
      </c>
      <c r="C445">
        <v>16.0359992980957</v>
      </c>
      <c r="D445">
        <v>18.09199905395508</v>
      </c>
      <c r="E445">
        <v>16.02199935913086</v>
      </c>
      <c r="F445">
        <v>17.85099983215332</v>
      </c>
      <c r="G445">
        <v>17.77792358398438</v>
      </c>
      <c r="H445">
        <v>996575000</v>
      </c>
      <c r="I445" t="s">
        <v>1365</v>
      </c>
      <c r="J445" t="s">
        <v>1366</v>
      </c>
      <c r="K445" t="s">
        <v>37</v>
      </c>
    </row>
    <row r="446" spans="1:11" ht="20" customHeight="1">
      <c r="A446" t="s">
        <v>22</v>
      </c>
      <c r="B446" t="s">
        <v>1367</v>
      </c>
      <c r="C446">
        <v>18.18600082397461</v>
      </c>
      <c r="D446">
        <v>18.88100051879883</v>
      </c>
      <c r="E446">
        <v>18.10000038146973</v>
      </c>
      <c r="F446">
        <v>18.81100082397461</v>
      </c>
      <c r="G446">
        <v>18.73398971557617</v>
      </c>
      <c r="H446">
        <v>738379000</v>
      </c>
      <c r="I446" t="s">
        <v>1368</v>
      </c>
      <c r="J446" t="s">
        <v>1369</v>
      </c>
      <c r="K446" t="s">
        <v>37</v>
      </c>
    </row>
    <row r="447" spans="1:11" ht="20" customHeight="1">
      <c r="A447" t="s">
        <v>22</v>
      </c>
      <c r="B447" t="s">
        <v>1370</v>
      </c>
      <c r="C447">
        <v>18.97999954223633</v>
      </c>
      <c r="D447">
        <v>19.20000076293945</v>
      </c>
      <c r="E447">
        <v>18.35000038146973</v>
      </c>
      <c r="F447">
        <v>18.67200088500977</v>
      </c>
      <c r="G447">
        <v>18.59556579589844</v>
      </c>
      <c r="H447">
        <v>664100000</v>
      </c>
      <c r="I447" t="s">
        <v>1371</v>
      </c>
      <c r="J447" t="s">
        <v>1372</v>
      </c>
      <c r="K447" t="s">
        <v>37</v>
      </c>
    </row>
    <row r="448" spans="1:11" ht="20" customHeight="1">
      <c r="A448" t="s">
        <v>22</v>
      </c>
      <c r="B448" t="s">
        <v>1373</v>
      </c>
      <c r="C448">
        <v>18.72400093078613</v>
      </c>
      <c r="D448">
        <v>19.05299949645996</v>
      </c>
      <c r="E448">
        <v>18.12199974060059</v>
      </c>
      <c r="F448">
        <v>18.31999969482422</v>
      </c>
      <c r="G448">
        <v>18.24499893188477</v>
      </c>
      <c r="H448">
        <v>544514000</v>
      </c>
      <c r="I448" t="s">
        <v>1374</v>
      </c>
      <c r="J448" t="s">
        <v>1375</v>
      </c>
      <c r="K448" t="s">
        <v>37</v>
      </c>
    </row>
    <row r="449" spans="1:11" ht="20" customHeight="1">
      <c r="A449" t="s">
        <v>22</v>
      </c>
      <c r="B449" t="s">
        <v>1376</v>
      </c>
      <c r="C449">
        <v>18.29199981689453</v>
      </c>
      <c r="D449">
        <v>19.61899948120117</v>
      </c>
      <c r="E449">
        <v>18.19799995422363</v>
      </c>
      <c r="F449">
        <v>19.59199905395508</v>
      </c>
      <c r="G449">
        <v>19.51179504394531</v>
      </c>
      <c r="H449">
        <v>648656000</v>
      </c>
      <c r="I449" t="s">
        <v>1377</v>
      </c>
      <c r="J449" t="s">
        <v>1378</v>
      </c>
      <c r="K449" t="s">
        <v>37</v>
      </c>
    </row>
    <row r="450" spans="1:11" ht="20" customHeight="1">
      <c r="A450" t="s">
        <v>22</v>
      </c>
      <c r="B450" t="s">
        <v>1379</v>
      </c>
      <c r="C450">
        <v>19.08200073242188</v>
      </c>
      <c r="D450">
        <v>19.33200073242188</v>
      </c>
      <c r="E450">
        <v>18.52199935913086</v>
      </c>
      <c r="F450">
        <v>18.71999931335449</v>
      </c>
      <c r="G450">
        <v>18.64336585998535</v>
      </c>
      <c r="H450">
        <v>598779000</v>
      </c>
      <c r="I450" t="s">
        <v>1380</v>
      </c>
      <c r="J450" t="s">
        <v>1381</v>
      </c>
      <c r="K450" t="s">
        <v>37</v>
      </c>
    </row>
    <row r="451" spans="1:11" ht="20" customHeight="1">
      <c r="A451" t="s">
        <v>22</v>
      </c>
      <c r="B451" t="s">
        <v>1382</v>
      </c>
      <c r="C451">
        <v>19.13899993896484</v>
      </c>
      <c r="D451">
        <v>19.33699989318848</v>
      </c>
      <c r="E451">
        <v>18.56399917602539</v>
      </c>
      <c r="F451">
        <v>18.7859992980957</v>
      </c>
      <c r="G451">
        <v>18.70909881591797</v>
      </c>
      <c r="H451">
        <v>422406000</v>
      </c>
      <c r="I451" t="s">
        <v>1383</v>
      </c>
      <c r="J451" t="s">
        <v>1384</v>
      </c>
      <c r="K451" t="s">
        <v>37</v>
      </c>
    </row>
    <row r="452" spans="1:11" ht="20" customHeight="1">
      <c r="A452" t="s">
        <v>22</v>
      </c>
      <c r="B452" t="s">
        <v>1385</v>
      </c>
      <c r="C452">
        <v>18.47200012207031</v>
      </c>
      <c r="D452">
        <v>19</v>
      </c>
      <c r="E452">
        <v>18.1879997253418</v>
      </c>
      <c r="F452">
        <v>18.92600059509277</v>
      </c>
      <c r="G452">
        <v>18.8485221862793</v>
      </c>
      <c r="H452">
        <v>388914000</v>
      </c>
      <c r="I452" t="s">
        <v>1386</v>
      </c>
      <c r="J452" t="s">
        <v>1387</v>
      </c>
      <c r="K452" t="s">
        <v>37</v>
      </c>
    </row>
    <row r="453" spans="1:11" ht="20" customHeight="1">
      <c r="A453" t="s">
        <v>22</v>
      </c>
      <c r="B453" t="s">
        <v>1388</v>
      </c>
      <c r="C453">
        <v>18.79899978637695</v>
      </c>
      <c r="D453">
        <v>19.18000030517578</v>
      </c>
      <c r="E453">
        <v>18.53499984741211</v>
      </c>
      <c r="F453">
        <v>18.64800071716309</v>
      </c>
      <c r="G453">
        <v>18.57558441162109</v>
      </c>
      <c r="H453">
        <v>363252000</v>
      </c>
      <c r="I453" t="s">
        <v>1389</v>
      </c>
      <c r="J453" t="s">
        <v>1390</v>
      </c>
      <c r="K453" t="s">
        <v>37</v>
      </c>
    </row>
    <row r="454" spans="1:11" ht="20" customHeight="1">
      <c r="A454" t="s">
        <v>22</v>
      </c>
      <c r="B454" t="s">
        <v>1391</v>
      </c>
      <c r="C454">
        <v>18.48100090026855</v>
      </c>
      <c r="D454">
        <v>18.9330005645752</v>
      </c>
      <c r="E454">
        <v>18.04100036621094</v>
      </c>
      <c r="F454">
        <v>18.04800033569336</v>
      </c>
      <c r="G454">
        <v>17.9779167175293</v>
      </c>
      <c r="H454">
        <v>395574000</v>
      </c>
      <c r="I454" t="s">
        <v>1392</v>
      </c>
      <c r="J454" t="s">
        <v>1393</v>
      </c>
      <c r="K454" t="s">
        <v>37</v>
      </c>
    </row>
    <row r="455" spans="1:11" ht="20" customHeight="1">
      <c r="A455" t="s">
        <v>22</v>
      </c>
      <c r="B455" t="s">
        <v>1394</v>
      </c>
      <c r="C455">
        <v>17.60000038146973</v>
      </c>
      <c r="D455">
        <v>17.69700050354004</v>
      </c>
      <c r="E455">
        <v>16.86899948120117</v>
      </c>
      <c r="F455">
        <v>16.97400093078613</v>
      </c>
      <c r="G455">
        <v>16.9080867767334</v>
      </c>
      <c r="H455">
        <v>465248000</v>
      </c>
      <c r="I455" t="s">
        <v>1395</v>
      </c>
      <c r="J455" t="s">
        <v>1396</v>
      </c>
      <c r="K455" t="s">
        <v>37</v>
      </c>
    </row>
    <row r="456" spans="1:11" ht="20" customHeight="1">
      <c r="A456" t="s">
        <v>22</v>
      </c>
      <c r="B456" t="s">
        <v>1397</v>
      </c>
      <c r="C456">
        <v>16</v>
      </c>
      <c r="D456">
        <v>16.3120002746582</v>
      </c>
      <c r="E456">
        <v>15.60599994659424</v>
      </c>
      <c r="F456">
        <v>15.64700031280518</v>
      </c>
      <c r="G456">
        <v>15.58623886108398</v>
      </c>
      <c r="H456">
        <v>604153000</v>
      </c>
      <c r="I456" t="s">
        <v>1398</v>
      </c>
      <c r="J456" t="s">
        <v>1399</v>
      </c>
      <c r="K456" t="s">
        <v>37</v>
      </c>
    </row>
    <row r="457" spans="1:11" ht="20" customHeight="1">
      <c r="A457" t="s">
        <v>22</v>
      </c>
      <c r="B457" t="s">
        <v>1400</v>
      </c>
      <c r="C457">
        <v>15.73099994659424</v>
      </c>
      <c r="D457">
        <v>16.06599998474121</v>
      </c>
      <c r="E457">
        <v>15.41199970245361</v>
      </c>
      <c r="F457">
        <v>15.83600044250488</v>
      </c>
      <c r="G457">
        <v>15.77450656890869</v>
      </c>
      <c r="H457">
        <v>469680000</v>
      </c>
      <c r="I457" t="s">
        <v>1401</v>
      </c>
      <c r="J457" t="s">
        <v>1402</v>
      </c>
      <c r="K457" t="s">
        <v>37</v>
      </c>
    </row>
    <row r="458" spans="1:11" ht="20" customHeight="1">
      <c r="A458" t="s">
        <v>22</v>
      </c>
      <c r="B458" t="s">
        <v>1403</v>
      </c>
      <c r="C458">
        <v>16.09499931335449</v>
      </c>
      <c r="D458">
        <v>16.86800003051758</v>
      </c>
      <c r="E458">
        <v>15.92599964141846</v>
      </c>
      <c r="F458">
        <v>16.52700042724609</v>
      </c>
      <c r="G458">
        <v>16.46282196044922</v>
      </c>
      <c r="H458">
        <v>563936000</v>
      </c>
      <c r="I458" t="s">
        <v>1404</v>
      </c>
      <c r="J458" t="s">
        <v>1405</v>
      </c>
      <c r="K458" t="s">
        <v>37</v>
      </c>
    </row>
    <row r="459" spans="1:11" ht="20" customHeight="1">
      <c r="A459" t="s">
        <v>22</v>
      </c>
      <c r="B459" t="s">
        <v>1406</v>
      </c>
      <c r="C459">
        <v>15.85999965667725</v>
      </c>
      <c r="D459">
        <v>15.94200038909912</v>
      </c>
      <c r="E459">
        <v>15.40100002288818</v>
      </c>
      <c r="F459">
        <v>15.60099983215332</v>
      </c>
      <c r="G459">
        <v>15.54041767120361</v>
      </c>
      <c r="H459">
        <v>545749000</v>
      </c>
      <c r="I459" t="s">
        <v>1407</v>
      </c>
      <c r="J459" t="s">
        <v>1408</v>
      </c>
      <c r="K459" t="s">
        <v>37</v>
      </c>
    </row>
    <row r="460" spans="1:11" ht="20" customHeight="1">
      <c r="A460" t="s">
        <v>22</v>
      </c>
      <c r="B460" t="s">
        <v>1409</v>
      </c>
      <c r="C460">
        <v>15.64799976348877</v>
      </c>
      <c r="D460">
        <v>15.99499988555908</v>
      </c>
      <c r="E460">
        <v>15.32800006866455</v>
      </c>
      <c r="F460">
        <v>15.88000011444092</v>
      </c>
      <c r="G460">
        <v>15.81833553314209</v>
      </c>
      <c r="H460">
        <v>630334000</v>
      </c>
      <c r="I460" t="s">
        <v>1410</v>
      </c>
      <c r="J460" t="s">
        <v>1411</v>
      </c>
      <c r="K460" t="s">
        <v>37</v>
      </c>
    </row>
    <row r="461" spans="1:11" ht="20" customHeight="1">
      <c r="A461" t="s">
        <v>22</v>
      </c>
      <c r="B461" t="s">
        <v>1412</v>
      </c>
      <c r="C461">
        <v>16.47500038146973</v>
      </c>
      <c r="D461">
        <v>17.00799942016602</v>
      </c>
      <c r="E461">
        <v>16.4069995880127</v>
      </c>
      <c r="F461">
        <v>16.56599998474121</v>
      </c>
      <c r="G461">
        <v>16.50167274475098</v>
      </c>
      <c r="H461">
        <v>483089000</v>
      </c>
      <c r="I461" t="s">
        <v>1413</v>
      </c>
      <c r="J461" t="s">
        <v>1414</v>
      </c>
      <c r="K461" t="s">
        <v>37</v>
      </c>
    </row>
    <row r="462" spans="1:11" ht="20" customHeight="1">
      <c r="A462" t="s">
        <v>22</v>
      </c>
      <c r="B462" t="s">
        <v>1415</v>
      </c>
      <c r="C462">
        <v>16.22599983215332</v>
      </c>
      <c r="D462">
        <v>16.66200065612793</v>
      </c>
      <c r="E462">
        <v>16.18000030517578</v>
      </c>
      <c r="F462">
        <v>16.36000061035156</v>
      </c>
      <c r="G462">
        <v>16.29647254943848</v>
      </c>
      <c r="H462">
        <v>437135000</v>
      </c>
      <c r="I462" t="s">
        <v>1416</v>
      </c>
      <c r="J462" t="s">
        <v>1417</v>
      </c>
      <c r="K462" t="s">
        <v>37</v>
      </c>
    </row>
    <row r="463" spans="1:11" ht="20" customHeight="1">
      <c r="A463" t="s">
        <v>22</v>
      </c>
      <c r="B463" t="s">
        <v>1418</v>
      </c>
      <c r="C463">
        <v>16.51899909973145</v>
      </c>
      <c r="D463">
        <v>16.58499908447266</v>
      </c>
      <c r="E463">
        <v>15.85299968719482</v>
      </c>
      <c r="F463">
        <v>16.22500038146973</v>
      </c>
      <c r="G463">
        <v>16.16199111938477</v>
      </c>
      <c r="H463">
        <v>463680000</v>
      </c>
      <c r="I463" t="s">
        <v>1419</v>
      </c>
      <c r="J463" t="s">
        <v>1420</v>
      </c>
      <c r="K463" t="s">
        <v>37</v>
      </c>
    </row>
    <row r="464" spans="1:11" ht="20" customHeight="1">
      <c r="A464" t="s">
        <v>22</v>
      </c>
      <c r="B464" t="s">
        <v>1421</v>
      </c>
      <c r="C464">
        <v>16.5</v>
      </c>
      <c r="D464">
        <v>17.13999938964844</v>
      </c>
      <c r="E464">
        <v>16.30999946594238</v>
      </c>
      <c r="F464">
        <v>17.12599945068359</v>
      </c>
      <c r="G464">
        <v>17.05949783325195</v>
      </c>
      <c r="H464">
        <v>472153000</v>
      </c>
      <c r="I464" t="s">
        <v>1422</v>
      </c>
      <c r="J464" t="s">
        <v>1423</v>
      </c>
      <c r="K464" t="s">
        <v>37</v>
      </c>
    </row>
    <row r="465" spans="1:11" ht="20" customHeight="1">
      <c r="A465" t="s">
        <v>22</v>
      </c>
      <c r="B465" t="s">
        <v>1424</v>
      </c>
      <c r="C465">
        <v>17.3120002746582</v>
      </c>
      <c r="D465">
        <v>17.32999992370605</v>
      </c>
      <c r="E465">
        <v>16.62599945068359</v>
      </c>
      <c r="F465">
        <v>16.86899948120117</v>
      </c>
      <c r="G465">
        <v>16.80349159240723</v>
      </c>
      <c r="H465">
        <v>427968000</v>
      </c>
      <c r="I465" t="s">
        <v>1425</v>
      </c>
      <c r="J465" t="s">
        <v>1426</v>
      </c>
      <c r="K465" t="s">
        <v>37</v>
      </c>
    </row>
    <row r="466" spans="1:11" ht="20" customHeight="1">
      <c r="A466" t="s">
        <v>22</v>
      </c>
      <c r="B466" t="s">
        <v>1427</v>
      </c>
      <c r="C466">
        <v>16.89999961853027</v>
      </c>
      <c r="D466">
        <v>17.20199966430664</v>
      </c>
      <c r="E466">
        <v>15.94499969482422</v>
      </c>
      <c r="F466">
        <v>15.98200035095215</v>
      </c>
      <c r="G466">
        <v>15.9199390411377</v>
      </c>
      <c r="H466">
        <v>461149000</v>
      </c>
      <c r="I466" t="s">
        <v>1428</v>
      </c>
      <c r="J466" t="s">
        <v>1429</v>
      </c>
      <c r="K466" t="s">
        <v>37</v>
      </c>
    </row>
    <row r="467" spans="1:11" ht="20" customHeight="1">
      <c r="A467" t="s">
        <v>22</v>
      </c>
      <c r="B467" t="s">
        <v>1430</v>
      </c>
      <c r="C467">
        <v>15.81400012969971</v>
      </c>
      <c r="D467">
        <v>15.81999969482422</v>
      </c>
      <c r="E467">
        <v>15.17000007629395</v>
      </c>
      <c r="F467">
        <v>15.54199981689453</v>
      </c>
      <c r="G467">
        <v>15.48164844512939</v>
      </c>
      <c r="H467">
        <v>482352000</v>
      </c>
      <c r="I467" t="s">
        <v>1431</v>
      </c>
      <c r="J467" t="s">
        <v>1432</v>
      </c>
      <c r="K467" t="s">
        <v>37</v>
      </c>
    </row>
    <row r="468" spans="1:11" ht="20" customHeight="1">
      <c r="A468" t="s">
        <v>22</v>
      </c>
      <c r="B468" t="s">
        <v>1433</v>
      </c>
      <c r="C468">
        <v>15.36100006103516</v>
      </c>
      <c r="D468">
        <v>15.56700038909912</v>
      </c>
      <c r="E468">
        <v>14.86200046539307</v>
      </c>
      <c r="F468">
        <v>15.15900039672852</v>
      </c>
      <c r="G468">
        <v>15.10013389587402</v>
      </c>
      <c r="H468">
        <v>686070000</v>
      </c>
      <c r="I468" t="s">
        <v>1434</v>
      </c>
      <c r="J468" t="s">
        <v>1435</v>
      </c>
      <c r="K468" t="s">
        <v>37</v>
      </c>
    </row>
    <row r="469" spans="1:11" ht="20" customHeight="1">
      <c r="A469" t="s">
        <v>22</v>
      </c>
      <c r="B469" t="s">
        <v>1436</v>
      </c>
      <c r="C469">
        <v>14.89900016784668</v>
      </c>
      <c r="D469">
        <v>15.0629997253418</v>
      </c>
      <c r="E469">
        <v>14.39200019836426</v>
      </c>
      <c r="F469">
        <v>14.52299976348877</v>
      </c>
      <c r="G469">
        <v>14.46660423278809</v>
      </c>
      <c r="H469">
        <v>577610000</v>
      </c>
      <c r="I469" t="s">
        <v>1437</v>
      </c>
      <c r="J469" t="s">
        <v>1438</v>
      </c>
      <c r="K469" t="s">
        <v>37</v>
      </c>
    </row>
    <row r="470" spans="1:11" ht="20" customHeight="1">
      <c r="A470" t="s">
        <v>22</v>
      </c>
      <c r="B470" t="s">
        <v>1439</v>
      </c>
      <c r="C470">
        <v>14.17500019073486</v>
      </c>
      <c r="D470">
        <v>14.9709997177124</v>
      </c>
      <c r="E470">
        <v>14.05500030517578</v>
      </c>
      <c r="F470">
        <v>14.96399974822998</v>
      </c>
      <c r="G470">
        <v>14.90589237213135</v>
      </c>
      <c r="H470">
        <v>651397000</v>
      </c>
      <c r="I470" t="s">
        <v>1440</v>
      </c>
      <c r="J470" t="s">
        <v>1441</v>
      </c>
      <c r="K470" t="s">
        <v>37</v>
      </c>
    </row>
    <row r="471" spans="1:11" ht="20" customHeight="1">
      <c r="A471" t="s">
        <v>22</v>
      </c>
      <c r="B471" t="s">
        <v>1442</v>
      </c>
      <c r="C471">
        <v>15.01000022888184</v>
      </c>
      <c r="D471">
        <v>15.31900024414062</v>
      </c>
      <c r="E471">
        <v>14.78899955749512</v>
      </c>
      <c r="F471">
        <v>15.13000011444092</v>
      </c>
      <c r="G471">
        <v>15.07124805450439</v>
      </c>
      <c r="H471">
        <v>529066000</v>
      </c>
      <c r="I471" t="s">
        <v>1443</v>
      </c>
      <c r="J471" t="s">
        <v>1444</v>
      </c>
      <c r="K471" t="s">
        <v>37</v>
      </c>
    </row>
    <row r="472" spans="1:11" ht="20" customHeight="1">
      <c r="A472" t="s">
        <v>22</v>
      </c>
      <c r="B472" t="s">
        <v>1445</v>
      </c>
      <c r="C472">
        <v>15.45600032806396</v>
      </c>
      <c r="D472">
        <v>15.94499969482422</v>
      </c>
      <c r="E472">
        <v>15.38899993896484</v>
      </c>
      <c r="F472">
        <v>15.85799980163574</v>
      </c>
      <c r="G472">
        <v>15.79642105102539</v>
      </c>
      <c r="H472">
        <v>492903000</v>
      </c>
      <c r="I472" t="s">
        <v>1446</v>
      </c>
      <c r="J472" t="s">
        <v>1447</v>
      </c>
      <c r="K472" t="s">
        <v>37</v>
      </c>
    </row>
    <row r="473" spans="1:11" ht="20" customHeight="1">
      <c r="A473" t="s">
        <v>22</v>
      </c>
      <c r="B473" t="s">
        <v>1448</v>
      </c>
      <c r="C473">
        <v>15.43000030517578</v>
      </c>
      <c r="D473">
        <v>16.03700065612793</v>
      </c>
      <c r="E473">
        <v>15.38899993896484</v>
      </c>
      <c r="F473">
        <v>15.83800029754639</v>
      </c>
      <c r="G473">
        <v>15.77649879455566</v>
      </c>
      <c r="H473">
        <v>467972000</v>
      </c>
      <c r="I473" t="s">
        <v>1449</v>
      </c>
      <c r="J473" t="s">
        <v>1450</v>
      </c>
      <c r="K473" t="s">
        <v>37</v>
      </c>
    </row>
    <row r="474" spans="1:11" ht="20" customHeight="1">
      <c r="A474" t="s">
        <v>22</v>
      </c>
      <c r="B474" t="s">
        <v>1451</v>
      </c>
      <c r="C474">
        <v>15.52600002288818</v>
      </c>
      <c r="D474">
        <v>15.52700042724609</v>
      </c>
      <c r="E474">
        <v>15.03800010681152</v>
      </c>
      <c r="F474">
        <v>15.15200042724609</v>
      </c>
      <c r="G474">
        <v>15.09316349029541</v>
      </c>
      <c r="H474">
        <v>437321000</v>
      </c>
      <c r="I474" t="s">
        <v>1452</v>
      </c>
      <c r="J474" t="s">
        <v>1453</v>
      </c>
      <c r="K474" t="s">
        <v>37</v>
      </c>
    </row>
    <row r="475" spans="1:11" ht="20" customHeight="1">
      <c r="A475" t="s">
        <v>22</v>
      </c>
      <c r="B475" t="s">
        <v>1454</v>
      </c>
      <c r="C475">
        <v>15.26799964904785</v>
      </c>
      <c r="D475">
        <v>15.43099975585938</v>
      </c>
      <c r="E475">
        <v>14.8769998550415</v>
      </c>
      <c r="F475">
        <v>15.08199977874756</v>
      </c>
      <c r="G475">
        <v>15.02343273162842</v>
      </c>
      <c r="H475">
        <v>458483000</v>
      </c>
      <c r="I475" t="s">
        <v>1455</v>
      </c>
      <c r="J475" t="s">
        <v>1456</v>
      </c>
      <c r="K475" t="s">
        <v>37</v>
      </c>
    </row>
    <row r="476" spans="1:11" ht="20" customHeight="1">
      <c r="A476" t="s">
        <v>22</v>
      </c>
      <c r="B476" t="s">
        <v>1457</v>
      </c>
      <c r="C476">
        <v>14.59000015258789</v>
      </c>
      <c r="D476">
        <v>15.375</v>
      </c>
      <c r="E476">
        <v>14.46500015258789</v>
      </c>
      <c r="F476">
        <v>15.16399955749512</v>
      </c>
      <c r="G476">
        <v>15.10511493682861</v>
      </c>
      <c r="H476">
        <v>521918000</v>
      </c>
      <c r="I476" t="s">
        <v>1458</v>
      </c>
      <c r="J476" t="s">
        <v>1459</v>
      </c>
      <c r="K476" t="s">
        <v>37</v>
      </c>
    </row>
    <row r="477" spans="1:11" ht="20" customHeight="1">
      <c r="A477" t="s">
        <v>22</v>
      </c>
      <c r="B477" t="s">
        <v>1460</v>
      </c>
      <c r="C477">
        <v>15.10799980163574</v>
      </c>
      <c r="D477">
        <v>15.47299957275391</v>
      </c>
      <c r="E477">
        <v>14.72799968719482</v>
      </c>
      <c r="F477">
        <v>15.37199974060059</v>
      </c>
      <c r="G477">
        <v>15.31230640411377</v>
      </c>
      <c r="H477">
        <v>456235000</v>
      </c>
      <c r="I477" t="s">
        <v>1461</v>
      </c>
      <c r="J477" t="s">
        <v>1462</v>
      </c>
      <c r="K477" t="s">
        <v>37</v>
      </c>
    </row>
    <row r="478" spans="1:11" ht="20" customHeight="1">
      <c r="A478" t="s">
        <v>22</v>
      </c>
      <c r="B478" t="s">
        <v>1463</v>
      </c>
      <c r="C478">
        <v>15.65900039672852</v>
      </c>
      <c r="D478">
        <v>15.7819995880127</v>
      </c>
      <c r="E478">
        <v>15.44499969482422</v>
      </c>
      <c r="F478">
        <v>15.76200008392334</v>
      </c>
      <c r="G478">
        <v>15.7007942199707</v>
      </c>
      <c r="H478">
        <v>385935000</v>
      </c>
      <c r="I478" t="s">
        <v>1464</v>
      </c>
      <c r="J478" t="s">
        <v>1465</v>
      </c>
      <c r="K478" t="s">
        <v>37</v>
      </c>
    </row>
    <row r="479" spans="1:11" ht="20" customHeight="1">
      <c r="A479" t="s">
        <v>22</v>
      </c>
      <c r="B479" t="s">
        <v>1466</v>
      </c>
      <c r="C479">
        <v>16.30200004577637</v>
      </c>
      <c r="D479">
        <v>16.89699935913086</v>
      </c>
      <c r="E479">
        <v>16.00200080871582</v>
      </c>
      <c r="F479">
        <v>16.10099983215332</v>
      </c>
      <c r="G479">
        <v>16.03847694396973</v>
      </c>
      <c r="H479">
        <v>670517000</v>
      </c>
      <c r="I479" t="s">
        <v>1467</v>
      </c>
      <c r="J479" t="s">
        <v>1468</v>
      </c>
      <c r="K479" t="s">
        <v>37</v>
      </c>
    </row>
    <row r="480" spans="1:11" ht="20" customHeight="1">
      <c r="A480" t="s">
        <v>22</v>
      </c>
      <c r="B480" t="s">
        <v>1469</v>
      </c>
      <c r="C480">
        <v>16.48600006103516</v>
      </c>
      <c r="D480">
        <v>17.11000061035156</v>
      </c>
      <c r="E480">
        <v>16.17200088500977</v>
      </c>
      <c r="F480">
        <v>16.99200057983398</v>
      </c>
      <c r="G480">
        <v>16.92601776123047</v>
      </c>
      <c r="H480">
        <v>702366000</v>
      </c>
      <c r="I480" t="s">
        <v>1470</v>
      </c>
      <c r="J480" t="s">
        <v>1471</v>
      </c>
      <c r="K480" t="s">
        <v>37</v>
      </c>
    </row>
    <row r="481" spans="1:11" ht="20" customHeight="1">
      <c r="A481" t="s">
        <v>22</v>
      </c>
      <c r="B481" t="s">
        <v>1472</v>
      </c>
      <c r="C481">
        <v>16.94700050354004</v>
      </c>
      <c r="D481">
        <v>17.9330005645752</v>
      </c>
      <c r="E481">
        <v>16.80100059509277</v>
      </c>
      <c r="F481">
        <v>17.80699920654297</v>
      </c>
      <c r="G481">
        <v>17.73785209655762</v>
      </c>
      <c r="H481">
        <v>760538000</v>
      </c>
      <c r="I481" t="s">
        <v>1473</v>
      </c>
      <c r="J481" t="s">
        <v>1474</v>
      </c>
      <c r="K481" t="s">
        <v>37</v>
      </c>
    </row>
    <row r="482" spans="1:11" ht="20" customHeight="1">
      <c r="A482" t="s">
        <v>22</v>
      </c>
      <c r="B482" t="s">
        <v>1475</v>
      </c>
      <c r="C482">
        <v>17.88500022888184</v>
      </c>
      <c r="D482">
        <v>18.14399909973145</v>
      </c>
      <c r="E482">
        <v>17.54500007629395</v>
      </c>
      <c r="F482">
        <v>18.04999923706055</v>
      </c>
      <c r="G482">
        <v>17.97990417480469</v>
      </c>
      <c r="H482">
        <v>557049000</v>
      </c>
      <c r="I482" t="s">
        <v>1476</v>
      </c>
      <c r="J482" t="s">
        <v>1477</v>
      </c>
      <c r="K482" t="s">
        <v>37</v>
      </c>
    </row>
    <row r="483" spans="1:11" ht="20" customHeight="1">
      <c r="A483" t="s">
        <v>22</v>
      </c>
      <c r="B483" t="s">
        <v>1478</v>
      </c>
      <c r="C483">
        <v>17.89299964904785</v>
      </c>
      <c r="D483">
        <v>17.96699905395508</v>
      </c>
      <c r="E483">
        <v>17.13699913024902</v>
      </c>
      <c r="F483">
        <v>17.31900024414062</v>
      </c>
      <c r="G483">
        <v>17.25174522399902</v>
      </c>
      <c r="H483">
        <v>536671000</v>
      </c>
      <c r="I483" t="s">
        <v>1479</v>
      </c>
      <c r="J483" t="s">
        <v>1480</v>
      </c>
      <c r="K483" t="s">
        <v>37</v>
      </c>
    </row>
    <row r="484" spans="1:11" ht="20" customHeight="1">
      <c r="A484" t="s">
        <v>22</v>
      </c>
      <c r="B484" t="s">
        <v>1481</v>
      </c>
      <c r="C484">
        <v>17.01899909973145</v>
      </c>
      <c r="D484">
        <v>17.12400054931641</v>
      </c>
      <c r="E484">
        <v>16.64900016784668</v>
      </c>
      <c r="F484">
        <v>17.02400016784668</v>
      </c>
      <c r="G484">
        <v>16.95789337158203</v>
      </c>
      <c r="H484">
        <v>480748000</v>
      </c>
      <c r="I484" t="s">
        <v>1482</v>
      </c>
      <c r="J484" t="s">
        <v>1483</v>
      </c>
      <c r="K484" t="s">
        <v>37</v>
      </c>
    </row>
    <row r="485" spans="1:11" ht="20" customHeight="1">
      <c r="A485" t="s">
        <v>22</v>
      </c>
      <c r="B485" t="s">
        <v>1484</v>
      </c>
      <c r="C485">
        <v>16.88899993896484</v>
      </c>
      <c r="D485">
        <v>16.91900062561035</v>
      </c>
      <c r="E485">
        <v>16.47800064086914</v>
      </c>
      <c r="F485">
        <v>16.53300094604492</v>
      </c>
      <c r="G485">
        <v>16.46879959106445</v>
      </c>
      <c r="H485">
        <v>397865000</v>
      </c>
      <c r="I485" t="s">
        <v>1485</v>
      </c>
      <c r="J485" t="s">
        <v>1486</v>
      </c>
      <c r="K485" t="s">
        <v>37</v>
      </c>
    </row>
    <row r="486" spans="1:11" ht="20" customHeight="1">
      <c r="A486" t="s">
        <v>22</v>
      </c>
      <c r="B486" t="s">
        <v>1487</v>
      </c>
      <c r="C486">
        <v>17.0319995880127</v>
      </c>
      <c r="D486">
        <v>17.93600082397461</v>
      </c>
      <c r="E486">
        <v>16.91300010681152</v>
      </c>
      <c r="F486">
        <v>17.79000091552734</v>
      </c>
      <c r="G486">
        <v>17.72091674804688</v>
      </c>
      <c r="H486">
        <v>569776000</v>
      </c>
      <c r="I486" t="s">
        <v>1488</v>
      </c>
      <c r="J486" t="s">
        <v>1489</v>
      </c>
      <c r="K486" t="s">
        <v>37</v>
      </c>
    </row>
    <row r="487" spans="1:11" ht="20" customHeight="1">
      <c r="A487" t="s">
        <v>22</v>
      </c>
      <c r="B487" t="s">
        <v>1490</v>
      </c>
      <c r="C487">
        <v>17.97500038146973</v>
      </c>
      <c r="D487">
        <v>18.13999938964844</v>
      </c>
      <c r="E487">
        <v>17.44000053405762</v>
      </c>
      <c r="F487">
        <v>17.98399925231934</v>
      </c>
      <c r="G487">
        <v>17.9141674041748</v>
      </c>
      <c r="H487">
        <v>474646000</v>
      </c>
      <c r="I487" t="s">
        <v>1491</v>
      </c>
      <c r="J487" t="s">
        <v>1492</v>
      </c>
      <c r="K487" t="s">
        <v>37</v>
      </c>
    </row>
    <row r="488" spans="1:11" ht="20" customHeight="1">
      <c r="A488" t="s">
        <v>22</v>
      </c>
      <c r="B488" t="s">
        <v>1493</v>
      </c>
      <c r="C488">
        <v>17.8129997253418</v>
      </c>
      <c r="D488">
        <v>18.24399948120117</v>
      </c>
      <c r="E488">
        <v>17.6919994354248</v>
      </c>
      <c r="F488">
        <v>18.16300010681152</v>
      </c>
      <c r="G488">
        <v>18.09246826171875</v>
      </c>
      <c r="H488">
        <v>435460000</v>
      </c>
      <c r="I488" t="s">
        <v>1494</v>
      </c>
      <c r="J488" t="s">
        <v>1495</v>
      </c>
      <c r="K488" t="s">
        <v>37</v>
      </c>
    </row>
    <row r="489" spans="1:11" ht="20" customHeight="1">
      <c r="A489" t="s">
        <v>22</v>
      </c>
      <c r="B489" t="s">
        <v>1496</v>
      </c>
      <c r="C489">
        <v>18.18199920654297</v>
      </c>
      <c r="D489">
        <v>18.84600067138672</v>
      </c>
      <c r="E489">
        <v>17.98999977111816</v>
      </c>
      <c r="F489">
        <v>18.44099998474121</v>
      </c>
      <c r="G489">
        <v>18.3693904876709</v>
      </c>
      <c r="H489">
        <v>476469000</v>
      </c>
      <c r="I489" t="s">
        <v>1497</v>
      </c>
      <c r="J489" t="s">
        <v>1498</v>
      </c>
      <c r="K489" t="s">
        <v>37</v>
      </c>
    </row>
    <row r="490" spans="1:11" ht="20" customHeight="1">
      <c r="A490" t="s">
        <v>22</v>
      </c>
      <c r="B490" t="s">
        <v>1499</v>
      </c>
      <c r="C490">
        <v>18.12199974060059</v>
      </c>
      <c r="D490">
        <v>18.9379997253418</v>
      </c>
      <c r="E490">
        <v>18.09199905395508</v>
      </c>
      <c r="F490">
        <v>18.52599906921387</v>
      </c>
      <c r="G490">
        <v>18.45405578613281</v>
      </c>
      <c r="H490">
        <v>489527000</v>
      </c>
      <c r="I490" t="s">
        <v>1500</v>
      </c>
      <c r="J490" t="s">
        <v>1501</v>
      </c>
      <c r="K490" t="s">
        <v>37</v>
      </c>
    </row>
    <row r="491" spans="1:11" ht="20" customHeight="1">
      <c r="A491" t="s">
        <v>22</v>
      </c>
      <c r="B491" t="s">
        <v>1502</v>
      </c>
      <c r="C491">
        <v>18.18400001525879</v>
      </c>
      <c r="D491">
        <v>18.9680004119873</v>
      </c>
      <c r="E491">
        <v>18.13699913024902</v>
      </c>
      <c r="F491">
        <v>18.89299964904785</v>
      </c>
      <c r="G491">
        <v>18.81963539123535</v>
      </c>
      <c r="H491">
        <v>418146000</v>
      </c>
      <c r="I491" t="s">
        <v>1503</v>
      </c>
      <c r="J491" t="s">
        <v>1504</v>
      </c>
      <c r="K491" t="s">
        <v>37</v>
      </c>
    </row>
    <row r="492" spans="1:11" ht="20" customHeight="1">
      <c r="A492" t="s">
        <v>22</v>
      </c>
      <c r="B492" t="s">
        <v>1505</v>
      </c>
      <c r="C492">
        <v>18.84900093078613</v>
      </c>
      <c r="D492">
        <v>19.27400016784668</v>
      </c>
      <c r="E492">
        <v>18.76000022888184</v>
      </c>
      <c r="F492">
        <v>19.21500015258789</v>
      </c>
      <c r="G492">
        <v>19.1403865814209</v>
      </c>
      <c r="H492">
        <v>409652000</v>
      </c>
      <c r="I492" t="s">
        <v>1506</v>
      </c>
      <c r="J492" t="s">
        <v>1507</v>
      </c>
      <c r="K492" t="s">
        <v>37</v>
      </c>
    </row>
    <row r="493" spans="1:11" ht="20" customHeight="1">
      <c r="A493" t="s">
        <v>22</v>
      </c>
      <c r="B493" t="s">
        <v>1508</v>
      </c>
      <c r="C493">
        <v>18.80999946594238</v>
      </c>
      <c r="D493">
        <v>19.22900009155273</v>
      </c>
      <c r="E493">
        <v>18.66600036621094</v>
      </c>
      <c r="F493">
        <v>18.98900032043457</v>
      </c>
      <c r="G493">
        <v>18.91526412963867</v>
      </c>
      <c r="H493">
        <v>386068000</v>
      </c>
      <c r="I493" t="s">
        <v>1509</v>
      </c>
      <c r="J493" t="s">
        <v>1510</v>
      </c>
      <c r="K493" t="s">
        <v>37</v>
      </c>
    </row>
    <row r="494" spans="1:11" ht="20" customHeight="1">
      <c r="A494" t="s">
        <v>22</v>
      </c>
      <c r="B494" t="s">
        <v>1511</v>
      </c>
      <c r="C494">
        <v>17.50200080871582</v>
      </c>
      <c r="D494">
        <v>18.23900032043457</v>
      </c>
      <c r="E494">
        <v>17.24200057983398</v>
      </c>
      <c r="F494">
        <v>17.79299926757812</v>
      </c>
      <c r="G494">
        <v>17.72389984130859</v>
      </c>
      <c r="H494">
        <v>981859000</v>
      </c>
      <c r="I494" t="s">
        <v>1512</v>
      </c>
      <c r="J494" t="s">
        <v>1513</v>
      </c>
      <c r="K494" t="s">
        <v>37</v>
      </c>
    </row>
    <row r="495" spans="1:11" ht="20" customHeight="1">
      <c r="A495" t="s">
        <v>22</v>
      </c>
      <c r="B495" t="s">
        <v>1514</v>
      </c>
      <c r="C495">
        <v>17.25200080871582</v>
      </c>
      <c r="D495">
        <v>17.44700050354004</v>
      </c>
      <c r="E495">
        <v>16.72400093078613</v>
      </c>
      <c r="F495">
        <v>17.08600044250488</v>
      </c>
      <c r="G495">
        <v>17.01965141296387</v>
      </c>
      <c r="H495">
        <v>668263000</v>
      </c>
      <c r="I495" t="s">
        <v>1515</v>
      </c>
      <c r="J495" t="s">
        <v>1516</v>
      </c>
      <c r="K495" t="s">
        <v>37</v>
      </c>
    </row>
    <row r="496" spans="1:11" ht="20" customHeight="1">
      <c r="A496" t="s">
        <v>22</v>
      </c>
      <c r="B496" t="s">
        <v>1517</v>
      </c>
      <c r="C496">
        <v>17.69799995422363</v>
      </c>
      <c r="D496">
        <v>18.11800003051758</v>
      </c>
      <c r="E496">
        <v>17.3169994354248</v>
      </c>
      <c r="F496">
        <v>18.09700012207031</v>
      </c>
      <c r="G496">
        <v>18.02672576904297</v>
      </c>
      <c r="H496">
        <v>597422000</v>
      </c>
      <c r="I496" t="s">
        <v>1518</v>
      </c>
      <c r="J496" t="s">
        <v>1519</v>
      </c>
      <c r="K496" t="s">
        <v>37</v>
      </c>
    </row>
    <row r="497" spans="1:11" ht="20" customHeight="1">
      <c r="A497" t="s">
        <v>22</v>
      </c>
      <c r="B497" t="s">
        <v>1520</v>
      </c>
      <c r="C497">
        <v>18.13100051879883</v>
      </c>
      <c r="D497">
        <v>18.70700073242188</v>
      </c>
      <c r="E497">
        <v>17.87599945068359</v>
      </c>
      <c r="F497">
        <v>17.9419994354248</v>
      </c>
      <c r="G497">
        <v>17.87232971191406</v>
      </c>
      <c r="H497">
        <v>509327000</v>
      </c>
      <c r="I497" t="s">
        <v>1521</v>
      </c>
      <c r="J497" t="s">
        <v>1522</v>
      </c>
      <c r="K497" t="s">
        <v>37</v>
      </c>
    </row>
    <row r="498" spans="1:11" ht="20" customHeight="1">
      <c r="A498" t="s">
        <v>22</v>
      </c>
      <c r="B498" t="s">
        <v>1523</v>
      </c>
      <c r="C498">
        <v>18.15999984741211</v>
      </c>
      <c r="D498">
        <v>18.7180004119873</v>
      </c>
      <c r="E498">
        <v>17.95299911499023</v>
      </c>
      <c r="F498">
        <v>18.70899963378906</v>
      </c>
      <c r="G498">
        <v>18.63635063171387</v>
      </c>
      <c r="H498">
        <v>478094000</v>
      </c>
      <c r="I498" t="s">
        <v>1524</v>
      </c>
      <c r="J498" t="s">
        <v>1525</v>
      </c>
      <c r="K498" t="s">
        <v>37</v>
      </c>
    </row>
    <row r="499" spans="1:11" ht="20" customHeight="1">
      <c r="A499" t="s">
        <v>22</v>
      </c>
      <c r="B499" t="s">
        <v>1526</v>
      </c>
      <c r="C499">
        <v>18.70100021362305</v>
      </c>
      <c r="D499">
        <v>19.16399955749512</v>
      </c>
      <c r="E499">
        <v>18.61300086975098</v>
      </c>
      <c r="F499">
        <v>19.0319995880127</v>
      </c>
      <c r="G499">
        <v>18.95809555053711</v>
      </c>
      <c r="H499">
        <v>457666000</v>
      </c>
      <c r="I499" t="s">
        <v>1527</v>
      </c>
      <c r="J499" t="s">
        <v>1528</v>
      </c>
      <c r="K499" t="s">
        <v>37</v>
      </c>
    </row>
    <row r="500" spans="1:11" ht="20" customHeight="1">
      <c r="A500" t="s">
        <v>22</v>
      </c>
      <c r="B500" t="s">
        <v>1529</v>
      </c>
      <c r="C500">
        <v>18.92000007629395</v>
      </c>
      <c r="D500">
        <v>19.14200019836426</v>
      </c>
      <c r="E500">
        <v>18.50099945068359</v>
      </c>
      <c r="F500">
        <v>18.87899971008301</v>
      </c>
      <c r="G500">
        <v>18.80569076538086</v>
      </c>
      <c r="H500">
        <v>451240000</v>
      </c>
      <c r="I500" t="s">
        <v>1530</v>
      </c>
      <c r="J500" t="s">
        <v>1531</v>
      </c>
      <c r="K500" t="s">
        <v>37</v>
      </c>
    </row>
    <row r="501" spans="1:11" ht="20" customHeight="1">
      <c r="A501" t="s">
        <v>22</v>
      </c>
      <c r="B501" t="s">
        <v>1532</v>
      </c>
      <c r="C501">
        <v>18.52300071716309</v>
      </c>
      <c r="D501">
        <v>18.6879997253418</v>
      </c>
      <c r="E501">
        <v>18.14500045776367</v>
      </c>
      <c r="F501">
        <v>18.33499908447266</v>
      </c>
      <c r="G501">
        <v>18.26380157470703</v>
      </c>
      <c r="H501">
        <v>446799000</v>
      </c>
      <c r="I501" t="s">
        <v>1533</v>
      </c>
      <c r="J501" t="s">
        <v>1534</v>
      </c>
      <c r="K501" t="s">
        <v>37</v>
      </c>
    </row>
    <row r="502" spans="1:11" ht="20" customHeight="1">
      <c r="A502" t="s">
        <v>22</v>
      </c>
      <c r="B502" t="s">
        <v>1535</v>
      </c>
      <c r="C502">
        <v>18.30100059509277</v>
      </c>
      <c r="D502">
        <v>18.86499977111816</v>
      </c>
      <c r="E502">
        <v>18.1830005645752</v>
      </c>
      <c r="F502">
        <v>18.77300071716309</v>
      </c>
      <c r="G502">
        <v>18.70010185241699</v>
      </c>
      <c r="H502">
        <v>415447000</v>
      </c>
      <c r="I502" t="s">
        <v>1536</v>
      </c>
      <c r="J502" t="s">
        <v>1537</v>
      </c>
      <c r="K502" t="s">
        <v>37</v>
      </c>
    </row>
    <row r="503" spans="1:11" ht="20" customHeight="1">
      <c r="A503" t="s">
        <v>22</v>
      </c>
      <c r="B503" t="s">
        <v>1538</v>
      </c>
      <c r="C503">
        <v>18.4060001373291</v>
      </c>
      <c r="D503">
        <v>18.52000045776367</v>
      </c>
      <c r="E503">
        <v>17.77000045776367</v>
      </c>
      <c r="F503">
        <v>17.84900093078613</v>
      </c>
      <c r="G503">
        <v>17.77968978881836</v>
      </c>
      <c r="H503">
        <v>441588000</v>
      </c>
      <c r="I503" t="s">
        <v>1539</v>
      </c>
      <c r="J503" t="s">
        <v>1540</v>
      </c>
      <c r="K503" t="s">
        <v>37</v>
      </c>
    </row>
    <row r="504" spans="1:11" ht="20" customHeight="1">
      <c r="A504" t="s">
        <v>22</v>
      </c>
      <c r="B504" t="s">
        <v>1541</v>
      </c>
      <c r="C504">
        <v>17.48999977111816</v>
      </c>
      <c r="D504">
        <v>17.5580005645752</v>
      </c>
      <c r="E504">
        <v>16.96599960327148</v>
      </c>
      <c r="F504">
        <v>17.03400039672852</v>
      </c>
      <c r="G504">
        <v>16.96785545349121</v>
      </c>
      <c r="H504">
        <v>409593000</v>
      </c>
      <c r="I504" t="s">
        <v>1542</v>
      </c>
      <c r="J504" t="s">
        <v>1543</v>
      </c>
      <c r="K504" t="s">
        <v>37</v>
      </c>
    </row>
    <row r="505" spans="1:11" ht="20" customHeight="1">
      <c r="A505" t="s">
        <v>22</v>
      </c>
      <c r="B505" t="s">
        <v>1544</v>
      </c>
      <c r="C505">
        <v>16.98900032043457</v>
      </c>
      <c r="D505">
        <v>17.46500015258789</v>
      </c>
      <c r="E505">
        <v>16.96999931335449</v>
      </c>
      <c r="F505">
        <v>17.18099975585938</v>
      </c>
      <c r="G505">
        <v>17.11427688598633</v>
      </c>
      <c r="H505">
        <v>369986000</v>
      </c>
      <c r="I505" t="s">
        <v>1545</v>
      </c>
      <c r="J505" t="s">
        <v>1546</v>
      </c>
      <c r="K505" t="s">
        <v>37</v>
      </c>
    </row>
    <row r="506" spans="1:11" ht="20" customHeight="1">
      <c r="A506" t="s">
        <v>22</v>
      </c>
      <c r="B506" t="s">
        <v>1547</v>
      </c>
      <c r="C506">
        <v>17.01199913024902</v>
      </c>
      <c r="D506">
        <v>17.4060001373291</v>
      </c>
      <c r="E506">
        <v>16.89500045776367</v>
      </c>
      <c r="F506">
        <v>17.22200012207031</v>
      </c>
      <c r="G506">
        <v>17.15512466430664</v>
      </c>
      <c r="H506">
        <v>522661000</v>
      </c>
      <c r="I506" t="s">
        <v>1548</v>
      </c>
      <c r="J506" t="s">
        <v>1549</v>
      </c>
      <c r="K506" t="s">
        <v>37</v>
      </c>
    </row>
    <row r="507" spans="1:11" ht="20" customHeight="1">
      <c r="A507" t="s">
        <v>22</v>
      </c>
      <c r="B507" t="s">
        <v>1550</v>
      </c>
      <c r="C507">
        <v>16.8439998626709</v>
      </c>
      <c r="D507">
        <v>17.94700050354004</v>
      </c>
      <c r="E507">
        <v>16.83300018310547</v>
      </c>
      <c r="F507">
        <v>17.91300010681152</v>
      </c>
      <c r="G507">
        <v>17.84344100952148</v>
      </c>
      <c r="H507">
        <v>770691000</v>
      </c>
      <c r="I507" t="s">
        <v>1551</v>
      </c>
      <c r="J507" t="s">
        <v>1552</v>
      </c>
      <c r="K507" t="s">
        <v>37</v>
      </c>
    </row>
    <row r="508" spans="1:11" ht="20" customHeight="1">
      <c r="A508" t="s">
        <v>22</v>
      </c>
      <c r="B508" t="s">
        <v>1553</v>
      </c>
      <c r="C508">
        <v>17.85700035095215</v>
      </c>
      <c r="D508">
        <v>17.92399978637695</v>
      </c>
      <c r="E508">
        <v>16.23699951171875</v>
      </c>
      <c r="F508">
        <v>16.26000022888184</v>
      </c>
      <c r="G508">
        <v>16.19686317443848</v>
      </c>
      <c r="H508">
        <v>769127000</v>
      </c>
      <c r="I508" t="s">
        <v>1554</v>
      </c>
      <c r="J508" t="s">
        <v>1555</v>
      </c>
      <c r="K508" t="s">
        <v>37</v>
      </c>
    </row>
    <row r="509" spans="1:11" ht="20" customHeight="1">
      <c r="A509" t="s">
        <v>22</v>
      </c>
      <c r="B509" t="s">
        <v>1556</v>
      </c>
      <c r="C509">
        <v>16.02000045776367</v>
      </c>
      <c r="D509">
        <v>16.33799934387207</v>
      </c>
      <c r="E509">
        <v>15.76700019836426</v>
      </c>
      <c r="F509">
        <v>15.80099964141846</v>
      </c>
      <c r="G509">
        <v>15.73964214324951</v>
      </c>
      <c r="H509">
        <v>496132000</v>
      </c>
      <c r="I509" t="s">
        <v>1557</v>
      </c>
      <c r="J509" t="s">
        <v>1558</v>
      </c>
      <c r="K509" t="s">
        <v>37</v>
      </c>
    </row>
    <row r="510" spans="1:11" ht="20" customHeight="1">
      <c r="A510" t="s">
        <v>22</v>
      </c>
      <c r="B510" t="s">
        <v>1559</v>
      </c>
      <c r="C510">
        <v>15.96000003814697</v>
      </c>
      <c r="D510">
        <v>16.03899955749512</v>
      </c>
      <c r="E510">
        <v>15.18200016021729</v>
      </c>
      <c r="F510">
        <v>15.4680004119873</v>
      </c>
      <c r="G510">
        <v>15.40793514251709</v>
      </c>
      <c r="H510">
        <v>530181000</v>
      </c>
      <c r="I510" t="s">
        <v>1560</v>
      </c>
      <c r="J510" t="s">
        <v>1561</v>
      </c>
      <c r="K510" t="s">
        <v>37</v>
      </c>
    </row>
    <row r="511" spans="1:11" ht="20" customHeight="1">
      <c r="A511" t="s">
        <v>22</v>
      </c>
      <c r="B511" t="s">
        <v>1562</v>
      </c>
      <c r="C511">
        <v>15.38399982452393</v>
      </c>
      <c r="D511">
        <v>15.53999996185303</v>
      </c>
      <c r="E511">
        <v>14.95899963378906</v>
      </c>
      <c r="F511">
        <v>15.0939998626709</v>
      </c>
      <c r="G511">
        <v>15.03538990020752</v>
      </c>
      <c r="H511">
        <v>573710000</v>
      </c>
      <c r="I511" t="s">
        <v>1563</v>
      </c>
      <c r="J511" t="s">
        <v>1564</v>
      </c>
      <c r="K511" t="s">
        <v>37</v>
      </c>
    </row>
    <row r="512" spans="1:11" ht="20" customHeight="1">
      <c r="A512" t="s">
        <v>22</v>
      </c>
      <c r="B512" t="s">
        <v>1565</v>
      </c>
      <c r="C512">
        <v>14.20899963378906</v>
      </c>
      <c r="D512">
        <v>14.38000011444092</v>
      </c>
      <c r="E512">
        <v>13.27000045776367</v>
      </c>
      <c r="F512">
        <v>13.9370002746582</v>
      </c>
      <c r="G512">
        <v>13.88287830352783</v>
      </c>
      <c r="H512">
        <v>1178865000</v>
      </c>
      <c r="I512" t="s">
        <v>1566</v>
      </c>
      <c r="J512" t="s">
        <v>1567</v>
      </c>
      <c r="K512" t="s">
        <v>37</v>
      </c>
    </row>
    <row r="513" spans="1:11" ht="20" customHeight="1">
      <c r="A513" t="s">
        <v>22</v>
      </c>
      <c r="B513" t="s">
        <v>1568</v>
      </c>
      <c r="C513">
        <v>14.10000038146973</v>
      </c>
      <c r="D513">
        <v>14.17099952697754</v>
      </c>
      <c r="E513">
        <v>13.59099960327148</v>
      </c>
      <c r="F513">
        <v>13.64700031280518</v>
      </c>
      <c r="G513">
        <v>13.5940055847168</v>
      </c>
      <c r="H513">
        <v>743157000</v>
      </c>
      <c r="I513" t="s">
        <v>1569</v>
      </c>
      <c r="J513" t="s">
        <v>1570</v>
      </c>
      <c r="K513" t="s">
        <v>37</v>
      </c>
    </row>
    <row r="514" spans="1:11" ht="20" customHeight="1">
      <c r="A514" t="s">
        <v>22</v>
      </c>
      <c r="B514" t="s">
        <v>1571</v>
      </c>
      <c r="C514">
        <v>13.73099994659424</v>
      </c>
      <c r="D514">
        <v>13.7790002822876</v>
      </c>
      <c r="E514">
        <v>13.35099983215332</v>
      </c>
      <c r="F514">
        <v>13.46500015258789</v>
      </c>
      <c r="G514">
        <v>13.41271305084229</v>
      </c>
      <c r="H514">
        <v>535751000</v>
      </c>
      <c r="I514" t="s">
        <v>1572</v>
      </c>
      <c r="J514" t="s">
        <v>1573</v>
      </c>
      <c r="K514" t="s">
        <v>37</v>
      </c>
    </row>
    <row r="515" spans="1:11" ht="20" customHeight="1">
      <c r="A515" t="s">
        <v>22</v>
      </c>
      <c r="B515" t="s">
        <v>1574</v>
      </c>
      <c r="C515">
        <v>13.5629997253418</v>
      </c>
      <c r="D515">
        <v>13.83800029754639</v>
      </c>
      <c r="E515">
        <v>13.3459997177124</v>
      </c>
      <c r="F515">
        <v>13.71399974822998</v>
      </c>
      <c r="G515">
        <v>13.66480445861816</v>
      </c>
      <c r="H515">
        <v>512657000</v>
      </c>
      <c r="I515" t="s">
        <v>1575</v>
      </c>
      <c r="J515" t="s">
        <v>1576</v>
      </c>
      <c r="K515" t="s">
        <v>37</v>
      </c>
    </row>
    <row r="516" spans="1:11" ht="20" customHeight="1">
      <c r="A516" t="s">
        <v>22</v>
      </c>
      <c r="B516" t="s">
        <v>1577</v>
      </c>
      <c r="C516">
        <v>13.45899963378906</v>
      </c>
      <c r="D516">
        <v>14.00800037384033</v>
      </c>
      <c r="E516">
        <v>13.36900043487549</v>
      </c>
      <c r="F516">
        <v>13.98999977111816</v>
      </c>
      <c r="G516">
        <v>13.93981456756592</v>
      </c>
      <c r="H516">
        <v>624873000</v>
      </c>
      <c r="I516" t="s">
        <v>1578</v>
      </c>
      <c r="J516" t="s">
        <v>1579</v>
      </c>
      <c r="K516" t="s">
        <v>37</v>
      </c>
    </row>
    <row r="517" spans="1:11" ht="20" customHeight="1">
      <c r="A517" t="s">
        <v>22</v>
      </c>
      <c r="B517" t="s">
        <v>1580</v>
      </c>
      <c r="C517">
        <v>14.1569995880127</v>
      </c>
      <c r="D517">
        <v>14.47399997711182</v>
      </c>
      <c r="E517">
        <v>14.12600040435791</v>
      </c>
      <c r="F517">
        <v>14.38700008392334</v>
      </c>
      <c r="G517">
        <v>14.33539295196533</v>
      </c>
      <c r="H517">
        <v>486612000</v>
      </c>
      <c r="I517" t="s">
        <v>1581</v>
      </c>
      <c r="J517" t="s">
        <v>1582</v>
      </c>
      <c r="K517" t="s">
        <v>37</v>
      </c>
    </row>
    <row r="518" spans="1:11" ht="20" customHeight="1">
      <c r="A518" t="s">
        <v>22</v>
      </c>
      <c r="B518" t="s">
        <v>1583</v>
      </c>
      <c r="C518">
        <v>14.36900043487549</v>
      </c>
      <c r="D518">
        <v>14.54699993133545</v>
      </c>
      <c r="E518">
        <v>14.19799995422363</v>
      </c>
      <c r="F518">
        <v>14.50500011444092</v>
      </c>
      <c r="G518">
        <v>14.45296955108643</v>
      </c>
      <c r="H518">
        <v>484159000</v>
      </c>
      <c r="I518" t="s">
        <v>1584</v>
      </c>
      <c r="J518" t="s">
        <v>1585</v>
      </c>
      <c r="K518" t="s">
        <v>37</v>
      </c>
    </row>
    <row r="519" spans="1:11" ht="20" customHeight="1">
      <c r="A519" t="s">
        <v>22</v>
      </c>
      <c r="B519" t="s">
        <v>1586</v>
      </c>
      <c r="C519">
        <v>13.80200004577637</v>
      </c>
      <c r="D519">
        <v>13.92199993133545</v>
      </c>
      <c r="E519">
        <v>13.09899997711182</v>
      </c>
      <c r="F519">
        <v>13.13099956512451</v>
      </c>
      <c r="G519">
        <v>13.08389759063721</v>
      </c>
      <c r="H519">
        <v>714956000</v>
      </c>
      <c r="I519" t="s">
        <v>1587</v>
      </c>
      <c r="J519" t="s">
        <v>1588</v>
      </c>
      <c r="K519" t="s">
        <v>37</v>
      </c>
    </row>
    <row r="520" spans="1:11" ht="20" customHeight="1">
      <c r="A520" t="s">
        <v>22</v>
      </c>
      <c r="B520" t="s">
        <v>1589</v>
      </c>
      <c r="C520">
        <v>13.25399971008301</v>
      </c>
      <c r="D520">
        <v>13.28999996185303</v>
      </c>
      <c r="E520">
        <v>12.91300010681152</v>
      </c>
      <c r="F520">
        <v>13.12800025939941</v>
      </c>
      <c r="G520">
        <v>13.08090686798096</v>
      </c>
      <c r="H520">
        <v>588507000</v>
      </c>
      <c r="I520" t="s">
        <v>1590</v>
      </c>
      <c r="J520" t="s">
        <v>1591</v>
      </c>
      <c r="K520" t="s">
        <v>37</v>
      </c>
    </row>
    <row r="521" spans="1:11" ht="20" customHeight="1">
      <c r="A521" t="s">
        <v>22</v>
      </c>
      <c r="B521" t="s">
        <v>1592</v>
      </c>
      <c r="C521">
        <v>13.01500034332275</v>
      </c>
      <c r="D521">
        <v>13.23299980163574</v>
      </c>
      <c r="E521">
        <v>12.78999996185303</v>
      </c>
      <c r="F521">
        <v>12.92899990081787</v>
      </c>
      <c r="G521">
        <v>12.88261985778809</v>
      </c>
      <c r="H521">
        <v>523625000</v>
      </c>
      <c r="I521" t="s">
        <v>1593</v>
      </c>
      <c r="J521" t="s">
        <v>1594</v>
      </c>
      <c r="K521" t="s">
        <v>37</v>
      </c>
    </row>
    <row r="522" spans="1:11" ht="20" customHeight="1">
      <c r="A522" t="s">
        <v>22</v>
      </c>
      <c r="B522" t="s">
        <v>1595</v>
      </c>
      <c r="C522">
        <v>12.74199962615967</v>
      </c>
      <c r="D522">
        <v>13.21199989318848</v>
      </c>
      <c r="E522">
        <v>12.61699962615967</v>
      </c>
      <c r="F522">
        <v>13.19799995422363</v>
      </c>
      <c r="G522">
        <v>13.15065383911133</v>
      </c>
      <c r="H522">
        <v>670751000</v>
      </c>
      <c r="I522" t="s">
        <v>1596</v>
      </c>
      <c r="J522" t="s">
        <v>1597</v>
      </c>
      <c r="K522" t="s">
        <v>37</v>
      </c>
    </row>
    <row r="523" spans="1:11" ht="20" customHeight="1">
      <c r="A523" t="s">
        <v>22</v>
      </c>
      <c r="B523" t="s">
        <v>1598</v>
      </c>
      <c r="C523">
        <v>13.01200008392334</v>
      </c>
      <c r="D523">
        <v>13.46300029754639</v>
      </c>
      <c r="E523">
        <v>13.01000022888184</v>
      </c>
      <c r="F523">
        <v>13.38199996948242</v>
      </c>
      <c r="G523">
        <v>13.33399772644043</v>
      </c>
      <c r="H523">
        <v>569685000</v>
      </c>
      <c r="I523" t="s">
        <v>1599</v>
      </c>
      <c r="J523" t="s">
        <v>1600</v>
      </c>
      <c r="K523" t="s">
        <v>37</v>
      </c>
    </row>
    <row r="524" spans="1:11" ht="20" customHeight="1">
      <c r="A524" t="s">
        <v>22</v>
      </c>
      <c r="B524" t="s">
        <v>1601</v>
      </c>
      <c r="C524">
        <v>13.21500015258789</v>
      </c>
      <c r="D524">
        <v>13.48299980163574</v>
      </c>
      <c r="E524">
        <v>13.05700016021729</v>
      </c>
      <c r="F524">
        <v>13.17599964141846</v>
      </c>
      <c r="G524">
        <v>13.12873363494873</v>
      </c>
      <c r="H524">
        <v>524818000</v>
      </c>
      <c r="I524" t="s">
        <v>1602</v>
      </c>
      <c r="J524" t="s">
        <v>1603</v>
      </c>
      <c r="K524" t="s">
        <v>37</v>
      </c>
    </row>
    <row r="525" spans="1:11" ht="20" customHeight="1">
      <c r="A525" t="s">
        <v>22</v>
      </c>
      <c r="B525" t="s">
        <v>1604</v>
      </c>
      <c r="C525">
        <v>13.21300029754639</v>
      </c>
      <c r="D525">
        <v>14.0310001373291</v>
      </c>
      <c r="E525">
        <v>13.10999965667725</v>
      </c>
      <c r="F525">
        <v>13.26099967956543</v>
      </c>
      <c r="G525">
        <v>13.21342945098877</v>
      </c>
      <c r="H525">
        <v>807679000</v>
      </c>
      <c r="I525" t="s">
        <v>1605</v>
      </c>
      <c r="J525" t="s">
        <v>1606</v>
      </c>
      <c r="K525" t="s">
        <v>37</v>
      </c>
    </row>
    <row r="526" spans="1:11" ht="20" customHeight="1">
      <c r="A526" t="s">
        <v>22</v>
      </c>
      <c r="B526" t="s">
        <v>1607</v>
      </c>
      <c r="C526">
        <v>13.06999969482422</v>
      </c>
      <c r="D526">
        <v>13.14900016784668</v>
      </c>
      <c r="E526">
        <v>12.42800045013428</v>
      </c>
      <c r="F526">
        <v>12.56099987030029</v>
      </c>
      <c r="G526">
        <v>12.51594257354736</v>
      </c>
      <c r="H526">
        <v>759162000</v>
      </c>
      <c r="I526" t="s">
        <v>1608</v>
      </c>
      <c r="J526" t="s">
        <v>1609</v>
      </c>
      <c r="K526" t="s">
        <v>37</v>
      </c>
    </row>
    <row r="527" spans="1:11" ht="20" customHeight="1">
      <c r="A527" t="s">
        <v>22</v>
      </c>
      <c r="B527" t="s">
        <v>1610</v>
      </c>
      <c r="C527">
        <v>12.42000007629395</v>
      </c>
      <c r="D527">
        <v>12.61100006103516</v>
      </c>
      <c r="E527">
        <v>12.25699996948242</v>
      </c>
      <c r="F527">
        <v>12.51599979400635</v>
      </c>
      <c r="G527">
        <v>12.47110271453857</v>
      </c>
      <c r="H527">
        <v>663309000</v>
      </c>
      <c r="I527" t="s">
        <v>1611</v>
      </c>
      <c r="J527" t="s">
        <v>1612</v>
      </c>
      <c r="K527" t="s">
        <v>37</v>
      </c>
    </row>
    <row r="528" spans="1:11" ht="20" customHeight="1">
      <c r="A528" t="s">
        <v>22</v>
      </c>
      <c r="B528" t="s">
        <v>1613</v>
      </c>
      <c r="C528">
        <v>12.49100017547607</v>
      </c>
      <c r="D528">
        <v>12.65900039672852</v>
      </c>
      <c r="E528">
        <v>12.21399974822998</v>
      </c>
      <c r="F528">
        <v>12.22799968719482</v>
      </c>
      <c r="G528">
        <v>12.18413639068604</v>
      </c>
      <c r="H528">
        <v>547343000</v>
      </c>
      <c r="I528" t="s">
        <v>1614</v>
      </c>
      <c r="J528" t="s">
        <v>1615</v>
      </c>
      <c r="K528" t="s">
        <v>37</v>
      </c>
    </row>
    <row r="529" spans="1:11" ht="20" customHeight="1">
      <c r="A529" t="s">
        <v>22</v>
      </c>
      <c r="B529" t="s">
        <v>1616</v>
      </c>
      <c r="C529">
        <v>12.50699996948242</v>
      </c>
      <c r="D529">
        <v>12.73600006103516</v>
      </c>
      <c r="E529">
        <v>12.25800037384033</v>
      </c>
      <c r="F529">
        <v>12.41300010681152</v>
      </c>
      <c r="G529">
        <v>12.3684720993042</v>
      </c>
      <c r="H529">
        <v>553854000</v>
      </c>
      <c r="I529" t="s">
        <v>1617</v>
      </c>
      <c r="J529" t="s">
        <v>1618</v>
      </c>
      <c r="K529" t="s">
        <v>37</v>
      </c>
    </row>
    <row r="530" spans="1:11" ht="20" customHeight="1">
      <c r="A530" t="s">
        <v>22</v>
      </c>
      <c r="B530" t="s">
        <v>1619</v>
      </c>
      <c r="C530">
        <v>12.40999984741211</v>
      </c>
      <c r="D530">
        <v>12.82299995422363</v>
      </c>
      <c r="E530">
        <v>12.35400009155273</v>
      </c>
      <c r="F530">
        <v>12.73600006103516</v>
      </c>
      <c r="G530">
        <v>12.6903133392334</v>
      </c>
      <c r="H530">
        <v>542414000</v>
      </c>
      <c r="I530" t="s">
        <v>1620</v>
      </c>
      <c r="J530" t="s">
        <v>1621</v>
      </c>
      <c r="K530" t="s">
        <v>37</v>
      </c>
    </row>
    <row r="531" spans="1:11" ht="20" customHeight="1">
      <c r="A531" t="s">
        <v>22</v>
      </c>
      <c r="B531" t="s">
        <v>1622</v>
      </c>
      <c r="C531">
        <v>12.44799995422363</v>
      </c>
      <c r="D531">
        <v>12.5</v>
      </c>
      <c r="E531">
        <v>11.94600009918213</v>
      </c>
      <c r="F531">
        <v>12.22000026702881</v>
      </c>
      <c r="G531">
        <v>12.17616367340088</v>
      </c>
      <c r="H531">
        <v>532763000</v>
      </c>
      <c r="I531" t="s">
        <v>1623</v>
      </c>
      <c r="J531" t="s">
        <v>1624</v>
      </c>
      <c r="K531" t="s">
        <v>37</v>
      </c>
    </row>
    <row r="532" spans="1:11" ht="20" customHeight="1">
      <c r="A532" t="s">
        <v>22</v>
      </c>
      <c r="B532" t="s">
        <v>1625</v>
      </c>
      <c r="C532">
        <v>12.08699989318848</v>
      </c>
      <c r="D532">
        <v>12.63300037384033</v>
      </c>
      <c r="E532">
        <v>12.07499980926514</v>
      </c>
      <c r="F532">
        <v>12.13899993896484</v>
      </c>
      <c r="G532">
        <v>12.09545421600342</v>
      </c>
      <c r="H532">
        <v>565638000</v>
      </c>
      <c r="I532" t="s">
        <v>1626</v>
      </c>
      <c r="J532" t="s">
        <v>1627</v>
      </c>
      <c r="K532" t="s">
        <v>37</v>
      </c>
    </row>
    <row r="533" spans="1:11" ht="20" customHeight="1">
      <c r="A533" t="s">
        <v>22</v>
      </c>
      <c r="B533" t="s">
        <v>1628</v>
      </c>
      <c r="C533">
        <v>12.34700012207031</v>
      </c>
      <c r="D533">
        <v>12.67800045013428</v>
      </c>
      <c r="E533">
        <v>12.10499954223633</v>
      </c>
      <c r="F533">
        <v>12.51200008392334</v>
      </c>
      <c r="G533">
        <v>12.46711730957031</v>
      </c>
      <c r="H533">
        <v>547478000</v>
      </c>
      <c r="I533" t="s">
        <v>1629</v>
      </c>
      <c r="J533" t="s">
        <v>1630</v>
      </c>
      <c r="K533" t="s">
        <v>37</v>
      </c>
    </row>
    <row r="534" spans="1:11" ht="20" customHeight="1">
      <c r="A534" t="s">
        <v>22</v>
      </c>
      <c r="B534" t="s">
        <v>1631</v>
      </c>
      <c r="C534">
        <v>12.87899971008301</v>
      </c>
      <c r="D534">
        <v>13.22000026702881</v>
      </c>
      <c r="E534">
        <v>12.87899971008301</v>
      </c>
      <c r="F534">
        <v>13.16699981689453</v>
      </c>
      <c r="G534">
        <v>13.11976909637451</v>
      </c>
      <c r="H534">
        <v>584182000</v>
      </c>
      <c r="I534" t="s">
        <v>1632</v>
      </c>
      <c r="J534" t="s">
        <v>1633</v>
      </c>
      <c r="K534" t="s">
        <v>37</v>
      </c>
    </row>
    <row r="535" spans="1:11" ht="20" customHeight="1">
      <c r="A535" t="s">
        <v>22</v>
      </c>
      <c r="B535" t="s">
        <v>1634</v>
      </c>
      <c r="C535">
        <v>12.91100025177002</v>
      </c>
      <c r="D535">
        <v>13.32100009918213</v>
      </c>
      <c r="E535">
        <v>12.62100028991699</v>
      </c>
      <c r="F535">
        <v>13.20899963378906</v>
      </c>
      <c r="G535">
        <v>13.16161346435547</v>
      </c>
      <c r="H535">
        <v>507131000</v>
      </c>
      <c r="I535" t="s">
        <v>1635</v>
      </c>
      <c r="J535" t="s">
        <v>1636</v>
      </c>
      <c r="K535" t="s">
        <v>37</v>
      </c>
    </row>
    <row r="536" spans="1:11" ht="20" customHeight="1">
      <c r="A536" t="s">
        <v>22</v>
      </c>
      <c r="B536" t="s">
        <v>1637</v>
      </c>
      <c r="C536">
        <v>13.22000026702881</v>
      </c>
      <c r="D536">
        <v>13.6560001373291</v>
      </c>
      <c r="E536">
        <v>13.10299968719482</v>
      </c>
      <c r="F536">
        <v>13.13000011444092</v>
      </c>
      <c r="G536">
        <v>13.08290004730225</v>
      </c>
      <c r="H536">
        <v>644157000</v>
      </c>
      <c r="I536" t="s">
        <v>1638</v>
      </c>
      <c r="J536" t="s">
        <v>1639</v>
      </c>
      <c r="K536" t="s">
        <v>37</v>
      </c>
    </row>
    <row r="537" spans="1:11" ht="20" customHeight="1">
      <c r="A537" t="s">
        <v>22</v>
      </c>
      <c r="B537" t="s">
        <v>1640</v>
      </c>
      <c r="C537">
        <v>12.50500011444092</v>
      </c>
      <c r="D537">
        <v>12.67000007629395</v>
      </c>
      <c r="E537">
        <v>12.02200031280518</v>
      </c>
      <c r="F537">
        <v>12.07600021362305</v>
      </c>
      <c r="G537">
        <v>12.03268241882324</v>
      </c>
      <c r="H537">
        <v>672478000</v>
      </c>
      <c r="I537" t="s">
        <v>1641</v>
      </c>
      <c r="J537" t="s">
        <v>1642</v>
      </c>
      <c r="K537" t="s">
        <v>37</v>
      </c>
    </row>
    <row r="538" spans="1:11" ht="20" customHeight="1">
      <c r="A538" t="s">
        <v>22</v>
      </c>
      <c r="B538" t="s">
        <v>1643</v>
      </c>
      <c r="C538">
        <v>12.03699970245361</v>
      </c>
      <c r="D538">
        <v>12.12399959564209</v>
      </c>
      <c r="E538">
        <v>11.40799999237061</v>
      </c>
      <c r="F538">
        <v>11.67000007629395</v>
      </c>
      <c r="G538">
        <v>11.62813663482666</v>
      </c>
      <c r="H538">
        <v>698699000</v>
      </c>
      <c r="I538" t="s">
        <v>1644</v>
      </c>
      <c r="J538" t="s">
        <v>1645</v>
      </c>
      <c r="K538" t="s">
        <v>37</v>
      </c>
    </row>
    <row r="539" spans="1:11" ht="20" customHeight="1">
      <c r="A539" t="s">
        <v>22</v>
      </c>
      <c r="B539" t="s">
        <v>1646</v>
      </c>
      <c r="C539">
        <v>11.56099987030029</v>
      </c>
      <c r="D539">
        <v>11.8459997177124</v>
      </c>
      <c r="E539">
        <v>11.28299999237061</v>
      </c>
      <c r="F539">
        <v>11.58600044250488</v>
      </c>
      <c r="G539">
        <v>11.5444393157959</v>
      </c>
      <c r="H539">
        <v>667482000</v>
      </c>
      <c r="I539" t="s">
        <v>1647</v>
      </c>
      <c r="J539" t="s">
        <v>1648</v>
      </c>
      <c r="K539" t="s">
        <v>37</v>
      </c>
    </row>
    <row r="540" spans="1:11" ht="20" customHeight="1">
      <c r="A540" t="s">
        <v>22</v>
      </c>
      <c r="B540" t="s">
        <v>1649</v>
      </c>
      <c r="C540">
        <v>11.57900047302246</v>
      </c>
      <c r="D540">
        <v>11.73499965667725</v>
      </c>
      <c r="E540">
        <v>11.34500026702881</v>
      </c>
      <c r="F540">
        <v>11.5</v>
      </c>
      <c r="G540">
        <v>11.45874691009521</v>
      </c>
      <c r="H540">
        <v>492590000</v>
      </c>
      <c r="I540" t="s">
        <v>1650</v>
      </c>
      <c r="J540" t="s">
        <v>1651</v>
      </c>
      <c r="K540" t="s">
        <v>37</v>
      </c>
    </row>
    <row r="541" spans="1:11" ht="20" customHeight="1">
      <c r="A541" t="s">
        <v>22</v>
      </c>
      <c r="B541" t="s">
        <v>1652</v>
      </c>
      <c r="C541">
        <v>10.9709997177124</v>
      </c>
      <c r="D541">
        <v>12.07800006866455</v>
      </c>
      <c r="E541">
        <v>10.8129997253418</v>
      </c>
      <c r="F541">
        <v>11.96000003814697</v>
      </c>
      <c r="G541">
        <v>11.91709804534912</v>
      </c>
      <c r="H541">
        <v>850103000</v>
      </c>
      <c r="I541" t="s">
        <v>1653</v>
      </c>
      <c r="J541" t="s">
        <v>1654</v>
      </c>
      <c r="K541" t="s">
        <v>37</v>
      </c>
    </row>
    <row r="542" spans="1:11" ht="20" customHeight="1">
      <c r="A542" t="s">
        <v>22</v>
      </c>
      <c r="B542" t="s">
        <v>1655</v>
      </c>
      <c r="C542">
        <v>12.05700016021729</v>
      </c>
      <c r="D542">
        <v>12.11100006103516</v>
      </c>
      <c r="E542">
        <v>11.20400047302246</v>
      </c>
      <c r="F542">
        <v>11.22700023651123</v>
      </c>
      <c r="G542">
        <v>11.18672752380371</v>
      </c>
      <c r="H542">
        <v>713432000</v>
      </c>
      <c r="I542" t="s">
        <v>1656</v>
      </c>
      <c r="J542" t="s">
        <v>1657</v>
      </c>
      <c r="K542" t="s">
        <v>37</v>
      </c>
    </row>
    <row r="543" spans="1:11" ht="20" customHeight="1">
      <c r="A543" t="s">
        <v>22</v>
      </c>
      <c r="B543" t="s">
        <v>1658</v>
      </c>
      <c r="C543">
        <v>11.51799964904785</v>
      </c>
      <c r="D543">
        <v>11.94799995422363</v>
      </c>
      <c r="E543">
        <v>11.51700019836426</v>
      </c>
      <c r="F543">
        <v>11.88799953460693</v>
      </c>
      <c r="G543">
        <v>11.84535312652588</v>
      </c>
      <c r="H543">
        <v>580774000</v>
      </c>
      <c r="I543" t="s">
        <v>1659</v>
      </c>
      <c r="J543" t="s">
        <v>1660</v>
      </c>
      <c r="K543" t="s">
        <v>37</v>
      </c>
    </row>
    <row r="544" spans="1:11" ht="20" customHeight="1">
      <c r="A544" t="s">
        <v>22</v>
      </c>
      <c r="B544" t="s">
        <v>1661</v>
      </c>
      <c r="C544">
        <v>12.3439998626709</v>
      </c>
      <c r="D544">
        <v>12.49199962615967</v>
      </c>
      <c r="E544">
        <v>11.61800003051758</v>
      </c>
      <c r="F544">
        <v>11.96700000762939</v>
      </c>
      <c r="G544">
        <v>11.92407131195068</v>
      </c>
      <c r="H544">
        <v>659362000</v>
      </c>
      <c r="I544" t="s">
        <v>1662</v>
      </c>
      <c r="J544" t="s">
        <v>1663</v>
      </c>
      <c r="K544" t="s">
        <v>37</v>
      </c>
    </row>
    <row r="545" spans="1:11" ht="20" customHeight="1">
      <c r="A545" t="s">
        <v>22</v>
      </c>
      <c r="B545" t="s">
        <v>1664</v>
      </c>
      <c r="C545">
        <v>11.87899971008301</v>
      </c>
      <c r="D545">
        <v>12.35000038146973</v>
      </c>
      <c r="E545">
        <v>11.83399963378906</v>
      </c>
      <c r="F545">
        <v>12.05099964141846</v>
      </c>
      <c r="G545">
        <v>12.00777149200439</v>
      </c>
      <c r="H545">
        <v>523131000</v>
      </c>
      <c r="I545" t="s">
        <v>1665</v>
      </c>
      <c r="J545" t="s">
        <v>1666</v>
      </c>
      <c r="K545" t="s">
        <v>37</v>
      </c>
    </row>
    <row r="546" spans="1:11" ht="20" customHeight="1">
      <c r="A546" t="s">
        <v>22</v>
      </c>
      <c r="B546" t="s">
        <v>1667</v>
      </c>
      <c r="C546">
        <v>12.11299991607666</v>
      </c>
      <c r="D546">
        <v>12.76900005340576</v>
      </c>
      <c r="E546">
        <v>12.10499954223633</v>
      </c>
      <c r="F546">
        <v>12.19400024414062</v>
      </c>
      <c r="G546">
        <v>12.1502571105957</v>
      </c>
      <c r="H546">
        <v>652398000</v>
      </c>
      <c r="I546" t="s">
        <v>1668</v>
      </c>
      <c r="J546" t="s">
        <v>1669</v>
      </c>
      <c r="K546" t="s">
        <v>37</v>
      </c>
    </row>
    <row r="547" spans="1:11" ht="20" customHeight="1">
      <c r="A547" t="s">
        <v>22</v>
      </c>
      <c r="B547" t="s">
        <v>1670</v>
      </c>
      <c r="C547">
        <v>12.09799957275391</v>
      </c>
      <c r="D547">
        <v>12.4980001449585</v>
      </c>
      <c r="E547">
        <v>11.88700008392334</v>
      </c>
      <c r="F547">
        <v>12.46599960327148</v>
      </c>
      <c r="G547">
        <v>12.42128372192383</v>
      </c>
      <c r="H547">
        <v>609494000</v>
      </c>
      <c r="I547" t="s">
        <v>1671</v>
      </c>
      <c r="J547" t="s">
        <v>1672</v>
      </c>
      <c r="K547" t="s">
        <v>37</v>
      </c>
    </row>
    <row r="548" spans="1:11" ht="20" customHeight="1">
      <c r="A548" t="s">
        <v>22</v>
      </c>
      <c r="B548" t="s">
        <v>1673</v>
      </c>
      <c r="C548">
        <v>12.50800037384033</v>
      </c>
      <c r="D548">
        <v>12.71000003814697</v>
      </c>
      <c r="E548">
        <v>12.06400012969971</v>
      </c>
      <c r="F548">
        <v>12.59899997711182</v>
      </c>
      <c r="G548">
        <v>12.55380535125732</v>
      </c>
      <c r="H548">
        <v>517457000</v>
      </c>
      <c r="I548" t="s">
        <v>1674</v>
      </c>
      <c r="J548" t="s">
        <v>1675</v>
      </c>
      <c r="K548" t="s">
        <v>37</v>
      </c>
    </row>
    <row r="549" spans="1:11" ht="20" customHeight="1">
      <c r="A549" t="s">
        <v>22</v>
      </c>
      <c r="B549" t="s">
        <v>1676</v>
      </c>
      <c r="C549">
        <v>12.69400024414062</v>
      </c>
      <c r="D549">
        <v>13.30000019073486</v>
      </c>
      <c r="E549">
        <v>12.66399955749512</v>
      </c>
      <c r="F549">
        <v>13.26099967956543</v>
      </c>
      <c r="G549">
        <v>13.21342945098877</v>
      </c>
      <c r="H549">
        <v>505482000</v>
      </c>
      <c r="I549" t="s">
        <v>1677</v>
      </c>
      <c r="J549" t="s">
        <v>1678</v>
      </c>
      <c r="K549" t="s">
        <v>37</v>
      </c>
    </row>
    <row r="550" spans="1:11" ht="20" customHeight="1">
      <c r="A550" t="s">
        <v>22</v>
      </c>
      <c r="B550" t="s">
        <v>1679</v>
      </c>
      <c r="C550">
        <v>12.86900043487549</v>
      </c>
      <c r="D550">
        <v>13.38799953460693</v>
      </c>
      <c r="E550">
        <v>12.70800018310547</v>
      </c>
      <c r="F550">
        <v>12.89599990844727</v>
      </c>
      <c r="G550">
        <v>12.84973907470703</v>
      </c>
      <c r="H550">
        <v>532953000</v>
      </c>
      <c r="I550" t="s">
        <v>1680</v>
      </c>
      <c r="J550" t="s">
        <v>1681</v>
      </c>
      <c r="K550" t="s">
        <v>37</v>
      </c>
    </row>
    <row r="551" spans="1:11" ht="20" customHeight="1">
      <c r="A551" t="s">
        <v>22</v>
      </c>
      <c r="B551" t="s">
        <v>1682</v>
      </c>
      <c r="C551">
        <v>13.63000011444092</v>
      </c>
      <c r="D551">
        <v>13.83800029754639</v>
      </c>
      <c r="E551">
        <v>13.12199974060059</v>
      </c>
      <c r="F551">
        <v>13.17599964141846</v>
      </c>
      <c r="G551">
        <v>13.12873363494873</v>
      </c>
      <c r="H551">
        <v>583113000</v>
      </c>
      <c r="I551" t="s">
        <v>1683</v>
      </c>
      <c r="J551" t="s">
        <v>1684</v>
      </c>
      <c r="K551" t="s">
        <v>37</v>
      </c>
    </row>
    <row r="552" spans="1:11" ht="20" customHeight="1">
      <c r="A552" t="s">
        <v>22</v>
      </c>
      <c r="B552" t="s">
        <v>1685</v>
      </c>
      <c r="C552">
        <v>13.10400009155273</v>
      </c>
      <c r="D552">
        <v>13.85000038146973</v>
      </c>
      <c r="E552">
        <v>13.06099987030029</v>
      </c>
      <c r="F552">
        <v>13.83399963378906</v>
      </c>
      <c r="G552">
        <v>13.78437423706055</v>
      </c>
      <c r="H552">
        <v>521040000</v>
      </c>
      <c r="I552" t="s">
        <v>1686</v>
      </c>
      <c r="J552" t="s">
        <v>1687</v>
      </c>
      <c r="K552" t="s">
        <v>37</v>
      </c>
    </row>
    <row r="553" spans="1:11" ht="20" customHeight="1">
      <c r="A553" t="s">
        <v>22</v>
      </c>
      <c r="B553" t="s">
        <v>1688</v>
      </c>
      <c r="C553">
        <v>13.77799987792969</v>
      </c>
      <c r="D553">
        <v>13.83800029754639</v>
      </c>
      <c r="E553">
        <v>13.29699993133545</v>
      </c>
      <c r="F553">
        <v>13.49699974060059</v>
      </c>
      <c r="G553">
        <v>13.44858264923096</v>
      </c>
      <c r="H553">
        <v>486341000</v>
      </c>
      <c r="I553" t="s">
        <v>1689</v>
      </c>
      <c r="J553" t="s">
        <v>1690</v>
      </c>
      <c r="K553" t="s">
        <v>37</v>
      </c>
    </row>
    <row r="554" spans="1:11" ht="20" customHeight="1">
      <c r="A554" t="s">
        <v>22</v>
      </c>
      <c r="B554" t="s">
        <v>1691</v>
      </c>
      <c r="C554">
        <v>13.81099987030029</v>
      </c>
      <c r="D554">
        <v>13.92500019073486</v>
      </c>
      <c r="E554">
        <v>13.51900005340576</v>
      </c>
      <c r="F554">
        <v>13.54300022125244</v>
      </c>
      <c r="G554">
        <v>13.49442005157471</v>
      </c>
      <c r="H554">
        <v>432817000</v>
      </c>
      <c r="I554" t="s">
        <v>1692</v>
      </c>
      <c r="J554" t="s">
        <v>1693</v>
      </c>
      <c r="K554" t="s">
        <v>37</v>
      </c>
    </row>
    <row r="555" spans="1:11" ht="20" customHeight="1">
      <c r="A555" t="s">
        <v>22</v>
      </c>
      <c r="B555" t="s">
        <v>1694</v>
      </c>
      <c r="C555">
        <v>13.85000038146973</v>
      </c>
      <c r="D555">
        <v>14.21000003814697</v>
      </c>
      <c r="E555">
        <v>13.21100044250488</v>
      </c>
      <c r="F555">
        <v>13.2189998626709</v>
      </c>
      <c r="G555">
        <v>13.17158126831055</v>
      </c>
      <c r="H555">
        <v>672628000</v>
      </c>
      <c r="I555" t="s">
        <v>1695</v>
      </c>
      <c r="J555" t="s">
        <v>1696</v>
      </c>
      <c r="K555" t="s">
        <v>37</v>
      </c>
    </row>
    <row r="556" spans="1:11" ht="20" customHeight="1">
      <c r="A556" t="s">
        <v>22</v>
      </c>
      <c r="B556" t="s">
        <v>1697</v>
      </c>
      <c r="C556">
        <v>13.04300022125244</v>
      </c>
      <c r="D556">
        <v>13.7810001373291</v>
      </c>
      <c r="E556">
        <v>12.95600032806396</v>
      </c>
      <c r="F556">
        <v>13.42099952697754</v>
      </c>
      <c r="G556">
        <v>13.37285614013672</v>
      </c>
      <c r="H556">
        <v>500065000</v>
      </c>
      <c r="I556" t="s">
        <v>1698</v>
      </c>
      <c r="J556" t="s">
        <v>1699</v>
      </c>
      <c r="K556" t="s">
        <v>37</v>
      </c>
    </row>
    <row r="557" spans="1:11" ht="20" customHeight="1">
      <c r="A557" t="s">
        <v>22</v>
      </c>
      <c r="B557" t="s">
        <v>1700</v>
      </c>
      <c r="C557">
        <v>13.98600006103516</v>
      </c>
      <c r="D557">
        <v>14.22900009155273</v>
      </c>
      <c r="E557">
        <v>13.69699954986572</v>
      </c>
      <c r="F557">
        <v>14.1560001373291</v>
      </c>
      <c r="G557">
        <v>14.10521984100342</v>
      </c>
      <c r="H557">
        <v>612576000</v>
      </c>
      <c r="I557" t="s">
        <v>1701</v>
      </c>
      <c r="J557" t="s">
        <v>1702</v>
      </c>
      <c r="K557" t="s">
        <v>37</v>
      </c>
    </row>
    <row r="558" spans="1:11" ht="20" customHeight="1">
      <c r="A558" t="s">
        <v>22</v>
      </c>
      <c r="B558" t="s">
        <v>1703</v>
      </c>
      <c r="C558">
        <v>14.22799968719482</v>
      </c>
      <c r="D558">
        <v>14.41199970245361</v>
      </c>
      <c r="E558">
        <v>13.95400047302246</v>
      </c>
      <c r="F558">
        <v>14.30099964141846</v>
      </c>
      <c r="G558">
        <v>14.24969959259033</v>
      </c>
      <c r="H558">
        <v>410061000</v>
      </c>
      <c r="I558" t="s">
        <v>1704</v>
      </c>
      <c r="J558" t="s">
        <v>1705</v>
      </c>
      <c r="K558" t="s">
        <v>37</v>
      </c>
    </row>
    <row r="559" spans="1:11" ht="20" customHeight="1">
      <c r="A559" t="s">
        <v>22</v>
      </c>
      <c r="B559" t="s">
        <v>1706</v>
      </c>
      <c r="C559">
        <v>14.80099964141846</v>
      </c>
      <c r="D559">
        <v>14.89099979400635</v>
      </c>
      <c r="E559">
        <v>14.21599960327148</v>
      </c>
      <c r="F559">
        <v>14.60200023651123</v>
      </c>
      <c r="G559">
        <v>14.54961776733398</v>
      </c>
      <c r="H559">
        <v>595292000</v>
      </c>
      <c r="I559" t="s">
        <v>1707</v>
      </c>
      <c r="J559" t="s">
        <v>1708</v>
      </c>
      <c r="K559" t="s">
        <v>37</v>
      </c>
    </row>
    <row r="560" spans="1:11" ht="20" customHeight="1">
      <c r="A560" t="s">
        <v>22</v>
      </c>
      <c r="B560" t="s">
        <v>1709</v>
      </c>
      <c r="C560">
        <v>14.16199970245361</v>
      </c>
      <c r="D560">
        <v>14.21100044250488</v>
      </c>
      <c r="E560">
        <v>13.75899982452393</v>
      </c>
      <c r="F560">
        <v>13.77600002288818</v>
      </c>
      <c r="G560">
        <v>13.72658157348633</v>
      </c>
      <c r="H560">
        <v>454414000</v>
      </c>
      <c r="I560" t="s">
        <v>1710</v>
      </c>
      <c r="J560" t="s">
        <v>1711</v>
      </c>
      <c r="K560" t="s">
        <v>37</v>
      </c>
    </row>
    <row r="561" spans="1:11" ht="20" customHeight="1">
      <c r="A561" t="s">
        <v>22</v>
      </c>
      <c r="B561" t="s">
        <v>1712</v>
      </c>
      <c r="C561">
        <v>14.80000019073486</v>
      </c>
      <c r="D561">
        <v>15.77299976348877</v>
      </c>
      <c r="E561">
        <v>14.54699993133545</v>
      </c>
      <c r="F561">
        <v>15.75</v>
      </c>
      <c r="G561">
        <v>15.69350051879883</v>
      </c>
      <c r="H561">
        <v>700819000</v>
      </c>
      <c r="I561" t="s">
        <v>1713</v>
      </c>
      <c r="J561" t="s">
        <v>1714</v>
      </c>
      <c r="K561" t="s">
        <v>37</v>
      </c>
    </row>
    <row r="562" spans="1:11" ht="20" customHeight="1">
      <c r="A562" t="s">
        <v>22</v>
      </c>
      <c r="B562" t="s">
        <v>1715</v>
      </c>
      <c r="C562">
        <v>15.80700016021729</v>
      </c>
      <c r="D562">
        <v>16.38899993896484</v>
      </c>
      <c r="E562">
        <v>15.48200035095215</v>
      </c>
      <c r="F562">
        <v>16.32699966430664</v>
      </c>
      <c r="G562">
        <v>16.2684326171875</v>
      </c>
      <c r="H562">
        <v>655487000</v>
      </c>
      <c r="I562" t="s">
        <v>1716</v>
      </c>
      <c r="J562" t="s">
        <v>1717</v>
      </c>
      <c r="K562" t="s">
        <v>37</v>
      </c>
    </row>
    <row r="563" spans="1:11" ht="20" customHeight="1">
      <c r="A563" t="s">
        <v>22</v>
      </c>
      <c r="B563" t="s">
        <v>1718</v>
      </c>
      <c r="C563">
        <v>16.2180004119873</v>
      </c>
      <c r="D563">
        <v>16.54000091552734</v>
      </c>
      <c r="E563">
        <v>15.92199993133545</v>
      </c>
      <c r="F563">
        <v>16.29500007629395</v>
      </c>
      <c r="G563">
        <v>16.23654365539551</v>
      </c>
      <c r="H563">
        <v>527852000</v>
      </c>
      <c r="I563" t="s">
        <v>1719</v>
      </c>
      <c r="J563" t="s">
        <v>1720</v>
      </c>
      <c r="K563" t="s">
        <v>37</v>
      </c>
    </row>
    <row r="564" spans="1:11" ht="20" customHeight="1">
      <c r="A564" t="s">
        <v>22</v>
      </c>
      <c r="B564" t="s">
        <v>1721</v>
      </c>
      <c r="C564">
        <v>16.72200012207031</v>
      </c>
      <c r="D564">
        <v>16.99799919128418</v>
      </c>
      <c r="E564">
        <v>16.38199996948242</v>
      </c>
      <c r="F564">
        <v>16.66600036621094</v>
      </c>
      <c r="G564">
        <v>16.60621452331543</v>
      </c>
      <c r="H564">
        <v>545876000</v>
      </c>
      <c r="I564" t="s">
        <v>1722</v>
      </c>
      <c r="J564" t="s">
        <v>1723</v>
      </c>
      <c r="K564" t="s">
        <v>37</v>
      </c>
    </row>
    <row r="565" spans="1:11" ht="20" customHeight="1">
      <c r="A565" t="s">
        <v>22</v>
      </c>
      <c r="B565" t="s">
        <v>1724</v>
      </c>
      <c r="C565">
        <v>16.16200065612793</v>
      </c>
      <c r="D565">
        <v>16.36199951171875</v>
      </c>
      <c r="E565">
        <v>15.8730001449585</v>
      </c>
      <c r="F565">
        <v>15.90999984741211</v>
      </c>
      <c r="G565">
        <v>15.85292816162109</v>
      </c>
      <c r="H565">
        <v>649547000</v>
      </c>
      <c r="I565" t="s">
        <v>1725</v>
      </c>
      <c r="J565" t="s">
        <v>1726</v>
      </c>
      <c r="K565" t="s">
        <v>37</v>
      </c>
    </row>
    <row r="566" spans="1:11" ht="20" customHeight="1">
      <c r="A566" t="s">
        <v>22</v>
      </c>
      <c r="B566" t="s">
        <v>1727</v>
      </c>
      <c r="C566">
        <v>15.71500015258789</v>
      </c>
      <c r="D566">
        <v>16.26600074768066</v>
      </c>
      <c r="E566">
        <v>15.53499984741211</v>
      </c>
      <c r="F566">
        <v>15.67700004577637</v>
      </c>
      <c r="G566">
        <v>15.62076377868652</v>
      </c>
      <c r="H566">
        <v>710894000</v>
      </c>
      <c r="I566" t="s">
        <v>1728</v>
      </c>
      <c r="J566" t="s">
        <v>1729</v>
      </c>
      <c r="K566" t="s">
        <v>37</v>
      </c>
    </row>
    <row r="567" spans="1:11" ht="20" customHeight="1">
      <c r="A567" t="s">
        <v>22</v>
      </c>
      <c r="B567" t="s">
        <v>1730</v>
      </c>
      <c r="C567">
        <v>15.96599960327148</v>
      </c>
      <c r="D567">
        <v>16.00200080871582</v>
      </c>
      <c r="E567">
        <v>15.11999988555908</v>
      </c>
      <c r="F567">
        <v>15.40900039672852</v>
      </c>
      <c r="G567">
        <v>15.35372543334961</v>
      </c>
      <c r="H567">
        <v>492072000</v>
      </c>
      <c r="I567" t="s">
        <v>1731</v>
      </c>
      <c r="J567" t="s">
        <v>1732</v>
      </c>
      <c r="K567" t="s">
        <v>37</v>
      </c>
    </row>
    <row r="568" spans="1:11" ht="20" customHeight="1">
      <c r="A568" t="s">
        <v>22</v>
      </c>
      <c r="B568" t="s">
        <v>1733</v>
      </c>
      <c r="C568">
        <v>15.14700031280518</v>
      </c>
      <c r="D568">
        <v>15.47700023651123</v>
      </c>
      <c r="E568">
        <v>15.07999992370605</v>
      </c>
      <c r="F568">
        <v>15.31700038909912</v>
      </c>
      <c r="G568">
        <v>15.26205635070801</v>
      </c>
      <c r="H568">
        <v>404739000</v>
      </c>
      <c r="I568" t="s">
        <v>1734</v>
      </c>
      <c r="J568" t="s">
        <v>1735</v>
      </c>
      <c r="K568" t="s">
        <v>37</v>
      </c>
    </row>
    <row r="569" spans="1:11" ht="20" customHeight="1">
      <c r="A569" t="s">
        <v>22</v>
      </c>
      <c r="B569" t="s">
        <v>1736</v>
      </c>
      <c r="C569">
        <v>15.32800006866455</v>
      </c>
      <c r="D569">
        <v>16.0580005645752</v>
      </c>
      <c r="E569">
        <v>15.12199974060059</v>
      </c>
      <c r="F569">
        <v>16.03800010681152</v>
      </c>
      <c r="G569">
        <v>15.98046875</v>
      </c>
      <c r="H569">
        <v>472866000</v>
      </c>
      <c r="I569" t="s">
        <v>1737</v>
      </c>
      <c r="J569" t="s">
        <v>1738</v>
      </c>
      <c r="K569" t="s">
        <v>37</v>
      </c>
    </row>
    <row r="570" spans="1:11" ht="20" customHeight="1">
      <c r="A570" t="s">
        <v>22</v>
      </c>
      <c r="B570" t="s">
        <v>1739</v>
      </c>
      <c r="C570">
        <v>16.09799957275391</v>
      </c>
      <c r="D570">
        <v>16.52700042724609</v>
      </c>
      <c r="E570">
        <v>16.04800033569336</v>
      </c>
      <c r="F570">
        <v>16.51899909973145</v>
      </c>
      <c r="G570">
        <v>16.45973968505859</v>
      </c>
      <c r="H570">
        <v>427241000</v>
      </c>
      <c r="I570" t="s">
        <v>1740</v>
      </c>
      <c r="J570" t="s">
        <v>1741</v>
      </c>
      <c r="K570" t="s">
        <v>37</v>
      </c>
    </row>
    <row r="571" spans="1:11" ht="20" customHeight="1">
      <c r="A571" t="s">
        <v>22</v>
      </c>
      <c r="B571" t="s">
        <v>1742</v>
      </c>
      <c r="C571">
        <v>16.31800079345703</v>
      </c>
      <c r="D571">
        <v>16.48699951171875</v>
      </c>
      <c r="E571">
        <v>16.17200088500977</v>
      </c>
      <c r="F571">
        <v>16.27000045776367</v>
      </c>
      <c r="G571">
        <v>16.21163749694824</v>
      </c>
      <c r="H571">
        <v>167934000</v>
      </c>
      <c r="I571" t="s">
        <v>1743</v>
      </c>
      <c r="J571" t="s">
        <v>1744</v>
      </c>
      <c r="K571" t="s">
        <v>37</v>
      </c>
    </row>
    <row r="572" spans="1:11" ht="20" customHeight="1">
      <c r="A572" t="s">
        <v>22</v>
      </c>
      <c r="B572" t="s">
        <v>1745</v>
      </c>
      <c r="C572">
        <v>16.02599906921387</v>
      </c>
      <c r="D572">
        <v>16.35700035095215</v>
      </c>
      <c r="E572">
        <v>15.72500038146973</v>
      </c>
      <c r="F572">
        <v>15.82699966430664</v>
      </c>
      <c r="G572">
        <v>15.77022838592529</v>
      </c>
      <c r="H572">
        <v>303741000</v>
      </c>
      <c r="I572" t="s">
        <v>1746</v>
      </c>
      <c r="J572" t="s">
        <v>1747</v>
      </c>
      <c r="K572" t="s">
        <v>37</v>
      </c>
    </row>
    <row r="573" spans="1:11" ht="20" customHeight="1">
      <c r="A573" t="s">
        <v>22</v>
      </c>
      <c r="B573" t="s">
        <v>1748</v>
      </c>
      <c r="C573">
        <v>15.82699966430664</v>
      </c>
      <c r="D573">
        <v>15.93200016021729</v>
      </c>
      <c r="E573">
        <v>15.52000045776367</v>
      </c>
      <c r="F573">
        <v>15.63899993896484</v>
      </c>
      <c r="G573">
        <v>15.58290100097656</v>
      </c>
      <c r="H573">
        <v>298384000</v>
      </c>
      <c r="I573" t="s">
        <v>1749</v>
      </c>
      <c r="J573" t="s">
        <v>1750</v>
      </c>
      <c r="K573" t="s">
        <v>37</v>
      </c>
    </row>
    <row r="574" spans="1:11" ht="20" customHeight="1">
      <c r="A574" t="s">
        <v>22</v>
      </c>
      <c r="B574" t="s">
        <v>1751</v>
      </c>
      <c r="C574">
        <v>15.69699954986572</v>
      </c>
      <c r="D574">
        <v>16.93000030517578</v>
      </c>
      <c r="E574">
        <v>15.59700012207031</v>
      </c>
      <c r="F574">
        <v>16.92300033569336</v>
      </c>
      <c r="G574">
        <v>16.86660957336426</v>
      </c>
      <c r="H574">
        <v>565298000</v>
      </c>
      <c r="I574" t="s">
        <v>1752</v>
      </c>
      <c r="J574" t="s">
        <v>1753</v>
      </c>
      <c r="K574" t="s">
        <v>37</v>
      </c>
    </row>
    <row r="575" spans="1:11" ht="20" customHeight="1">
      <c r="A575" t="s">
        <v>22</v>
      </c>
      <c r="B575" t="s">
        <v>1754</v>
      </c>
      <c r="C575">
        <v>16.99900054931641</v>
      </c>
      <c r="D575">
        <v>17.26499938964844</v>
      </c>
      <c r="E575">
        <v>16.63500022888184</v>
      </c>
      <c r="F575">
        <v>17.13500022888184</v>
      </c>
      <c r="G575">
        <v>17.07789993286133</v>
      </c>
      <c r="H575">
        <v>470977000</v>
      </c>
      <c r="I575" t="s">
        <v>1755</v>
      </c>
      <c r="J575" t="s">
        <v>1756</v>
      </c>
      <c r="K575" t="s">
        <v>37</v>
      </c>
    </row>
    <row r="576" spans="1:11" ht="20" customHeight="1">
      <c r="A576" t="s">
        <v>22</v>
      </c>
      <c r="B576" t="s">
        <v>1757</v>
      </c>
      <c r="C576">
        <v>16.65900039672852</v>
      </c>
      <c r="D576">
        <v>16.9330005645752</v>
      </c>
      <c r="E576">
        <v>16.44499969482422</v>
      </c>
      <c r="F576">
        <v>16.87599945068359</v>
      </c>
      <c r="G576">
        <v>16.81976509094238</v>
      </c>
      <c r="H576">
        <v>371389000</v>
      </c>
      <c r="I576" t="s">
        <v>1758</v>
      </c>
      <c r="J576" t="s">
        <v>1759</v>
      </c>
      <c r="K576" t="s">
        <v>37</v>
      </c>
    </row>
    <row r="577" spans="1:11" ht="20" customHeight="1">
      <c r="A577" t="s">
        <v>22</v>
      </c>
      <c r="B577" t="s">
        <v>1760</v>
      </c>
      <c r="C577">
        <v>16.67900085449219</v>
      </c>
      <c r="D577">
        <v>16.9950008392334</v>
      </c>
      <c r="E577">
        <v>16.47200012207031</v>
      </c>
      <c r="F577">
        <v>16.61000061035156</v>
      </c>
      <c r="G577">
        <v>16.55465126037598</v>
      </c>
      <c r="H577">
        <v>352255000</v>
      </c>
      <c r="I577" t="s">
        <v>1761</v>
      </c>
      <c r="J577" t="s">
        <v>1762</v>
      </c>
      <c r="K577" t="s">
        <v>37</v>
      </c>
    </row>
    <row r="578" spans="1:11" ht="20" customHeight="1">
      <c r="A578" t="s">
        <v>22</v>
      </c>
      <c r="B578" t="s">
        <v>1763</v>
      </c>
      <c r="C578">
        <v>16.53000068664551</v>
      </c>
      <c r="D578">
        <v>16.57299995422363</v>
      </c>
      <c r="E578">
        <v>15.81900024414062</v>
      </c>
      <c r="F578">
        <v>15.98700046539307</v>
      </c>
      <c r="G578">
        <v>15.9337272644043</v>
      </c>
      <c r="H578">
        <v>352694000</v>
      </c>
      <c r="I578" t="s">
        <v>1764</v>
      </c>
      <c r="J578" t="s">
        <v>1765</v>
      </c>
      <c r="K578" t="s">
        <v>37</v>
      </c>
    </row>
    <row r="579" spans="1:11" ht="20" customHeight="1">
      <c r="A579" t="s">
        <v>22</v>
      </c>
      <c r="B579" t="s">
        <v>1766</v>
      </c>
      <c r="C579">
        <v>15.77200031280518</v>
      </c>
      <c r="D579">
        <v>16.18600082397461</v>
      </c>
      <c r="E579">
        <v>15.66699981689453</v>
      </c>
      <c r="F579">
        <v>16.1200008392334</v>
      </c>
      <c r="G579">
        <v>16.0662841796875</v>
      </c>
      <c r="H579">
        <v>372388000</v>
      </c>
      <c r="I579" t="s">
        <v>1767</v>
      </c>
      <c r="J579" t="s">
        <v>1768</v>
      </c>
      <c r="K579" t="s">
        <v>37</v>
      </c>
    </row>
    <row r="580" spans="1:11" ht="20" customHeight="1">
      <c r="A580" t="s">
        <v>22</v>
      </c>
      <c r="B580" t="s">
        <v>1769</v>
      </c>
      <c r="C580">
        <v>16.27300071716309</v>
      </c>
      <c r="D580">
        <v>17.17900085449219</v>
      </c>
      <c r="E580">
        <v>15.95899963378906</v>
      </c>
      <c r="F580">
        <v>17.16900062561035</v>
      </c>
      <c r="G580">
        <v>17.11178779602051</v>
      </c>
      <c r="H580">
        <v>515456000</v>
      </c>
      <c r="I580" t="s">
        <v>1770</v>
      </c>
      <c r="J580" t="s">
        <v>1771</v>
      </c>
      <c r="K580" t="s">
        <v>37</v>
      </c>
    </row>
    <row r="581" spans="1:11" ht="20" customHeight="1">
      <c r="A581" t="s">
        <v>22</v>
      </c>
      <c r="B581" t="s">
        <v>1772</v>
      </c>
      <c r="C581">
        <v>17.15999984741211</v>
      </c>
      <c r="D581">
        <v>17.58300018310547</v>
      </c>
      <c r="E581">
        <v>16.97500038146973</v>
      </c>
      <c r="F581">
        <v>17.00099945068359</v>
      </c>
      <c r="G581">
        <v>16.94434928894043</v>
      </c>
      <c r="H581">
        <v>465338000</v>
      </c>
      <c r="I581" t="s">
        <v>1773</v>
      </c>
      <c r="J581" t="s">
        <v>1774</v>
      </c>
      <c r="K581" t="s">
        <v>37</v>
      </c>
    </row>
    <row r="582" spans="1:11" ht="20" customHeight="1">
      <c r="A582" t="s">
        <v>22</v>
      </c>
      <c r="B582" t="s">
        <v>1775</v>
      </c>
      <c r="C582">
        <v>17.03700065612793</v>
      </c>
      <c r="D582">
        <v>17.53800010681152</v>
      </c>
      <c r="E582">
        <v>16.79700088500977</v>
      </c>
      <c r="F582">
        <v>17.53499984741211</v>
      </c>
      <c r="G582">
        <v>17.4765682220459</v>
      </c>
      <c r="H582">
        <v>457328000</v>
      </c>
      <c r="I582" t="s">
        <v>1776</v>
      </c>
      <c r="J582" t="s">
        <v>1777</v>
      </c>
      <c r="K582" t="s">
        <v>37</v>
      </c>
    </row>
    <row r="583" spans="1:11" ht="20" customHeight="1">
      <c r="A583" t="s">
        <v>22</v>
      </c>
      <c r="B583" t="s">
        <v>1778</v>
      </c>
      <c r="C583">
        <v>18.5310001373291</v>
      </c>
      <c r="D583">
        <v>18.79000091552734</v>
      </c>
      <c r="E583">
        <v>17.71100044250488</v>
      </c>
      <c r="F583">
        <v>18.07200050354004</v>
      </c>
      <c r="G583">
        <v>18.01177597045898</v>
      </c>
      <c r="H583">
        <v>656589000</v>
      </c>
      <c r="I583" t="s">
        <v>1779</v>
      </c>
      <c r="J583" t="s">
        <v>1780</v>
      </c>
      <c r="K583" t="s">
        <v>37</v>
      </c>
    </row>
    <row r="584" spans="1:11" ht="20" customHeight="1">
      <c r="A584" t="s">
        <v>22</v>
      </c>
      <c r="B584" t="s">
        <v>1781</v>
      </c>
      <c r="C584">
        <v>17.98699951171875</v>
      </c>
      <c r="D584">
        <v>18.25200080871582</v>
      </c>
      <c r="E584">
        <v>17.42000007629395</v>
      </c>
      <c r="F584">
        <v>17.67399978637695</v>
      </c>
      <c r="G584">
        <v>17.61511039733887</v>
      </c>
      <c r="H584">
        <v>496888000</v>
      </c>
      <c r="I584" t="s">
        <v>1782</v>
      </c>
      <c r="J584" t="s">
        <v>1783</v>
      </c>
      <c r="K584" t="s">
        <v>37</v>
      </c>
    </row>
    <row r="585" spans="1:11" ht="20" customHeight="1">
      <c r="A585" t="s">
        <v>22</v>
      </c>
      <c r="B585" t="s">
        <v>1784</v>
      </c>
      <c r="C585">
        <v>17.14599990844727</v>
      </c>
      <c r="D585">
        <v>17.31999969482422</v>
      </c>
      <c r="E585">
        <v>16.70000076293945</v>
      </c>
      <c r="F585">
        <v>16.95199966430664</v>
      </c>
      <c r="G585">
        <v>16.89551162719727</v>
      </c>
      <c r="H585">
        <v>478542000</v>
      </c>
      <c r="I585" t="s">
        <v>1785</v>
      </c>
      <c r="J585" t="s">
        <v>1786</v>
      </c>
      <c r="K585" t="s">
        <v>37</v>
      </c>
    </row>
    <row r="586" spans="1:11" ht="20" customHeight="1">
      <c r="A586" t="s">
        <v>22</v>
      </c>
      <c r="B586" t="s">
        <v>1787</v>
      </c>
      <c r="C586">
        <v>16.86400032043457</v>
      </c>
      <c r="D586">
        <v>17.04100036621094</v>
      </c>
      <c r="E586">
        <v>16.40999984741211</v>
      </c>
      <c r="F586">
        <v>16.57099914550781</v>
      </c>
      <c r="G586">
        <v>16.51578330993652</v>
      </c>
      <c r="H586">
        <v>478232000</v>
      </c>
      <c r="I586" t="s">
        <v>1788</v>
      </c>
      <c r="J586" t="s">
        <v>1789</v>
      </c>
      <c r="K586" t="s">
        <v>37</v>
      </c>
    </row>
    <row r="587" spans="1:11" ht="20" customHeight="1">
      <c r="A587" t="s">
        <v>22</v>
      </c>
      <c r="B587" t="s">
        <v>1790</v>
      </c>
      <c r="C587">
        <v>16.57200050354004</v>
      </c>
      <c r="D587">
        <v>16.60899925231934</v>
      </c>
      <c r="E587">
        <v>16.14500045776367</v>
      </c>
      <c r="F587">
        <v>16.25399971008301</v>
      </c>
      <c r="G587">
        <v>16.1998348236084</v>
      </c>
      <c r="H587">
        <v>354039000</v>
      </c>
      <c r="I587" t="s">
        <v>1791</v>
      </c>
      <c r="J587" t="s">
        <v>1792</v>
      </c>
      <c r="K587" t="s">
        <v>37</v>
      </c>
    </row>
    <row r="588" spans="1:11" ht="20" customHeight="1">
      <c r="A588" t="s">
        <v>22</v>
      </c>
      <c r="B588" t="s">
        <v>1793</v>
      </c>
      <c r="C588">
        <v>16.06399917602539</v>
      </c>
      <c r="D588">
        <v>16.30999946594238</v>
      </c>
      <c r="E588">
        <v>15.85200023651123</v>
      </c>
      <c r="F588">
        <v>16.08499908447266</v>
      </c>
      <c r="G588">
        <v>16.03139877319336</v>
      </c>
      <c r="H588">
        <v>403260000</v>
      </c>
      <c r="I588" t="s">
        <v>1794</v>
      </c>
      <c r="J588" t="s">
        <v>1795</v>
      </c>
      <c r="K588" t="s">
        <v>37</v>
      </c>
    </row>
    <row r="589" spans="1:11" ht="20" customHeight="1">
      <c r="A589" t="s">
        <v>22</v>
      </c>
      <c r="B589" t="s">
        <v>1796</v>
      </c>
      <c r="C589">
        <v>16.11400032043457</v>
      </c>
      <c r="D589">
        <v>16.62700080871582</v>
      </c>
      <c r="E589">
        <v>16.10199928283691</v>
      </c>
      <c r="F589">
        <v>16.50099945068359</v>
      </c>
      <c r="G589">
        <v>16.44601440429688</v>
      </c>
      <c r="H589">
        <v>325025000</v>
      </c>
      <c r="I589" t="s">
        <v>1797</v>
      </c>
      <c r="J589" t="s">
        <v>1798</v>
      </c>
      <c r="K589" t="s">
        <v>37</v>
      </c>
    </row>
    <row r="590" spans="1:11" ht="20" customHeight="1">
      <c r="A590" t="s">
        <v>22</v>
      </c>
      <c r="B590" t="s">
        <v>1799</v>
      </c>
      <c r="C590">
        <v>16.0939998626709</v>
      </c>
      <c r="D590">
        <v>16.13800048828125</v>
      </c>
      <c r="E590">
        <v>14.88199996948242</v>
      </c>
      <c r="F590">
        <v>15.33899974822998</v>
      </c>
      <c r="G590">
        <v>15.28788757324219</v>
      </c>
      <c r="H590">
        <v>565045000</v>
      </c>
      <c r="I590" t="s">
        <v>1800</v>
      </c>
      <c r="J590" t="s">
        <v>1801</v>
      </c>
      <c r="K590" t="s">
        <v>37</v>
      </c>
    </row>
    <row r="591" spans="1:11" ht="20" customHeight="1">
      <c r="A591" t="s">
        <v>22</v>
      </c>
      <c r="B591" t="s">
        <v>1802</v>
      </c>
      <c r="C591">
        <v>15.19600009918213</v>
      </c>
      <c r="D591">
        <v>15.33899974822998</v>
      </c>
      <c r="E591">
        <v>14.88300037384033</v>
      </c>
      <c r="F591">
        <v>15.20600032806396</v>
      </c>
      <c r="G591">
        <v>15.15532875061035</v>
      </c>
      <c r="H591">
        <v>349326000</v>
      </c>
      <c r="I591" t="s">
        <v>1803</v>
      </c>
      <c r="J591" t="s">
        <v>1804</v>
      </c>
      <c r="K591" t="s">
        <v>37</v>
      </c>
    </row>
    <row r="592" spans="1:11" ht="20" customHeight="1">
      <c r="A592" t="s">
        <v>22</v>
      </c>
      <c r="B592" t="s">
        <v>1805</v>
      </c>
      <c r="C592">
        <v>15.07400035858154</v>
      </c>
      <c r="D592">
        <v>15.10000038146973</v>
      </c>
      <c r="E592">
        <v>14.05599975585938</v>
      </c>
      <c r="F592">
        <v>14.12100028991699</v>
      </c>
      <c r="G592">
        <v>14.07394599914551</v>
      </c>
      <c r="H592">
        <v>464902000</v>
      </c>
      <c r="I592" t="s">
        <v>1806</v>
      </c>
      <c r="J592" t="s">
        <v>1807</v>
      </c>
      <c r="K592" t="s">
        <v>37</v>
      </c>
    </row>
    <row r="593" spans="1:11" ht="20" customHeight="1">
      <c r="A593" t="s">
        <v>22</v>
      </c>
      <c r="B593" t="s">
        <v>1808</v>
      </c>
      <c r="C593">
        <v>13.92700004577637</v>
      </c>
      <c r="D593">
        <v>14.26200008392334</v>
      </c>
      <c r="E593">
        <v>13.88399982452393</v>
      </c>
      <c r="F593">
        <v>14.03600025177002</v>
      </c>
      <c r="G593">
        <v>13.98922824859619</v>
      </c>
      <c r="H593">
        <v>351066000</v>
      </c>
      <c r="I593" t="s">
        <v>1809</v>
      </c>
      <c r="J593" t="s">
        <v>1810</v>
      </c>
      <c r="K593" t="s">
        <v>37</v>
      </c>
    </row>
    <row r="594" spans="1:11" ht="20" customHeight="1">
      <c r="A594" t="s">
        <v>22</v>
      </c>
      <c r="B594" t="s">
        <v>1811</v>
      </c>
      <c r="C594">
        <v>14.40200042724609</v>
      </c>
      <c r="D594">
        <v>14.68299961090088</v>
      </c>
      <c r="E594">
        <v>14.22700023651123</v>
      </c>
      <c r="F594">
        <v>14.60299968719482</v>
      </c>
      <c r="G594">
        <v>14.55433654785156</v>
      </c>
      <c r="H594">
        <v>354923000</v>
      </c>
      <c r="I594" t="s">
        <v>1812</v>
      </c>
      <c r="J594" t="s">
        <v>1813</v>
      </c>
      <c r="K594" t="s">
        <v>37</v>
      </c>
    </row>
    <row r="595" spans="1:11" ht="20" customHeight="1">
      <c r="A595" t="s">
        <v>22</v>
      </c>
      <c r="B595" t="s">
        <v>1814</v>
      </c>
      <c r="C595">
        <v>14.33399963378906</v>
      </c>
      <c r="D595">
        <v>14.62899971008301</v>
      </c>
      <c r="E595">
        <v>14.23299980163574</v>
      </c>
      <c r="F595">
        <v>14.61400032043457</v>
      </c>
      <c r="G595">
        <v>14.56530094146729</v>
      </c>
      <c r="H595">
        <v>310490000</v>
      </c>
      <c r="I595" t="s">
        <v>1815</v>
      </c>
      <c r="J595" t="s">
        <v>1816</v>
      </c>
      <c r="K595" t="s">
        <v>37</v>
      </c>
    </row>
    <row r="596" spans="1:11" ht="20" customHeight="1">
      <c r="A596" t="s">
        <v>22</v>
      </c>
      <c r="B596" t="s">
        <v>1817</v>
      </c>
      <c r="C596">
        <v>14.85099983215332</v>
      </c>
      <c r="D596">
        <v>14.99600028991699</v>
      </c>
      <c r="E596">
        <v>14.0959997177124</v>
      </c>
      <c r="F596">
        <v>14.3149995803833</v>
      </c>
      <c r="G596">
        <v>14.26729869842529</v>
      </c>
      <c r="H596">
        <v>401277000</v>
      </c>
      <c r="I596" t="s">
        <v>1818</v>
      </c>
      <c r="J596" t="s">
        <v>1819</v>
      </c>
      <c r="K596" t="s">
        <v>37</v>
      </c>
    </row>
    <row r="597" spans="1:11" ht="20" customHeight="1">
      <c r="A597" t="s">
        <v>22</v>
      </c>
      <c r="B597" t="s">
        <v>1820</v>
      </c>
      <c r="C597">
        <v>14.56700038909912</v>
      </c>
      <c r="D597">
        <v>14.85299968719482</v>
      </c>
      <c r="E597">
        <v>14.24100017547607</v>
      </c>
      <c r="F597">
        <v>14.74899959564209</v>
      </c>
      <c r="G597">
        <v>14.69985103607178</v>
      </c>
      <c r="H597">
        <v>431324000</v>
      </c>
      <c r="I597" t="s">
        <v>1821</v>
      </c>
      <c r="J597" t="s">
        <v>1822</v>
      </c>
      <c r="K597" t="s">
        <v>37</v>
      </c>
    </row>
    <row r="598" spans="1:11" ht="20" customHeight="1">
      <c r="A598" t="s">
        <v>22</v>
      </c>
      <c r="B598" t="s">
        <v>1823</v>
      </c>
      <c r="C598">
        <v>14.49100017547607</v>
      </c>
      <c r="D598">
        <v>14.56400012969971</v>
      </c>
      <c r="E598">
        <v>14.14799976348877</v>
      </c>
      <c r="F598">
        <v>14.26500034332275</v>
      </c>
      <c r="G598">
        <v>14.21746349334717</v>
      </c>
      <c r="H598">
        <v>389168000</v>
      </c>
      <c r="I598" t="s">
        <v>1824</v>
      </c>
      <c r="J598" t="s">
        <v>1825</v>
      </c>
      <c r="K598" t="s">
        <v>37</v>
      </c>
    </row>
    <row r="599" spans="1:11" ht="20" customHeight="1">
      <c r="A599" t="s">
        <v>22</v>
      </c>
      <c r="B599" t="s">
        <v>1826</v>
      </c>
      <c r="C599">
        <v>14.47399997711182</v>
      </c>
      <c r="D599">
        <v>15.01000022888184</v>
      </c>
      <c r="E599">
        <v>14.03400039672852</v>
      </c>
      <c r="F599">
        <v>14.85900020599365</v>
      </c>
      <c r="G599">
        <v>14.80948638916016</v>
      </c>
      <c r="H599">
        <v>405044000</v>
      </c>
      <c r="I599" t="s">
        <v>1827</v>
      </c>
      <c r="J599" t="s">
        <v>1828</v>
      </c>
      <c r="K599" t="s">
        <v>37</v>
      </c>
    </row>
    <row r="600" spans="1:11" ht="20" customHeight="1">
      <c r="A600" t="s">
        <v>22</v>
      </c>
      <c r="B600" t="s">
        <v>1829</v>
      </c>
      <c r="C600">
        <v>15.28400039672852</v>
      </c>
      <c r="D600">
        <v>16.05599975585938</v>
      </c>
      <c r="E600">
        <v>15.14099979400635</v>
      </c>
      <c r="F600">
        <v>15.62800025939941</v>
      </c>
      <c r="G600">
        <v>15.57592296600342</v>
      </c>
      <c r="H600">
        <v>504231000</v>
      </c>
      <c r="I600" t="s">
        <v>1830</v>
      </c>
      <c r="J600" t="s">
        <v>1831</v>
      </c>
      <c r="K600" t="s">
        <v>37</v>
      </c>
    </row>
    <row r="601" spans="1:11" ht="20" customHeight="1">
      <c r="A601" t="s">
        <v>22</v>
      </c>
      <c r="B601" t="s">
        <v>1832</v>
      </c>
      <c r="C601">
        <v>15.50699996948242</v>
      </c>
      <c r="D601">
        <v>15.96199989318848</v>
      </c>
      <c r="E601">
        <v>15.47200012207031</v>
      </c>
      <c r="F601">
        <v>15.90900039672852</v>
      </c>
      <c r="G601">
        <v>15.85598659515381</v>
      </c>
      <c r="H601">
        <v>384101000</v>
      </c>
      <c r="I601" t="s">
        <v>1833</v>
      </c>
      <c r="J601" t="s">
        <v>1834</v>
      </c>
      <c r="K601" t="s">
        <v>37</v>
      </c>
    </row>
    <row r="602" spans="1:11" ht="20" customHeight="1">
      <c r="A602" t="s">
        <v>22</v>
      </c>
      <c r="B602" t="s">
        <v>1835</v>
      </c>
      <c r="C602">
        <v>15.84000015258789</v>
      </c>
      <c r="D602">
        <v>16.02799987792969</v>
      </c>
      <c r="E602">
        <v>15.5629997253418</v>
      </c>
      <c r="F602">
        <v>16.00099945068359</v>
      </c>
      <c r="G602">
        <v>15.947678565979</v>
      </c>
      <c r="H602">
        <v>353285000</v>
      </c>
      <c r="I602" t="s">
        <v>1836</v>
      </c>
      <c r="J602" t="s">
        <v>1837</v>
      </c>
      <c r="K602" t="s">
        <v>37</v>
      </c>
    </row>
    <row r="603" spans="1:11" ht="20" customHeight="1">
      <c r="A603" t="s">
        <v>22</v>
      </c>
      <c r="B603" t="s">
        <v>1838</v>
      </c>
      <c r="C603">
        <v>16.10000038146973</v>
      </c>
      <c r="D603">
        <v>16.63699913024902</v>
      </c>
      <c r="E603">
        <v>15.49199962615967</v>
      </c>
      <c r="F603">
        <v>16.51099967956543</v>
      </c>
      <c r="G603">
        <v>16.45598220825195</v>
      </c>
      <c r="H603">
        <v>551409000</v>
      </c>
      <c r="I603" t="s">
        <v>1839</v>
      </c>
      <c r="J603" t="s">
        <v>1840</v>
      </c>
      <c r="K603" t="s">
        <v>37</v>
      </c>
    </row>
    <row r="604" spans="1:11" ht="20" customHeight="1">
      <c r="A604" t="s">
        <v>22</v>
      </c>
      <c r="B604" t="s">
        <v>1841</v>
      </c>
      <c r="C604">
        <v>16.27799987792969</v>
      </c>
      <c r="D604">
        <v>16.92200088500977</v>
      </c>
      <c r="E604">
        <v>16.16500091552734</v>
      </c>
      <c r="F604">
        <v>16.89900016784668</v>
      </c>
      <c r="G604">
        <v>16.84268951416016</v>
      </c>
      <c r="H604">
        <v>447287000</v>
      </c>
      <c r="I604" t="s">
        <v>1842</v>
      </c>
      <c r="J604" t="s">
        <v>1843</v>
      </c>
      <c r="K604" t="s">
        <v>37</v>
      </c>
    </row>
    <row r="605" spans="1:11" ht="20" customHeight="1">
      <c r="A605" t="s">
        <v>22</v>
      </c>
      <c r="B605" t="s">
        <v>1844</v>
      </c>
      <c r="C605">
        <v>16.89900016784668</v>
      </c>
      <c r="D605">
        <v>17.72800064086914</v>
      </c>
      <c r="E605">
        <v>16.89900016784668</v>
      </c>
      <c r="F605">
        <v>17.70199966430664</v>
      </c>
      <c r="G605">
        <v>17.64301490783691</v>
      </c>
      <c r="H605">
        <v>511102000</v>
      </c>
      <c r="I605" t="s">
        <v>1845</v>
      </c>
      <c r="J605" t="s">
        <v>1846</v>
      </c>
      <c r="K605" t="s">
        <v>37</v>
      </c>
    </row>
    <row r="606" spans="1:11" ht="20" customHeight="1">
      <c r="A606" t="s">
        <v>22</v>
      </c>
      <c r="B606" t="s">
        <v>1847</v>
      </c>
      <c r="C606">
        <v>17.66699981689453</v>
      </c>
      <c r="D606">
        <v>17.87299919128418</v>
      </c>
      <c r="E606">
        <v>17.2819995880127</v>
      </c>
      <c r="F606">
        <v>17.37700080871582</v>
      </c>
      <c r="G606">
        <v>17.3190975189209</v>
      </c>
      <c r="H606">
        <v>439624000</v>
      </c>
      <c r="I606" t="s">
        <v>1848</v>
      </c>
      <c r="J606" t="s">
        <v>1849</v>
      </c>
      <c r="K606" t="s">
        <v>37</v>
      </c>
    </row>
    <row r="607" spans="1:11" ht="20" customHeight="1">
      <c r="A607" t="s">
        <v>22</v>
      </c>
      <c r="B607" t="s">
        <v>1850</v>
      </c>
      <c r="C607">
        <v>17.0359992980957</v>
      </c>
      <c r="D607">
        <v>17.19700050354004</v>
      </c>
      <c r="E607">
        <v>16.73100090026855</v>
      </c>
      <c r="F607">
        <v>16.76499938964844</v>
      </c>
      <c r="G607">
        <v>16.70913124084473</v>
      </c>
      <c r="H607">
        <v>452932000</v>
      </c>
      <c r="I607" t="s">
        <v>1851</v>
      </c>
      <c r="J607" t="s">
        <v>1852</v>
      </c>
      <c r="K607" t="s">
        <v>37</v>
      </c>
    </row>
    <row r="608" spans="1:11" ht="20" customHeight="1">
      <c r="A608" t="s">
        <v>22</v>
      </c>
      <c r="B608" t="s">
        <v>1853</v>
      </c>
      <c r="C608">
        <v>17.01099967956543</v>
      </c>
      <c r="D608">
        <v>17.85600090026855</v>
      </c>
      <c r="E608">
        <v>16.82500076293945</v>
      </c>
      <c r="F608">
        <v>17.8390007019043</v>
      </c>
      <c r="G608">
        <v>17.77955627441406</v>
      </c>
      <c r="H608">
        <v>564967000</v>
      </c>
      <c r="I608" t="s">
        <v>1854</v>
      </c>
      <c r="J608" t="s">
        <v>1855</v>
      </c>
      <c r="K608" t="s">
        <v>37</v>
      </c>
    </row>
    <row r="609" spans="1:11" ht="20" customHeight="1">
      <c r="A609" t="s">
        <v>22</v>
      </c>
      <c r="B609" t="s">
        <v>1856</v>
      </c>
      <c r="C609">
        <v>18.06399917602539</v>
      </c>
      <c r="D609">
        <v>19.2450008392334</v>
      </c>
      <c r="E609">
        <v>17.81800079345703</v>
      </c>
      <c r="F609">
        <v>19.19300079345703</v>
      </c>
      <c r="G609">
        <v>19.12905120849609</v>
      </c>
      <c r="H609">
        <v>655163000</v>
      </c>
      <c r="I609" t="s">
        <v>1857</v>
      </c>
      <c r="J609" t="s">
        <v>1858</v>
      </c>
      <c r="K609" t="s">
        <v>37</v>
      </c>
    </row>
    <row r="610" spans="1:11" ht="20" customHeight="1">
      <c r="A610" t="s">
        <v>22</v>
      </c>
      <c r="B610" t="s">
        <v>1859</v>
      </c>
      <c r="C610">
        <v>18.82699966430664</v>
      </c>
      <c r="D610">
        <v>19.4950008392334</v>
      </c>
      <c r="E610">
        <v>18.81999969482422</v>
      </c>
      <c r="F610">
        <v>19.26499938964844</v>
      </c>
      <c r="G610">
        <v>19.20080375671387</v>
      </c>
      <c r="H610">
        <v>496204000</v>
      </c>
      <c r="I610" t="s">
        <v>1860</v>
      </c>
      <c r="J610" t="s">
        <v>1861</v>
      </c>
      <c r="K610" t="s">
        <v>37</v>
      </c>
    </row>
    <row r="611" spans="1:11" ht="20" customHeight="1">
      <c r="A611" t="s">
        <v>22</v>
      </c>
      <c r="B611" t="s">
        <v>1862</v>
      </c>
      <c r="C611">
        <v>18.91300010681152</v>
      </c>
      <c r="D611">
        <v>19.3700008392334</v>
      </c>
      <c r="E611">
        <v>18.57999992370605</v>
      </c>
      <c r="F611">
        <v>19.32299995422363</v>
      </c>
      <c r="G611">
        <v>19.25861167907715</v>
      </c>
      <c r="H611">
        <v>449537000</v>
      </c>
      <c r="I611" t="s">
        <v>1863</v>
      </c>
      <c r="J611" t="s">
        <v>1864</v>
      </c>
      <c r="K611" t="s">
        <v>37</v>
      </c>
    </row>
    <row r="612" spans="1:11" ht="20" customHeight="1">
      <c r="A612" t="s">
        <v>22</v>
      </c>
      <c r="B612" t="s">
        <v>1865</v>
      </c>
      <c r="C612">
        <v>19.70100021362305</v>
      </c>
      <c r="D612">
        <v>20.16600036621094</v>
      </c>
      <c r="E612">
        <v>19.27799987792969</v>
      </c>
      <c r="F612">
        <v>19.80200004577637</v>
      </c>
      <c r="G612">
        <v>19.73601341247559</v>
      </c>
      <c r="H612">
        <v>489535000</v>
      </c>
      <c r="I612" t="s">
        <v>1866</v>
      </c>
      <c r="J612" t="s">
        <v>1867</v>
      </c>
      <c r="K612" t="s">
        <v>37</v>
      </c>
    </row>
    <row r="613" spans="1:11" ht="20" customHeight="1">
      <c r="A613" t="s">
        <v>22</v>
      </c>
      <c r="B613" t="s">
        <v>1868</v>
      </c>
      <c r="C613">
        <v>19.46199989318848</v>
      </c>
      <c r="D613">
        <v>20.62800025939941</v>
      </c>
      <c r="E613">
        <v>19.40500068664551</v>
      </c>
      <c r="F613">
        <v>20.36499977111816</v>
      </c>
      <c r="G613">
        <v>20.29713439941406</v>
      </c>
      <c r="H613">
        <v>542142000</v>
      </c>
      <c r="I613" t="s">
        <v>1869</v>
      </c>
      <c r="J613" t="s">
        <v>1870</v>
      </c>
      <c r="K613" t="s">
        <v>37</v>
      </c>
    </row>
    <row r="614" spans="1:11" ht="20" customHeight="1">
      <c r="A614" t="s">
        <v>22</v>
      </c>
      <c r="B614" t="s">
        <v>1871</v>
      </c>
      <c r="C614">
        <v>19.95000076293945</v>
      </c>
      <c r="D614">
        <v>20.13999938964844</v>
      </c>
      <c r="E614">
        <v>19.14999961853027</v>
      </c>
      <c r="F614">
        <v>19.16200065612793</v>
      </c>
      <c r="G614">
        <v>19.09814453125</v>
      </c>
      <c r="H614">
        <v>488611000</v>
      </c>
      <c r="I614" t="s">
        <v>1872</v>
      </c>
      <c r="J614" t="s">
        <v>1873</v>
      </c>
      <c r="K614" t="s">
        <v>37</v>
      </c>
    </row>
    <row r="615" spans="1:11" ht="20" customHeight="1">
      <c r="A615" t="s">
        <v>22</v>
      </c>
      <c r="B615" t="s">
        <v>1874</v>
      </c>
      <c r="C615">
        <v>19.17000007629395</v>
      </c>
      <c r="D615">
        <v>19.6870002746582</v>
      </c>
      <c r="E615">
        <v>18.95000076293945</v>
      </c>
      <c r="F615">
        <v>19.53700065612793</v>
      </c>
      <c r="G615">
        <v>19.47189903259277</v>
      </c>
      <c r="H615">
        <v>498017000</v>
      </c>
      <c r="I615" t="s">
        <v>1875</v>
      </c>
      <c r="J615" t="s">
        <v>1876</v>
      </c>
      <c r="K615" t="s">
        <v>37</v>
      </c>
    </row>
    <row r="616" spans="1:11" ht="20" customHeight="1">
      <c r="A616" t="s">
        <v>22</v>
      </c>
      <c r="B616" t="s">
        <v>1877</v>
      </c>
      <c r="C616">
        <v>19.69099998474121</v>
      </c>
      <c r="D616">
        <v>21.1919994354248</v>
      </c>
      <c r="E616">
        <v>19.61100006103516</v>
      </c>
      <c r="F616">
        <v>20.94300079345703</v>
      </c>
      <c r="G616">
        <v>20.87321281433105</v>
      </c>
      <c r="H616">
        <v>660477000</v>
      </c>
      <c r="I616" t="s">
        <v>1878</v>
      </c>
      <c r="J616" t="s">
        <v>1879</v>
      </c>
      <c r="K616" t="s">
        <v>37</v>
      </c>
    </row>
    <row r="617" spans="1:11" ht="20" customHeight="1">
      <c r="A617" t="s">
        <v>22</v>
      </c>
      <c r="B617" t="s">
        <v>1880</v>
      </c>
      <c r="C617">
        <v>21</v>
      </c>
      <c r="D617">
        <v>21.94899940490723</v>
      </c>
      <c r="E617">
        <v>20.70000076293945</v>
      </c>
      <c r="F617">
        <v>21.70899963378906</v>
      </c>
      <c r="G617">
        <v>21.63665962219238</v>
      </c>
      <c r="H617">
        <v>564276000</v>
      </c>
      <c r="I617" t="s">
        <v>1881</v>
      </c>
      <c r="J617" t="s">
        <v>1882</v>
      </c>
      <c r="K617" t="s">
        <v>37</v>
      </c>
    </row>
    <row r="618" spans="1:11" ht="20" customHeight="1">
      <c r="A618" t="s">
        <v>22</v>
      </c>
      <c r="B618" t="s">
        <v>1883</v>
      </c>
      <c r="C618">
        <v>21</v>
      </c>
      <c r="D618">
        <v>21.7450008392334</v>
      </c>
      <c r="E618">
        <v>20.78899955749512</v>
      </c>
      <c r="F618">
        <v>21.10000038146973</v>
      </c>
      <c r="G618">
        <v>21.02968788146973</v>
      </c>
      <c r="H618">
        <v>429366000</v>
      </c>
      <c r="I618" t="s">
        <v>1884</v>
      </c>
      <c r="J618" t="s">
        <v>1885</v>
      </c>
      <c r="K618" t="s">
        <v>37</v>
      </c>
    </row>
    <row r="619" spans="1:11" ht="20" customHeight="1">
      <c r="A619" t="s">
        <v>22</v>
      </c>
      <c r="B619" t="s">
        <v>1886</v>
      </c>
      <c r="C619">
        <v>20.80599975585938</v>
      </c>
      <c r="D619">
        <v>21.56999969482422</v>
      </c>
      <c r="E619">
        <v>20.7859992980957</v>
      </c>
      <c r="F619">
        <v>21.0890007019043</v>
      </c>
      <c r="G619">
        <v>21.01872825622559</v>
      </c>
      <c r="H619">
        <v>452197000</v>
      </c>
      <c r="I619" t="s">
        <v>1887</v>
      </c>
      <c r="J619" t="s">
        <v>1888</v>
      </c>
      <c r="K619" t="s">
        <v>37</v>
      </c>
    </row>
    <row r="620" spans="1:11" ht="20" customHeight="1">
      <c r="A620" t="s">
        <v>22</v>
      </c>
      <c r="B620" t="s">
        <v>1889</v>
      </c>
      <c r="C620">
        <v>21.38199996948242</v>
      </c>
      <c r="D620">
        <v>22.25900077819824</v>
      </c>
      <c r="E620">
        <v>21.14999961853027</v>
      </c>
      <c r="F620">
        <v>22.17300033569336</v>
      </c>
      <c r="G620">
        <v>22.09911346435547</v>
      </c>
      <c r="H620">
        <v>664150000</v>
      </c>
      <c r="I620" t="s">
        <v>1890</v>
      </c>
      <c r="J620" t="s">
        <v>1891</v>
      </c>
      <c r="K620" t="s">
        <v>37</v>
      </c>
    </row>
    <row r="621" spans="1:11" ht="20" customHeight="1">
      <c r="A621" t="s">
        <v>22</v>
      </c>
      <c r="B621" t="s">
        <v>1892</v>
      </c>
      <c r="C621">
        <v>22.38699913024902</v>
      </c>
      <c r="D621">
        <v>22.87800025939941</v>
      </c>
      <c r="E621">
        <v>22.00799942016602</v>
      </c>
      <c r="F621">
        <v>22.20499992370605</v>
      </c>
      <c r="G621">
        <v>22.13100624084473</v>
      </c>
      <c r="H621">
        <v>559651000</v>
      </c>
      <c r="I621" t="s">
        <v>1893</v>
      </c>
      <c r="J621" t="s">
        <v>1894</v>
      </c>
      <c r="K621" t="s">
        <v>37</v>
      </c>
    </row>
    <row r="622" spans="1:11" ht="20" customHeight="1">
      <c r="A622" t="s">
        <v>22</v>
      </c>
      <c r="B622" t="s">
        <v>1895</v>
      </c>
      <c r="C622">
        <v>22.60600090026855</v>
      </c>
      <c r="D622">
        <v>23.02000045776367</v>
      </c>
      <c r="E622">
        <v>22.1200008392334</v>
      </c>
      <c r="F622">
        <v>22.33699989318848</v>
      </c>
      <c r="G622">
        <v>22.26256561279297</v>
      </c>
      <c r="H622">
        <v>523876000</v>
      </c>
      <c r="I622" t="s">
        <v>1896</v>
      </c>
      <c r="J622" t="s">
        <v>1897</v>
      </c>
      <c r="K622" t="s">
        <v>37</v>
      </c>
    </row>
    <row r="623" spans="1:11" ht="20" customHeight="1">
      <c r="A623" t="s">
        <v>22</v>
      </c>
      <c r="B623" t="s">
        <v>1898</v>
      </c>
      <c r="C623">
        <v>21.69000053405762</v>
      </c>
      <c r="D623">
        <v>22.07799911499023</v>
      </c>
      <c r="E623">
        <v>20.81100082397461</v>
      </c>
      <c r="F623">
        <v>21.26499938964844</v>
      </c>
      <c r="G623">
        <v>21.19413757324219</v>
      </c>
      <c r="H623">
        <v>550737000</v>
      </c>
      <c r="I623" t="s">
        <v>1899</v>
      </c>
      <c r="J623" t="s">
        <v>1900</v>
      </c>
      <c r="K623" t="s">
        <v>37</v>
      </c>
    </row>
    <row r="624" spans="1:11" ht="20" customHeight="1">
      <c r="A624" t="s">
        <v>22</v>
      </c>
      <c r="B624" t="s">
        <v>1901</v>
      </c>
      <c r="C624">
        <v>21.53800010681152</v>
      </c>
      <c r="D624">
        <v>22.04800033569336</v>
      </c>
      <c r="E624">
        <v>20.96199989318848</v>
      </c>
      <c r="F624">
        <v>21.78800010681152</v>
      </c>
      <c r="G624">
        <v>21.71539878845215</v>
      </c>
      <c r="H624">
        <v>474919000</v>
      </c>
      <c r="I624" t="s">
        <v>1902</v>
      </c>
      <c r="J624" t="s">
        <v>1903</v>
      </c>
      <c r="K624" t="s">
        <v>37</v>
      </c>
    </row>
    <row r="625" spans="1:11" ht="20" customHeight="1">
      <c r="A625" t="s">
        <v>22</v>
      </c>
      <c r="B625" t="s">
        <v>1904</v>
      </c>
      <c r="C625">
        <v>21.57799911499023</v>
      </c>
      <c r="D625">
        <v>23.04899978637695</v>
      </c>
      <c r="E625">
        <v>21.36599922180176</v>
      </c>
      <c r="F625">
        <v>22.97100067138672</v>
      </c>
      <c r="G625">
        <v>22.89445304870605</v>
      </c>
      <c r="H625">
        <v>675474000</v>
      </c>
      <c r="I625" t="s">
        <v>1905</v>
      </c>
      <c r="J625" t="s">
        <v>1906</v>
      </c>
      <c r="K625" t="s">
        <v>37</v>
      </c>
    </row>
    <row r="626" spans="1:11" ht="20" customHeight="1">
      <c r="A626" t="s">
        <v>22</v>
      </c>
      <c r="B626" t="s">
        <v>1907</v>
      </c>
      <c r="C626">
        <v>22.54899978637695</v>
      </c>
      <c r="D626">
        <v>22.85499954223633</v>
      </c>
      <c r="E626">
        <v>22.10600090026855</v>
      </c>
      <c r="F626">
        <v>22.76399993896484</v>
      </c>
      <c r="G626">
        <v>22.68814659118652</v>
      </c>
      <c r="H626">
        <v>420575000</v>
      </c>
      <c r="I626" t="s">
        <v>1908</v>
      </c>
      <c r="J626" t="s">
        <v>1909</v>
      </c>
      <c r="K626" t="s">
        <v>37</v>
      </c>
    </row>
    <row r="627" spans="1:11" ht="20" customHeight="1">
      <c r="A627" t="s">
        <v>22</v>
      </c>
      <c r="B627" t="s">
        <v>1910</v>
      </c>
      <c r="C627">
        <v>22.13299942016602</v>
      </c>
      <c r="D627">
        <v>22.54999923706055</v>
      </c>
      <c r="E627">
        <v>21.92700004577637</v>
      </c>
      <c r="F627">
        <v>22.00200080871582</v>
      </c>
      <c r="G627">
        <v>21.92868614196777</v>
      </c>
      <c r="H627">
        <v>412026000</v>
      </c>
      <c r="I627" t="s">
        <v>1911</v>
      </c>
      <c r="J627" t="s">
        <v>1912</v>
      </c>
      <c r="K627" t="s">
        <v>37</v>
      </c>
    </row>
    <row r="628" spans="1:11" ht="20" customHeight="1">
      <c r="A628" t="s">
        <v>22</v>
      </c>
      <c r="B628" t="s">
        <v>1913</v>
      </c>
      <c r="C628">
        <v>21.63100051879883</v>
      </c>
      <c r="D628">
        <v>21.73999977111816</v>
      </c>
      <c r="E628">
        <v>20.97500038146973</v>
      </c>
      <c r="F628">
        <v>21.38800048828125</v>
      </c>
      <c r="G628">
        <v>21.31672859191895</v>
      </c>
      <c r="H628">
        <v>465888000</v>
      </c>
      <c r="I628" t="s">
        <v>1914</v>
      </c>
      <c r="J628" t="s">
        <v>1915</v>
      </c>
      <c r="K628" t="s">
        <v>37</v>
      </c>
    </row>
    <row r="629" spans="1:11" ht="20" customHeight="1">
      <c r="A629" t="s">
        <v>22</v>
      </c>
      <c r="B629" t="s">
        <v>1916</v>
      </c>
      <c r="C629">
        <v>21</v>
      </c>
      <c r="D629">
        <v>21.49399948120117</v>
      </c>
      <c r="E629">
        <v>20.61800003051758</v>
      </c>
      <c r="F629">
        <v>20.65500068664551</v>
      </c>
      <c r="G629">
        <v>20.5861701965332</v>
      </c>
      <c r="H629">
        <v>410015000</v>
      </c>
      <c r="I629" t="s">
        <v>1917</v>
      </c>
      <c r="J629" t="s">
        <v>1918</v>
      </c>
      <c r="K629" t="s">
        <v>37</v>
      </c>
    </row>
    <row r="630" spans="1:11" ht="20" customHeight="1">
      <c r="A630" t="s">
        <v>22</v>
      </c>
      <c r="B630" t="s">
        <v>1919</v>
      </c>
      <c r="C630">
        <v>20.70700073242188</v>
      </c>
      <c r="D630">
        <v>21.10400009155273</v>
      </c>
      <c r="E630">
        <v>20.42099952697754</v>
      </c>
      <c r="F630">
        <v>20.75399971008301</v>
      </c>
      <c r="G630">
        <v>20.68484306335449</v>
      </c>
      <c r="H630">
        <v>513184000</v>
      </c>
      <c r="I630" t="s">
        <v>1920</v>
      </c>
      <c r="J630" t="s">
        <v>1921</v>
      </c>
      <c r="K630" t="s">
        <v>37</v>
      </c>
    </row>
    <row r="631" spans="1:11" ht="20" customHeight="1">
      <c r="A631" t="s">
        <v>22</v>
      </c>
      <c r="B631" t="s">
        <v>1922</v>
      </c>
      <c r="C631">
        <v>23.44000053405762</v>
      </c>
      <c r="D631">
        <v>23.88800048828125</v>
      </c>
      <c r="E631">
        <v>23.02499961853027</v>
      </c>
      <c r="F631">
        <v>23.66399955749512</v>
      </c>
      <c r="G631">
        <v>23.58514785766602</v>
      </c>
      <c r="H631">
        <v>1117995000</v>
      </c>
      <c r="I631" t="s">
        <v>1923</v>
      </c>
      <c r="J631" t="s">
        <v>1924</v>
      </c>
      <c r="K631" t="s">
        <v>37</v>
      </c>
    </row>
    <row r="632" spans="1:11" ht="20" customHeight="1">
      <c r="A632" t="s">
        <v>22</v>
      </c>
      <c r="B632" t="s">
        <v>1925</v>
      </c>
      <c r="C632">
        <v>23.22500038146973</v>
      </c>
      <c r="D632">
        <v>23.47400093078613</v>
      </c>
      <c r="E632">
        <v>22.94700050354004</v>
      </c>
      <c r="F632">
        <v>23.2859992980957</v>
      </c>
      <c r="G632">
        <v>23.20840454101562</v>
      </c>
      <c r="H632">
        <v>589716000</v>
      </c>
      <c r="I632" t="s">
        <v>1926</v>
      </c>
      <c r="J632" t="s">
        <v>1927</v>
      </c>
      <c r="K632" t="s">
        <v>37</v>
      </c>
    </row>
    <row r="633" spans="1:11" ht="20" customHeight="1">
      <c r="A633" t="s">
        <v>22</v>
      </c>
      <c r="B633" t="s">
        <v>1928</v>
      </c>
      <c r="C633">
        <v>23.67000007629395</v>
      </c>
      <c r="D633">
        <v>23.8799991607666</v>
      </c>
      <c r="E633">
        <v>23.45400047302246</v>
      </c>
      <c r="F633">
        <v>23.50099945068359</v>
      </c>
      <c r="G633">
        <v>23.42268562316895</v>
      </c>
      <c r="H633">
        <v>452994000</v>
      </c>
      <c r="I633" t="s">
        <v>1929</v>
      </c>
      <c r="J633" t="s">
        <v>1930</v>
      </c>
      <c r="K633" t="s">
        <v>37</v>
      </c>
    </row>
    <row r="634" spans="1:11" ht="20" customHeight="1">
      <c r="A634" t="s">
        <v>22</v>
      </c>
      <c r="B634" t="s">
        <v>1931</v>
      </c>
      <c r="C634">
        <v>23.37199974060059</v>
      </c>
      <c r="D634">
        <v>23.82500076293945</v>
      </c>
      <c r="E634">
        <v>23.20599937438965</v>
      </c>
      <c r="F634">
        <v>23.21599960327148</v>
      </c>
      <c r="G634">
        <v>23.13863563537598</v>
      </c>
      <c r="H634">
        <v>455963000</v>
      </c>
      <c r="I634" t="s">
        <v>1932</v>
      </c>
      <c r="J634" t="s">
        <v>1933</v>
      </c>
      <c r="K634" t="s">
        <v>37</v>
      </c>
    </row>
    <row r="635" spans="1:11" ht="20" customHeight="1">
      <c r="A635" t="s">
        <v>22</v>
      </c>
      <c r="B635" t="s">
        <v>1934</v>
      </c>
      <c r="C635">
        <v>23.1919994354248</v>
      </c>
      <c r="D635">
        <v>23.25600051879883</v>
      </c>
      <c r="E635">
        <v>22.50799942016602</v>
      </c>
      <c r="F635">
        <v>22.69799995422363</v>
      </c>
      <c r="G635">
        <v>22.62236595153809</v>
      </c>
      <c r="H635">
        <v>460026000</v>
      </c>
      <c r="I635" t="s">
        <v>1935</v>
      </c>
      <c r="J635" t="s">
        <v>1936</v>
      </c>
      <c r="K635" t="s">
        <v>37</v>
      </c>
    </row>
    <row r="636" spans="1:11" ht="20" customHeight="1">
      <c r="A636" t="s">
        <v>22</v>
      </c>
      <c r="B636" t="s">
        <v>1937</v>
      </c>
      <c r="C636">
        <v>22.48800086975098</v>
      </c>
      <c r="D636">
        <v>23.3799991607666</v>
      </c>
      <c r="E636">
        <v>22.43199920654297</v>
      </c>
      <c r="F636">
        <v>23.31399917602539</v>
      </c>
      <c r="G636">
        <v>23.23631286621094</v>
      </c>
      <c r="H636">
        <v>389415000</v>
      </c>
      <c r="I636" t="s">
        <v>1938</v>
      </c>
      <c r="J636" t="s">
        <v>1939</v>
      </c>
      <c r="K636" t="s">
        <v>37</v>
      </c>
    </row>
    <row r="637" spans="1:11" ht="20" customHeight="1">
      <c r="A637" t="s">
        <v>22</v>
      </c>
      <c r="B637" t="s">
        <v>1940</v>
      </c>
      <c r="C637">
        <v>23.31999969482422</v>
      </c>
      <c r="D637">
        <v>23.89999961853027</v>
      </c>
      <c r="E637">
        <v>23.1299991607666</v>
      </c>
      <c r="F637">
        <v>23.88999938964844</v>
      </c>
      <c r="G637">
        <v>23.81038856506348</v>
      </c>
      <c r="H637">
        <v>412393000</v>
      </c>
      <c r="I637" t="s">
        <v>1941</v>
      </c>
      <c r="J637" t="s">
        <v>1942</v>
      </c>
      <c r="K637" t="s">
        <v>37</v>
      </c>
    </row>
    <row r="638" spans="1:11" ht="20" customHeight="1">
      <c r="A638" t="s">
        <v>22</v>
      </c>
      <c r="B638" t="s">
        <v>1943</v>
      </c>
      <c r="C638">
        <v>23.89100074768066</v>
      </c>
      <c r="D638">
        <v>24.24799919128418</v>
      </c>
      <c r="E638">
        <v>23.48699951171875</v>
      </c>
      <c r="F638">
        <v>23.55400085449219</v>
      </c>
      <c r="G638">
        <v>23.47551155090332</v>
      </c>
      <c r="H638">
        <v>437429000</v>
      </c>
      <c r="I638" t="s">
        <v>1944</v>
      </c>
      <c r="J638" t="s">
        <v>1945</v>
      </c>
      <c r="K638" t="s">
        <v>37</v>
      </c>
    </row>
    <row r="639" spans="1:11" ht="20" customHeight="1">
      <c r="A639" t="s">
        <v>22</v>
      </c>
      <c r="B639" t="s">
        <v>1946</v>
      </c>
      <c r="C639">
        <v>23.60000038146973</v>
      </c>
      <c r="D639">
        <v>24.125</v>
      </c>
      <c r="E639">
        <v>23.24099922180176</v>
      </c>
      <c r="F639">
        <v>23.28800010681152</v>
      </c>
      <c r="G639">
        <v>23.2143440246582</v>
      </c>
      <c r="H639">
        <v>515154000</v>
      </c>
      <c r="I639" t="s">
        <v>1947</v>
      </c>
      <c r="J639" t="s">
        <v>1948</v>
      </c>
      <c r="K639" t="s">
        <v>37</v>
      </c>
    </row>
    <row r="640" spans="1:11" ht="20" customHeight="1">
      <c r="A640" t="s">
        <v>22</v>
      </c>
      <c r="B640" t="s">
        <v>1949</v>
      </c>
      <c r="C640">
        <v>23.48699951171875</v>
      </c>
      <c r="D640">
        <v>24.20000076293945</v>
      </c>
      <c r="E640">
        <v>23.42399978637695</v>
      </c>
      <c r="F640">
        <v>24.18099975585938</v>
      </c>
      <c r="G640">
        <v>24.10451316833496</v>
      </c>
      <c r="H640">
        <v>513573000</v>
      </c>
      <c r="I640" t="s">
        <v>1950</v>
      </c>
      <c r="J640" t="s">
        <v>1951</v>
      </c>
      <c r="K640" t="s">
        <v>37</v>
      </c>
    </row>
    <row r="641" spans="1:11" ht="20" customHeight="1">
      <c r="A641" t="s">
        <v>22</v>
      </c>
      <c r="B641" t="s">
        <v>1952</v>
      </c>
      <c r="C641">
        <v>24.17499923706055</v>
      </c>
      <c r="D641">
        <v>24.45400047302246</v>
      </c>
      <c r="E641">
        <v>23.38299942016602</v>
      </c>
      <c r="F641">
        <v>23.43600082397461</v>
      </c>
      <c r="G641">
        <v>23.36187171936035</v>
      </c>
      <c r="H641">
        <v>501257000</v>
      </c>
      <c r="I641" t="s">
        <v>1953</v>
      </c>
      <c r="J641" t="s">
        <v>1954</v>
      </c>
      <c r="K641" t="s">
        <v>37</v>
      </c>
    </row>
    <row r="642" spans="1:11" ht="20" customHeight="1">
      <c r="A642" t="s">
        <v>22</v>
      </c>
      <c r="B642" t="s">
        <v>1955</v>
      </c>
      <c r="C642">
        <v>23.40900039672852</v>
      </c>
      <c r="D642">
        <v>23.62700080871582</v>
      </c>
      <c r="E642">
        <v>22.72599983215332</v>
      </c>
      <c r="F642">
        <v>22.96500015258789</v>
      </c>
      <c r="G642">
        <v>22.89235687255859</v>
      </c>
      <c r="H642">
        <v>474866000</v>
      </c>
      <c r="I642" t="s">
        <v>1956</v>
      </c>
      <c r="J642" t="s">
        <v>1957</v>
      </c>
      <c r="K642" t="s">
        <v>37</v>
      </c>
    </row>
    <row r="643" spans="1:11" ht="20" customHeight="1">
      <c r="A643" t="s">
        <v>22</v>
      </c>
      <c r="B643" t="s">
        <v>1958</v>
      </c>
      <c r="C643">
        <v>22.75200080871582</v>
      </c>
      <c r="D643">
        <v>23.29800033569336</v>
      </c>
      <c r="E643">
        <v>22.29700088500977</v>
      </c>
      <c r="F643">
        <v>22.96599960327148</v>
      </c>
      <c r="G643">
        <v>22.89335441589355</v>
      </c>
      <c r="H643">
        <v>421890000</v>
      </c>
      <c r="I643" t="s">
        <v>1959</v>
      </c>
      <c r="J643" t="s">
        <v>1960</v>
      </c>
      <c r="K643" t="s">
        <v>37</v>
      </c>
    </row>
    <row r="644" spans="1:11" ht="20" customHeight="1">
      <c r="A644" t="s">
        <v>22</v>
      </c>
      <c r="B644" t="s">
        <v>1961</v>
      </c>
      <c r="C644">
        <v>23.49600028991699</v>
      </c>
      <c r="D644">
        <v>24.2189998626709</v>
      </c>
      <c r="E644">
        <v>23.45999908447266</v>
      </c>
      <c r="F644">
        <v>24.0629997253418</v>
      </c>
      <c r="G644">
        <v>23.98689079284668</v>
      </c>
      <c r="H644">
        <v>474910000</v>
      </c>
      <c r="I644" t="s">
        <v>1962</v>
      </c>
      <c r="J644" t="s">
        <v>1963</v>
      </c>
      <c r="K644" t="s">
        <v>37</v>
      </c>
    </row>
    <row r="645" spans="1:11" ht="20" customHeight="1">
      <c r="A645" t="s">
        <v>22</v>
      </c>
      <c r="B645" t="s">
        <v>1964</v>
      </c>
      <c r="C645">
        <v>23.76099967956543</v>
      </c>
      <c r="D645">
        <v>24.2859992980957</v>
      </c>
      <c r="E645">
        <v>23.36000061035156</v>
      </c>
      <c r="F645">
        <v>24.22800064086914</v>
      </c>
      <c r="G645">
        <v>24.15136909484863</v>
      </c>
      <c r="H645">
        <v>524486000</v>
      </c>
      <c r="I645" t="s">
        <v>1965</v>
      </c>
      <c r="J645" t="s">
        <v>1966</v>
      </c>
      <c r="K645" t="s">
        <v>37</v>
      </c>
    </row>
    <row r="646" spans="1:11" ht="20" customHeight="1">
      <c r="A646" t="s">
        <v>22</v>
      </c>
      <c r="B646" t="s">
        <v>1967</v>
      </c>
      <c r="C646">
        <v>24.02700042724609</v>
      </c>
      <c r="D646">
        <v>25.58799934387207</v>
      </c>
      <c r="E646">
        <v>23.89399909973145</v>
      </c>
      <c r="F646">
        <v>25.54100036621094</v>
      </c>
      <c r="G646">
        <v>25.46021461486816</v>
      </c>
      <c r="H646">
        <v>583253000</v>
      </c>
      <c r="I646" t="s">
        <v>1968</v>
      </c>
      <c r="J646" t="s">
        <v>1969</v>
      </c>
      <c r="K646" t="s">
        <v>37</v>
      </c>
    </row>
    <row r="647" spans="1:11" ht="20" customHeight="1">
      <c r="A647" t="s">
        <v>22</v>
      </c>
      <c r="B647" t="s">
        <v>1970</v>
      </c>
      <c r="C647">
        <v>25.98200035095215</v>
      </c>
      <c r="D647">
        <v>26.39900016784668</v>
      </c>
      <c r="E647">
        <v>25.66799926757812</v>
      </c>
      <c r="F647">
        <v>25.72500038146973</v>
      </c>
      <c r="G647">
        <v>25.64363288879395</v>
      </c>
      <c r="H647">
        <v>848547000</v>
      </c>
      <c r="I647" t="s">
        <v>1971</v>
      </c>
      <c r="J647" t="s">
        <v>1972</v>
      </c>
      <c r="K647" t="s">
        <v>37</v>
      </c>
    </row>
    <row r="648" spans="1:11" ht="20" customHeight="1">
      <c r="A648" t="s">
        <v>22</v>
      </c>
      <c r="B648" t="s">
        <v>1973</v>
      </c>
      <c r="C648">
        <v>25.61499977111816</v>
      </c>
      <c r="D648">
        <v>26.02400016784668</v>
      </c>
      <c r="E648">
        <v>25.1299991607666</v>
      </c>
      <c r="F648">
        <v>25.89999961853027</v>
      </c>
      <c r="G648">
        <v>25.81807327270508</v>
      </c>
      <c r="H648">
        <v>432747000</v>
      </c>
      <c r="I648" t="s">
        <v>1974</v>
      </c>
      <c r="J648" t="s">
        <v>1975</v>
      </c>
      <c r="K648" t="s">
        <v>37</v>
      </c>
    </row>
    <row r="649" spans="1:11" ht="20" customHeight="1">
      <c r="A649" t="s">
        <v>22</v>
      </c>
      <c r="B649" t="s">
        <v>1976</v>
      </c>
      <c r="C649">
        <v>26.18000030517578</v>
      </c>
      <c r="D649">
        <v>26.39200019836426</v>
      </c>
      <c r="E649">
        <v>25.38100051879883</v>
      </c>
      <c r="F649">
        <v>26.19899940490723</v>
      </c>
      <c r="G649">
        <v>26.11613464355469</v>
      </c>
      <c r="H649">
        <v>547408000</v>
      </c>
      <c r="I649" t="s">
        <v>1977</v>
      </c>
      <c r="J649" t="s">
        <v>1978</v>
      </c>
      <c r="K649" t="s">
        <v>37</v>
      </c>
    </row>
    <row r="650" spans="1:11" ht="20" customHeight="1">
      <c r="A650" t="s">
        <v>22</v>
      </c>
      <c r="B650" t="s">
        <v>1979</v>
      </c>
      <c r="C650">
        <v>26.42499923706055</v>
      </c>
      <c r="D650">
        <v>27.5890007019043</v>
      </c>
      <c r="E650">
        <v>26.23699951171875</v>
      </c>
      <c r="F650">
        <v>26.4680004119873</v>
      </c>
      <c r="G650">
        <v>26.3842830657959</v>
      </c>
      <c r="H650">
        <v>797295000</v>
      </c>
      <c r="I650" t="s">
        <v>1980</v>
      </c>
      <c r="J650" t="s">
        <v>1981</v>
      </c>
      <c r="K650" t="s">
        <v>37</v>
      </c>
    </row>
    <row r="651" spans="1:11" ht="20" customHeight="1">
      <c r="A651" t="s">
        <v>22</v>
      </c>
      <c r="B651" t="s">
        <v>1982</v>
      </c>
      <c r="C651">
        <v>27.11499977111816</v>
      </c>
      <c r="D651">
        <v>27.49900054931641</v>
      </c>
      <c r="E651">
        <v>26.69000053405762</v>
      </c>
      <c r="F651">
        <v>27.19099998474121</v>
      </c>
      <c r="G651">
        <v>27.1049976348877</v>
      </c>
      <c r="H651">
        <v>564889000</v>
      </c>
      <c r="I651" t="s">
        <v>1983</v>
      </c>
      <c r="J651" t="s">
        <v>1984</v>
      </c>
      <c r="K651" t="s">
        <v>37</v>
      </c>
    </row>
    <row r="652" spans="1:11" ht="20" customHeight="1">
      <c r="A652" t="s">
        <v>22</v>
      </c>
      <c r="B652" t="s">
        <v>1985</v>
      </c>
      <c r="C652">
        <v>27.0310001373291</v>
      </c>
      <c r="D652">
        <v>27.16699981689453</v>
      </c>
      <c r="E652">
        <v>26.35499954223633</v>
      </c>
      <c r="F652">
        <v>26.77899932861328</v>
      </c>
      <c r="G652">
        <v>26.69429588317871</v>
      </c>
      <c r="H652">
        <v>454920000</v>
      </c>
      <c r="I652" t="s">
        <v>1986</v>
      </c>
      <c r="J652" t="s">
        <v>1987</v>
      </c>
      <c r="K652" t="s">
        <v>37</v>
      </c>
    </row>
    <row r="653" spans="1:11" ht="20" customHeight="1">
      <c r="A653" t="s">
        <v>22</v>
      </c>
      <c r="B653" t="s">
        <v>1988</v>
      </c>
      <c r="C653">
        <v>26.83699989318848</v>
      </c>
      <c r="D653">
        <v>27</v>
      </c>
      <c r="E653">
        <v>26.36499977111816</v>
      </c>
      <c r="F653">
        <v>26.5310001373291</v>
      </c>
      <c r="G653">
        <v>26.44708442687988</v>
      </c>
      <c r="H653">
        <v>361026000</v>
      </c>
      <c r="I653" t="s">
        <v>1989</v>
      </c>
      <c r="J653" t="s">
        <v>1990</v>
      </c>
      <c r="K653" t="s">
        <v>37</v>
      </c>
    </row>
    <row r="654" spans="1:11" ht="20" customHeight="1">
      <c r="A654" t="s">
        <v>22</v>
      </c>
      <c r="B654" t="s">
        <v>1991</v>
      </c>
      <c r="C654">
        <v>26.44700050354004</v>
      </c>
      <c r="D654">
        <v>26.51300048828125</v>
      </c>
      <c r="E654">
        <v>25.85000038146973</v>
      </c>
      <c r="F654">
        <v>26.40999984741211</v>
      </c>
      <c r="G654">
        <v>26.32645988464355</v>
      </c>
      <c r="H654">
        <v>356104000</v>
      </c>
      <c r="I654" t="s">
        <v>1992</v>
      </c>
      <c r="J654" t="s">
        <v>1993</v>
      </c>
      <c r="K654" t="s">
        <v>37</v>
      </c>
    </row>
    <row r="655" spans="1:11" ht="20" customHeight="1">
      <c r="A655" t="s">
        <v>22</v>
      </c>
      <c r="B655" t="s">
        <v>1994</v>
      </c>
      <c r="C655">
        <v>26.82500076293945</v>
      </c>
      <c r="D655">
        <v>27.07799911499023</v>
      </c>
      <c r="E655">
        <v>26.59700012207031</v>
      </c>
      <c r="F655">
        <v>26.98399925231934</v>
      </c>
      <c r="G655">
        <v>26.89864540100098</v>
      </c>
      <c r="H655">
        <v>393694000</v>
      </c>
      <c r="I655" t="s">
        <v>1995</v>
      </c>
      <c r="J655" t="s">
        <v>1996</v>
      </c>
      <c r="K655" t="s">
        <v>37</v>
      </c>
    </row>
    <row r="656" spans="1:11" ht="20" customHeight="1">
      <c r="A656" t="s">
        <v>22</v>
      </c>
      <c r="B656" t="s">
        <v>1997</v>
      </c>
      <c r="C656">
        <v>27.22900009155273</v>
      </c>
      <c r="D656">
        <v>27.49900054931641</v>
      </c>
      <c r="E656">
        <v>27.10199928283691</v>
      </c>
      <c r="F656">
        <v>27.38299942016602</v>
      </c>
      <c r="G656">
        <v>27.29638862609863</v>
      </c>
      <c r="H656">
        <v>364516000</v>
      </c>
      <c r="I656" t="s">
        <v>1998</v>
      </c>
      <c r="J656" t="s">
        <v>1999</v>
      </c>
      <c r="K656" t="s">
        <v>37</v>
      </c>
    </row>
    <row r="657" spans="1:11" ht="20" customHeight="1">
      <c r="A657" t="s">
        <v>22</v>
      </c>
      <c r="B657" t="s">
        <v>2000</v>
      </c>
      <c r="C657">
        <v>27.13999938964844</v>
      </c>
      <c r="D657">
        <v>27.83399963378906</v>
      </c>
      <c r="E657">
        <v>27.10499954223633</v>
      </c>
      <c r="F657">
        <v>27.77700042724609</v>
      </c>
      <c r="G657">
        <v>27.68914222717285</v>
      </c>
      <c r="H657">
        <v>433933000</v>
      </c>
      <c r="I657" t="s">
        <v>2001</v>
      </c>
      <c r="J657" t="s">
        <v>2002</v>
      </c>
      <c r="K657" t="s">
        <v>37</v>
      </c>
    </row>
    <row r="658" spans="1:11" ht="20" customHeight="1">
      <c r="A658" t="s">
        <v>22</v>
      </c>
      <c r="B658" t="s">
        <v>2003</v>
      </c>
      <c r="C658">
        <v>27.50900077819824</v>
      </c>
      <c r="D658">
        <v>28</v>
      </c>
      <c r="E658">
        <v>27.33600044250488</v>
      </c>
      <c r="F658">
        <v>27.96500015258789</v>
      </c>
      <c r="G658">
        <v>27.87654495239258</v>
      </c>
      <c r="H658">
        <v>398716000</v>
      </c>
      <c r="I658" t="s">
        <v>2004</v>
      </c>
      <c r="J658" t="s">
        <v>2005</v>
      </c>
      <c r="K658" t="s">
        <v>37</v>
      </c>
    </row>
    <row r="659" spans="1:11" ht="20" customHeight="1">
      <c r="A659" t="s">
        <v>22</v>
      </c>
      <c r="B659" t="s">
        <v>2006</v>
      </c>
      <c r="C659">
        <v>27.96599960327148</v>
      </c>
      <c r="D659">
        <v>28</v>
      </c>
      <c r="E659">
        <v>27.30699920654297</v>
      </c>
      <c r="F659">
        <v>27.45299911499023</v>
      </c>
      <c r="G659">
        <v>27.36616134643555</v>
      </c>
      <c r="H659">
        <v>368592000</v>
      </c>
      <c r="I659" t="s">
        <v>2007</v>
      </c>
      <c r="J659" t="s">
        <v>2008</v>
      </c>
      <c r="K659" t="s">
        <v>37</v>
      </c>
    </row>
    <row r="660" spans="1:11" ht="20" customHeight="1">
      <c r="A660" t="s">
        <v>22</v>
      </c>
      <c r="B660" t="s">
        <v>2009</v>
      </c>
      <c r="C660">
        <v>26.82900047302246</v>
      </c>
      <c r="D660">
        <v>26.99799919128418</v>
      </c>
      <c r="E660">
        <v>26.39500045776367</v>
      </c>
      <c r="F660">
        <v>26.88100051879883</v>
      </c>
      <c r="G660">
        <v>26.79597473144531</v>
      </c>
      <c r="H660">
        <v>515015000</v>
      </c>
      <c r="I660" t="s">
        <v>2010</v>
      </c>
      <c r="J660" t="s">
        <v>2011</v>
      </c>
      <c r="K660" t="s">
        <v>37</v>
      </c>
    </row>
    <row r="661" spans="1:11" ht="20" customHeight="1">
      <c r="A661" t="s">
        <v>22</v>
      </c>
      <c r="B661" t="s">
        <v>2012</v>
      </c>
      <c r="C661">
        <v>26.58399963378906</v>
      </c>
      <c r="D661">
        <v>27.07999992370605</v>
      </c>
      <c r="E661">
        <v>26.42700004577637</v>
      </c>
      <c r="F661">
        <v>27.03700065612793</v>
      </c>
      <c r="G661">
        <v>26.95147895812988</v>
      </c>
      <c r="H661">
        <v>397654000</v>
      </c>
      <c r="I661" t="s">
        <v>2013</v>
      </c>
      <c r="J661" t="s">
        <v>2014</v>
      </c>
      <c r="K661" t="s">
        <v>37</v>
      </c>
    </row>
    <row r="662" spans="1:11" ht="20" customHeight="1">
      <c r="A662" t="s">
        <v>22</v>
      </c>
      <c r="B662" t="s">
        <v>2015</v>
      </c>
      <c r="C662">
        <v>26.82299995422363</v>
      </c>
      <c r="D662">
        <v>27.62100028991699</v>
      </c>
      <c r="E662">
        <v>26.66900062561035</v>
      </c>
      <c r="F662">
        <v>27.57900047302246</v>
      </c>
      <c r="G662">
        <v>27.49176979064941</v>
      </c>
      <c r="H662">
        <v>395279000</v>
      </c>
      <c r="I662" t="s">
        <v>2016</v>
      </c>
      <c r="J662" t="s">
        <v>2017</v>
      </c>
      <c r="K662" t="s">
        <v>37</v>
      </c>
    </row>
    <row r="663" spans="1:11" ht="20" customHeight="1">
      <c r="A663" t="s">
        <v>22</v>
      </c>
      <c r="B663" t="s">
        <v>2018</v>
      </c>
      <c r="C663">
        <v>27.72400093078613</v>
      </c>
      <c r="D663">
        <v>27.79000091552734</v>
      </c>
      <c r="E663">
        <v>27.12599945068359</v>
      </c>
      <c r="F663">
        <v>27.16900062561035</v>
      </c>
      <c r="G663">
        <v>27.08306694030762</v>
      </c>
      <c r="H663">
        <v>314378000</v>
      </c>
      <c r="I663" t="s">
        <v>2019</v>
      </c>
      <c r="J663" t="s">
        <v>2020</v>
      </c>
      <c r="K663" t="s">
        <v>37</v>
      </c>
    </row>
    <row r="664" spans="1:11" ht="20" customHeight="1">
      <c r="A664" t="s">
        <v>22</v>
      </c>
      <c r="B664" t="s">
        <v>2021</v>
      </c>
      <c r="C664">
        <v>27.3700008392334</v>
      </c>
      <c r="D664">
        <v>27.4680004119873</v>
      </c>
      <c r="E664">
        <v>26.44799995422363</v>
      </c>
      <c r="F664">
        <v>26.4950008392334</v>
      </c>
      <c r="G664">
        <v>26.41119766235352</v>
      </c>
      <c r="H664">
        <v>446259000</v>
      </c>
      <c r="I664" t="s">
        <v>2022</v>
      </c>
      <c r="J664" t="s">
        <v>2023</v>
      </c>
      <c r="K664" t="s">
        <v>37</v>
      </c>
    </row>
    <row r="665" spans="1:11" ht="20" customHeight="1">
      <c r="A665" t="s">
        <v>22</v>
      </c>
      <c r="B665" t="s">
        <v>2024</v>
      </c>
      <c r="C665">
        <v>26.73399925231934</v>
      </c>
      <c r="D665">
        <v>26.88699913024902</v>
      </c>
      <c r="E665">
        <v>26.32900047302246</v>
      </c>
      <c r="F665">
        <v>26.46299934387207</v>
      </c>
      <c r="G665">
        <v>26.37929534912109</v>
      </c>
      <c r="H665">
        <v>353615000</v>
      </c>
      <c r="I665" t="s">
        <v>2025</v>
      </c>
      <c r="J665" t="s">
        <v>2026</v>
      </c>
      <c r="K665" t="s">
        <v>37</v>
      </c>
    </row>
    <row r="666" spans="1:11" ht="20" customHeight="1">
      <c r="A666" t="s">
        <v>22</v>
      </c>
      <c r="B666" t="s">
        <v>2027</v>
      </c>
      <c r="C666">
        <v>26.50399971008301</v>
      </c>
      <c r="D666">
        <v>26.88299942016602</v>
      </c>
      <c r="E666">
        <v>26.21999931335449</v>
      </c>
      <c r="F666">
        <v>26.75799942016602</v>
      </c>
      <c r="G666">
        <v>26.67336463928223</v>
      </c>
      <c r="H666">
        <v>395660000</v>
      </c>
      <c r="I666" t="s">
        <v>2028</v>
      </c>
      <c r="J666" t="s">
        <v>2029</v>
      </c>
      <c r="K666" t="s">
        <v>37</v>
      </c>
    </row>
    <row r="667" spans="1:11" ht="20" customHeight="1">
      <c r="A667" t="s">
        <v>22</v>
      </c>
      <c r="B667" t="s">
        <v>2030</v>
      </c>
      <c r="C667">
        <v>26.56500053405762</v>
      </c>
      <c r="D667">
        <v>27.00600051879883</v>
      </c>
      <c r="E667">
        <v>26.4330005645752</v>
      </c>
      <c r="F667">
        <v>27.00200080871582</v>
      </c>
      <c r="G667">
        <v>26.91659545898438</v>
      </c>
      <c r="H667">
        <v>321471000</v>
      </c>
      <c r="I667" t="s">
        <v>2031</v>
      </c>
      <c r="J667" t="s">
        <v>2032</v>
      </c>
      <c r="K667" t="s">
        <v>37</v>
      </c>
    </row>
    <row r="668" spans="1:11" ht="20" customHeight="1">
      <c r="A668" t="s">
        <v>22</v>
      </c>
      <c r="B668" t="s">
        <v>2033</v>
      </c>
      <c r="C668">
        <v>27.53300094604492</v>
      </c>
      <c r="D668">
        <v>28.11000061035156</v>
      </c>
      <c r="E668">
        <v>27.35700035095215</v>
      </c>
      <c r="F668">
        <v>27.66699981689453</v>
      </c>
      <c r="G668">
        <v>27.57949066162109</v>
      </c>
      <c r="H668">
        <v>604812000</v>
      </c>
      <c r="I668" t="s">
        <v>2034</v>
      </c>
      <c r="J668" t="s">
        <v>2035</v>
      </c>
      <c r="K668" t="s">
        <v>37</v>
      </c>
    </row>
    <row r="669" spans="1:11" ht="20" customHeight="1">
      <c r="A669" t="s">
        <v>22</v>
      </c>
      <c r="B669" t="s">
        <v>2036</v>
      </c>
      <c r="C669">
        <v>27.36100006103516</v>
      </c>
      <c r="D669">
        <v>28</v>
      </c>
      <c r="E669">
        <v>27.23200035095215</v>
      </c>
      <c r="F669">
        <v>27.93099975585938</v>
      </c>
      <c r="G669">
        <v>27.84265327453613</v>
      </c>
      <c r="H669">
        <v>358660000</v>
      </c>
      <c r="I669" t="s">
        <v>2037</v>
      </c>
      <c r="J669" t="s">
        <v>2038</v>
      </c>
      <c r="K669" t="s">
        <v>37</v>
      </c>
    </row>
    <row r="670" spans="1:11" ht="20" customHeight="1">
      <c r="A670" t="s">
        <v>22</v>
      </c>
      <c r="B670" t="s">
        <v>2039</v>
      </c>
      <c r="C670">
        <v>27.67099952697754</v>
      </c>
      <c r="D670">
        <v>28.03000068664551</v>
      </c>
      <c r="E670">
        <v>27</v>
      </c>
      <c r="F670">
        <v>27.10400009155273</v>
      </c>
      <c r="G670">
        <v>27.01826858520508</v>
      </c>
      <c r="H670">
        <v>427713000</v>
      </c>
      <c r="I670" t="s">
        <v>2040</v>
      </c>
      <c r="J670" t="s">
        <v>2041</v>
      </c>
      <c r="K670" t="s">
        <v>37</v>
      </c>
    </row>
    <row r="671" spans="1:11" ht="20" customHeight="1">
      <c r="A671" t="s">
        <v>22</v>
      </c>
      <c r="B671" t="s">
        <v>2042</v>
      </c>
      <c r="C671">
        <v>26.95199966430664</v>
      </c>
      <c r="D671">
        <v>27.1830005645752</v>
      </c>
      <c r="E671">
        <v>26.72200012207031</v>
      </c>
      <c r="F671">
        <v>27.11899948120117</v>
      </c>
      <c r="G671">
        <v>27.0332202911377</v>
      </c>
      <c r="H671">
        <v>345103000</v>
      </c>
      <c r="I671" t="s">
        <v>2043</v>
      </c>
      <c r="J671" t="s">
        <v>2044</v>
      </c>
      <c r="K671" t="s">
        <v>37</v>
      </c>
    </row>
    <row r="672" spans="1:11" ht="20" customHeight="1">
      <c r="A672" t="s">
        <v>22</v>
      </c>
      <c r="B672" t="s">
        <v>2045</v>
      </c>
      <c r="C672">
        <v>27.01300048828125</v>
      </c>
      <c r="D672">
        <v>27.36599922180176</v>
      </c>
      <c r="E672">
        <v>26.67099952697754</v>
      </c>
      <c r="F672">
        <v>27.04199981689453</v>
      </c>
      <c r="G672">
        <v>26.95646667480469</v>
      </c>
      <c r="H672">
        <v>339282000</v>
      </c>
      <c r="I672" t="s">
        <v>2046</v>
      </c>
      <c r="J672" t="s">
        <v>2047</v>
      </c>
      <c r="K672" t="s">
        <v>37</v>
      </c>
    </row>
    <row r="673" spans="1:11" ht="20" customHeight="1">
      <c r="A673" t="s">
        <v>22</v>
      </c>
      <c r="B673" t="s">
        <v>2048</v>
      </c>
      <c r="C673">
        <v>27.07799911499023</v>
      </c>
      <c r="D673">
        <v>27.24699974060059</v>
      </c>
      <c r="E673">
        <v>26.22500038146973</v>
      </c>
      <c r="F673">
        <v>26.24099922180176</v>
      </c>
      <c r="G673">
        <v>26.15799903869629</v>
      </c>
      <c r="H673">
        <v>378527000</v>
      </c>
      <c r="I673" t="s">
        <v>2049</v>
      </c>
      <c r="J673" t="s">
        <v>2050</v>
      </c>
      <c r="K673" t="s">
        <v>37</v>
      </c>
    </row>
    <row r="674" spans="1:11" ht="20" customHeight="1">
      <c r="A674" t="s">
        <v>22</v>
      </c>
      <c r="B674" t="s">
        <v>2051</v>
      </c>
      <c r="C674">
        <v>27.00200080871582</v>
      </c>
      <c r="D674">
        <v>27.32999992370605</v>
      </c>
      <c r="E674">
        <v>26.70499992370605</v>
      </c>
      <c r="F674">
        <v>26.95599937438965</v>
      </c>
      <c r="G674">
        <v>26.87073707580566</v>
      </c>
      <c r="H674">
        <v>406337000</v>
      </c>
      <c r="I674" t="s">
        <v>2052</v>
      </c>
      <c r="J674" t="s">
        <v>2053</v>
      </c>
      <c r="K674" t="s">
        <v>37</v>
      </c>
    </row>
    <row r="675" spans="1:11" ht="20" customHeight="1">
      <c r="A675" t="s">
        <v>22</v>
      </c>
      <c r="B675" t="s">
        <v>2054</v>
      </c>
      <c r="C675">
        <v>27.36300086975098</v>
      </c>
      <c r="D675">
        <v>27.4950008392334</v>
      </c>
      <c r="E675">
        <v>26.625</v>
      </c>
      <c r="F675">
        <v>27.22599983215332</v>
      </c>
      <c r="G675">
        <v>27.13988494873047</v>
      </c>
      <c r="H675">
        <v>377161000</v>
      </c>
      <c r="I675" t="s">
        <v>2055</v>
      </c>
      <c r="J675" t="s">
        <v>2056</v>
      </c>
      <c r="K675" t="s">
        <v>37</v>
      </c>
    </row>
    <row r="676" spans="1:11" ht="20" customHeight="1">
      <c r="A676" t="s">
        <v>22</v>
      </c>
      <c r="B676" t="s">
        <v>2057</v>
      </c>
      <c r="C676">
        <v>27.22500038146973</v>
      </c>
      <c r="D676">
        <v>27.75799942016602</v>
      </c>
      <c r="E676">
        <v>27.07099914550781</v>
      </c>
      <c r="F676">
        <v>27.74900054931641</v>
      </c>
      <c r="G676">
        <v>27.66123580932617</v>
      </c>
      <c r="H676">
        <v>292216000</v>
      </c>
      <c r="I676" t="s">
        <v>2058</v>
      </c>
      <c r="J676" t="s">
        <v>2059</v>
      </c>
      <c r="K676" t="s">
        <v>37</v>
      </c>
    </row>
    <row r="677" spans="1:11" ht="20" customHeight="1">
      <c r="A677" t="s">
        <v>22</v>
      </c>
      <c r="B677" t="s">
        <v>2060</v>
      </c>
      <c r="C677">
        <v>27.84000015258789</v>
      </c>
      <c r="D677">
        <v>29.0580005645752</v>
      </c>
      <c r="E677">
        <v>27.78000068664551</v>
      </c>
      <c r="F677">
        <v>28.90999984741211</v>
      </c>
      <c r="G677">
        <v>28.81856155395508</v>
      </c>
      <c r="H677">
        <v>570329000</v>
      </c>
      <c r="I677" t="s">
        <v>2061</v>
      </c>
      <c r="J677" t="s">
        <v>2062</v>
      </c>
      <c r="K677" t="s">
        <v>37</v>
      </c>
    </row>
    <row r="678" spans="1:11" ht="20" customHeight="1">
      <c r="A678" t="s">
        <v>22</v>
      </c>
      <c r="B678" t="s">
        <v>2063</v>
      </c>
      <c r="C678">
        <v>28.68000030517578</v>
      </c>
      <c r="D678">
        <v>28.83600044250488</v>
      </c>
      <c r="E678">
        <v>28.08300018310547</v>
      </c>
      <c r="F678">
        <v>28.20999908447266</v>
      </c>
      <c r="G678">
        <v>28.12077331542969</v>
      </c>
      <c r="H678">
        <v>402730000</v>
      </c>
      <c r="I678" t="s">
        <v>2064</v>
      </c>
      <c r="J678" t="s">
        <v>2065</v>
      </c>
      <c r="K678" t="s">
        <v>37</v>
      </c>
    </row>
    <row r="679" spans="1:11" ht="20" customHeight="1">
      <c r="A679" t="s">
        <v>22</v>
      </c>
      <c r="B679" t="s">
        <v>2066</v>
      </c>
      <c r="C679">
        <v>27.84000015258789</v>
      </c>
      <c r="D679">
        <v>28.36700057983398</v>
      </c>
      <c r="E679">
        <v>27.47200012207031</v>
      </c>
      <c r="F679">
        <v>27.80200004577637</v>
      </c>
      <c r="G679">
        <v>27.71406364440918</v>
      </c>
      <c r="H679">
        <v>383387000</v>
      </c>
      <c r="I679" t="s">
        <v>2067</v>
      </c>
      <c r="J679" t="s">
        <v>2068</v>
      </c>
      <c r="K679" t="s">
        <v>37</v>
      </c>
    </row>
    <row r="680" spans="1:11" ht="20" customHeight="1">
      <c r="A680" t="s">
        <v>22</v>
      </c>
      <c r="B680" t="s">
        <v>2069</v>
      </c>
      <c r="C680">
        <v>27.65099906921387</v>
      </c>
      <c r="D680">
        <v>27.85899925231934</v>
      </c>
      <c r="E680">
        <v>27.23999977111816</v>
      </c>
      <c r="F680">
        <v>27.5620002746582</v>
      </c>
      <c r="G680">
        <v>27.47482109069824</v>
      </c>
      <c r="H680">
        <v>321850000</v>
      </c>
      <c r="I680" t="s">
        <v>2070</v>
      </c>
      <c r="J680" t="s">
        <v>2071</v>
      </c>
      <c r="K680" t="s">
        <v>37</v>
      </c>
    </row>
    <row r="681" spans="1:11" ht="20" customHeight="1">
      <c r="A681" t="s">
        <v>22</v>
      </c>
      <c r="B681" t="s">
        <v>2072</v>
      </c>
      <c r="C681">
        <v>27.82600021362305</v>
      </c>
      <c r="D681">
        <v>28.7549991607666</v>
      </c>
      <c r="E681">
        <v>27.73100090026855</v>
      </c>
      <c r="F681">
        <v>28.68000030517578</v>
      </c>
      <c r="G681">
        <v>28.58928298950195</v>
      </c>
      <c r="H681">
        <v>361494000</v>
      </c>
      <c r="I681" t="s">
        <v>2073</v>
      </c>
      <c r="J681" t="s">
        <v>2074</v>
      </c>
      <c r="K681" t="s">
        <v>37</v>
      </c>
    </row>
    <row r="682" spans="1:11" ht="20" customHeight="1">
      <c r="A682" t="s">
        <v>22</v>
      </c>
      <c r="B682" t="s">
        <v>2075</v>
      </c>
      <c r="C682">
        <v>28.52199935913086</v>
      </c>
      <c r="D682">
        <v>29.21999931335449</v>
      </c>
      <c r="E682">
        <v>28.35000038146973</v>
      </c>
      <c r="F682">
        <v>29.15099906921387</v>
      </c>
      <c r="G682">
        <v>29.05879211425781</v>
      </c>
      <c r="H682">
        <v>344979000</v>
      </c>
      <c r="I682" t="s">
        <v>2076</v>
      </c>
      <c r="J682" t="s">
        <v>2077</v>
      </c>
      <c r="K682" t="s">
        <v>37</v>
      </c>
    </row>
    <row r="683" spans="1:11" ht="20" customHeight="1">
      <c r="A683" t="s">
        <v>22</v>
      </c>
      <c r="B683" t="s">
        <v>2078</v>
      </c>
      <c r="C683">
        <v>28.89900016784668</v>
      </c>
      <c r="D683">
        <v>28.97299957275391</v>
      </c>
      <c r="E683">
        <v>28.45000076293945</v>
      </c>
      <c r="F683">
        <v>28.57099914550781</v>
      </c>
      <c r="G683">
        <v>28.48062705993652</v>
      </c>
      <c r="H683">
        <v>314869000</v>
      </c>
      <c r="I683" t="s">
        <v>2079</v>
      </c>
      <c r="J683" t="s">
        <v>2080</v>
      </c>
      <c r="K683" t="s">
        <v>37</v>
      </c>
    </row>
    <row r="684" spans="1:11" ht="20" customHeight="1">
      <c r="A684" t="s">
        <v>22</v>
      </c>
      <c r="B684" t="s">
        <v>2081</v>
      </c>
      <c r="C684">
        <v>29.0049991607666</v>
      </c>
      <c r="D684">
        <v>29.11300086975098</v>
      </c>
      <c r="E684">
        <v>28.46100044250488</v>
      </c>
      <c r="F684">
        <v>28.88500022888184</v>
      </c>
      <c r="G684">
        <v>28.79363441467285</v>
      </c>
      <c r="H684">
        <v>369350000</v>
      </c>
      <c r="I684" t="s">
        <v>2082</v>
      </c>
      <c r="J684" t="s">
        <v>2083</v>
      </c>
      <c r="K684" t="s">
        <v>37</v>
      </c>
    </row>
    <row r="685" spans="1:11" ht="20" customHeight="1">
      <c r="A685" t="s">
        <v>22</v>
      </c>
      <c r="B685" t="s">
        <v>2084</v>
      </c>
      <c r="C685">
        <v>28.89599990844727</v>
      </c>
      <c r="D685">
        <v>28.95000076293945</v>
      </c>
      <c r="E685">
        <v>28.24600028991699</v>
      </c>
      <c r="F685">
        <v>28.57799911499023</v>
      </c>
      <c r="G685">
        <v>28.48760414123535</v>
      </c>
      <c r="H685">
        <v>322149000</v>
      </c>
      <c r="I685" t="s">
        <v>2085</v>
      </c>
      <c r="J685" t="s">
        <v>2086</v>
      </c>
      <c r="K685" t="s">
        <v>37</v>
      </c>
    </row>
    <row r="686" spans="1:11" ht="20" customHeight="1">
      <c r="A686" t="s">
        <v>22</v>
      </c>
      <c r="B686" t="s">
        <v>2087</v>
      </c>
      <c r="C686">
        <v>28.52899932861328</v>
      </c>
      <c r="D686">
        <v>28.78000068664551</v>
      </c>
      <c r="E686">
        <v>28.04599952697754</v>
      </c>
      <c r="F686">
        <v>28.34000015258789</v>
      </c>
      <c r="G686">
        <v>28.2503604888916</v>
      </c>
      <c r="H686">
        <v>274222000</v>
      </c>
      <c r="I686" t="s">
        <v>2088</v>
      </c>
      <c r="J686" t="s">
        <v>2089</v>
      </c>
      <c r="K686" t="s">
        <v>37</v>
      </c>
    </row>
    <row r="687" spans="1:11" ht="20" customHeight="1">
      <c r="A687" t="s">
        <v>22</v>
      </c>
      <c r="B687" t="s">
        <v>2090</v>
      </c>
      <c r="C687">
        <v>28.50799942016602</v>
      </c>
      <c r="D687">
        <v>28.9689998626709</v>
      </c>
      <c r="E687">
        <v>28.15200042724609</v>
      </c>
      <c r="F687">
        <v>28.95299911499023</v>
      </c>
      <c r="G687">
        <v>28.86141967773438</v>
      </c>
      <c r="H687">
        <v>293926000</v>
      </c>
      <c r="I687" t="s">
        <v>2091</v>
      </c>
      <c r="J687" t="s">
        <v>2092</v>
      </c>
      <c r="K687" t="s">
        <v>37</v>
      </c>
    </row>
    <row r="688" spans="1:11" ht="20" customHeight="1">
      <c r="A688" t="s">
        <v>22</v>
      </c>
      <c r="B688" t="s">
        <v>2093</v>
      </c>
      <c r="C688">
        <v>28.84099960327148</v>
      </c>
      <c r="D688">
        <v>29.8700008392334</v>
      </c>
      <c r="E688">
        <v>28.83200073242188</v>
      </c>
      <c r="F688">
        <v>29.21299934387207</v>
      </c>
      <c r="G688">
        <v>29.12060356140137</v>
      </c>
      <c r="H688">
        <v>449405000</v>
      </c>
      <c r="I688" t="s">
        <v>2094</v>
      </c>
      <c r="J688" t="s">
        <v>2095</v>
      </c>
      <c r="K688" t="s">
        <v>37</v>
      </c>
    </row>
    <row r="689" spans="1:11" ht="20" customHeight="1">
      <c r="A689" t="s">
        <v>22</v>
      </c>
      <c r="B689" t="s">
        <v>2096</v>
      </c>
      <c r="C689">
        <v>29.58399963378906</v>
      </c>
      <c r="D689">
        <v>30.19899940490723</v>
      </c>
      <c r="E689">
        <v>29.43000030517578</v>
      </c>
      <c r="F689">
        <v>30.17799949645996</v>
      </c>
      <c r="G689">
        <v>30.08254432678223</v>
      </c>
      <c r="H689">
        <v>432535000</v>
      </c>
      <c r="I689" t="s">
        <v>2097</v>
      </c>
      <c r="J689" t="s">
        <v>2098</v>
      </c>
      <c r="K689" t="s">
        <v>37</v>
      </c>
    </row>
    <row r="690" spans="1:11" ht="20" customHeight="1">
      <c r="A690" t="s">
        <v>22</v>
      </c>
      <c r="B690" t="s">
        <v>2099</v>
      </c>
      <c r="C690">
        <v>30.40999984741211</v>
      </c>
      <c r="D690">
        <v>31.82799911499023</v>
      </c>
      <c r="E690">
        <v>30.31999969482422</v>
      </c>
      <c r="F690">
        <v>31.67799949645996</v>
      </c>
      <c r="G690">
        <v>31.57780075073242</v>
      </c>
      <c r="H690">
        <v>748725000</v>
      </c>
      <c r="I690" t="s">
        <v>2100</v>
      </c>
      <c r="J690" t="s">
        <v>2101</v>
      </c>
      <c r="K690" t="s">
        <v>37</v>
      </c>
    </row>
    <row r="691" spans="1:11" ht="20" customHeight="1">
      <c r="A691" t="s">
        <v>22</v>
      </c>
      <c r="B691" t="s">
        <v>2102</v>
      </c>
      <c r="C691">
        <v>31.5359992980957</v>
      </c>
      <c r="D691">
        <v>31.57999992370605</v>
      </c>
      <c r="E691">
        <v>30.91600036621094</v>
      </c>
      <c r="F691">
        <v>31.26399993896484</v>
      </c>
      <c r="G691">
        <v>31.16511154174805</v>
      </c>
      <c r="H691">
        <v>473908000</v>
      </c>
      <c r="I691" t="s">
        <v>2103</v>
      </c>
      <c r="J691" t="s">
        <v>2104</v>
      </c>
      <c r="K691" t="s">
        <v>37</v>
      </c>
    </row>
    <row r="692" spans="1:11" ht="20" customHeight="1">
      <c r="A692" t="s">
        <v>22</v>
      </c>
      <c r="B692" t="s">
        <v>2105</v>
      </c>
      <c r="C692">
        <v>30.90099906921387</v>
      </c>
      <c r="D692">
        <v>31.52000045776367</v>
      </c>
      <c r="E692">
        <v>30.68000030517578</v>
      </c>
      <c r="F692">
        <v>31.17600059509277</v>
      </c>
      <c r="G692">
        <v>31.07738876342773</v>
      </c>
      <c r="H692">
        <v>372000000</v>
      </c>
      <c r="I692" t="s">
        <v>2106</v>
      </c>
      <c r="J692" t="s">
        <v>2107</v>
      </c>
      <c r="K692" t="s">
        <v>37</v>
      </c>
    </row>
    <row r="693" spans="1:11" ht="20" customHeight="1">
      <c r="A693" t="s">
        <v>22</v>
      </c>
      <c r="B693" t="s">
        <v>2108</v>
      </c>
      <c r="C693">
        <v>31</v>
      </c>
      <c r="D693">
        <v>31.28800010681152</v>
      </c>
      <c r="E693">
        <v>30.63100051879883</v>
      </c>
      <c r="F693">
        <v>30.6879997253418</v>
      </c>
      <c r="G693">
        <v>30.59093284606934</v>
      </c>
      <c r="H693">
        <v>356253000</v>
      </c>
      <c r="I693" t="s">
        <v>2109</v>
      </c>
      <c r="J693" t="s">
        <v>2110</v>
      </c>
      <c r="K693" t="s">
        <v>37</v>
      </c>
    </row>
    <row r="694" spans="1:11" ht="20" customHeight="1">
      <c r="A694" t="s">
        <v>22</v>
      </c>
      <c r="B694" t="s">
        <v>2111</v>
      </c>
      <c r="C694">
        <v>30.20999908447266</v>
      </c>
      <c r="D694">
        <v>30.60700035095215</v>
      </c>
      <c r="E694">
        <v>29.80599975585938</v>
      </c>
      <c r="F694">
        <v>30.53800010681152</v>
      </c>
      <c r="G694">
        <v>30.44141006469727</v>
      </c>
      <c r="H694">
        <v>721419000</v>
      </c>
      <c r="I694" t="s">
        <v>2112</v>
      </c>
      <c r="J694" t="s">
        <v>2113</v>
      </c>
      <c r="K694" t="s">
        <v>37</v>
      </c>
    </row>
    <row r="695" spans="1:11" ht="20" customHeight="1">
      <c r="A695" t="s">
        <v>22</v>
      </c>
      <c r="B695" t="s">
        <v>2114</v>
      </c>
      <c r="C695">
        <v>38.52299880981445</v>
      </c>
      <c r="D695">
        <v>39.47999954223633</v>
      </c>
      <c r="E695">
        <v>36.6349983215332</v>
      </c>
      <c r="F695">
        <v>37.97999954223633</v>
      </c>
      <c r="G695">
        <v>37.85986328125</v>
      </c>
      <c r="H695">
        <v>1543911000</v>
      </c>
      <c r="I695" t="s">
        <v>2115</v>
      </c>
      <c r="J695" t="s">
        <v>2116</v>
      </c>
      <c r="K695" t="s">
        <v>37</v>
      </c>
    </row>
    <row r="696" spans="1:11" ht="20" customHeight="1">
      <c r="A696" t="s">
        <v>22</v>
      </c>
      <c r="B696" t="s">
        <v>2117</v>
      </c>
      <c r="C696">
        <v>37.88999938964844</v>
      </c>
      <c r="D696">
        <v>39.16999816894531</v>
      </c>
      <c r="E696">
        <v>37.54999923706055</v>
      </c>
      <c r="F696">
        <v>38.94599914550781</v>
      </c>
      <c r="G696">
        <v>38.82281494140625</v>
      </c>
      <c r="H696">
        <v>714397000</v>
      </c>
      <c r="I696" t="s">
        <v>2118</v>
      </c>
      <c r="J696" t="s">
        <v>2119</v>
      </c>
      <c r="K696" t="s">
        <v>37</v>
      </c>
    </row>
    <row r="697" spans="1:11" ht="20" customHeight="1">
      <c r="A697" t="s">
        <v>22</v>
      </c>
      <c r="B697" t="s">
        <v>2120</v>
      </c>
      <c r="C697">
        <v>40.59500122070312</v>
      </c>
      <c r="D697">
        <v>41.9379997253418</v>
      </c>
      <c r="E697">
        <v>39.94900131225586</v>
      </c>
      <c r="F697">
        <v>40.11100006103516</v>
      </c>
      <c r="G697">
        <v>39.984130859375</v>
      </c>
      <c r="H697">
        <v>923401000</v>
      </c>
      <c r="I697" t="s">
        <v>2121</v>
      </c>
      <c r="J697" t="s">
        <v>2122</v>
      </c>
      <c r="K697" t="s">
        <v>37</v>
      </c>
    </row>
    <row r="698" spans="1:11" ht="20" customHeight="1">
      <c r="A698" t="s">
        <v>22</v>
      </c>
      <c r="B698" t="s">
        <v>2123</v>
      </c>
      <c r="C698">
        <v>39.48799896240234</v>
      </c>
      <c r="D698">
        <v>40.29499816894531</v>
      </c>
      <c r="E698">
        <v>37.82199859619141</v>
      </c>
      <c r="F698">
        <v>37.83399963378906</v>
      </c>
      <c r="G698">
        <v>37.71434020996094</v>
      </c>
      <c r="H698">
        <v>1002580000</v>
      </c>
      <c r="I698" t="s">
        <v>2124</v>
      </c>
      <c r="J698" t="s">
        <v>2125</v>
      </c>
      <c r="K698" t="s">
        <v>37</v>
      </c>
    </row>
    <row r="699" spans="1:11" ht="20" customHeight="1">
      <c r="A699" t="s">
        <v>22</v>
      </c>
      <c r="B699" t="s">
        <v>2126</v>
      </c>
      <c r="C699">
        <v>38.48899841308594</v>
      </c>
      <c r="D699">
        <v>40.04999923706055</v>
      </c>
      <c r="E699">
        <v>38.34000015258789</v>
      </c>
      <c r="F699">
        <v>39.77000045776367</v>
      </c>
      <c r="G699">
        <v>39.64420700073242</v>
      </c>
      <c r="H699">
        <v>635873000</v>
      </c>
      <c r="I699" t="s">
        <v>2127</v>
      </c>
      <c r="J699" t="s">
        <v>2128</v>
      </c>
      <c r="K699" t="s">
        <v>37</v>
      </c>
    </row>
    <row r="700" spans="1:11" ht="20" customHeight="1">
      <c r="A700" t="s">
        <v>22</v>
      </c>
      <c r="B700" t="s">
        <v>2129</v>
      </c>
      <c r="C700">
        <v>40.09700012207031</v>
      </c>
      <c r="D700">
        <v>40.5</v>
      </c>
      <c r="E700">
        <v>39.05799865722656</v>
      </c>
      <c r="F700">
        <v>39.32699966430664</v>
      </c>
      <c r="G700">
        <v>39.20260620117188</v>
      </c>
      <c r="H700">
        <v>482731000</v>
      </c>
      <c r="I700" t="s">
        <v>2130</v>
      </c>
      <c r="J700" t="s">
        <v>2131</v>
      </c>
      <c r="K700" t="s">
        <v>37</v>
      </c>
    </row>
    <row r="701" spans="1:11" ht="20" customHeight="1">
      <c r="A701" t="s">
        <v>22</v>
      </c>
      <c r="B701" t="s">
        <v>2132</v>
      </c>
      <c r="C701">
        <v>38.90900039672852</v>
      </c>
      <c r="D701">
        <v>39.56499862670898</v>
      </c>
      <c r="E701">
        <v>38.70700073242188</v>
      </c>
      <c r="F701">
        <v>39.17100143432617</v>
      </c>
      <c r="G701">
        <v>39.0471076965332</v>
      </c>
      <c r="H701">
        <v>396094000</v>
      </c>
      <c r="I701" t="s">
        <v>2133</v>
      </c>
      <c r="J701" t="s">
        <v>2134</v>
      </c>
      <c r="K701" t="s">
        <v>37</v>
      </c>
    </row>
    <row r="702" spans="1:11" ht="20" customHeight="1">
      <c r="A702" t="s">
        <v>22</v>
      </c>
      <c r="B702" t="s">
        <v>2135</v>
      </c>
      <c r="C702">
        <v>38.83000183105469</v>
      </c>
      <c r="D702">
        <v>39.15999984741211</v>
      </c>
      <c r="E702">
        <v>38.14799880981445</v>
      </c>
      <c r="F702">
        <v>38.65399932861328</v>
      </c>
      <c r="G702">
        <v>38.53174209594727</v>
      </c>
      <c r="H702">
        <v>388729000</v>
      </c>
      <c r="I702" t="s">
        <v>2136</v>
      </c>
      <c r="J702" t="s">
        <v>2137</v>
      </c>
      <c r="K702" t="s">
        <v>37</v>
      </c>
    </row>
    <row r="703" spans="1:11" ht="20" customHeight="1">
      <c r="A703" t="s">
        <v>22</v>
      </c>
      <c r="B703" t="s">
        <v>2138</v>
      </c>
      <c r="C703">
        <v>38.91500091552734</v>
      </c>
      <c r="D703">
        <v>39.49900054931641</v>
      </c>
      <c r="E703">
        <v>37.35599899291992</v>
      </c>
      <c r="F703">
        <v>37.47499847412109</v>
      </c>
      <c r="G703">
        <v>37.36033248901367</v>
      </c>
      <c r="H703">
        <v>511998000</v>
      </c>
      <c r="I703" t="s">
        <v>2139</v>
      </c>
      <c r="J703" t="s">
        <v>2140</v>
      </c>
      <c r="K703" t="s">
        <v>37</v>
      </c>
    </row>
    <row r="704" spans="1:11" ht="20" customHeight="1">
      <c r="A704" t="s">
        <v>22</v>
      </c>
      <c r="B704" t="s">
        <v>2141</v>
      </c>
      <c r="C704">
        <v>37.7239990234375</v>
      </c>
      <c r="D704">
        <v>38.86399841308594</v>
      </c>
      <c r="E704">
        <v>37.50500106811523</v>
      </c>
      <c r="F704">
        <v>38.5099983215332</v>
      </c>
      <c r="G704">
        <v>38.39216232299805</v>
      </c>
      <c r="H704">
        <v>417772000</v>
      </c>
      <c r="I704" t="s">
        <v>2142</v>
      </c>
      <c r="J704" t="s">
        <v>2143</v>
      </c>
      <c r="K704" t="s">
        <v>37</v>
      </c>
    </row>
    <row r="705" spans="1:11" ht="20" customHeight="1">
      <c r="A705" t="s">
        <v>22</v>
      </c>
      <c r="B705" t="s">
        <v>2144</v>
      </c>
      <c r="C705">
        <v>39.0369987487793</v>
      </c>
      <c r="D705">
        <v>39.71099853515625</v>
      </c>
      <c r="E705">
        <v>38.56700134277344</v>
      </c>
      <c r="F705">
        <v>38.77000045776367</v>
      </c>
      <c r="G705">
        <v>38.6513671875</v>
      </c>
      <c r="H705">
        <v>427717000</v>
      </c>
      <c r="I705" t="s">
        <v>2145</v>
      </c>
      <c r="J705" t="s">
        <v>2146</v>
      </c>
      <c r="K705" t="s">
        <v>37</v>
      </c>
    </row>
    <row r="706" spans="1:11" ht="20" customHeight="1">
      <c r="A706" t="s">
        <v>22</v>
      </c>
      <c r="B706" t="s">
        <v>2147</v>
      </c>
      <c r="C706">
        <v>39.20000076293945</v>
      </c>
      <c r="D706">
        <v>39.52999877929688</v>
      </c>
      <c r="E706">
        <v>38.61800003051758</v>
      </c>
      <c r="F706">
        <v>39.48199844360352</v>
      </c>
      <c r="G706">
        <v>39.36118698120117</v>
      </c>
      <c r="H706">
        <v>388701000</v>
      </c>
      <c r="I706" t="s">
        <v>2148</v>
      </c>
      <c r="J706" t="s">
        <v>2149</v>
      </c>
      <c r="K706" t="s">
        <v>37</v>
      </c>
    </row>
    <row r="707" spans="1:11" ht="20" customHeight="1">
      <c r="A707" t="s">
        <v>22</v>
      </c>
      <c r="B707" t="s">
        <v>2150</v>
      </c>
      <c r="C707">
        <v>40.18600082397461</v>
      </c>
      <c r="D707">
        <v>41.10100173950195</v>
      </c>
      <c r="E707">
        <v>39.7400016784668</v>
      </c>
      <c r="F707">
        <v>41.02199935913086</v>
      </c>
      <c r="G707">
        <v>40.896484375</v>
      </c>
      <c r="H707">
        <v>613208000</v>
      </c>
      <c r="I707" t="s">
        <v>2151</v>
      </c>
      <c r="J707" t="s">
        <v>2152</v>
      </c>
      <c r="K707" t="s">
        <v>37</v>
      </c>
    </row>
    <row r="708" spans="1:11" ht="20" customHeight="1">
      <c r="A708" t="s">
        <v>22</v>
      </c>
      <c r="B708" t="s">
        <v>2153</v>
      </c>
      <c r="C708">
        <v>40.82400131225586</v>
      </c>
      <c r="D708">
        <v>43</v>
      </c>
      <c r="E708">
        <v>40.55199813842773</v>
      </c>
      <c r="F708">
        <v>42.99700164794922</v>
      </c>
      <c r="G708">
        <v>42.86542892456055</v>
      </c>
      <c r="H708">
        <v>740465000</v>
      </c>
      <c r="I708" t="s">
        <v>2154</v>
      </c>
      <c r="J708" t="s">
        <v>2155</v>
      </c>
      <c r="K708" t="s">
        <v>37</v>
      </c>
    </row>
    <row r="709" spans="1:11" ht="20" customHeight="1">
      <c r="A709" t="s">
        <v>22</v>
      </c>
      <c r="B709" t="s">
        <v>2156</v>
      </c>
      <c r="C709">
        <v>42.60200119018555</v>
      </c>
      <c r="D709">
        <v>43.28900146484375</v>
      </c>
      <c r="E709">
        <v>42.14699935913086</v>
      </c>
      <c r="F709">
        <v>42.65299987792969</v>
      </c>
      <c r="G709">
        <v>42.52248764038086</v>
      </c>
      <c r="H709">
        <v>568622000</v>
      </c>
      <c r="I709" t="s">
        <v>2157</v>
      </c>
      <c r="J709" t="s">
        <v>2158</v>
      </c>
      <c r="K709" t="s">
        <v>37</v>
      </c>
    </row>
    <row r="710" spans="1:11" ht="20" customHeight="1">
      <c r="A710" t="s">
        <v>22</v>
      </c>
      <c r="B710" t="s">
        <v>2159</v>
      </c>
      <c r="C710">
        <v>43.45000076293945</v>
      </c>
      <c r="D710">
        <v>43.72100067138672</v>
      </c>
      <c r="E710">
        <v>42.6609992980957</v>
      </c>
      <c r="F710">
        <v>42.69200134277344</v>
      </c>
      <c r="G710">
        <v>42.56137084960938</v>
      </c>
      <c r="H710">
        <v>655709000</v>
      </c>
      <c r="I710" t="s">
        <v>2160</v>
      </c>
      <c r="J710" t="s">
        <v>2161</v>
      </c>
      <c r="K710" t="s">
        <v>37</v>
      </c>
    </row>
    <row r="711" spans="1:11" ht="20" customHeight="1">
      <c r="A711" t="s">
        <v>22</v>
      </c>
      <c r="B711" t="s">
        <v>2162</v>
      </c>
      <c r="C711">
        <v>42.99800109863281</v>
      </c>
      <c r="D711">
        <v>43.9900016784668</v>
      </c>
      <c r="E711">
        <v>42.67399978637695</v>
      </c>
      <c r="F711">
        <v>43.80799865722656</v>
      </c>
      <c r="G711">
        <v>43.67395401000977</v>
      </c>
      <c r="H711">
        <v>451153000</v>
      </c>
      <c r="I711" t="s">
        <v>2163</v>
      </c>
      <c r="J711" t="s">
        <v>2164</v>
      </c>
      <c r="K711" t="s">
        <v>37</v>
      </c>
    </row>
    <row r="712" spans="1:11" ht="20" customHeight="1">
      <c r="A712" t="s">
        <v>22</v>
      </c>
      <c r="B712" t="s">
        <v>2165</v>
      </c>
      <c r="C712">
        <v>43.50099945068359</v>
      </c>
      <c r="D712">
        <v>43.6150016784668</v>
      </c>
      <c r="E712">
        <v>42.08000183105469</v>
      </c>
      <c r="F712">
        <v>43.04499816894531</v>
      </c>
      <c r="G712">
        <v>42.91328811645508</v>
      </c>
      <c r="H712">
        <v>551603000</v>
      </c>
      <c r="I712" t="s">
        <v>2166</v>
      </c>
      <c r="J712" t="s">
        <v>2167</v>
      </c>
      <c r="K712" t="s">
        <v>37</v>
      </c>
    </row>
    <row r="713" spans="1:11" ht="20" customHeight="1">
      <c r="A713" t="s">
        <v>22</v>
      </c>
      <c r="B713" t="s">
        <v>2168</v>
      </c>
      <c r="C713">
        <v>42.25299835205078</v>
      </c>
      <c r="D713">
        <v>43.42599868774414</v>
      </c>
      <c r="E713">
        <v>42.23400115966797</v>
      </c>
      <c r="F713">
        <v>43.02500152587891</v>
      </c>
      <c r="G713">
        <v>42.89335632324219</v>
      </c>
      <c r="H713">
        <v>417737000</v>
      </c>
      <c r="I713" t="s">
        <v>2169</v>
      </c>
      <c r="J713" t="s">
        <v>2170</v>
      </c>
      <c r="K713" t="s">
        <v>37</v>
      </c>
    </row>
    <row r="714" spans="1:11" ht="20" customHeight="1">
      <c r="A714" t="s">
        <v>22</v>
      </c>
      <c r="B714" t="s">
        <v>2171</v>
      </c>
      <c r="C714">
        <v>42.4640007019043</v>
      </c>
      <c r="D714">
        <v>42.80899810791016</v>
      </c>
      <c r="E714">
        <v>42.01499938964844</v>
      </c>
      <c r="F714">
        <v>42.20899963378906</v>
      </c>
      <c r="G714">
        <v>42.07984924316406</v>
      </c>
      <c r="H714">
        <v>358140000</v>
      </c>
      <c r="I714" t="s">
        <v>2172</v>
      </c>
      <c r="J714" t="s">
        <v>2173</v>
      </c>
      <c r="K714" t="s">
        <v>37</v>
      </c>
    </row>
    <row r="715" spans="1:11" ht="20" customHeight="1">
      <c r="A715" t="s">
        <v>22</v>
      </c>
      <c r="B715" t="s">
        <v>2174</v>
      </c>
      <c r="C715">
        <v>42.46099853515625</v>
      </c>
      <c r="D715">
        <v>42.76399993896484</v>
      </c>
      <c r="E715">
        <v>40.09999847412109</v>
      </c>
      <c r="F715">
        <v>40.63199996948242</v>
      </c>
      <c r="G715">
        <v>40.50767135620117</v>
      </c>
      <c r="H715">
        <v>594322000</v>
      </c>
      <c r="I715" t="s">
        <v>2175</v>
      </c>
      <c r="J715" t="s">
        <v>2176</v>
      </c>
      <c r="K715" t="s">
        <v>37</v>
      </c>
    </row>
    <row r="716" spans="1:11" ht="20" customHeight="1">
      <c r="A716" t="s">
        <v>22</v>
      </c>
      <c r="B716" t="s">
        <v>2177</v>
      </c>
      <c r="C716">
        <v>40.79899978637695</v>
      </c>
      <c r="D716">
        <v>41.93999862670898</v>
      </c>
      <c r="E716">
        <v>40.44800186157227</v>
      </c>
      <c r="F716">
        <v>41.87599945068359</v>
      </c>
      <c r="G716">
        <v>41.74786376953125</v>
      </c>
      <c r="H716">
        <v>462175000</v>
      </c>
      <c r="I716" t="s">
        <v>2178</v>
      </c>
      <c r="J716" t="s">
        <v>2179</v>
      </c>
      <c r="K716" t="s">
        <v>37</v>
      </c>
    </row>
    <row r="717" spans="1:11" ht="20" customHeight="1">
      <c r="A717" t="s">
        <v>22</v>
      </c>
      <c r="B717" t="s">
        <v>2180</v>
      </c>
      <c r="C717">
        <v>40.65999984741211</v>
      </c>
      <c r="D717">
        <v>41.84500122070312</v>
      </c>
      <c r="E717">
        <v>40.51800155639648</v>
      </c>
      <c r="F717">
        <v>41.11700057983398</v>
      </c>
      <c r="G717">
        <v>40.99119186401367</v>
      </c>
      <c r="H717">
        <v>582639000</v>
      </c>
      <c r="I717" t="s">
        <v>2181</v>
      </c>
      <c r="J717" t="s">
        <v>2182</v>
      </c>
      <c r="K717" t="s">
        <v>37</v>
      </c>
    </row>
    <row r="718" spans="1:11" ht="20" customHeight="1">
      <c r="A718" t="s">
        <v>22</v>
      </c>
      <c r="B718" t="s">
        <v>2183</v>
      </c>
      <c r="C718">
        <v>41.55799865722656</v>
      </c>
      <c r="D718">
        <v>41.59999847412109</v>
      </c>
      <c r="E718">
        <v>40.59999847412109</v>
      </c>
      <c r="F718">
        <v>40.82199859619141</v>
      </c>
      <c r="G718">
        <v>40.69709014892578</v>
      </c>
      <c r="H718">
        <v>380514000</v>
      </c>
      <c r="I718" t="s">
        <v>2184</v>
      </c>
      <c r="J718" t="s">
        <v>2185</v>
      </c>
      <c r="K718" t="s">
        <v>37</v>
      </c>
    </row>
    <row r="719" spans="1:11" ht="20" customHeight="1">
      <c r="A719" t="s">
        <v>22</v>
      </c>
      <c r="B719" t="s">
        <v>2186</v>
      </c>
      <c r="C719">
        <v>41.68000030517578</v>
      </c>
      <c r="D719">
        <v>42.54999923706055</v>
      </c>
      <c r="E719">
        <v>41.50099945068359</v>
      </c>
      <c r="F719">
        <v>42.30199813842773</v>
      </c>
      <c r="G719">
        <v>42.17256164550781</v>
      </c>
      <c r="H719">
        <v>501148000</v>
      </c>
      <c r="I719" t="s">
        <v>2187</v>
      </c>
      <c r="J719" t="s">
        <v>2188</v>
      </c>
      <c r="K719" t="s">
        <v>37</v>
      </c>
    </row>
    <row r="720" spans="1:11" ht="20" customHeight="1">
      <c r="A720" t="s">
        <v>22</v>
      </c>
      <c r="B720" t="s">
        <v>2189</v>
      </c>
      <c r="C720">
        <v>42.51699829101562</v>
      </c>
      <c r="D720">
        <v>42.89799880981445</v>
      </c>
      <c r="E720">
        <v>42.20199966430664</v>
      </c>
      <c r="F720">
        <v>42.41299819946289</v>
      </c>
      <c r="G720">
        <v>42.2832145690918</v>
      </c>
      <c r="H720">
        <v>198209000</v>
      </c>
      <c r="I720" t="s">
        <v>2190</v>
      </c>
      <c r="J720" t="s">
        <v>2191</v>
      </c>
      <c r="K720" t="s">
        <v>37</v>
      </c>
    </row>
    <row r="721" spans="1:11" ht="20" customHeight="1">
      <c r="A721" t="s">
        <v>22</v>
      </c>
      <c r="B721" t="s">
        <v>2192</v>
      </c>
      <c r="C721">
        <v>42.1349983215332</v>
      </c>
      <c r="D721">
        <v>43.17699813842773</v>
      </c>
      <c r="E721">
        <v>42.08499908447266</v>
      </c>
      <c r="F721">
        <v>42.31700134277344</v>
      </c>
      <c r="G721">
        <v>42.18751907348633</v>
      </c>
      <c r="H721">
        <v>323618000</v>
      </c>
      <c r="I721" t="s">
        <v>2193</v>
      </c>
      <c r="J721" t="s">
        <v>2194</v>
      </c>
      <c r="K721" t="s">
        <v>37</v>
      </c>
    </row>
    <row r="722" spans="1:11" ht="20" customHeight="1">
      <c r="A722" t="s">
        <v>22</v>
      </c>
      <c r="B722" t="s">
        <v>2195</v>
      </c>
      <c r="C722">
        <v>41.84400177001953</v>
      </c>
      <c r="D722">
        <v>42.17900085449219</v>
      </c>
      <c r="E722">
        <v>41.34600067138672</v>
      </c>
      <c r="F722">
        <v>42.10300064086914</v>
      </c>
      <c r="G722">
        <v>41.97417449951172</v>
      </c>
      <c r="H722">
        <v>303582000</v>
      </c>
      <c r="I722" t="s">
        <v>2196</v>
      </c>
      <c r="J722" t="s">
        <v>2197</v>
      </c>
      <c r="K722" t="s">
        <v>37</v>
      </c>
    </row>
    <row r="723" spans="1:11" ht="20" customHeight="1">
      <c r="A723" t="s">
        <v>22</v>
      </c>
      <c r="B723" t="s">
        <v>2198</v>
      </c>
      <c r="C723">
        <v>42.32199859619141</v>
      </c>
      <c r="D723">
        <v>43.2140007019043</v>
      </c>
      <c r="E723">
        <v>42.18000030517578</v>
      </c>
      <c r="F723">
        <v>42.50299835205078</v>
      </c>
      <c r="G723">
        <v>42.37294769287109</v>
      </c>
      <c r="H723">
        <v>355881000</v>
      </c>
      <c r="I723" t="s">
        <v>2199</v>
      </c>
      <c r="J723" t="s">
        <v>2200</v>
      </c>
      <c r="K723" t="s">
        <v>37</v>
      </c>
    </row>
    <row r="724" spans="1:11" ht="20" customHeight="1">
      <c r="A724" t="s">
        <v>22</v>
      </c>
      <c r="B724" t="s">
        <v>2201</v>
      </c>
      <c r="C724">
        <v>42.65700149536133</v>
      </c>
      <c r="D724">
        <v>42.81100082397461</v>
      </c>
      <c r="E724">
        <v>41.64899826049805</v>
      </c>
      <c r="F724">
        <v>42.18000030517578</v>
      </c>
      <c r="G724">
        <v>42.05092620849609</v>
      </c>
      <c r="H724">
        <v>353908000</v>
      </c>
      <c r="I724" t="s">
        <v>2202</v>
      </c>
      <c r="J724" t="s">
        <v>2203</v>
      </c>
      <c r="K724" t="s">
        <v>37</v>
      </c>
    </row>
    <row r="725" spans="1:11" ht="20" customHeight="1">
      <c r="A725" t="s">
        <v>22</v>
      </c>
      <c r="B725" t="s">
        <v>2204</v>
      </c>
      <c r="C725">
        <v>42.48099899291992</v>
      </c>
      <c r="D725">
        <v>42.75799942016602</v>
      </c>
      <c r="E725">
        <v>42.06700134277344</v>
      </c>
      <c r="F725">
        <v>42.40499877929688</v>
      </c>
      <c r="G725">
        <v>42.27524185180664</v>
      </c>
      <c r="H725">
        <v>298244000</v>
      </c>
      <c r="I725" t="s">
        <v>2205</v>
      </c>
      <c r="J725" t="s">
        <v>2206</v>
      </c>
      <c r="K725" t="s">
        <v>37</v>
      </c>
    </row>
    <row r="726" spans="1:11" ht="20" customHeight="1">
      <c r="A726" t="s">
        <v>22</v>
      </c>
      <c r="B726" t="s">
        <v>2207</v>
      </c>
      <c r="C726">
        <v>43.03300094604492</v>
      </c>
      <c r="D726">
        <v>43.93500137329102</v>
      </c>
      <c r="E726">
        <v>42.77700042724609</v>
      </c>
      <c r="F726">
        <v>43.90200042724609</v>
      </c>
      <c r="G726">
        <v>43.76766967773438</v>
      </c>
      <c r="H726">
        <v>481277000</v>
      </c>
      <c r="I726" t="s">
        <v>2208</v>
      </c>
      <c r="J726" t="s">
        <v>2209</v>
      </c>
      <c r="K726" t="s">
        <v>37</v>
      </c>
    </row>
    <row r="727" spans="1:11" ht="20" customHeight="1">
      <c r="A727" t="s">
        <v>22</v>
      </c>
      <c r="B727" t="s">
        <v>2210</v>
      </c>
      <c r="C727">
        <v>44.51800155639648</v>
      </c>
      <c r="D727">
        <v>46.15499877929688</v>
      </c>
      <c r="E727">
        <v>44.49200057983398</v>
      </c>
      <c r="F727">
        <v>45.97700119018555</v>
      </c>
      <c r="G727">
        <v>45.83631896972656</v>
      </c>
      <c r="H727">
        <v>478204000</v>
      </c>
      <c r="I727" t="s">
        <v>2211</v>
      </c>
      <c r="J727" t="s">
        <v>2212</v>
      </c>
      <c r="K727" t="s">
        <v>37</v>
      </c>
    </row>
    <row r="728" spans="1:11" ht="20" customHeight="1">
      <c r="A728" t="s">
        <v>22</v>
      </c>
      <c r="B728" t="s">
        <v>2213</v>
      </c>
      <c r="C728">
        <v>46.58300018310547</v>
      </c>
      <c r="D728">
        <v>48.0880012512207</v>
      </c>
      <c r="E728">
        <v>45.06000137329102</v>
      </c>
      <c r="F728">
        <v>45.46900177001953</v>
      </c>
      <c r="G728">
        <v>45.32987594604492</v>
      </c>
      <c r="H728">
        <v>772075000</v>
      </c>
      <c r="I728" t="s">
        <v>2214</v>
      </c>
      <c r="J728" t="s">
        <v>2215</v>
      </c>
      <c r="K728" t="s">
        <v>37</v>
      </c>
    </row>
    <row r="729" spans="1:11" ht="20" customHeight="1">
      <c r="A729" t="s">
        <v>22</v>
      </c>
      <c r="B729" t="s">
        <v>2216</v>
      </c>
      <c r="C729">
        <v>46.28900146484375</v>
      </c>
      <c r="D729">
        <v>46.49599838256836</v>
      </c>
      <c r="E729">
        <v>45.26200103759766</v>
      </c>
      <c r="F729">
        <v>46.46099853515625</v>
      </c>
      <c r="G729">
        <v>46.3188362121582</v>
      </c>
      <c r="H729">
        <v>510488000</v>
      </c>
      <c r="I729" t="s">
        <v>2217</v>
      </c>
      <c r="J729" t="s">
        <v>2218</v>
      </c>
      <c r="K729" t="s">
        <v>37</v>
      </c>
    </row>
    <row r="730" spans="1:11" ht="20" customHeight="1">
      <c r="A730" t="s">
        <v>22</v>
      </c>
      <c r="B730" t="s">
        <v>2219</v>
      </c>
      <c r="C730">
        <v>46.70100021362305</v>
      </c>
      <c r="D730">
        <v>47.89599990844727</v>
      </c>
      <c r="E730">
        <v>45.73400115966797</v>
      </c>
      <c r="F730">
        <v>47.49399948120117</v>
      </c>
      <c r="G730">
        <v>47.34867477416992</v>
      </c>
      <c r="H730">
        <v>569164000</v>
      </c>
      <c r="I730" t="s">
        <v>2220</v>
      </c>
      <c r="J730" t="s">
        <v>2221</v>
      </c>
      <c r="K730" t="s">
        <v>37</v>
      </c>
    </row>
    <row r="731" spans="1:11" ht="20" customHeight="1">
      <c r="A731" t="s">
        <v>22</v>
      </c>
      <c r="B731" t="s">
        <v>2222</v>
      </c>
      <c r="C731">
        <v>47.4640007019043</v>
      </c>
      <c r="D731">
        <v>47.81800079345703</v>
      </c>
      <c r="E731">
        <v>46.74200057983398</v>
      </c>
      <c r="F731">
        <v>47.07699966430664</v>
      </c>
      <c r="G731">
        <v>46.93295288085938</v>
      </c>
      <c r="H731">
        <v>427502000</v>
      </c>
      <c r="I731" t="s">
        <v>2223</v>
      </c>
      <c r="J731" t="s">
        <v>2224</v>
      </c>
      <c r="K731" t="s">
        <v>37</v>
      </c>
    </row>
    <row r="732" spans="1:11" ht="20" customHeight="1">
      <c r="A732" t="s">
        <v>22</v>
      </c>
      <c r="B732" t="s">
        <v>2225</v>
      </c>
      <c r="C732">
        <v>46.50699996948242</v>
      </c>
      <c r="D732">
        <v>47.08700180053711</v>
      </c>
      <c r="E732">
        <v>45.0620002746582</v>
      </c>
      <c r="F732">
        <v>45.52000045776367</v>
      </c>
      <c r="G732">
        <v>45.38071823120117</v>
      </c>
      <c r="H732">
        <v>537865000</v>
      </c>
      <c r="I732" t="s">
        <v>2226</v>
      </c>
      <c r="J732" t="s">
        <v>2227</v>
      </c>
      <c r="K732" t="s">
        <v>37</v>
      </c>
    </row>
    <row r="733" spans="1:11" ht="20" customHeight="1">
      <c r="A733" t="s">
        <v>22</v>
      </c>
      <c r="B733" t="s">
        <v>2228</v>
      </c>
      <c r="C733">
        <v>45.78799819946289</v>
      </c>
      <c r="D733">
        <v>45.86600112915039</v>
      </c>
      <c r="E733">
        <v>44.09999847412109</v>
      </c>
      <c r="F733">
        <v>44.30899810791016</v>
      </c>
      <c r="G733">
        <v>44.17341995239258</v>
      </c>
      <c r="H733">
        <v>963769000</v>
      </c>
      <c r="I733" t="s">
        <v>2229</v>
      </c>
      <c r="J733" t="s">
        <v>2230</v>
      </c>
      <c r="K733" t="s">
        <v>37</v>
      </c>
    </row>
    <row r="734" spans="1:11" ht="20" customHeight="1">
      <c r="A734" t="s">
        <v>22</v>
      </c>
      <c r="B734" t="s">
        <v>2231</v>
      </c>
      <c r="C734">
        <v>44.73099899291992</v>
      </c>
      <c r="D734">
        <v>45.10900115966797</v>
      </c>
      <c r="E734">
        <v>44.04000091552734</v>
      </c>
      <c r="F734">
        <v>44.61199951171875</v>
      </c>
      <c r="G734">
        <v>44.47549438476562</v>
      </c>
      <c r="H734">
        <v>382516000</v>
      </c>
      <c r="I734" t="s">
        <v>2232</v>
      </c>
      <c r="J734" t="s">
        <v>2233</v>
      </c>
      <c r="K734" t="s">
        <v>37</v>
      </c>
    </row>
    <row r="735" spans="1:11" ht="20" customHeight="1">
      <c r="A735" t="s">
        <v>22</v>
      </c>
      <c r="B735" t="s">
        <v>2234</v>
      </c>
      <c r="C735">
        <v>44.94100189208984</v>
      </c>
      <c r="D735">
        <v>46.18299865722656</v>
      </c>
      <c r="E735">
        <v>44.92300033569336</v>
      </c>
      <c r="F735">
        <v>45.67900085449219</v>
      </c>
      <c r="G735">
        <v>45.53922653198242</v>
      </c>
      <c r="H735">
        <v>348081000</v>
      </c>
      <c r="I735" t="s">
        <v>2235</v>
      </c>
      <c r="J735" t="s">
        <v>2236</v>
      </c>
      <c r="K735" t="s">
        <v>37</v>
      </c>
    </row>
    <row r="736" spans="1:11" ht="20" customHeight="1">
      <c r="A736" t="s">
        <v>22</v>
      </c>
      <c r="B736" t="s">
        <v>2237</v>
      </c>
      <c r="C736">
        <v>46.02099990844727</v>
      </c>
      <c r="D736">
        <v>46.05300140380859</v>
      </c>
      <c r="E736">
        <v>44.63000106811523</v>
      </c>
      <c r="F736">
        <v>45.45199966430664</v>
      </c>
      <c r="G736">
        <v>45.31292343139648</v>
      </c>
      <c r="H736">
        <v>364237000</v>
      </c>
      <c r="I736" t="s">
        <v>2238</v>
      </c>
      <c r="J736" t="s">
        <v>2239</v>
      </c>
      <c r="K736" t="s">
        <v>37</v>
      </c>
    </row>
    <row r="737" spans="1:11" ht="20" customHeight="1">
      <c r="A737" t="s">
        <v>22</v>
      </c>
      <c r="B737" t="s">
        <v>2240</v>
      </c>
      <c r="C737">
        <v>46.51900100708008</v>
      </c>
      <c r="D737">
        <v>47.39500045776367</v>
      </c>
      <c r="E737">
        <v>45.75</v>
      </c>
      <c r="F737">
        <v>45.90000152587891</v>
      </c>
      <c r="G737">
        <v>45.75955963134766</v>
      </c>
      <c r="H737">
        <v>455976000</v>
      </c>
      <c r="I737" t="s">
        <v>2241</v>
      </c>
      <c r="J737" t="s">
        <v>2242</v>
      </c>
      <c r="K737" t="s">
        <v>37</v>
      </c>
    </row>
    <row r="738" spans="1:11" ht="20" customHeight="1">
      <c r="A738" t="s">
        <v>22</v>
      </c>
      <c r="B738" t="s">
        <v>2243</v>
      </c>
      <c r="C738">
        <v>46.66799926757812</v>
      </c>
      <c r="D738">
        <v>47.02700042724609</v>
      </c>
      <c r="E738">
        <v>46.38100051879883</v>
      </c>
      <c r="F738">
        <v>46.75</v>
      </c>
      <c r="G738">
        <v>46.60695266723633</v>
      </c>
      <c r="H738">
        <v>331194000</v>
      </c>
      <c r="I738" t="s">
        <v>2244</v>
      </c>
      <c r="J738" t="s">
        <v>2245</v>
      </c>
      <c r="K738" t="s">
        <v>37</v>
      </c>
    </row>
    <row r="739" spans="1:11" ht="20" customHeight="1">
      <c r="A739" t="s">
        <v>22</v>
      </c>
      <c r="B739" t="s">
        <v>2246</v>
      </c>
      <c r="C739">
        <v>46.75400161743164</v>
      </c>
      <c r="D739">
        <v>47.13000106811523</v>
      </c>
      <c r="E739">
        <v>46.50600051879883</v>
      </c>
      <c r="F739">
        <v>46.72900009155273</v>
      </c>
      <c r="G739">
        <v>46.58602142333984</v>
      </c>
      <c r="H739">
        <v>251055000</v>
      </c>
      <c r="I739" t="s">
        <v>2247</v>
      </c>
      <c r="J739" t="s">
        <v>2248</v>
      </c>
      <c r="K739" t="s">
        <v>37</v>
      </c>
    </row>
    <row r="740" spans="1:11" ht="20" customHeight="1">
      <c r="A740" t="s">
        <v>22</v>
      </c>
      <c r="B740" t="s">
        <v>2249</v>
      </c>
      <c r="C740">
        <v>46.45999908447266</v>
      </c>
      <c r="D740">
        <v>46.90000152587891</v>
      </c>
      <c r="E740">
        <v>46.02700042724609</v>
      </c>
      <c r="F740">
        <v>46.50699996948242</v>
      </c>
      <c r="G740">
        <v>46.36469650268555</v>
      </c>
      <c r="H740">
        <v>237858000</v>
      </c>
      <c r="I740" t="s">
        <v>2250</v>
      </c>
      <c r="J740" t="s">
        <v>2251</v>
      </c>
      <c r="K740" t="s">
        <v>37</v>
      </c>
    </row>
    <row r="741" spans="1:11" ht="20" customHeight="1">
      <c r="A741" t="s">
        <v>22</v>
      </c>
      <c r="B741" t="s">
        <v>2252</v>
      </c>
      <c r="C741">
        <v>45.83100128173828</v>
      </c>
      <c r="D741">
        <v>45.84000015258789</v>
      </c>
      <c r="E741">
        <v>43.38700103759766</v>
      </c>
      <c r="F741">
        <v>44.26900100708008</v>
      </c>
      <c r="G741">
        <v>44.13354873657227</v>
      </c>
      <c r="H741">
        <v>530142000</v>
      </c>
      <c r="I741" t="s">
        <v>2253</v>
      </c>
      <c r="J741" t="s">
        <v>2254</v>
      </c>
      <c r="K741" t="s">
        <v>37</v>
      </c>
    </row>
    <row r="742" spans="1:11" ht="20" customHeight="1">
      <c r="A742" t="s">
        <v>22</v>
      </c>
      <c r="B742" t="s">
        <v>2255</v>
      </c>
      <c r="C742">
        <v>43.79999923706055</v>
      </c>
      <c r="D742">
        <v>45.11800003051758</v>
      </c>
      <c r="E742">
        <v>43.79999923706055</v>
      </c>
      <c r="F742">
        <v>44.51499938964844</v>
      </c>
      <c r="G742">
        <v>44.37879180908203</v>
      </c>
      <c r="H742">
        <v>324176000</v>
      </c>
      <c r="I742" t="s">
        <v>2256</v>
      </c>
      <c r="J742" t="s">
        <v>2257</v>
      </c>
      <c r="K742" t="s">
        <v>37</v>
      </c>
    </row>
    <row r="743" spans="1:11" ht="20" customHeight="1">
      <c r="A743" t="s">
        <v>22</v>
      </c>
      <c r="B743" t="s">
        <v>2258</v>
      </c>
      <c r="C743">
        <v>44.98500061035156</v>
      </c>
      <c r="D743">
        <v>45.64199829101562</v>
      </c>
      <c r="E743">
        <v>44.39300155639648</v>
      </c>
      <c r="F743">
        <v>44.68000030517578</v>
      </c>
      <c r="G743">
        <v>44.54328918457031</v>
      </c>
      <c r="H743">
        <v>362666000</v>
      </c>
      <c r="I743" t="s">
        <v>2259</v>
      </c>
      <c r="J743" t="s">
        <v>2260</v>
      </c>
      <c r="K743" t="s">
        <v>37</v>
      </c>
    </row>
    <row r="744" spans="1:11" ht="20" customHeight="1">
      <c r="A744" t="s">
        <v>22</v>
      </c>
      <c r="B744" t="s">
        <v>2261</v>
      </c>
      <c r="C744">
        <v>45.11100006103516</v>
      </c>
      <c r="D744">
        <v>45.54000091552734</v>
      </c>
      <c r="E744">
        <v>44.5629997253418</v>
      </c>
      <c r="F744">
        <v>45.41699981689453</v>
      </c>
      <c r="G744">
        <v>45.27803421020508</v>
      </c>
      <c r="H744">
        <v>322154000</v>
      </c>
      <c r="I744" t="s">
        <v>2262</v>
      </c>
      <c r="J744" t="s">
        <v>2263</v>
      </c>
      <c r="K744" t="s">
        <v>37</v>
      </c>
    </row>
    <row r="745" spans="1:11" ht="20" customHeight="1">
      <c r="A745" t="s">
        <v>22</v>
      </c>
      <c r="B745" t="s">
        <v>2264</v>
      </c>
      <c r="C745">
        <v>44.85300064086914</v>
      </c>
      <c r="D745">
        <v>45.24200057983398</v>
      </c>
      <c r="E745">
        <v>44.05599975585938</v>
      </c>
      <c r="F745">
        <v>44.66400146484375</v>
      </c>
      <c r="G745">
        <v>44.52733612060547</v>
      </c>
      <c r="H745">
        <v>353843000</v>
      </c>
      <c r="I745" t="s">
        <v>2265</v>
      </c>
      <c r="J745" t="s">
        <v>2266</v>
      </c>
      <c r="K745" t="s">
        <v>37</v>
      </c>
    </row>
    <row r="746" spans="1:11" ht="20" customHeight="1">
      <c r="A746" t="s">
        <v>22</v>
      </c>
      <c r="B746" t="s">
        <v>2267</v>
      </c>
      <c r="C746">
        <v>44.27399826049805</v>
      </c>
      <c r="D746">
        <v>44.3120002746582</v>
      </c>
      <c r="E746">
        <v>42.13399887084961</v>
      </c>
      <c r="F746">
        <v>42.55400085449219</v>
      </c>
      <c r="G746">
        <v>42.42379379272461</v>
      </c>
      <c r="H746">
        <v>586449000</v>
      </c>
      <c r="I746" t="s">
        <v>2268</v>
      </c>
      <c r="J746" t="s">
        <v>2269</v>
      </c>
      <c r="K746" t="s">
        <v>37</v>
      </c>
    </row>
    <row r="747" spans="1:11" ht="20" customHeight="1">
      <c r="A747" t="s">
        <v>22</v>
      </c>
      <c r="B747" t="s">
        <v>2270</v>
      </c>
      <c r="C747">
        <v>42.15999984741211</v>
      </c>
      <c r="D747">
        <v>43.57400131225586</v>
      </c>
      <c r="E747">
        <v>41.83499908447266</v>
      </c>
      <c r="F747">
        <v>42.38800048828125</v>
      </c>
      <c r="G747">
        <v>42.25830078125</v>
      </c>
      <c r="H747">
        <v>492705000</v>
      </c>
      <c r="I747" t="s">
        <v>2271</v>
      </c>
      <c r="J747" t="s">
        <v>2272</v>
      </c>
      <c r="K747" t="s">
        <v>37</v>
      </c>
    </row>
    <row r="748" spans="1:11" ht="20" customHeight="1">
      <c r="A748" t="s">
        <v>22</v>
      </c>
      <c r="B748" t="s">
        <v>2273</v>
      </c>
      <c r="C748">
        <v>41.75099945068359</v>
      </c>
      <c r="D748">
        <v>42.01800155639648</v>
      </c>
      <c r="E748">
        <v>40.63899993896484</v>
      </c>
      <c r="F748">
        <v>40.85499954223633</v>
      </c>
      <c r="G748">
        <v>40.72999572753906</v>
      </c>
      <c r="H748">
        <v>533085000</v>
      </c>
      <c r="I748" t="s">
        <v>2274</v>
      </c>
      <c r="J748" t="s">
        <v>2275</v>
      </c>
      <c r="K748" t="s">
        <v>37</v>
      </c>
    </row>
    <row r="749" spans="1:11" ht="20" customHeight="1">
      <c r="A749" t="s">
        <v>22</v>
      </c>
      <c r="B749" t="s">
        <v>2276</v>
      </c>
      <c r="C749">
        <v>40.48600006103516</v>
      </c>
      <c r="D749">
        <v>43.79999923706055</v>
      </c>
      <c r="E749">
        <v>40.31100082397461</v>
      </c>
      <c r="F749">
        <v>43.75299835205078</v>
      </c>
      <c r="G749">
        <v>43.61911773681641</v>
      </c>
      <c r="H749">
        <v>690286000</v>
      </c>
      <c r="I749" t="s">
        <v>2277</v>
      </c>
      <c r="J749" t="s">
        <v>2278</v>
      </c>
      <c r="K749" t="s">
        <v>37</v>
      </c>
    </row>
    <row r="750" spans="1:11" ht="20" customHeight="1">
      <c r="A750" t="s">
        <v>22</v>
      </c>
      <c r="B750" t="s">
        <v>2279</v>
      </c>
      <c r="C750">
        <v>44.56000137329102</v>
      </c>
      <c r="D750">
        <v>45.26800155639648</v>
      </c>
      <c r="E750">
        <v>43.70999908447266</v>
      </c>
      <c r="F750">
        <v>43.93999862670898</v>
      </c>
      <c r="G750">
        <v>43.80554962158203</v>
      </c>
      <c r="H750">
        <v>676512000</v>
      </c>
      <c r="I750" t="s">
        <v>2280</v>
      </c>
      <c r="J750" t="s">
        <v>2281</v>
      </c>
      <c r="K750" t="s">
        <v>37</v>
      </c>
    </row>
    <row r="751" spans="1:11" ht="20" customHeight="1">
      <c r="A751" t="s">
        <v>22</v>
      </c>
      <c r="B751" t="s">
        <v>2282</v>
      </c>
      <c r="C751">
        <v>44.52000045776367</v>
      </c>
      <c r="D751">
        <v>44.67499923706055</v>
      </c>
      <c r="E751">
        <v>43.40599822998047</v>
      </c>
      <c r="F751">
        <v>43.48600006103516</v>
      </c>
      <c r="G751">
        <v>43.35293960571289</v>
      </c>
      <c r="H751">
        <v>527451000</v>
      </c>
      <c r="I751" t="s">
        <v>2283</v>
      </c>
      <c r="J751" t="s">
        <v>2284</v>
      </c>
      <c r="K751" t="s">
        <v>37</v>
      </c>
    </row>
    <row r="752" spans="1:11" ht="20" customHeight="1">
      <c r="A752" t="s">
        <v>22</v>
      </c>
      <c r="B752" t="s">
        <v>2285</v>
      </c>
      <c r="C752">
        <v>43.97000122070312</v>
      </c>
      <c r="D752">
        <v>44.0620002746582</v>
      </c>
      <c r="E752">
        <v>43.00099945068359</v>
      </c>
      <c r="F752">
        <v>43.34400177001953</v>
      </c>
      <c r="G752">
        <v>43.21137237548828</v>
      </c>
      <c r="H752">
        <v>452395000</v>
      </c>
      <c r="I752" t="s">
        <v>2286</v>
      </c>
      <c r="J752" t="s">
        <v>2287</v>
      </c>
      <c r="K752" t="s">
        <v>37</v>
      </c>
    </row>
    <row r="753" spans="1:11" ht="20" customHeight="1">
      <c r="A753" t="s">
        <v>22</v>
      </c>
      <c r="B753" t="s">
        <v>2288</v>
      </c>
      <c r="C753">
        <v>42.6349983215332</v>
      </c>
      <c r="D753">
        <v>43.57799911499023</v>
      </c>
      <c r="E753">
        <v>41.65999984741211</v>
      </c>
      <c r="F753">
        <v>43.29899978637695</v>
      </c>
      <c r="G753">
        <v>43.1665153503418</v>
      </c>
      <c r="H753">
        <v>583768000</v>
      </c>
      <c r="I753" t="s">
        <v>2289</v>
      </c>
      <c r="J753" t="s">
        <v>2290</v>
      </c>
      <c r="K753" t="s">
        <v>37</v>
      </c>
    </row>
    <row r="754" spans="1:11" ht="20" customHeight="1">
      <c r="A754" t="s">
        <v>22</v>
      </c>
      <c r="B754" t="s">
        <v>2291</v>
      </c>
      <c r="C754">
        <v>44.49399948120117</v>
      </c>
      <c r="D754">
        <v>47.06499862670898</v>
      </c>
      <c r="E754">
        <v>44.22200012207031</v>
      </c>
      <c r="F754">
        <v>46.96699905395508</v>
      </c>
      <c r="G754">
        <v>46.82328414916992</v>
      </c>
      <c r="H754">
        <v>692573000</v>
      </c>
      <c r="I754" t="s">
        <v>2292</v>
      </c>
      <c r="J754" t="s">
        <v>2293</v>
      </c>
      <c r="K754" t="s">
        <v>37</v>
      </c>
    </row>
    <row r="755" spans="1:11" ht="20" customHeight="1">
      <c r="A755" t="s">
        <v>22</v>
      </c>
      <c r="B755" t="s">
        <v>2294</v>
      </c>
      <c r="C755">
        <v>48.1349983215332</v>
      </c>
      <c r="D755">
        <v>48.1870002746582</v>
      </c>
      <c r="E755">
        <v>45.33300018310547</v>
      </c>
      <c r="F755">
        <v>45.66799926757812</v>
      </c>
      <c r="G755">
        <v>45.52825546264648</v>
      </c>
      <c r="H755">
        <v>755293000</v>
      </c>
      <c r="I755" t="s">
        <v>2295</v>
      </c>
      <c r="J755" t="s">
        <v>2296</v>
      </c>
      <c r="K755" t="s">
        <v>37</v>
      </c>
    </row>
    <row r="756" spans="1:11" ht="20" customHeight="1">
      <c r="A756" t="s">
        <v>22</v>
      </c>
      <c r="B756" t="s">
        <v>2297</v>
      </c>
      <c r="C756">
        <v>45.86600112915039</v>
      </c>
      <c r="D756">
        <v>47.20000076293945</v>
      </c>
      <c r="E756">
        <v>45.20800018310547</v>
      </c>
      <c r="F756">
        <v>47.11600112915039</v>
      </c>
      <c r="G756">
        <v>46.97183609008789</v>
      </c>
      <c r="H756">
        <v>779046000</v>
      </c>
      <c r="I756" t="s">
        <v>2298</v>
      </c>
      <c r="J756" t="s">
        <v>2299</v>
      </c>
      <c r="K756" t="s">
        <v>37</v>
      </c>
    </row>
    <row r="757" spans="1:11" ht="20" customHeight="1">
      <c r="A757" t="s">
        <v>22</v>
      </c>
      <c r="B757" t="s">
        <v>2300</v>
      </c>
      <c r="C757">
        <v>50.21599960327148</v>
      </c>
      <c r="D757">
        <v>50.26599884033203</v>
      </c>
      <c r="E757">
        <v>47.15900039672852</v>
      </c>
      <c r="F757">
        <v>47.16299819946289</v>
      </c>
      <c r="G757">
        <v>47.0186882019043</v>
      </c>
      <c r="H757">
        <v>1156044000</v>
      </c>
      <c r="I757" t="s">
        <v>2301</v>
      </c>
      <c r="J757" t="s">
        <v>2302</v>
      </c>
      <c r="K757" t="s">
        <v>37</v>
      </c>
    </row>
    <row r="758" spans="1:11" ht="20" customHeight="1">
      <c r="A758" t="s">
        <v>22</v>
      </c>
      <c r="B758" t="s">
        <v>2303</v>
      </c>
      <c r="C758">
        <v>47.01200103759766</v>
      </c>
      <c r="D758">
        <v>47.80500030517578</v>
      </c>
      <c r="E758">
        <v>45.02399826049805</v>
      </c>
      <c r="F758">
        <v>46.01800155639648</v>
      </c>
      <c r="G758">
        <v>45.877197265625</v>
      </c>
      <c r="H758">
        <v>925341000</v>
      </c>
      <c r="I758" t="s">
        <v>2304</v>
      </c>
      <c r="J758" t="s">
        <v>2305</v>
      </c>
      <c r="K758" t="s">
        <v>37</v>
      </c>
    </row>
    <row r="759" spans="1:11" ht="20" customHeight="1">
      <c r="A759" t="s">
        <v>22</v>
      </c>
      <c r="B759" t="s">
        <v>2306</v>
      </c>
      <c r="C759">
        <v>46.48199844360352</v>
      </c>
      <c r="D759">
        <v>46.97999954223633</v>
      </c>
      <c r="E759">
        <v>44.88800048828125</v>
      </c>
      <c r="F759">
        <v>46.83499908447266</v>
      </c>
      <c r="G759">
        <v>46.69168853759766</v>
      </c>
      <c r="H759">
        <v>685192000</v>
      </c>
      <c r="I759" t="s">
        <v>2307</v>
      </c>
      <c r="J759" t="s">
        <v>2308</v>
      </c>
      <c r="K759" t="s">
        <v>37</v>
      </c>
    </row>
    <row r="760" spans="1:11" ht="20" customHeight="1">
      <c r="A760" t="s">
        <v>22</v>
      </c>
      <c r="B760" t="s">
        <v>2309</v>
      </c>
      <c r="C760">
        <v>46.66600036621094</v>
      </c>
      <c r="D760">
        <v>49.08100128173828</v>
      </c>
      <c r="E760">
        <v>46.39099884033203</v>
      </c>
      <c r="F760">
        <v>48.78400039672852</v>
      </c>
      <c r="G760">
        <v>48.63472747802734</v>
      </c>
      <c r="H760">
        <v>701397000</v>
      </c>
      <c r="I760" t="s">
        <v>2310</v>
      </c>
      <c r="J760" t="s">
        <v>2311</v>
      </c>
      <c r="K760" t="s">
        <v>37</v>
      </c>
    </row>
    <row r="761" spans="1:11" ht="20" customHeight="1">
      <c r="A761" t="s">
        <v>22</v>
      </c>
      <c r="B761" t="s">
        <v>2312</v>
      </c>
      <c r="C761">
        <v>49.04399871826172</v>
      </c>
      <c r="D761">
        <v>49.92699813842773</v>
      </c>
      <c r="E761">
        <v>48.42499923706055</v>
      </c>
      <c r="F761">
        <v>49.26399993896484</v>
      </c>
      <c r="G761">
        <v>49.11325836181641</v>
      </c>
      <c r="H761">
        <v>735206000</v>
      </c>
      <c r="I761" t="s">
        <v>2313</v>
      </c>
      <c r="J761" t="s">
        <v>2314</v>
      </c>
      <c r="K761" t="s">
        <v>37</v>
      </c>
    </row>
    <row r="762" spans="1:11" ht="20" customHeight="1">
      <c r="A762" t="s">
        <v>22</v>
      </c>
      <c r="B762" t="s">
        <v>2315</v>
      </c>
      <c r="C762">
        <v>49.38000106811523</v>
      </c>
      <c r="D762">
        <v>49.74399948120117</v>
      </c>
      <c r="E762">
        <v>48.95800018310547</v>
      </c>
      <c r="F762">
        <v>49.35499954223633</v>
      </c>
      <c r="G762">
        <v>49.20398712158203</v>
      </c>
      <c r="H762">
        <v>528570000</v>
      </c>
      <c r="I762" t="s">
        <v>2316</v>
      </c>
      <c r="J762" t="s">
        <v>2317</v>
      </c>
      <c r="K762" t="s">
        <v>37</v>
      </c>
    </row>
    <row r="763" spans="1:11" ht="20" customHeight="1">
      <c r="A763" t="s">
        <v>22</v>
      </c>
      <c r="B763" t="s">
        <v>2318</v>
      </c>
      <c r="C763">
        <v>49.76200103759766</v>
      </c>
      <c r="D763">
        <v>49.79999923706055</v>
      </c>
      <c r="E763">
        <v>48.14199829101562</v>
      </c>
      <c r="F763">
        <v>48.50899887084961</v>
      </c>
      <c r="G763">
        <v>48.36056518554688</v>
      </c>
      <c r="H763">
        <v>463830000</v>
      </c>
      <c r="I763" t="s">
        <v>2319</v>
      </c>
      <c r="J763" t="s">
        <v>2320</v>
      </c>
      <c r="K763" t="s">
        <v>37</v>
      </c>
    </row>
    <row r="764" spans="1:11" ht="20" customHeight="1">
      <c r="A764" t="s">
        <v>22</v>
      </c>
      <c r="B764" t="s">
        <v>2321</v>
      </c>
      <c r="C764">
        <v>48.22299957275391</v>
      </c>
      <c r="D764">
        <v>48.85100173950195</v>
      </c>
      <c r="E764">
        <v>47.86000061035156</v>
      </c>
      <c r="F764">
        <v>48.54800033569336</v>
      </c>
      <c r="G764">
        <v>48.39944839477539</v>
      </c>
      <c r="H764">
        <v>382653000</v>
      </c>
      <c r="I764" t="s">
        <v>2322</v>
      </c>
      <c r="J764" t="s">
        <v>2323</v>
      </c>
      <c r="K764" t="s">
        <v>37</v>
      </c>
    </row>
    <row r="765" spans="1:11" ht="20" customHeight="1">
      <c r="A765" t="s">
        <v>22</v>
      </c>
      <c r="B765" t="s">
        <v>2324</v>
      </c>
      <c r="C765">
        <v>48.44100189208984</v>
      </c>
      <c r="D765">
        <v>48.54899978637695</v>
      </c>
      <c r="E765">
        <v>46.58000183105469</v>
      </c>
      <c r="F765">
        <v>47.06100082397461</v>
      </c>
      <c r="G765">
        <v>46.92086029052734</v>
      </c>
      <c r="H765">
        <v>468670000</v>
      </c>
      <c r="I765" t="s">
        <v>2325</v>
      </c>
      <c r="J765" t="s">
        <v>2326</v>
      </c>
      <c r="K765" t="s">
        <v>37</v>
      </c>
    </row>
    <row r="766" spans="1:11" ht="20" customHeight="1">
      <c r="A766" t="s">
        <v>22</v>
      </c>
      <c r="B766" t="s">
        <v>2327</v>
      </c>
      <c r="C766">
        <v>45.52500152587891</v>
      </c>
      <c r="D766">
        <v>46.34400177001953</v>
      </c>
      <c r="E766">
        <v>45.15200042724609</v>
      </c>
      <c r="F766">
        <v>46.24100112915039</v>
      </c>
      <c r="G766">
        <v>46.10330963134766</v>
      </c>
      <c r="H766">
        <v>433330000</v>
      </c>
      <c r="I766" t="s">
        <v>2328</v>
      </c>
      <c r="J766" t="s">
        <v>2329</v>
      </c>
      <c r="K766" t="s">
        <v>37</v>
      </c>
    </row>
    <row r="767" spans="1:11" ht="20" customHeight="1">
      <c r="A767" t="s">
        <v>22</v>
      </c>
      <c r="B767" t="s">
        <v>2330</v>
      </c>
      <c r="C767">
        <v>45.94200134277344</v>
      </c>
      <c r="D767">
        <v>46.60599899291992</v>
      </c>
      <c r="E767">
        <v>45.27099990844727</v>
      </c>
      <c r="F767">
        <v>45.57199859619141</v>
      </c>
      <c r="G767">
        <v>45.43630218505859</v>
      </c>
      <c r="H767">
        <v>473069000</v>
      </c>
      <c r="I767" t="s">
        <v>2331</v>
      </c>
      <c r="J767" t="s">
        <v>2332</v>
      </c>
      <c r="K767" t="s">
        <v>37</v>
      </c>
    </row>
    <row r="768" spans="1:11" ht="20" customHeight="1">
      <c r="A768" t="s">
        <v>22</v>
      </c>
      <c r="B768" t="s">
        <v>2333</v>
      </c>
      <c r="C768">
        <v>46.14799880981445</v>
      </c>
      <c r="D768">
        <v>46.16299819946289</v>
      </c>
      <c r="E768">
        <v>44.3120002746582</v>
      </c>
      <c r="F768">
        <v>45.17800140380859</v>
      </c>
      <c r="G768">
        <v>45.04347229003906</v>
      </c>
      <c r="H768">
        <v>473966000</v>
      </c>
      <c r="I768" t="s">
        <v>2334</v>
      </c>
      <c r="J768" t="s">
        <v>2335</v>
      </c>
      <c r="K768" t="s">
        <v>37</v>
      </c>
    </row>
    <row r="769" spans="1:11" ht="20" customHeight="1">
      <c r="A769" t="s">
        <v>22</v>
      </c>
      <c r="B769" t="s">
        <v>2336</v>
      </c>
      <c r="C769">
        <v>44.73799896240234</v>
      </c>
      <c r="D769">
        <v>45.67300033569336</v>
      </c>
      <c r="E769">
        <v>44.53099822998047</v>
      </c>
      <c r="F769">
        <v>44.86999893188477</v>
      </c>
      <c r="G769">
        <v>44.73638534545898</v>
      </c>
      <c r="H769">
        <v>349256000</v>
      </c>
      <c r="I769" t="s">
        <v>2337</v>
      </c>
      <c r="J769" t="s">
        <v>2338</v>
      </c>
      <c r="K769" t="s">
        <v>37</v>
      </c>
    </row>
    <row r="770" spans="1:11" ht="20" customHeight="1">
      <c r="A770" t="s">
        <v>22</v>
      </c>
      <c r="B770" t="s">
        <v>2339</v>
      </c>
      <c r="C770">
        <v>44.59999847412109</v>
      </c>
      <c r="D770">
        <v>45.93000030517578</v>
      </c>
      <c r="E770">
        <v>44.50299835205078</v>
      </c>
      <c r="F770">
        <v>45.48500061035156</v>
      </c>
      <c r="G770">
        <v>45.34955596923828</v>
      </c>
      <c r="H770">
        <v>398355000</v>
      </c>
      <c r="I770" t="s">
        <v>2340</v>
      </c>
      <c r="J770" t="s">
        <v>2341</v>
      </c>
      <c r="K770" t="s">
        <v>37</v>
      </c>
    </row>
    <row r="771" spans="1:11" ht="20" customHeight="1">
      <c r="A771" t="s">
        <v>22</v>
      </c>
      <c r="B771" t="s">
        <v>2342</v>
      </c>
      <c r="C771">
        <v>45.95000076293945</v>
      </c>
      <c r="D771">
        <v>45.98699951171875</v>
      </c>
      <c r="E771">
        <v>45.13100051879883</v>
      </c>
      <c r="F771">
        <v>45.58100128173828</v>
      </c>
      <c r="G771">
        <v>45.44527053833008</v>
      </c>
      <c r="H771">
        <v>370097000</v>
      </c>
      <c r="I771" t="s">
        <v>2343</v>
      </c>
      <c r="J771" t="s">
        <v>2344</v>
      </c>
      <c r="K771" t="s">
        <v>37</v>
      </c>
    </row>
    <row r="772" spans="1:11" ht="20" customHeight="1">
      <c r="A772" t="s">
        <v>22</v>
      </c>
      <c r="B772" t="s">
        <v>2345</v>
      </c>
      <c r="C772">
        <v>45.34099960327148</v>
      </c>
      <c r="D772">
        <v>45.5989990234375</v>
      </c>
      <c r="E772">
        <v>43.80799865722656</v>
      </c>
      <c r="F772">
        <v>43.90000152587891</v>
      </c>
      <c r="G772">
        <v>43.7692756652832</v>
      </c>
      <c r="H772">
        <v>506831000</v>
      </c>
      <c r="I772" t="s">
        <v>2346</v>
      </c>
      <c r="J772" t="s">
        <v>2347</v>
      </c>
      <c r="K772" t="s">
        <v>37</v>
      </c>
    </row>
    <row r="773" spans="1:11" ht="20" customHeight="1">
      <c r="A773" t="s">
        <v>22</v>
      </c>
      <c r="B773" t="s">
        <v>2348</v>
      </c>
      <c r="C773">
        <v>42.74800109863281</v>
      </c>
      <c r="D773">
        <v>44.24200057983398</v>
      </c>
      <c r="E773">
        <v>42</v>
      </c>
      <c r="F773">
        <v>43.96599960327148</v>
      </c>
      <c r="G773">
        <v>43.83507537841797</v>
      </c>
      <c r="H773">
        <v>500271000</v>
      </c>
      <c r="I773" t="s">
        <v>2349</v>
      </c>
      <c r="J773" t="s">
        <v>2350</v>
      </c>
      <c r="K773" t="s">
        <v>37</v>
      </c>
    </row>
    <row r="774" spans="1:11" ht="20" customHeight="1">
      <c r="A774" t="s">
        <v>22</v>
      </c>
      <c r="B774" t="s">
        <v>2351</v>
      </c>
      <c r="C774">
        <v>43.83300018310547</v>
      </c>
      <c r="D774">
        <v>43.96599960327148</v>
      </c>
      <c r="E774">
        <v>43.00199890136719</v>
      </c>
      <c r="F774">
        <v>43.52000045776367</v>
      </c>
      <c r="G774">
        <v>43.39041519165039</v>
      </c>
      <c r="H774">
        <v>373064000</v>
      </c>
      <c r="I774" t="s">
        <v>2352</v>
      </c>
      <c r="J774" t="s">
        <v>2353</v>
      </c>
      <c r="K774" t="s">
        <v>37</v>
      </c>
    </row>
    <row r="775" spans="1:11" ht="20" customHeight="1">
      <c r="A775" t="s">
        <v>22</v>
      </c>
      <c r="B775" t="s">
        <v>2354</v>
      </c>
      <c r="C775">
        <v>43.59999847412109</v>
      </c>
      <c r="D775">
        <v>43.90299987792969</v>
      </c>
      <c r="E775">
        <v>42.22299957275391</v>
      </c>
      <c r="F775">
        <v>42.23899841308594</v>
      </c>
      <c r="G775">
        <v>42.11322402954102</v>
      </c>
      <c r="H775">
        <v>367108000</v>
      </c>
      <c r="I775" t="s">
        <v>2355</v>
      </c>
      <c r="J775" t="s">
        <v>2356</v>
      </c>
      <c r="K775" t="s">
        <v>37</v>
      </c>
    </row>
    <row r="776" spans="1:11" ht="20" customHeight="1">
      <c r="A776" t="s">
        <v>22</v>
      </c>
      <c r="B776" t="s">
        <v>2357</v>
      </c>
      <c r="C776">
        <v>41.58300018310547</v>
      </c>
      <c r="D776">
        <v>42.09999847412109</v>
      </c>
      <c r="E776">
        <v>40.97999954223633</v>
      </c>
      <c r="F776">
        <v>41.01699829101562</v>
      </c>
      <c r="G776">
        <v>40.89486694335938</v>
      </c>
      <c r="H776">
        <v>450736000</v>
      </c>
      <c r="I776" t="s">
        <v>2358</v>
      </c>
      <c r="J776" t="s">
        <v>2359</v>
      </c>
      <c r="K776" t="s">
        <v>37</v>
      </c>
    </row>
    <row r="777" spans="1:11" ht="20" customHeight="1">
      <c r="A777" t="s">
        <v>22</v>
      </c>
      <c r="B777" t="s">
        <v>2360</v>
      </c>
      <c r="C777">
        <v>41.57199859619141</v>
      </c>
      <c r="D777">
        <v>42.1150016784668</v>
      </c>
      <c r="E777">
        <v>41.23099899291992</v>
      </c>
      <c r="F777">
        <v>41.61000061035156</v>
      </c>
      <c r="G777">
        <v>41.48609161376953</v>
      </c>
      <c r="H777">
        <v>479236000</v>
      </c>
      <c r="I777" t="s">
        <v>2361</v>
      </c>
      <c r="J777" t="s">
        <v>2362</v>
      </c>
      <c r="K777" t="s">
        <v>37</v>
      </c>
    </row>
    <row r="778" spans="1:11" ht="20" customHeight="1">
      <c r="A778" t="s">
        <v>22</v>
      </c>
      <c r="B778" t="s">
        <v>2363</v>
      </c>
      <c r="C778">
        <v>41.59099960327148</v>
      </c>
      <c r="D778">
        <v>42.5359992980957</v>
      </c>
      <c r="E778">
        <v>41.17699813842773</v>
      </c>
      <c r="F778">
        <v>42.22200012207031</v>
      </c>
      <c r="G778">
        <v>42.09627914428711</v>
      </c>
      <c r="H778">
        <v>419091000</v>
      </c>
      <c r="I778" t="s">
        <v>2364</v>
      </c>
      <c r="J778" t="s">
        <v>2365</v>
      </c>
      <c r="K778" t="s">
        <v>37</v>
      </c>
    </row>
    <row r="779" spans="1:11" ht="20" customHeight="1">
      <c r="A779" t="s">
        <v>22</v>
      </c>
      <c r="B779" t="s">
        <v>2366</v>
      </c>
      <c r="C779">
        <v>42.00099945068359</v>
      </c>
      <c r="D779">
        <v>42.81999969482422</v>
      </c>
      <c r="E779">
        <v>41.65499877929688</v>
      </c>
      <c r="F779">
        <v>41.9109992980957</v>
      </c>
      <c r="G779">
        <v>41.78619384765625</v>
      </c>
      <c r="H779">
        <v>402282000</v>
      </c>
      <c r="I779" t="s">
        <v>2367</v>
      </c>
      <c r="J779" t="s">
        <v>2368</v>
      </c>
      <c r="K779" t="s">
        <v>37</v>
      </c>
    </row>
    <row r="780" spans="1:11" ht="20" customHeight="1">
      <c r="A780" t="s">
        <v>22</v>
      </c>
      <c r="B780" t="s">
        <v>2369</v>
      </c>
      <c r="C780">
        <v>42.33000183105469</v>
      </c>
      <c r="D780">
        <v>42.87200164794922</v>
      </c>
      <c r="E780">
        <v>41.62900161743164</v>
      </c>
      <c r="F780">
        <v>42.46799850463867</v>
      </c>
      <c r="G780">
        <v>42.34154510498047</v>
      </c>
      <c r="H780">
        <v>444935000</v>
      </c>
      <c r="I780" t="s">
        <v>2370</v>
      </c>
      <c r="J780" t="s">
        <v>2371</v>
      </c>
      <c r="K780" t="s">
        <v>37</v>
      </c>
    </row>
    <row r="781" spans="1:11" ht="20" customHeight="1">
      <c r="A781" t="s">
        <v>22</v>
      </c>
      <c r="B781" t="s">
        <v>2372</v>
      </c>
      <c r="C781">
        <v>42.45999908447266</v>
      </c>
      <c r="D781">
        <v>43.44599914550781</v>
      </c>
      <c r="E781">
        <v>42.1150016784668</v>
      </c>
      <c r="F781">
        <v>43.0890007019043</v>
      </c>
      <c r="G781">
        <v>42.960693359375</v>
      </c>
      <c r="H781">
        <v>424663000</v>
      </c>
      <c r="I781" t="s">
        <v>2373</v>
      </c>
      <c r="J781" t="s">
        <v>2374</v>
      </c>
      <c r="K781" t="s">
        <v>37</v>
      </c>
    </row>
    <row r="782" spans="1:11" ht="20" customHeight="1">
      <c r="A782" t="s">
        <v>22</v>
      </c>
      <c r="B782" t="s">
        <v>2375</v>
      </c>
      <c r="C782">
        <v>43.82699966430664</v>
      </c>
      <c r="D782">
        <v>44.14400100708008</v>
      </c>
      <c r="E782">
        <v>43.30699920654297</v>
      </c>
      <c r="F782">
        <v>43.49900054931641</v>
      </c>
      <c r="G782">
        <v>43.36946868896484</v>
      </c>
      <c r="H782">
        <v>397830000</v>
      </c>
      <c r="I782" t="s">
        <v>2376</v>
      </c>
      <c r="J782" t="s">
        <v>2377</v>
      </c>
      <c r="K782" t="s">
        <v>37</v>
      </c>
    </row>
    <row r="783" spans="1:11" ht="20" customHeight="1">
      <c r="A783" t="s">
        <v>22</v>
      </c>
      <c r="B783" t="s">
        <v>2378</v>
      </c>
      <c r="C783">
        <v>44.02999877929688</v>
      </c>
      <c r="D783">
        <v>45.17499923706055</v>
      </c>
      <c r="E783">
        <v>43.86100006103516</v>
      </c>
      <c r="F783">
        <v>44.78200149536133</v>
      </c>
      <c r="G783">
        <v>44.64864730834961</v>
      </c>
      <c r="H783">
        <v>433298000</v>
      </c>
      <c r="I783" t="s">
        <v>2379</v>
      </c>
      <c r="J783" t="s">
        <v>2380</v>
      </c>
      <c r="K783" t="s">
        <v>37</v>
      </c>
    </row>
    <row r="784" spans="1:11" ht="20" customHeight="1">
      <c r="A784" t="s">
        <v>22</v>
      </c>
      <c r="B784" t="s">
        <v>2381</v>
      </c>
      <c r="C784">
        <v>44.80799865722656</v>
      </c>
      <c r="D784">
        <v>45.13000106811523</v>
      </c>
      <c r="E784">
        <v>43.24599838256836</v>
      </c>
      <c r="F784">
        <v>43.51699829101562</v>
      </c>
      <c r="G784">
        <v>43.38742446899414</v>
      </c>
      <c r="H784">
        <v>470850000</v>
      </c>
      <c r="I784" t="s">
        <v>2382</v>
      </c>
      <c r="J784" t="s">
        <v>2383</v>
      </c>
      <c r="K784" t="s">
        <v>37</v>
      </c>
    </row>
    <row r="785" spans="1:11" ht="20" customHeight="1">
      <c r="A785" t="s">
        <v>22</v>
      </c>
      <c r="B785" t="s">
        <v>2384</v>
      </c>
      <c r="C785">
        <v>43.74200057983398</v>
      </c>
      <c r="D785">
        <v>44.14300155639648</v>
      </c>
      <c r="E785">
        <v>43.29199981689453</v>
      </c>
      <c r="F785">
        <v>44.04100036621094</v>
      </c>
      <c r="G785">
        <v>43.90985870361328</v>
      </c>
      <c r="H785">
        <v>361821000</v>
      </c>
      <c r="I785" t="s">
        <v>2385</v>
      </c>
      <c r="J785" t="s">
        <v>2386</v>
      </c>
      <c r="K785" t="s">
        <v>37</v>
      </c>
    </row>
    <row r="786" spans="1:11" ht="20" customHeight="1">
      <c r="A786" t="s">
        <v>22</v>
      </c>
      <c r="B786" t="s">
        <v>2387</v>
      </c>
      <c r="C786">
        <v>44.04999923706055</v>
      </c>
      <c r="D786">
        <v>44.90000152587891</v>
      </c>
      <c r="E786">
        <v>43.88800048828125</v>
      </c>
      <c r="F786">
        <v>44.6879997253418</v>
      </c>
      <c r="G786">
        <v>44.554931640625</v>
      </c>
      <c r="H786">
        <v>393483000</v>
      </c>
      <c r="I786" t="s">
        <v>2388</v>
      </c>
      <c r="J786" t="s">
        <v>2389</v>
      </c>
      <c r="K786" t="s">
        <v>37</v>
      </c>
    </row>
    <row r="787" spans="1:11" ht="20" customHeight="1">
      <c r="A787" t="s">
        <v>22</v>
      </c>
      <c r="B787" t="s">
        <v>2390</v>
      </c>
      <c r="C787">
        <v>44.19300079345703</v>
      </c>
      <c r="D787">
        <v>45.78900146484375</v>
      </c>
      <c r="E787">
        <v>44.0260009765625</v>
      </c>
      <c r="F787">
        <v>45.76200103759766</v>
      </c>
      <c r="G787">
        <v>45.625732421875</v>
      </c>
      <c r="H787">
        <v>434436000</v>
      </c>
      <c r="I787" t="s">
        <v>2391</v>
      </c>
      <c r="J787" t="s">
        <v>2392</v>
      </c>
      <c r="K787" t="s">
        <v>37</v>
      </c>
    </row>
    <row r="788" spans="1:11" ht="20" customHeight="1">
      <c r="A788" t="s">
        <v>22</v>
      </c>
      <c r="B788" t="s">
        <v>2393</v>
      </c>
      <c r="C788">
        <v>44.84199905395508</v>
      </c>
      <c r="D788">
        <v>45.60499954223633</v>
      </c>
      <c r="E788">
        <v>44.36800003051758</v>
      </c>
      <c r="F788">
        <v>45.27299880981445</v>
      </c>
      <c r="G788">
        <v>45.13818740844727</v>
      </c>
      <c r="H788">
        <v>409675000</v>
      </c>
      <c r="I788" t="s">
        <v>2394</v>
      </c>
      <c r="J788" t="s">
        <v>2395</v>
      </c>
      <c r="K788" t="s">
        <v>37</v>
      </c>
    </row>
    <row r="789" spans="1:11" ht="20" customHeight="1">
      <c r="A789" t="s">
        <v>22</v>
      </c>
      <c r="B789" t="s">
        <v>2396</v>
      </c>
      <c r="C789">
        <v>45.31000137329102</v>
      </c>
      <c r="D789">
        <v>46.25899887084961</v>
      </c>
      <c r="E789">
        <v>45.0880012512207</v>
      </c>
      <c r="F789">
        <v>45.79800033569336</v>
      </c>
      <c r="G789">
        <v>45.66162490844727</v>
      </c>
      <c r="H789">
        <v>368582000</v>
      </c>
      <c r="I789" t="s">
        <v>2397</v>
      </c>
      <c r="J789" t="s">
        <v>2398</v>
      </c>
      <c r="K789" t="s">
        <v>37</v>
      </c>
    </row>
    <row r="790" spans="1:11" ht="20" customHeight="1">
      <c r="A790" t="s">
        <v>22</v>
      </c>
      <c r="B790" t="s">
        <v>2399</v>
      </c>
      <c r="C790">
        <v>46.19599914550781</v>
      </c>
      <c r="D790">
        <v>46.85900115966797</v>
      </c>
      <c r="E790">
        <v>46.04999923706055</v>
      </c>
      <c r="F790">
        <v>46.80599975585938</v>
      </c>
      <c r="G790">
        <v>46.6666259765625</v>
      </c>
      <c r="H790">
        <v>378137000</v>
      </c>
      <c r="I790" t="s">
        <v>2400</v>
      </c>
      <c r="J790" t="s">
        <v>2401</v>
      </c>
      <c r="K790" t="s">
        <v>37</v>
      </c>
    </row>
    <row r="791" spans="1:11" ht="20" customHeight="1">
      <c r="A791" t="s">
        <v>22</v>
      </c>
      <c r="B791" t="s">
        <v>2402</v>
      </c>
      <c r="C791">
        <v>46.77700042724609</v>
      </c>
      <c r="D791">
        <v>47.60900115966797</v>
      </c>
      <c r="E791">
        <v>46.33000183105469</v>
      </c>
      <c r="F791">
        <v>46.94499969482422</v>
      </c>
      <c r="G791">
        <v>46.80521392822266</v>
      </c>
      <c r="H791">
        <v>481325000</v>
      </c>
      <c r="I791" t="s">
        <v>2403</v>
      </c>
      <c r="J791" t="s">
        <v>2404</v>
      </c>
      <c r="K791" t="s">
        <v>37</v>
      </c>
    </row>
    <row r="792" spans="1:11" ht="20" customHeight="1">
      <c r="A792" t="s">
        <v>22</v>
      </c>
      <c r="B792" t="s">
        <v>2405</v>
      </c>
      <c r="C792">
        <v>46.95999908447266</v>
      </c>
      <c r="D792">
        <v>47.11600112915039</v>
      </c>
      <c r="E792">
        <v>45.27999877929688</v>
      </c>
      <c r="F792">
        <v>45.46099853515625</v>
      </c>
      <c r="G792">
        <v>45.32563018798828</v>
      </c>
      <c r="H792">
        <v>474115000</v>
      </c>
      <c r="I792" t="s">
        <v>2406</v>
      </c>
      <c r="J792" t="s">
        <v>2407</v>
      </c>
      <c r="K792" t="s">
        <v>37</v>
      </c>
    </row>
    <row r="793" spans="1:11" ht="20" customHeight="1">
      <c r="A793" t="s">
        <v>22</v>
      </c>
      <c r="B793" t="s">
        <v>2408</v>
      </c>
      <c r="C793">
        <v>45.0629997253418</v>
      </c>
      <c r="D793">
        <v>46.22499847412109</v>
      </c>
      <c r="E793">
        <v>44.9119987487793</v>
      </c>
      <c r="F793">
        <v>46.09500122070312</v>
      </c>
      <c r="G793">
        <v>45.95774078369141</v>
      </c>
      <c r="H793">
        <v>375099000</v>
      </c>
      <c r="I793" t="s">
        <v>2409</v>
      </c>
      <c r="J793" t="s">
        <v>2410</v>
      </c>
      <c r="K793" t="s">
        <v>37</v>
      </c>
    </row>
    <row r="794" spans="1:11" ht="20" customHeight="1">
      <c r="A794" t="s">
        <v>22</v>
      </c>
      <c r="B794" t="s">
        <v>2411</v>
      </c>
      <c r="C794">
        <v>44</v>
      </c>
      <c r="D794">
        <v>44.75400161743164</v>
      </c>
      <c r="E794">
        <v>42.47999954223633</v>
      </c>
      <c r="F794">
        <v>43.9379997253418</v>
      </c>
      <c r="G794">
        <v>43.80716323852539</v>
      </c>
      <c r="H794">
        <v>812333000</v>
      </c>
      <c r="I794" t="s">
        <v>2412</v>
      </c>
      <c r="J794" t="s">
        <v>2413</v>
      </c>
      <c r="K794" t="s">
        <v>37</v>
      </c>
    </row>
    <row r="795" spans="1:11" ht="20" customHeight="1">
      <c r="A795" t="s">
        <v>22</v>
      </c>
      <c r="B795" t="s">
        <v>2414</v>
      </c>
      <c r="C795">
        <v>42.59099960327148</v>
      </c>
      <c r="D795">
        <v>43.21900177001953</v>
      </c>
      <c r="E795">
        <v>41.82500076293945</v>
      </c>
      <c r="F795">
        <v>42.19599914550781</v>
      </c>
      <c r="G795">
        <v>42.07035064697266</v>
      </c>
      <c r="H795">
        <v>627294000</v>
      </c>
      <c r="I795" t="s">
        <v>2415</v>
      </c>
      <c r="J795" t="s">
        <v>2416</v>
      </c>
      <c r="K795" t="s">
        <v>37</v>
      </c>
    </row>
    <row r="796" spans="1:11" ht="20" customHeight="1">
      <c r="A796" t="s">
        <v>22</v>
      </c>
      <c r="B796" t="s">
        <v>2417</v>
      </c>
      <c r="C796">
        <v>42.81100082397461</v>
      </c>
      <c r="D796">
        <v>43.29700088500977</v>
      </c>
      <c r="E796">
        <v>41.88199996948242</v>
      </c>
      <c r="F796">
        <v>42.10100173950195</v>
      </c>
      <c r="G796">
        <v>41.97563934326172</v>
      </c>
      <c r="H796">
        <v>501233000</v>
      </c>
      <c r="I796" t="s">
        <v>2418</v>
      </c>
      <c r="J796" t="s">
        <v>2419</v>
      </c>
      <c r="K796" t="s">
        <v>37</v>
      </c>
    </row>
    <row r="797" spans="1:11" ht="20" customHeight="1">
      <c r="A797" t="s">
        <v>22</v>
      </c>
      <c r="B797" t="s">
        <v>2420</v>
      </c>
      <c r="C797">
        <v>41.88999938964844</v>
      </c>
      <c r="D797">
        <v>42.47000122070312</v>
      </c>
      <c r="E797">
        <v>41.07799911499023</v>
      </c>
      <c r="F797">
        <v>41.38700103759766</v>
      </c>
      <c r="G797">
        <v>41.26376342773438</v>
      </c>
      <c r="H797">
        <v>477266000</v>
      </c>
      <c r="I797" t="s">
        <v>2421</v>
      </c>
      <c r="J797" t="s">
        <v>2422</v>
      </c>
      <c r="K797" t="s">
        <v>37</v>
      </c>
    </row>
    <row r="798" spans="1:11" ht="20" customHeight="1">
      <c r="A798" t="s">
        <v>22</v>
      </c>
      <c r="B798" t="s">
        <v>2423</v>
      </c>
      <c r="C798">
        <v>41.22900009155273</v>
      </c>
      <c r="D798">
        <v>43.24800109863281</v>
      </c>
      <c r="E798">
        <v>40.94499969482422</v>
      </c>
      <c r="F798">
        <v>42.97499847412109</v>
      </c>
      <c r="G798">
        <v>42.8470344543457</v>
      </c>
      <c r="H798">
        <v>478530000</v>
      </c>
      <c r="I798" t="s">
        <v>2424</v>
      </c>
      <c r="J798" t="s">
        <v>2425</v>
      </c>
      <c r="K798" t="s">
        <v>37</v>
      </c>
    </row>
    <row r="799" spans="1:11" ht="20" customHeight="1">
      <c r="A799" t="s">
        <v>22</v>
      </c>
      <c r="B799" t="s">
        <v>2426</v>
      </c>
      <c r="C799">
        <v>43.07699966430664</v>
      </c>
      <c r="D799">
        <v>43.69699859619141</v>
      </c>
      <c r="E799">
        <v>42.69100189208984</v>
      </c>
      <c r="F799">
        <v>43.66299819946289</v>
      </c>
      <c r="G799">
        <v>43.53298187255859</v>
      </c>
      <c r="H799">
        <v>401463000</v>
      </c>
      <c r="I799" t="s">
        <v>2427</v>
      </c>
      <c r="J799" t="s">
        <v>2428</v>
      </c>
      <c r="K799" t="s">
        <v>37</v>
      </c>
    </row>
    <row r="800" spans="1:11" ht="20" customHeight="1">
      <c r="A800" t="s">
        <v>22</v>
      </c>
      <c r="B800" t="s">
        <v>2429</v>
      </c>
      <c r="C800">
        <v>43.39799880981445</v>
      </c>
      <c r="D800">
        <v>43.65000152587891</v>
      </c>
      <c r="E800">
        <v>41.55500030517578</v>
      </c>
      <c r="F800">
        <v>41.77899932861328</v>
      </c>
      <c r="G800">
        <v>41.65459060668945</v>
      </c>
      <c r="H800">
        <v>398379000</v>
      </c>
      <c r="I800" t="s">
        <v>2430</v>
      </c>
      <c r="J800" t="s">
        <v>2431</v>
      </c>
      <c r="K800" t="s">
        <v>37</v>
      </c>
    </row>
    <row r="801" spans="1:11" ht="20" customHeight="1">
      <c r="A801" t="s">
        <v>22</v>
      </c>
      <c r="B801" t="s">
        <v>2432</v>
      </c>
      <c r="C801">
        <v>41.85300064086914</v>
      </c>
      <c r="D801">
        <v>42.25600051879883</v>
      </c>
      <c r="E801">
        <v>39.88000106811523</v>
      </c>
      <c r="F801">
        <v>40.32600021362305</v>
      </c>
      <c r="G801">
        <v>40.2059211730957</v>
      </c>
      <c r="H801">
        <v>541001000</v>
      </c>
      <c r="I801" t="s">
        <v>2433</v>
      </c>
      <c r="J801" t="s">
        <v>2434</v>
      </c>
      <c r="K801" t="s">
        <v>37</v>
      </c>
    </row>
    <row r="802" spans="1:11" ht="20" customHeight="1">
      <c r="A802" t="s">
        <v>22</v>
      </c>
      <c r="B802" t="s">
        <v>2435</v>
      </c>
      <c r="C802">
        <v>41.13000106811523</v>
      </c>
      <c r="D802">
        <v>41.20600128173828</v>
      </c>
      <c r="E802">
        <v>40.01499938964844</v>
      </c>
      <c r="F802">
        <v>40.5</v>
      </c>
      <c r="G802">
        <v>40.37940216064453</v>
      </c>
      <c r="H802">
        <v>416784000</v>
      </c>
      <c r="I802" t="s">
        <v>2436</v>
      </c>
      <c r="J802" t="s">
        <v>2437</v>
      </c>
      <c r="K802" t="s">
        <v>37</v>
      </c>
    </row>
    <row r="803" spans="1:11" ht="20" customHeight="1">
      <c r="A803" t="s">
        <v>22</v>
      </c>
      <c r="B803" t="s">
        <v>2438</v>
      </c>
      <c r="C803">
        <v>41.08700180053711</v>
      </c>
      <c r="D803">
        <v>41.76599884033203</v>
      </c>
      <c r="E803">
        <v>40.48099899291992</v>
      </c>
      <c r="F803">
        <v>41.1609992980957</v>
      </c>
      <c r="G803">
        <v>41.03843307495117</v>
      </c>
      <c r="H803">
        <v>388028000</v>
      </c>
      <c r="I803" t="s">
        <v>2439</v>
      </c>
      <c r="J803" t="s">
        <v>2440</v>
      </c>
      <c r="K803" t="s">
        <v>37</v>
      </c>
    </row>
    <row r="804" spans="1:11" ht="20" customHeight="1">
      <c r="A804" t="s">
        <v>22</v>
      </c>
      <c r="B804" t="s">
        <v>2441</v>
      </c>
      <c r="C804">
        <v>40.45000076293945</v>
      </c>
      <c r="D804">
        <v>40.87900161743164</v>
      </c>
      <c r="E804">
        <v>39.22999954223633</v>
      </c>
      <c r="F804">
        <v>40.77999877929688</v>
      </c>
      <c r="G804">
        <v>40.65857315063477</v>
      </c>
      <c r="H804">
        <v>517969000</v>
      </c>
      <c r="I804" t="s">
        <v>2442</v>
      </c>
      <c r="J804" t="s">
        <v>2443</v>
      </c>
      <c r="K804" t="s">
        <v>37</v>
      </c>
    </row>
    <row r="805" spans="1:11" ht="20" customHeight="1">
      <c r="A805" t="s">
        <v>22</v>
      </c>
      <c r="B805" t="s">
        <v>2444</v>
      </c>
      <c r="C805">
        <v>40.88399887084961</v>
      </c>
      <c r="D805">
        <v>42.38100051879883</v>
      </c>
      <c r="E805">
        <v>40.86899948120117</v>
      </c>
      <c r="F805">
        <v>42.32500076293945</v>
      </c>
      <c r="G805">
        <v>42.198974609375</v>
      </c>
      <c r="H805">
        <v>437593000</v>
      </c>
      <c r="I805" t="s">
        <v>2445</v>
      </c>
      <c r="J805" t="s">
        <v>2446</v>
      </c>
      <c r="K805" t="s">
        <v>37</v>
      </c>
    </row>
    <row r="806" spans="1:11" ht="20" customHeight="1">
      <c r="A806" t="s">
        <v>22</v>
      </c>
      <c r="B806" t="s">
        <v>2447</v>
      </c>
      <c r="C806">
        <v>43.32799911499023</v>
      </c>
      <c r="D806">
        <v>43.88399887084961</v>
      </c>
      <c r="E806">
        <v>42.89400100708008</v>
      </c>
      <c r="F806">
        <v>43.50600051879883</v>
      </c>
      <c r="G806">
        <v>43.3764533996582</v>
      </c>
      <c r="H806">
        <v>409172000</v>
      </c>
      <c r="I806" t="s">
        <v>2448</v>
      </c>
      <c r="J806" t="s">
        <v>2449</v>
      </c>
      <c r="K806" t="s">
        <v>37</v>
      </c>
    </row>
    <row r="807" spans="1:11" ht="20" customHeight="1">
      <c r="A807" t="s">
        <v>22</v>
      </c>
      <c r="B807" t="s">
        <v>2450</v>
      </c>
      <c r="C807">
        <v>44.02000045776367</v>
      </c>
      <c r="D807">
        <v>45.30899810791016</v>
      </c>
      <c r="E807">
        <v>43.72299957275391</v>
      </c>
      <c r="F807">
        <v>45.00500106811523</v>
      </c>
      <c r="G807">
        <v>44.87099075317383</v>
      </c>
      <c r="H807">
        <v>424610000</v>
      </c>
      <c r="I807" t="s">
        <v>2451</v>
      </c>
      <c r="J807" t="s">
        <v>2452</v>
      </c>
      <c r="K807" t="s">
        <v>37</v>
      </c>
    </row>
    <row r="808" spans="1:11" ht="20" customHeight="1">
      <c r="A808" t="s">
        <v>22</v>
      </c>
      <c r="B808" t="s">
        <v>2453</v>
      </c>
      <c r="C808">
        <v>45.28499984741211</v>
      </c>
      <c r="D808">
        <v>45.93500137329102</v>
      </c>
      <c r="E808">
        <v>44.89899826049805</v>
      </c>
      <c r="F808">
        <v>45.75099945068359</v>
      </c>
      <c r="G808">
        <v>45.61476135253906</v>
      </c>
      <c r="H808">
        <v>400733000</v>
      </c>
      <c r="I808" t="s">
        <v>2454</v>
      </c>
      <c r="J808" t="s">
        <v>2455</v>
      </c>
      <c r="K808" t="s">
        <v>37</v>
      </c>
    </row>
    <row r="809" spans="1:11" ht="20" customHeight="1">
      <c r="A809" t="s">
        <v>22</v>
      </c>
      <c r="B809" t="s">
        <v>2456</v>
      </c>
      <c r="C809">
        <v>45.71900177001953</v>
      </c>
      <c r="D809">
        <v>46.21799850463867</v>
      </c>
      <c r="E809">
        <v>45.15800094604492</v>
      </c>
      <c r="F809">
        <v>45.95500183105469</v>
      </c>
      <c r="G809">
        <v>45.81815719604492</v>
      </c>
      <c r="H809">
        <v>343165000</v>
      </c>
      <c r="I809" t="s">
        <v>2457</v>
      </c>
      <c r="J809" t="s">
        <v>2458</v>
      </c>
      <c r="K809" t="s">
        <v>37</v>
      </c>
    </row>
    <row r="810" spans="1:11" ht="20" customHeight="1">
      <c r="A810" t="s">
        <v>22</v>
      </c>
      <c r="B810" t="s">
        <v>2459</v>
      </c>
      <c r="C810">
        <v>46.09999847412109</v>
      </c>
      <c r="D810">
        <v>46.86700057983398</v>
      </c>
      <c r="E810">
        <v>45.96799850463867</v>
      </c>
      <c r="F810">
        <v>46.57400131225586</v>
      </c>
      <c r="G810">
        <v>46.43531799316406</v>
      </c>
      <c r="H810">
        <v>346719000</v>
      </c>
      <c r="I810" t="s">
        <v>2460</v>
      </c>
      <c r="J810" t="s">
        <v>2461</v>
      </c>
      <c r="K810" t="s">
        <v>37</v>
      </c>
    </row>
    <row r="811" spans="1:11" ht="20" customHeight="1">
      <c r="A811" t="s">
        <v>22</v>
      </c>
      <c r="B811" t="s">
        <v>2462</v>
      </c>
      <c r="C811">
        <v>47.46699905395508</v>
      </c>
      <c r="D811">
        <v>48.22999954223633</v>
      </c>
      <c r="E811">
        <v>46.75</v>
      </c>
      <c r="F811">
        <v>46.95000076293945</v>
      </c>
      <c r="G811">
        <v>46.81019973754883</v>
      </c>
      <c r="H811">
        <v>540496000</v>
      </c>
      <c r="I811" t="s">
        <v>2463</v>
      </c>
      <c r="J811" t="s">
        <v>2464</v>
      </c>
      <c r="K811" t="s">
        <v>37</v>
      </c>
    </row>
    <row r="812" spans="1:11" ht="20" customHeight="1">
      <c r="A812" t="s">
        <v>22</v>
      </c>
      <c r="B812" t="s">
        <v>2465</v>
      </c>
      <c r="C812">
        <v>47.5</v>
      </c>
      <c r="D812">
        <v>48.47200012207031</v>
      </c>
      <c r="E812">
        <v>47.28300094604492</v>
      </c>
      <c r="F812">
        <v>48.33499908447266</v>
      </c>
      <c r="G812">
        <v>48.19107818603516</v>
      </c>
      <c r="H812">
        <v>421245000</v>
      </c>
      <c r="I812" t="s">
        <v>2466</v>
      </c>
      <c r="J812" t="s">
        <v>2467</v>
      </c>
      <c r="K812" t="s">
        <v>37</v>
      </c>
    </row>
    <row r="813" spans="1:11" ht="20" customHeight="1">
      <c r="A813" t="s">
        <v>22</v>
      </c>
      <c r="B813" t="s">
        <v>2468</v>
      </c>
      <c r="C813">
        <v>48.31999969482422</v>
      </c>
      <c r="D813">
        <v>49.11600112915039</v>
      </c>
      <c r="E813">
        <v>48.0989990234375</v>
      </c>
      <c r="F813">
        <v>48.61999893188477</v>
      </c>
      <c r="G813">
        <v>48.47521591186523</v>
      </c>
      <c r="H813">
        <v>384136000</v>
      </c>
      <c r="I813" t="s">
        <v>2469</v>
      </c>
      <c r="J813" t="s">
        <v>2470</v>
      </c>
      <c r="K813" t="s">
        <v>37</v>
      </c>
    </row>
    <row r="814" spans="1:11" ht="20" customHeight="1">
      <c r="A814" t="s">
        <v>22</v>
      </c>
      <c r="B814" t="s">
        <v>2471</v>
      </c>
      <c r="C814">
        <v>49.68000030517578</v>
      </c>
      <c r="D814">
        <v>49.83399963378906</v>
      </c>
      <c r="E814">
        <v>49.04000091552734</v>
      </c>
      <c r="F814">
        <v>49.65599822998047</v>
      </c>
      <c r="G814">
        <v>49.50813293457031</v>
      </c>
      <c r="H814">
        <v>416954000</v>
      </c>
      <c r="I814" t="s">
        <v>2472</v>
      </c>
      <c r="J814" t="s">
        <v>2473</v>
      </c>
      <c r="K814" t="s">
        <v>37</v>
      </c>
    </row>
    <row r="815" spans="1:11" ht="20" customHeight="1">
      <c r="A815" t="s">
        <v>22</v>
      </c>
      <c r="B815" t="s">
        <v>2474</v>
      </c>
      <c r="C815">
        <v>49.93500137329102</v>
      </c>
      <c r="D815">
        <v>49.95999908447266</v>
      </c>
      <c r="E815">
        <v>48.20000076293945</v>
      </c>
      <c r="F815">
        <v>48.88800048828125</v>
      </c>
      <c r="G815">
        <v>48.74242782592773</v>
      </c>
      <c r="H815">
        <v>475497000</v>
      </c>
      <c r="I815" t="s">
        <v>2475</v>
      </c>
      <c r="J815" t="s">
        <v>2476</v>
      </c>
      <c r="K815" t="s">
        <v>37</v>
      </c>
    </row>
    <row r="816" spans="1:11" ht="20" customHeight="1">
      <c r="A816" t="s">
        <v>22</v>
      </c>
      <c r="B816" t="s">
        <v>2477</v>
      </c>
      <c r="C816">
        <v>48.67900085449219</v>
      </c>
      <c r="D816">
        <v>49.52500152587891</v>
      </c>
      <c r="E816">
        <v>48.33000183105469</v>
      </c>
      <c r="F816">
        <v>49.47999954223633</v>
      </c>
      <c r="G816">
        <v>49.33266448974609</v>
      </c>
      <c r="H816">
        <v>339756000</v>
      </c>
      <c r="I816" t="s">
        <v>2478</v>
      </c>
      <c r="J816" t="s">
        <v>2479</v>
      </c>
      <c r="K816" t="s">
        <v>37</v>
      </c>
    </row>
    <row r="817" spans="1:11" ht="20" customHeight="1">
      <c r="A817" t="s">
        <v>22</v>
      </c>
      <c r="B817" t="s">
        <v>2480</v>
      </c>
      <c r="C817">
        <v>49.52399826049805</v>
      </c>
      <c r="D817">
        <v>49.71699905395508</v>
      </c>
      <c r="E817">
        <v>49.00699996948242</v>
      </c>
      <c r="F817">
        <v>49.29800033569336</v>
      </c>
      <c r="G817">
        <v>49.15121078491211</v>
      </c>
      <c r="H817">
        <v>325205000</v>
      </c>
      <c r="I817" t="s">
        <v>2481</v>
      </c>
      <c r="J817" t="s">
        <v>2482</v>
      </c>
      <c r="K817" t="s">
        <v>37</v>
      </c>
    </row>
    <row r="818" spans="1:11" ht="20" customHeight="1">
      <c r="A818" t="s">
        <v>22</v>
      </c>
      <c r="B818" t="s">
        <v>2483</v>
      </c>
      <c r="C818">
        <v>49.3120002746582</v>
      </c>
      <c r="D818">
        <v>50.54800033569336</v>
      </c>
      <c r="E818">
        <v>49.18099975585938</v>
      </c>
      <c r="F818">
        <v>50.40900039672852</v>
      </c>
      <c r="G818">
        <v>50.25889587402344</v>
      </c>
      <c r="H818">
        <v>414120000</v>
      </c>
      <c r="I818" t="s">
        <v>2484</v>
      </c>
      <c r="J818" t="s">
        <v>2485</v>
      </c>
      <c r="K818" t="s">
        <v>37</v>
      </c>
    </row>
    <row r="819" spans="1:11" ht="20" customHeight="1">
      <c r="A819" t="s">
        <v>22</v>
      </c>
      <c r="B819" t="s">
        <v>2486</v>
      </c>
      <c r="C819">
        <v>50.12599945068359</v>
      </c>
      <c r="D819">
        <v>50.51699829101562</v>
      </c>
      <c r="E819">
        <v>49.22200012207031</v>
      </c>
      <c r="F819">
        <v>49.94400024414062</v>
      </c>
      <c r="G819">
        <v>49.79528427124023</v>
      </c>
      <c r="H819">
        <v>565747000</v>
      </c>
      <c r="I819" t="s">
        <v>2487</v>
      </c>
      <c r="J819" t="s">
        <v>2488</v>
      </c>
      <c r="K819" t="s">
        <v>37</v>
      </c>
    </row>
    <row r="820" spans="1:11" ht="20" customHeight="1">
      <c r="A820" t="s">
        <v>22</v>
      </c>
      <c r="B820" t="s">
        <v>2489</v>
      </c>
      <c r="C820">
        <v>49.85200119018555</v>
      </c>
      <c r="D820">
        <v>50.33499908447266</v>
      </c>
      <c r="E820">
        <v>47.68999862670898</v>
      </c>
      <c r="F820">
        <v>48.71599960327148</v>
      </c>
      <c r="G820">
        <v>48.57094192504883</v>
      </c>
      <c r="H820">
        <v>899420000</v>
      </c>
      <c r="I820" t="s">
        <v>2490</v>
      </c>
      <c r="J820" t="s">
        <v>2491</v>
      </c>
      <c r="K820" t="s">
        <v>37</v>
      </c>
    </row>
    <row r="821" spans="1:11" ht="20" customHeight="1">
      <c r="A821" t="s">
        <v>22</v>
      </c>
      <c r="B821" t="s">
        <v>2492</v>
      </c>
      <c r="C821">
        <v>48.47000122070312</v>
      </c>
      <c r="D821">
        <v>48.92100143432617</v>
      </c>
      <c r="E821">
        <v>47.74499893188477</v>
      </c>
      <c r="F821">
        <v>47.7760009765625</v>
      </c>
      <c r="G821">
        <v>47.63373947143555</v>
      </c>
      <c r="H821">
        <v>294645000</v>
      </c>
      <c r="I821" t="s">
        <v>2493</v>
      </c>
      <c r="J821" t="s">
        <v>2494</v>
      </c>
      <c r="K821" t="s">
        <v>37</v>
      </c>
    </row>
    <row r="822" spans="1:11" ht="20" customHeight="1">
      <c r="A822" t="s">
        <v>22</v>
      </c>
      <c r="B822" t="s">
        <v>2495</v>
      </c>
      <c r="C822">
        <v>47.79999923706055</v>
      </c>
      <c r="D822">
        <v>48.52999877929688</v>
      </c>
      <c r="E822">
        <v>47.65200042724609</v>
      </c>
      <c r="F822">
        <v>48.24200057983398</v>
      </c>
      <c r="G822">
        <v>48.09835052490234</v>
      </c>
      <c r="H822">
        <v>395662000</v>
      </c>
      <c r="I822" t="s">
        <v>2496</v>
      </c>
      <c r="J822" t="s">
        <v>2497</v>
      </c>
      <c r="K822" t="s">
        <v>37</v>
      </c>
    </row>
    <row r="823" spans="1:11" ht="20" customHeight="1">
      <c r="A823" t="s">
        <v>22</v>
      </c>
      <c r="B823" t="s">
        <v>2498</v>
      </c>
      <c r="C823">
        <v>48.23600006103516</v>
      </c>
      <c r="D823">
        <v>48.32300186157227</v>
      </c>
      <c r="E823">
        <v>47.47299957275391</v>
      </c>
      <c r="F823">
        <v>47.82099914550781</v>
      </c>
      <c r="G823">
        <v>47.67860412597656</v>
      </c>
      <c r="H823">
        <v>401491000</v>
      </c>
      <c r="I823" t="s">
        <v>2499</v>
      </c>
      <c r="J823" t="s">
        <v>2500</v>
      </c>
      <c r="K823" t="s">
        <v>37</v>
      </c>
    </row>
    <row r="824" spans="1:11" ht="20" customHeight="1">
      <c r="A824" t="s">
        <v>22</v>
      </c>
      <c r="B824" t="s">
        <v>2501</v>
      </c>
      <c r="C824">
        <v>48.37900161743164</v>
      </c>
      <c r="D824">
        <v>48.76200103759766</v>
      </c>
      <c r="E824">
        <v>47.86000061035156</v>
      </c>
      <c r="F824">
        <v>48.13999938964844</v>
      </c>
      <c r="G824">
        <v>47.99665069580078</v>
      </c>
      <c r="H824">
        <v>382005000</v>
      </c>
      <c r="I824" t="s">
        <v>2502</v>
      </c>
      <c r="J824" t="s">
        <v>2503</v>
      </c>
      <c r="K824" t="s">
        <v>37</v>
      </c>
    </row>
    <row r="825" spans="1:11" ht="20" customHeight="1">
      <c r="A825" t="s">
        <v>22</v>
      </c>
      <c r="B825" t="s">
        <v>2504</v>
      </c>
      <c r="C825">
        <v>48.02399826049805</v>
      </c>
      <c r="D825">
        <v>48.11000061035156</v>
      </c>
      <c r="E825">
        <v>46.42200088500977</v>
      </c>
      <c r="F825">
        <v>46.77000045776367</v>
      </c>
      <c r="G825">
        <v>46.6307373046875</v>
      </c>
      <c r="H825">
        <v>526247000</v>
      </c>
      <c r="I825" t="s">
        <v>2505</v>
      </c>
      <c r="J825" t="s">
        <v>2506</v>
      </c>
      <c r="K825" t="s">
        <v>37</v>
      </c>
    </row>
    <row r="826" spans="1:11" ht="20" customHeight="1">
      <c r="A826" t="s">
        <v>22</v>
      </c>
      <c r="B826" t="s">
        <v>2507</v>
      </c>
      <c r="C826">
        <v>46.52500152587891</v>
      </c>
      <c r="D826">
        <v>47.20000076293945</v>
      </c>
      <c r="E826">
        <v>46.1870002746582</v>
      </c>
      <c r="F826">
        <v>46.76499938964844</v>
      </c>
      <c r="G826">
        <v>46.6257438659668</v>
      </c>
      <c r="H826">
        <v>369317000</v>
      </c>
      <c r="I826" t="s">
        <v>2508</v>
      </c>
      <c r="J826" t="s">
        <v>2509</v>
      </c>
      <c r="K826" t="s">
        <v>37</v>
      </c>
    </row>
    <row r="827" spans="1:11" ht="20" customHeight="1">
      <c r="A827" t="s">
        <v>22</v>
      </c>
      <c r="B827" t="s">
        <v>2510</v>
      </c>
      <c r="C827">
        <v>46.07699966430664</v>
      </c>
      <c r="D827">
        <v>46.07699966430664</v>
      </c>
      <c r="E827">
        <v>45.0099983215332</v>
      </c>
      <c r="F827">
        <v>45.5099983215332</v>
      </c>
      <c r="G827">
        <v>45.37448120117188</v>
      </c>
      <c r="H827">
        <v>437543000</v>
      </c>
      <c r="I827" t="s">
        <v>2511</v>
      </c>
      <c r="J827" t="s">
        <v>2512</v>
      </c>
      <c r="K827" t="s">
        <v>37</v>
      </c>
    </row>
    <row r="828" spans="1:11" ht="20" customHeight="1">
      <c r="A828" t="s">
        <v>22</v>
      </c>
      <c r="B828" t="s">
        <v>2513</v>
      </c>
      <c r="C828">
        <v>45.46599960327148</v>
      </c>
      <c r="D828">
        <v>46.59999847412109</v>
      </c>
      <c r="E828">
        <v>45.27099990844727</v>
      </c>
      <c r="F828">
        <v>46.56600189208984</v>
      </c>
      <c r="G828">
        <v>46.43141937255859</v>
      </c>
      <c r="H828">
        <v>371718000</v>
      </c>
      <c r="I828" t="s">
        <v>2514</v>
      </c>
      <c r="J828" t="s">
        <v>2515</v>
      </c>
      <c r="K828" t="s">
        <v>37</v>
      </c>
    </row>
    <row r="829" spans="1:11" ht="20" customHeight="1">
      <c r="A829" t="s">
        <v>22</v>
      </c>
      <c r="B829" t="s">
        <v>2516</v>
      </c>
      <c r="C829">
        <v>47.21500015258789</v>
      </c>
      <c r="D829">
        <v>47.38700103759766</v>
      </c>
      <c r="E829">
        <v>45.4119987487793</v>
      </c>
      <c r="F829">
        <v>45.50299835205078</v>
      </c>
      <c r="G829">
        <v>45.37149429321289</v>
      </c>
      <c r="H829">
        <v>380590000</v>
      </c>
      <c r="I829" t="s">
        <v>2517</v>
      </c>
      <c r="J829" t="s">
        <v>2518</v>
      </c>
      <c r="K829" t="s">
        <v>37</v>
      </c>
    </row>
    <row r="830" spans="1:11" ht="20" customHeight="1">
      <c r="A830" t="s">
        <v>22</v>
      </c>
      <c r="B830" t="s">
        <v>2519</v>
      </c>
      <c r="C830">
        <v>45.70000076293945</v>
      </c>
      <c r="D830">
        <v>46.62900161743164</v>
      </c>
      <c r="E830">
        <v>45.60400009155273</v>
      </c>
      <c r="F830">
        <v>46.59600067138672</v>
      </c>
      <c r="G830">
        <v>46.46133804321289</v>
      </c>
      <c r="H830">
        <v>350823000</v>
      </c>
      <c r="I830" t="s">
        <v>2520</v>
      </c>
      <c r="J830" t="s">
        <v>2521</v>
      </c>
      <c r="K830" t="s">
        <v>37</v>
      </c>
    </row>
    <row r="831" spans="1:11" ht="20" customHeight="1">
      <c r="A831" t="s">
        <v>22</v>
      </c>
      <c r="B831" t="s">
        <v>2522</v>
      </c>
      <c r="C831">
        <v>46.59500122070312</v>
      </c>
      <c r="D831">
        <v>47.74100112915039</v>
      </c>
      <c r="E831">
        <v>46.54999923706055</v>
      </c>
      <c r="F831">
        <v>47.50600051879883</v>
      </c>
      <c r="G831">
        <v>47.36870956420898</v>
      </c>
      <c r="H831">
        <v>359224000</v>
      </c>
      <c r="I831" t="s">
        <v>2523</v>
      </c>
      <c r="J831" t="s">
        <v>2524</v>
      </c>
      <c r="K831" t="s">
        <v>37</v>
      </c>
    </row>
    <row r="832" spans="1:11" ht="20" customHeight="1">
      <c r="A832" t="s">
        <v>22</v>
      </c>
      <c r="B832" t="s">
        <v>2525</v>
      </c>
      <c r="C832">
        <v>47.49100112915039</v>
      </c>
      <c r="D832">
        <v>47.53099822998047</v>
      </c>
      <c r="E832">
        <v>45.83000183105469</v>
      </c>
      <c r="F832">
        <v>46.62699890136719</v>
      </c>
      <c r="G832">
        <v>46.49224853515625</v>
      </c>
      <c r="H832">
        <v>509728000</v>
      </c>
      <c r="I832" t="s">
        <v>2526</v>
      </c>
      <c r="J832" t="s">
        <v>2527</v>
      </c>
      <c r="K832" t="s">
        <v>37</v>
      </c>
    </row>
    <row r="833" spans="1:11" ht="20" customHeight="1">
      <c r="A833" t="s">
        <v>22</v>
      </c>
      <c r="B833" t="s">
        <v>2528</v>
      </c>
      <c r="C833">
        <v>46.04600143432617</v>
      </c>
      <c r="D833">
        <v>47.66600036621094</v>
      </c>
      <c r="E833">
        <v>46.04600143432617</v>
      </c>
      <c r="F833">
        <v>47.65700149536133</v>
      </c>
      <c r="G833">
        <v>47.51926803588867</v>
      </c>
      <c r="H833">
        <v>372387000</v>
      </c>
      <c r="I833" t="s">
        <v>2529</v>
      </c>
      <c r="J833" t="s">
        <v>2530</v>
      </c>
      <c r="K833" t="s">
        <v>37</v>
      </c>
    </row>
    <row r="834" spans="1:11" ht="20" customHeight="1">
      <c r="A834" t="s">
        <v>22</v>
      </c>
      <c r="B834" t="s">
        <v>2531</v>
      </c>
      <c r="C834">
        <v>47.62900161743164</v>
      </c>
      <c r="D834">
        <v>48.59400177001953</v>
      </c>
      <c r="E834">
        <v>47.60800170898438</v>
      </c>
      <c r="F834">
        <v>48.0880012512207</v>
      </c>
      <c r="G834">
        <v>47.94902420043945</v>
      </c>
      <c r="H834">
        <v>447792000</v>
      </c>
      <c r="I834" t="s">
        <v>2532</v>
      </c>
      <c r="J834" t="s">
        <v>2533</v>
      </c>
      <c r="K834" t="s">
        <v>37</v>
      </c>
    </row>
    <row r="835" spans="1:11" ht="20" customHeight="1">
      <c r="A835" t="s">
        <v>22</v>
      </c>
      <c r="B835" t="s">
        <v>2534</v>
      </c>
      <c r="C835">
        <v>48.38999938964844</v>
      </c>
      <c r="D835">
        <v>48.66999816894531</v>
      </c>
      <c r="E835">
        <v>47.42200088500977</v>
      </c>
      <c r="F835">
        <v>48.34999847412109</v>
      </c>
      <c r="G835">
        <v>48.21025848388672</v>
      </c>
      <c r="H835">
        <v>391232000</v>
      </c>
      <c r="I835" t="s">
        <v>2535</v>
      </c>
      <c r="J835" t="s">
        <v>2536</v>
      </c>
      <c r="K835" t="s">
        <v>37</v>
      </c>
    </row>
    <row r="836" spans="1:11" ht="20" customHeight="1">
      <c r="A836" t="s">
        <v>22</v>
      </c>
      <c r="B836" t="s">
        <v>2537</v>
      </c>
      <c r="C836">
        <v>48.19400024414062</v>
      </c>
      <c r="D836">
        <v>49.40399932861328</v>
      </c>
      <c r="E836">
        <v>48.11999893188477</v>
      </c>
      <c r="F836">
        <v>48.88999938964844</v>
      </c>
      <c r="G836">
        <v>48.74870300292969</v>
      </c>
      <c r="H836">
        <v>479948000</v>
      </c>
      <c r="I836" t="s">
        <v>2538</v>
      </c>
      <c r="J836" t="s">
        <v>2539</v>
      </c>
      <c r="K836" t="s">
        <v>37</v>
      </c>
    </row>
    <row r="837" spans="1:11" ht="20" customHeight="1">
      <c r="A837" t="s">
        <v>22</v>
      </c>
      <c r="B837" t="s">
        <v>2540</v>
      </c>
      <c r="C837">
        <v>49.40000152587891</v>
      </c>
      <c r="D837">
        <v>50.43299865722656</v>
      </c>
      <c r="E837">
        <v>49.15000152587891</v>
      </c>
      <c r="F837">
        <v>50.07699966430664</v>
      </c>
      <c r="G837">
        <v>49.93227767944336</v>
      </c>
      <c r="H837">
        <v>412587000</v>
      </c>
      <c r="I837" t="s">
        <v>2541</v>
      </c>
      <c r="J837" t="s">
        <v>2542</v>
      </c>
      <c r="K837" t="s">
        <v>37</v>
      </c>
    </row>
    <row r="838" spans="1:11" ht="20" customHeight="1">
      <c r="A838" t="s">
        <v>22</v>
      </c>
      <c r="B838" t="s">
        <v>2543</v>
      </c>
      <c r="C838">
        <v>49.42399978637695</v>
      </c>
      <c r="D838">
        <v>49.70000076293945</v>
      </c>
      <c r="E838">
        <v>48.89500045776367</v>
      </c>
      <c r="F838">
        <v>49.60400009155273</v>
      </c>
      <c r="G838">
        <v>49.46063232421875</v>
      </c>
      <c r="H838">
        <v>464444000</v>
      </c>
      <c r="I838" t="s">
        <v>2544</v>
      </c>
      <c r="J838" t="s">
        <v>2545</v>
      </c>
      <c r="K838" t="s">
        <v>37</v>
      </c>
    </row>
    <row r="839" spans="1:11" ht="20" customHeight="1">
      <c r="A839" t="s">
        <v>22</v>
      </c>
      <c r="B839" t="s">
        <v>2546</v>
      </c>
      <c r="C839">
        <v>49.65499877929688</v>
      </c>
      <c r="D839">
        <v>49.99900054931641</v>
      </c>
      <c r="E839">
        <v>48.09799957275391</v>
      </c>
      <c r="F839">
        <v>48.11100006103516</v>
      </c>
      <c r="G839">
        <v>47.97196197509766</v>
      </c>
      <c r="H839">
        <v>397894000</v>
      </c>
      <c r="I839" t="s">
        <v>2547</v>
      </c>
      <c r="J839" t="s">
        <v>2548</v>
      </c>
      <c r="K839" t="s">
        <v>37</v>
      </c>
    </row>
    <row r="840" spans="1:11" ht="20" customHeight="1">
      <c r="A840" t="s">
        <v>22</v>
      </c>
      <c r="B840" t="s">
        <v>2549</v>
      </c>
      <c r="C840">
        <v>48.81100082397461</v>
      </c>
      <c r="D840">
        <v>49.09500122070312</v>
      </c>
      <c r="E840">
        <v>48.41899871826172</v>
      </c>
      <c r="F840">
        <v>48.9900016784668</v>
      </c>
      <c r="G840">
        <v>48.84841918945312</v>
      </c>
      <c r="H840">
        <v>300425000</v>
      </c>
      <c r="I840" t="s">
        <v>2550</v>
      </c>
      <c r="J840" t="s">
        <v>2551</v>
      </c>
      <c r="K840" t="s">
        <v>37</v>
      </c>
    </row>
    <row r="841" spans="1:11" ht="20" customHeight="1">
      <c r="A841" t="s">
        <v>22</v>
      </c>
      <c r="B841" t="s">
        <v>2552</v>
      </c>
      <c r="C841">
        <v>49.19499969482422</v>
      </c>
      <c r="D841">
        <v>49.38299942016602</v>
      </c>
      <c r="E841">
        <v>48.46699905395508</v>
      </c>
      <c r="F841">
        <v>48.83000183105469</v>
      </c>
      <c r="G841">
        <v>48.68887710571289</v>
      </c>
      <c r="H841">
        <v>252507000</v>
      </c>
      <c r="I841" t="s">
        <v>2553</v>
      </c>
      <c r="J841" t="s">
        <v>2554</v>
      </c>
      <c r="K841" t="s">
        <v>37</v>
      </c>
    </row>
    <row r="842" spans="1:11" ht="20" customHeight="1">
      <c r="A842" t="s">
        <v>22</v>
      </c>
      <c r="B842" t="s">
        <v>2555</v>
      </c>
      <c r="C842">
        <v>48.96799850463867</v>
      </c>
      <c r="D842">
        <v>49.59999847412109</v>
      </c>
      <c r="E842">
        <v>48.95999908447266</v>
      </c>
      <c r="F842">
        <v>49.27899932861328</v>
      </c>
      <c r="G842">
        <v>49.13657760620117</v>
      </c>
      <c r="H842">
        <v>244200000</v>
      </c>
      <c r="I842" t="s">
        <v>2556</v>
      </c>
      <c r="J842" t="s">
        <v>2557</v>
      </c>
      <c r="K842" t="s">
        <v>37</v>
      </c>
    </row>
    <row r="843" spans="1:11" ht="20" customHeight="1">
      <c r="A843" t="s">
        <v>22</v>
      </c>
      <c r="B843" t="s">
        <v>2558</v>
      </c>
      <c r="C843">
        <v>49.51100158691406</v>
      </c>
      <c r="D843">
        <v>49.68000030517578</v>
      </c>
      <c r="E843">
        <v>49.08499908447266</v>
      </c>
      <c r="F843">
        <v>49.41699981689453</v>
      </c>
      <c r="G843">
        <v>49.27417755126953</v>
      </c>
      <c r="H843">
        <v>233648000</v>
      </c>
      <c r="I843" t="s">
        <v>2559</v>
      </c>
      <c r="J843" t="s">
        <v>2560</v>
      </c>
      <c r="K843" t="s">
        <v>37</v>
      </c>
    </row>
    <row r="844" spans="1:11" ht="20" customHeight="1">
      <c r="A844" t="s">
        <v>22</v>
      </c>
      <c r="B844" t="s">
        <v>2561</v>
      </c>
      <c r="C844">
        <v>49.64300155639648</v>
      </c>
      <c r="D844">
        <v>49.88399887084961</v>
      </c>
      <c r="E844">
        <v>49.4119987487793</v>
      </c>
      <c r="F844">
        <v>49.52199935913086</v>
      </c>
      <c r="G844">
        <v>49.37887573242188</v>
      </c>
      <c r="H844">
        <v>246587000</v>
      </c>
      <c r="I844" t="s">
        <v>2562</v>
      </c>
      <c r="J844" t="s">
        <v>2563</v>
      </c>
      <c r="K844" t="s">
        <v>37</v>
      </c>
    </row>
    <row r="845" spans="1:11" ht="20" customHeight="1">
      <c r="A845" t="s">
        <v>22</v>
      </c>
      <c r="B845" t="s">
        <v>2564</v>
      </c>
      <c r="C845">
        <v>49.8129997253418</v>
      </c>
      <c r="D845">
        <v>49.99700164794922</v>
      </c>
      <c r="E845">
        <v>48.75099945068359</v>
      </c>
      <c r="F845">
        <v>49.52199935913086</v>
      </c>
      <c r="G845">
        <v>49.37887573242188</v>
      </c>
      <c r="H845">
        <v>389293000</v>
      </c>
      <c r="I845" t="s">
        <v>2565</v>
      </c>
      <c r="J845" t="s">
        <v>2566</v>
      </c>
      <c r="K845" t="s">
        <v>37</v>
      </c>
    </row>
    <row r="846" spans="1:11" ht="20" customHeight="1">
      <c r="A846" t="s">
        <v>22</v>
      </c>
      <c r="B846" t="s">
        <v>2567</v>
      </c>
      <c r="C846">
        <v>49.24399948120117</v>
      </c>
      <c r="D846">
        <v>49.29499816894531</v>
      </c>
      <c r="E846">
        <v>47.59500122070312</v>
      </c>
      <c r="F846">
        <v>48.16799926757812</v>
      </c>
      <c r="G846">
        <v>48.02879333496094</v>
      </c>
      <c r="H846">
        <v>411254000</v>
      </c>
      <c r="I846" t="s">
        <v>2568</v>
      </c>
      <c r="J846" t="s">
        <v>2569</v>
      </c>
      <c r="K846" t="s">
        <v>37</v>
      </c>
    </row>
    <row r="847" spans="1:11" ht="20" customHeight="1">
      <c r="A847" t="s">
        <v>22</v>
      </c>
      <c r="B847" t="s">
        <v>2570</v>
      </c>
      <c r="C847">
        <v>47.48500061035156</v>
      </c>
      <c r="D847">
        <v>48.18399810791016</v>
      </c>
      <c r="E847">
        <v>47.31999969482422</v>
      </c>
      <c r="F847">
        <v>47.56900024414062</v>
      </c>
      <c r="G847">
        <v>47.43152236938477</v>
      </c>
      <c r="H847">
        <v>320896000</v>
      </c>
      <c r="I847" t="s">
        <v>2571</v>
      </c>
      <c r="J847" t="s">
        <v>2572</v>
      </c>
      <c r="K847" t="s">
        <v>37</v>
      </c>
    </row>
    <row r="848" spans="1:11" ht="20" customHeight="1">
      <c r="A848" t="s">
        <v>22</v>
      </c>
      <c r="B848" t="s">
        <v>2573</v>
      </c>
      <c r="C848">
        <v>47.76699829101562</v>
      </c>
      <c r="D848">
        <v>48.5</v>
      </c>
      <c r="E848">
        <v>47.50799942016602</v>
      </c>
      <c r="F848">
        <v>47.99800109863281</v>
      </c>
      <c r="G848">
        <v>47.85928726196289</v>
      </c>
      <c r="H848">
        <v>306535000</v>
      </c>
      <c r="I848" t="s">
        <v>2574</v>
      </c>
      <c r="J848" t="s">
        <v>2575</v>
      </c>
      <c r="K848" t="s">
        <v>37</v>
      </c>
    </row>
    <row r="849" spans="1:11" ht="20" customHeight="1">
      <c r="A849" t="s">
        <v>22</v>
      </c>
      <c r="B849" t="s">
        <v>2576</v>
      </c>
      <c r="C849">
        <v>48.46200180053711</v>
      </c>
      <c r="D849">
        <v>49.54700088500977</v>
      </c>
      <c r="E849">
        <v>48.30599975585938</v>
      </c>
      <c r="F849">
        <v>49.09700012207031</v>
      </c>
      <c r="G849">
        <v>48.95510864257812</v>
      </c>
      <c r="H849">
        <v>415039000</v>
      </c>
      <c r="I849" t="s">
        <v>2577</v>
      </c>
      <c r="J849" t="s">
        <v>2578</v>
      </c>
      <c r="K849" t="s">
        <v>37</v>
      </c>
    </row>
    <row r="850" spans="1:11" ht="20" customHeight="1">
      <c r="A850" t="s">
        <v>22</v>
      </c>
      <c r="B850" t="s">
        <v>2579</v>
      </c>
      <c r="C850">
        <v>49.51200103759766</v>
      </c>
      <c r="D850">
        <v>52.27500152587891</v>
      </c>
      <c r="E850">
        <v>49.47900009155273</v>
      </c>
      <c r="F850">
        <v>52.25299835205078</v>
      </c>
      <c r="G850">
        <v>52.10198211669922</v>
      </c>
      <c r="H850">
        <v>642510000</v>
      </c>
      <c r="I850" t="s">
        <v>2580</v>
      </c>
      <c r="J850" t="s">
        <v>2581</v>
      </c>
      <c r="K850" t="s">
        <v>37</v>
      </c>
    </row>
    <row r="851" spans="1:11" ht="20" customHeight="1">
      <c r="A851" t="s">
        <v>22</v>
      </c>
      <c r="B851" t="s">
        <v>2582</v>
      </c>
      <c r="C851">
        <v>52.4010009765625</v>
      </c>
      <c r="D851">
        <v>54.32500076293945</v>
      </c>
      <c r="E851">
        <v>51.68999862670898</v>
      </c>
      <c r="F851">
        <v>53.13999938964844</v>
      </c>
      <c r="G851">
        <v>52.98642349243164</v>
      </c>
      <c r="H851">
        <v>773100000</v>
      </c>
      <c r="I851" t="s">
        <v>2583</v>
      </c>
      <c r="J851" t="s">
        <v>2584</v>
      </c>
      <c r="K851" t="s">
        <v>37</v>
      </c>
    </row>
    <row r="852" spans="1:11" ht="20" customHeight="1">
      <c r="A852" t="s">
        <v>22</v>
      </c>
      <c r="B852" t="s">
        <v>2585</v>
      </c>
      <c r="C852">
        <v>53.61600112915039</v>
      </c>
      <c r="D852">
        <v>54.59999847412109</v>
      </c>
      <c r="E852">
        <v>53.48899841308594</v>
      </c>
      <c r="F852">
        <v>54.34999847412109</v>
      </c>
      <c r="G852">
        <v>54.19292068481445</v>
      </c>
      <c r="H852">
        <v>533796000</v>
      </c>
      <c r="I852" t="s">
        <v>2586</v>
      </c>
      <c r="J852" t="s">
        <v>2587</v>
      </c>
      <c r="K852" t="s">
        <v>37</v>
      </c>
    </row>
    <row r="853" spans="1:11" ht="20" customHeight="1">
      <c r="A853" t="s">
        <v>22</v>
      </c>
      <c r="B853" t="s">
        <v>2588</v>
      </c>
      <c r="C853">
        <v>54.99900054931641</v>
      </c>
      <c r="D853">
        <v>55.34600067138672</v>
      </c>
      <c r="E853">
        <v>53.56000137329102</v>
      </c>
      <c r="F853">
        <v>54.82199859619141</v>
      </c>
      <c r="G853">
        <v>54.66355895996094</v>
      </c>
      <c r="H853">
        <v>596759000</v>
      </c>
      <c r="I853" t="s">
        <v>2589</v>
      </c>
      <c r="J853" t="s">
        <v>2590</v>
      </c>
      <c r="K853" t="s">
        <v>37</v>
      </c>
    </row>
    <row r="854" spans="1:11" ht="20" customHeight="1">
      <c r="A854" t="s">
        <v>22</v>
      </c>
      <c r="B854" t="s">
        <v>2591</v>
      </c>
      <c r="C854">
        <v>54.61999893188477</v>
      </c>
      <c r="D854">
        <v>54.97000122070312</v>
      </c>
      <c r="E854">
        <v>54.33000183105469</v>
      </c>
      <c r="F854">
        <v>54.70999908447266</v>
      </c>
      <c r="G854">
        <v>54.55188751220703</v>
      </c>
      <c r="H854">
        <v>352994000</v>
      </c>
      <c r="I854" t="s">
        <v>2592</v>
      </c>
      <c r="J854" t="s">
        <v>2593</v>
      </c>
      <c r="K854" t="s">
        <v>37</v>
      </c>
    </row>
    <row r="855" spans="1:11" ht="20" customHeight="1">
      <c r="A855" t="s">
        <v>22</v>
      </c>
      <c r="B855" t="s">
        <v>2594</v>
      </c>
      <c r="C855">
        <v>55.01800155639648</v>
      </c>
      <c r="D855">
        <v>56.83499908447266</v>
      </c>
      <c r="E855">
        <v>54.90000152587891</v>
      </c>
      <c r="F855">
        <v>56.38199996948242</v>
      </c>
      <c r="G855">
        <v>56.21905136108398</v>
      </c>
      <c r="H855">
        <v>449580000</v>
      </c>
      <c r="I855" t="s">
        <v>2595</v>
      </c>
      <c r="J855" t="s">
        <v>2596</v>
      </c>
      <c r="K855" t="s">
        <v>37</v>
      </c>
    </row>
    <row r="856" spans="1:11" ht="20" customHeight="1">
      <c r="A856" t="s">
        <v>22</v>
      </c>
      <c r="B856" t="s">
        <v>2597</v>
      </c>
      <c r="C856">
        <v>56.34700012207031</v>
      </c>
      <c r="D856">
        <v>56.47100067138672</v>
      </c>
      <c r="E856">
        <v>54.7400016784668</v>
      </c>
      <c r="F856">
        <v>56.05300140380859</v>
      </c>
      <c r="G856">
        <v>55.89100646972656</v>
      </c>
      <c r="H856">
        <v>474394000</v>
      </c>
      <c r="I856" t="s">
        <v>2598</v>
      </c>
      <c r="J856" t="s">
        <v>2599</v>
      </c>
      <c r="K856" t="s">
        <v>37</v>
      </c>
    </row>
    <row r="857" spans="1:11" ht="20" customHeight="1">
      <c r="A857" t="s">
        <v>22</v>
      </c>
      <c r="B857" t="s">
        <v>2600</v>
      </c>
      <c r="C857">
        <v>57.2599983215332</v>
      </c>
      <c r="D857">
        <v>57.59999847412109</v>
      </c>
      <c r="E857">
        <v>56.10699844360352</v>
      </c>
      <c r="F857">
        <v>57.10699844360352</v>
      </c>
      <c r="G857">
        <v>56.94195556640625</v>
      </c>
      <c r="H857">
        <v>491650000</v>
      </c>
      <c r="I857" t="s">
        <v>2601</v>
      </c>
      <c r="J857" t="s">
        <v>2602</v>
      </c>
      <c r="K857" t="s">
        <v>37</v>
      </c>
    </row>
    <row r="858" spans="1:11" ht="20" customHeight="1">
      <c r="A858" t="s">
        <v>22</v>
      </c>
      <c r="B858" t="s">
        <v>2603</v>
      </c>
      <c r="C858">
        <v>57.98899841308594</v>
      </c>
      <c r="D858">
        <v>59.5</v>
      </c>
      <c r="E858">
        <v>57.22499847412109</v>
      </c>
      <c r="F858">
        <v>59.49100112915039</v>
      </c>
      <c r="G858">
        <v>59.31906890869141</v>
      </c>
      <c r="H858">
        <v>543501000</v>
      </c>
      <c r="I858" t="s">
        <v>2604</v>
      </c>
      <c r="J858" t="s">
        <v>2605</v>
      </c>
      <c r="K858" t="s">
        <v>37</v>
      </c>
    </row>
    <row r="859" spans="1:11" ht="20" customHeight="1">
      <c r="A859" t="s">
        <v>22</v>
      </c>
      <c r="B859" t="s">
        <v>2606</v>
      </c>
      <c r="C859">
        <v>60.04899978637695</v>
      </c>
      <c r="D859">
        <v>60.33100128173828</v>
      </c>
      <c r="E859">
        <v>59.06999969482422</v>
      </c>
      <c r="F859">
        <v>59.65399932861328</v>
      </c>
      <c r="G859">
        <v>59.48159790039062</v>
      </c>
      <c r="H859">
        <v>452955000</v>
      </c>
      <c r="I859" t="s">
        <v>2607</v>
      </c>
      <c r="J859" t="s">
        <v>2608</v>
      </c>
      <c r="K859" t="s">
        <v>37</v>
      </c>
    </row>
    <row r="860" spans="1:11" ht="20" customHeight="1">
      <c r="A860" t="s">
        <v>22</v>
      </c>
      <c r="B860" t="s">
        <v>2609</v>
      </c>
      <c r="C860">
        <v>59.56999969482422</v>
      </c>
      <c r="D860">
        <v>59.90999984741211</v>
      </c>
      <c r="E860">
        <v>58.58499908447266</v>
      </c>
      <c r="F860">
        <v>59.87300109863281</v>
      </c>
      <c r="G860">
        <v>59.69997024536133</v>
      </c>
      <c r="H860">
        <v>294654000</v>
      </c>
      <c r="I860" t="s">
        <v>2610</v>
      </c>
      <c r="J860" t="s">
        <v>2611</v>
      </c>
      <c r="K860" t="s">
        <v>37</v>
      </c>
    </row>
    <row r="861" spans="1:11" ht="20" customHeight="1">
      <c r="A861" t="s">
        <v>22</v>
      </c>
      <c r="B861" t="s">
        <v>2612</v>
      </c>
      <c r="C861">
        <v>60.30400085449219</v>
      </c>
      <c r="D861">
        <v>62.8489990234375</v>
      </c>
      <c r="E861">
        <v>59.9379997253418</v>
      </c>
      <c r="F861">
        <v>61.36199951171875</v>
      </c>
      <c r="G861">
        <v>61.18466567993164</v>
      </c>
      <c r="H861">
        <v>560271000</v>
      </c>
      <c r="I861" t="s">
        <v>2613</v>
      </c>
      <c r="J861" t="s">
        <v>2614</v>
      </c>
      <c r="K861" t="s">
        <v>37</v>
      </c>
    </row>
    <row r="862" spans="1:11" ht="20" customHeight="1">
      <c r="A862" t="s">
        <v>22</v>
      </c>
      <c r="B862" t="s">
        <v>2615</v>
      </c>
      <c r="C862">
        <v>62.34999847412109</v>
      </c>
      <c r="D862">
        <v>62.71900177001953</v>
      </c>
      <c r="E862">
        <v>60.84999847412109</v>
      </c>
      <c r="F862">
        <v>61.61700057983398</v>
      </c>
      <c r="G862">
        <v>61.43892288208008</v>
      </c>
      <c r="H862">
        <v>482777000</v>
      </c>
      <c r="I862" t="s">
        <v>2616</v>
      </c>
      <c r="J862" t="s">
        <v>2617</v>
      </c>
      <c r="K862" t="s">
        <v>37</v>
      </c>
    </row>
    <row r="863" spans="1:11" ht="20" customHeight="1">
      <c r="A863" t="s">
        <v>22</v>
      </c>
      <c r="B863" t="s">
        <v>2618</v>
      </c>
      <c r="C863">
        <v>60.95999908447266</v>
      </c>
      <c r="D863">
        <v>61.78300094604492</v>
      </c>
      <c r="E863">
        <v>60.57300186157227</v>
      </c>
      <c r="F863">
        <v>61.03099822998047</v>
      </c>
      <c r="G863">
        <v>60.85461807250977</v>
      </c>
      <c r="H863">
        <v>390309000</v>
      </c>
      <c r="I863" t="s">
        <v>2619</v>
      </c>
      <c r="J863" t="s">
        <v>2620</v>
      </c>
      <c r="K863" t="s">
        <v>37</v>
      </c>
    </row>
    <row r="864" spans="1:11" ht="20" customHeight="1">
      <c r="A864" t="s">
        <v>22</v>
      </c>
      <c r="B864" t="s">
        <v>2621</v>
      </c>
      <c r="C864">
        <v>61.23199844360352</v>
      </c>
      <c r="D864">
        <v>62.48899841308594</v>
      </c>
      <c r="E864">
        <v>60.90700149536133</v>
      </c>
      <c r="F864">
        <v>62.46500015258789</v>
      </c>
      <c r="G864">
        <v>62.28447723388672</v>
      </c>
      <c r="H864">
        <v>348733000</v>
      </c>
      <c r="I864" t="s">
        <v>2622</v>
      </c>
      <c r="J864" t="s">
        <v>2623</v>
      </c>
      <c r="K864" t="s">
        <v>37</v>
      </c>
    </row>
    <row r="865" spans="1:11" ht="20" customHeight="1">
      <c r="A865" t="s">
        <v>22</v>
      </c>
      <c r="B865" t="s">
        <v>2624</v>
      </c>
      <c r="C865">
        <v>62.90000152587891</v>
      </c>
      <c r="D865">
        <v>63.49300003051758</v>
      </c>
      <c r="E865">
        <v>62.2599983215332</v>
      </c>
      <c r="F865">
        <v>62.77399826049805</v>
      </c>
      <c r="G865">
        <v>62.59256744384766</v>
      </c>
      <c r="H865">
        <v>410735000</v>
      </c>
      <c r="I865" t="s">
        <v>2625</v>
      </c>
      <c r="J865" t="s">
        <v>2626</v>
      </c>
      <c r="K865" t="s">
        <v>37</v>
      </c>
    </row>
    <row r="866" spans="1:11" ht="20" customHeight="1">
      <c r="A866" t="s">
        <v>22</v>
      </c>
      <c r="B866" t="s">
        <v>2627</v>
      </c>
      <c r="C866">
        <v>61.43999862670898</v>
      </c>
      <c r="D866">
        <v>62.26900100708008</v>
      </c>
      <c r="E866">
        <v>60.70000076293945</v>
      </c>
      <c r="F866">
        <v>61.52700042724609</v>
      </c>
      <c r="G866">
        <v>61.34918594360352</v>
      </c>
      <c r="H866">
        <v>453795000</v>
      </c>
      <c r="I866" t="s">
        <v>2628</v>
      </c>
      <c r="J866" t="s">
        <v>2629</v>
      </c>
      <c r="K866" t="s">
        <v>37</v>
      </c>
    </row>
    <row r="867" spans="1:11" ht="20" customHeight="1">
      <c r="A867" t="s">
        <v>22</v>
      </c>
      <c r="B867" t="s">
        <v>2630</v>
      </c>
      <c r="C867">
        <v>62.09999847412109</v>
      </c>
      <c r="D867">
        <v>63.19100189208984</v>
      </c>
      <c r="E867">
        <v>61.65000152587891</v>
      </c>
      <c r="F867">
        <v>63.02700042724609</v>
      </c>
      <c r="G867">
        <v>62.84485244750977</v>
      </c>
      <c r="H867">
        <v>369146000</v>
      </c>
      <c r="I867" t="s">
        <v>2631</v>
      </c>
      <c r="J867" t="s">
        <v>2632</v>
      </c>
      <c r="K867" t="s">
        <v>37</v>
      </c>
    </row>
    <row r="868" spans="1:11" ht="20" customHeight="1">
      <c r="A868" t="s">
        <v>22</v>
      </c>
      <c r="B868" t="s">
        <v>2633</v>
      </c>
      <c r="C868">
        <v>63.9739990234375</v>
      </c>
      <c r="D868">
        <v>66.59999847412109</v>
      </c>
      <c r="E868">
        <v>63.68999862670898</v>
      </c>
      <c r="F868">
        <v>66.16000366210938</v>
      </c>
      <c r="G868">
        <v>65.96881103515625</v>
      </c>
      <c r="H868">
        <v>476578000</v>
      </c>
      <c r="I868" t="s">
        <v>2634</v>
      </c>
      <c r="J868" t="s">
        <v>2635</v>
      </c>
      <c r="K868" t="s">
        <v>37</v>
      </c>
    </row>
    <row r="869" spans="1:11" ht="20" customHeight="1">
      <c r="A869" t="s">
        <v>22</v>
      </c>
      <c r="B869" t="s">
        <v>2636</v>
      </c>
      <c r="C869">
        <v>68.22499847412109</v>
      </c>
      <c r="D869">
        <v>69.49700164794922</v>
      </c>
      <c r="E869">
        <v>67.20500183105469</v>
      </c>
      <c r="F869">
        <v>69.33200073242188</v>
      </c>
      <c r="G869">
        <v>69.13163757324219</v>
      </c>
      <c r="H869">
        <v>680078000</v>
      </c>
      <c r="I869" t="s">
        <v>2637</v>
      </c>
      <c r="J869" t="s">
        <v>2638</v>
      </c>
      <c r="K869" t="s">
        <v>37</v>
      </c>
    </row>
    <row r="870" spans="1:11" ht="20" customHeight="1">
      <c r="A870" t="s">
        <v>22</v>
      </c>
      <c r="B870" t="s">
        <v>2639</v>
      </c>
      <c r="C870">
        <v>69.62999725341797</v>
      </c>
      <c r="D870">
        <v>69.75399780273438</v>
      </c>
      <c r="E870">
        <v>66.30000305175781</v>
      </c>
      <c r="F870">
        <v>68.22299957275391</v>
      </c>
      <c r="G870">
        <v>68.02584838867188</v>
      </c>
      <c r="H870">
        <v>683111000</v>
      </c>
      <c r="I870" t="s">
        <v>2640</v>
      </c>
      <c r="J870" t="s">
        <v>2641</v>
      </c>
      <c r="K870" t="s">
        <v>37</v>
      </c>
    </row>
    <row r="871" spans="1:11" ht="20" customHeight="1">
      <c r="A871" t="s">
        <v>22</v>
      </c>
      <c r="B871" t="s">
        <v>2642</v>
      </c>
      <c r="C871">
        <v>68.31900024414062</v>
      </c>
      <c r="D871">
        <v>70.22000122070312</v>
      </c>
      <c r="E871">
        <v>67.59999847412109</v>
      </c>
      <c r="F871">
        <v>70.0989990234375</v>
      </c>
      <c r="G871">
        <v>69.89640808105469</v>
      </c>
      <c r="H871">
        <v>495575000</v>
      </c>
      <c r="I871" t="s">
        <v>2643</v>
      </c>
      <c r="J871" t="s">
        <v>2644</v>
      </c>
      <c r="K871" t="s">
        <v>37</v>
      </c>
    </row>
    <row r="872" spans="1:11" ht="20" customHeight="1">
      <c r="A872" t="s">
        <v>22</v>
      </c>
      <c r="B872" t="s">
        <v>2645</v>
      </c>
      <c r="C872">
        <v>70.07399749755859</v>
      </c>
      <c r="D872">
        <v>70.79399871826172</v>
      </c>
      <c r="E872">
        <v>69.45500183105469</v>
      </c>
      <c r="F872">
        <v>69.64099884033203</v>
      </c>
      <c r="G872">
        <v>69.43972778320312</v>
      </c>
      <c r="H872">
        <v>414422000</v>
      </c>
      <c r="I872" t="s">
        <v>2646</v>
      </c>
      <c r="J872" t="s">
        <v>2647</v>
      </c>
      <c r="K872" t="s">
        <v>37</v>
      </c>
    </row>
    <row r="873" spans="1:11" ht="20" customHeight="1">
      <c r="A873" t="s">
        <v>22</v>
      </c>
      <c r="B873" t="s">
        <v>2648</v>
      </c>
      <c r="C873">
        <v>70.53299713134766</v>
      </c>
      <c r="D873">
        <v>72.18499755859375</v>
      </c>
      <c r="E873">
        <v>70.21199798583984</v>
      </c>
      <c r="F873">
        <v>72.13300323486328</v>
      </c>
      <c r="G873">
        <v>71.92453002929688</v>
      </c>
      <c r="H873">
        <v>436637000</v>
      </c>
      <c r="I873" t="s">
        <v>2649</v>
      </c>
      <c r="J873" t="s">
        <v>2650</v>
      </c>
      <c r="K873" t="s">
        <v>37</v>
      </c>
    </row>
    <row r="874" spans="1:11" ht="20" customHeight="1">
      <c r="A874" t="s">
        <v>22</v>
      </c>
      <c r="B874" t="s">
        <v>2651</v>
      </c>
      <c r="C874">
        <v>72.59999847412109</v>
      </c>
      <c r="D874">
        <v>74.61100006103516</v>
      </c>
      <c r="E874">
        <v>71.25</v>
      </c>
      <c r="F874">
        <v>72.24800109863281</v>
      </c>
      <c r="G874">
        <v>72.03919982910156</v>
      </c>
      <c r="H874">
        <v>613710000</v>
      </c>
      <c r="I874" t="s">
        <v>2652</v>
      </c>
      <c r="J874" t="s">
        <v>2653</v>
      </c>
      <c r="K874" t="s">
        <v>37</v>
      </c>
    </row>
    <row r="875" spans="1:11" ht="20" customHeight="1">
      <c r="A875" t="s">
        <v>22</v>
      </c>
      <c r="B875" t="s">
        <v>2654</v>
      </c>
      <c r="C875">
        <v>70.40000152587891</v>
      </c>
      <c r="D875">
        <v>73.44999694824219</v>
      </c>
      <c r="E875">
        <v>69.62000274658203</v>
      </c>
      <c r="F875">
        <v>72.12799835205078</v>
      </c>
      <c r="G875">
        <v>71.9195556640625</v>
      </c>
      <c r="H875">
        <v>602580000</v>
      </c>
      <c r="I875" t="s">
        <v>2655</v>
      </c>
      <c r="J875" t="s">
        <v>2656</v>
      </c>
      <c r="K875" t="s">
        <v>37</v>
      </c>
    </row>
    <row r="876" spans="1:11" ht="20" customHeight="1">
      <c r="A876" t="s">
        <v>22</v>
      </c>
      <c r="B876" t="s">
        <v>2657</v>
      </c>
      <c r="C876">
        <v>73.20200347900391</v>
      </c>
      <c r="D876">
        <v>74.23600006103516</v>
      </c>
      <c r="E876">
        <v>71.93800354003906</v>
      </c>
      <c r="F876">
        <v>73.90000152587891</v>
      </c>
      <c r="G876">
        <v>73.68643951416016</v>
      </c>
      <c r="H876">
        <v>504917000</v>
      </c>
      <c r="I876" t="s">
        <v>2658</v>
      </c>
      <c r="J876" t="s">
        <v>2659</v>
      </c>
      <c r="K876" t="s">
        <v>37</v>
      </c>
    </row>
    <row r="877" spans="1:11" ht="20" customHeight="1">
      <c r="A877" t="s">
        <v>22</v>
      </c>
      <c r="B877" t="s">
        <v>2660</v>
      </c>
      <c r="C877">
        <v>73.86900329589844</v>
      </c>
      <c r="D877">
        <v>73.97499847412109</v>
      </c>
      <c r="E877">
        <v>72.40000152587891</v>
      </c>
      <c r="F877">
        <v>72.65799713134766</v>
      </c>
      <c r="G877">
        <v>72.44801330566406</v>
      </c>
      <c r="H877">
        <v>420122000</v>
      </c>
      <c r="I877" t="s">
        <v>2661</v>
      </c>
      <c r="J877" t="s">
        <v>2662</v>
      </c>
      <c r="K877" t="s">
        <v>37</v>
      </c>
    </row>
    <row r="878" spans="1:11" ht="20" customHeight="1">
      <c r="A878" t="s">
        <v>22</v>
      </c>
      <c r="B878" t="s">
        <v>2663</v>
      </c>
      <c r="C878">
        <v>74.09999847412109</v>
      </c>
      <c r="D878">
        <v>74.40200042724609</v>
      </c>
      <c r="E878">
        <v>72.50099945068359</v>
      </c>
      <c r="F878">
        <v>72.61299896240234</v>
      </c>
      <c r="G878">
        <v>72.40314483642578</v>
      </c>
      <c r="H878">
        <v>495327000</v>
      </c>
      <c r="I878" t="s">
        <v>2664</v>
      </c>
      <c r="J878" t="s">
        <v>2665</v>
      </c>
      <c r="K878" t="s">
        <v>37</v>
      </c>
    </row>
    <row r="879" spans="1:11" ht="20" customHeight="1">
      <c r="A879" t="s">
        <v>22</v>
      </c>
      <c r="B879" t="s">
        <v>2666</v>
      </c>
      <c r="C879">
        <v>71.94699859619141</v>
      </c>
      <c r="D879">
        <v>71.95600128173828</v>
      </c>
      <c r="E879">
        <v>67.73400115966797</v>
      </c>
      <c r="F879">
        <v>69.45200347900391</v>
      </c>
      <c r="G879">
        <v>69.25127410888672</v>
      </c>
      <c r="H879">
        <v>704833000</v>
      </c>
      <c r="I879" t="s">
        <v>2667</v>
      </c>
      <c r="J879" t="s">
        <v>2668</v>
      </c>
      <c r="K879" t="s">
        <v>37</v>
      </c>
    </row>
    <row r="880" spans="1:11" ht="20" customHeight="1">
      <c r="A880" t="s">
        <v>22</v>
      </c>
      <c r="B880" t="s">
        <v>2669</v>
      </c>
      <c r="C880">
        <v>68.00599670410156</v>
      </c>
      <c r="D880">
        <v>68.88800048828125</v>
      </c>
      <c r="E880">
        <v>66.24800109863281</v>
      </c>
      <c r="F880">
        <v>67.47200012207031</v>
      </c>
      <c r="G880">
        <v>67.27700805664062</v>
      </c>
      <c r="H880">
        <v>673755000</v>
      </c>
      <c r="I880" t="s">
        <v>2670</v>
      </c>
      <c r="J880" t="s">
        <v>2671</v>
      </c>
      <c r="K880" t="s">
        <v>37</v>
      </c>
    </row>
    <row r="881" spans="1:11" ht="20" customHeight="1">
      <c r="A881" t="s">
        <v>22</v>
      </c>
      <c r="B881" t="s">
        <v>2672</v>
      </c>
      <c r="C881">
        <v>75.02500152587891</v>
      </c>
      <c r="D881">
        <v>78.57499694824219</v>
      </c>
      <c r="E881">
        <v>74.22000122070312</v>
      </c>
      <c r="F881">
        <v>78.53800201416016</v>
      </c>
      <c r="G881">
        <v>78.31101989746094</v>
      </c>
      <c r="H881">
        <v>865100000</v>
      </c>
      <c r="I881" t="s">
        <v>2673</v>
      </c>
      <c r="J881" t="s">
        <v>2674</v>
      </c>
      <c r="K881" t="s">
        <v>37</v>
      </c>
    </row>
    <row r="882" spans="1:11" ht="20" customHeight="1">
      <c r="A882" t="s">
        <v>22</v>
      </c>
      <c r="B882" t="s">
        <v>2675</v>
      </c>
      <c r="C882">
        <v>80.79000091552734</v>
      </c>
      <c r="D882">
        <v>82.39399719238281</v>
      </c>
      <c r="E882">
        <v>77.56999969482422</v>
      </c>
      <c r="F882">
        <v>78.81700134277344</v>
      </c>
      <c r="G882">
        <v>78.58921813964844</v>
      </c>
      <c r="H882">
        <v>829388000</v>
      </c>
      <c r="I882" t="s">
        <v>2676</v>
      </c>
      <c r="J882" t="s">
        <v>2677</v>
      </c>
      <c r="K882" t="s">
        <v>37</v>
      </c>
    </row>
    <row r="883" spans="1:11" ht="20" customHeight="1">
      <c r="A883" t="s">
        <v>22</v>
      </c>
      <c r="B883" t="s">
        <v>2678</v>
      </c>
      <c r="C883">
        <v>79.69999694824219</v>
      </c>
      <c r="D883">
        <v>80.64600372314453</v>
      </c>
      <c r="E883">
        <v>78.50499725341797</v>
      </c>
      <c r="F883">
        <v>79.09200286865234</v>
      </c>
      <c r="G883">
        <v>78.86341857910156</v>
      </c>
      <c r="H883">
        <v>503973000</v>
      </c>
      <c r="I883" t="s">
        <v>2679</v>
      </c>
      <c r="J883" t="s">
        <v>2680</v>
      </c>
      <c r="K883" t="s">
        <v>37</v>
      </c>
    </row>
    <row r="884" spans="1:11" ht="20" customHeight="1">
      <c r="A884" t="s">
        <v>22</v>
      </c>
      <c r="B884" t="s">
        <v>2681</v>
      </c>
      <c r="C884">
        <v>79.38099670410156</v>
      </c>
      <c r="D884">
        <v>79.48000335693359</v>
      </c>
      <c r="E884">
        <v>77.16200256347656</v>
      </c>
      <c r="F884">
        <v>78.70099639892578</v>
      </c>
      <c r="G884">
        <v>78.47354125976562</v>
      </c>
      <c r="H884">
        <v>391705000</v>
      </c>
      <c r="I884" t="s">
        <v>2682</v>
      </c>
      <c r="J884" t="s">
        <v>2683</v>
      </c>
      <c r="K884" t="s">
        <v>37</v>
      </c>
    </row>
    <row r="885" spans="1:11" ht="20" customHeight="1">
      <c r="A885" t="s">
        <v>22</v>
      </c>
      <c r="B885" t="s">
        <v>2684</v>
      </c>
      <c r="C885">
        <v>77.62000274658203</v>
      </c>
      <c r="D885">
        <v>78.93299865722656</v>
      </c>
      <c r="E885">
        <v>77.125</v>
      </c>
      <c r="F885">
        <v>77.66300201416016</v>
      </c>
      <c r="G885">
        <v>77.43853759765625</v>
      </c>
      <c r="H885">
        <v>393110000</v>
      </c>
      <c r="I885" t="s">
        <v>2685</v>
      </c>
      <c r="J885" t="s">
        <v>2686</v>
      </c>
      <c r="K885" t="s">
        <v>37</v>
      </c>
    </row>
    <row r="886" spans="1:11" ht="20" customHeight="1">
      <c r="A886" t="s">
        <v>22</v>
      </c>
      <c r="B886" t="s">
        <v>2687</v>
      </c>
      <c r="C886">
        <v>79.09400177001953</v>
      </c>
      <c r="D886">
        <v>79.98999786376953</v>
      </c>
      <c r="E886">
        <v>78.34999847412109</v>
      </c>
      <c r="F886">
        <v>79.11199951171875</v>
      </c>
      <c r="G886">
        <v>78.88336181640625</v>
      </c>
      <c r="H886">
        <v>507289000</v>
      </c>
      <c r="I886" t="s">
        <v>2688</v>
      </c>
      <c r="J886" t="s">
        <v>2689</v>
      </c>
      <c r="K886" t="s">
        <v>37</v>
      </c>
    </row>
    <row r="887" spans="1:11" ht="20" customHeight="1">
      <c r="A887" t="s">
        <v>22</v>
      </c>
      <c r="B887" t="s">
        <v>2690</v>
      </c>
      <c r="C887">
        <v>80</v>
      </c>
      <c r="D887">
        <v>82.30000305175781</v>
      </c>
      <c r="E887">
        <v>79.43499755859375</v>
      </c>
      <c r="F887">
        <v>82.27899932861328</v>
      </c>
      <c r="G887">
        <v>82.04119873046875</v>
      </c>
      <c r="H887">
        <v>479135000</v>
      </c>
      <c r="I887" t="s">
        <v>2691</v>
      </c>
      <c r="J887" t="s">
        <v>2692</v>
      </c>
      <c r="K887" t="s">
        <v>37</v>
      </c>
    </row>
    <row r="888" spans="1:11" ht="20" customHeight="1">
      <c r="A888" t="s">
        <v>22</v>
      </c>
      <c r="B888" t="s">
        <v>2693</v>
      </c>
      <c r="C888">
        <v>84.12999725341797</v>
      </c>
      <c r="D888">
        <v>87.69499969482422</v>
      </c>
      <c r="E888">
        <v>83.71900177001953</v>
      </c>
      <c r="F888">
        <v>85.23699951171875</v>
      </c>
      <c r="G888">
        <v>84.99066162109375</v>
      </c>
      <c r="H888">
        <v>615616000</v>
      </c>
      <c r="I888" t="s">
        <v>2694</v>
      </c>
      <c r="J888" t="s">
        <v>2695</v>
      </c>
      <c r="K888" t="s">
        <v>37</v>
      </c>
    </row>
    <row r="889" spans="1:11" ht="20" customHeight="1">
      <c r="A889" t="s">
        <v>22</v>
      </c>
      <c r="B889" t="s">
        <v>2696</v>
      </c>
      <c r="C889">
        <v>85.26999664306641</v>
      </c>
      <c r="D889">
        <v>86.09700012207031</v>
      </c>
      <c r="E889">
        <v>83.41699981689453</v>
      </c>
      <c r="F889">
        <v>85.96399688720703</v>
      </c>
      <c r="G889">
        <v>85.71958160400391</v>
      </c>
      <c r="H889">
        <v>520639000</v>
      </c>
      <c r="I889" t="s">
        <v>2697</v>
      </c>
      <c r="J889" t="s">
        <v>2698</v>
      </c>
      <c r="K889" t="s">
        <v>37</v>
      </c>
    </row>
    <row r="890" spans="1:11" ht="20" customHeight="1">
      <c r="A890" t="s">
        <v>22</v>
      </c>
      <c r="B890" t="s">
        <v>2699</v>
      </c>
      <c r="C890">
        <v>88.02200317382812</v>
      </c>
      <c r="D890">
        <v>89.7239990234375</v>
      </c>
      <c r="E890">
        <v>87.02999877929688</v>
      </c>
      <c r="F890">
        <v>88.69999694824219</v>
      </c>
      <c r="G890">
        <v>88.44779968261719</v>
      </c>
      <c r="H890">
        <v>582520000</v>
      </c>
      <c r="I890" t="s">
        <v>2700</v>
      </c>
      <c r="J890" t="s">
        <v>2701</v>
      </c>
      <c r="K890" t="s">
        <v>37</v>
      </c>
    </row>
    <row r="891" spans="1:11" ht="20" customHeight="1">
      <c r="A891" t="s">
        <v>22</v>
      </c>
      <c r="B891" t="s">
        <v>2702</v>
      </c>
      <c r="C891">
        <v>90.15799713134766</v>
      </c>
      <c r="D891">
        <v>92.76699829101562</v>
      </c>
      <c r="E891">
        <v>89.60199737548828</v>
      </c>
      <c r="F891">
        <v>92.66899871826172</v>
      </c>
      <c r="G891">
        <v>92.40552520751953</v>
      </c>
      <c r="H891">
        <v>608119000</v>
      </c>
      <c r="I891" t="s">
        <v>2703</v>
      </c>
      <c r="J891" t="s">
        <v>2704</v>
      </c>
      <c r="K891" t="s">
        <v>37</v>
      </c>
    </row>
    <row r="892" spans="1:11" ht="20" customHeight="1">
      <c r="A892" t="s">
        <v>22</v>
      </c>
      <c r="B892" t="s">
        <v>2705</v>
      </c>
      <c r="C892">
        <v>95.13800048828125</v>
      </c>
      <c r="D892">
        <v>97.40000152587891</v>
      </c>
      <c r="E892">
        <v>86.50599670410156</v>
      </c>
      <c r="F892">
        <v>87.52799987792969</v>
      </c>
      <c r="G892">
        <v>87.27914428710938</v>
      </c>
      <c r="H892">
        <v>1142269000</v>
      </c>
      <c r="I892" t="s">
        <v>2706</v>
      </c>
      <c r="J892" t="s">
        <v>2707</v>
      </c>
      <c r="K892" t="s">
        <v>37</v>
      </c>
    </row>
    <row r="893" spans="1:11" ht="20" customHeight="1">
      <c r="A893" t="s">
        <v>22</v>
      </c>
      <c r="B893" t="s">
        <v>2708</v>
      </c>
      <c r="C893">
        <v>86.42900085449219</v>
      </c>
      <c r="D893">
        <v>88.7969970703125</v>
      </c>
      <c r="E893">
        <v>84.16600036621094</v>
      </c>
      <c r="F893">
        <v>85.77400207519531</v>
      </c>
      <c r="G893">
        <v>85.53012847900391</v>
      </c>
      <c r="H893">
        <v>678364000</v>
      </c>
      <c r="I893" t="s">
        <v>2709</v>
      </c>
      <c r="J893" t="s">
        <v>2710</v>
      </c>
      <c r="K893" t="s">
        <v>37</v>
      </c>
    </row>
    <row r="894" spans="1:11" ht="20" customHeight="1">
      <c r="A894" t="s">
        <v>22</v>
      </c>
      <c r="B894" t="s">
        <v>2711</v>
      </c>
      <c r="C894">
        <v>88.04900360107422</v>
      </c>
      <c r="D894">
        <v>91.95999908447266</v>
      </c>
      <c r="E894">
        <v>86.15000152587891</v>
      </c>
      <c r="F894">
        <v>91.91300201416016</v>
      </c>
      <c r="G894">
        <v>91.65167236328125</v>
      </c>
      <c r="H894">
        <v>668075000</v>
      </c>
      <c r="I894" t="s">
        <v>2712</v>
      </c>
      <c r="J894" t="s">
        <v>2713</v>
      </c>
      <c r="K894" t="s">
        <v>37</v>
      </c>
    </row>
    <row r="895" spans="1:11" ht="20" customHeight="1">
      <c r="A895" t="s">
        <v>22</v>
      </c>
      <c r="B895" t="s">
        <v>2714</v>
      </c>
      <c r="C895">
        <v>91.05500030517578</v>
      </c>
      <c r="D895">
        <v>91.50399780273438</v>
      </c>
      <c r="E895">
        <v>88.43499755859375</v>
      </c>
      <c r="F895">
        <v>90.88800048828125</v>
      </c>
      <c r="G895">
        <v>90.62957763671875</v>
      </c>
      <c r="H895">
        <v>635713000</v>
      </c>
      <c r="I895" t="s">
        <v>2715</v>
      </c>
      <c r="J895" t="s">
        <v>2716</v>
      </c>
      <c r="K895" t="s">
        <v>37</v>
      </c>
    </row>
    <row r="896" spans="1:11" ht="20" customHeight="1">
      <c r="A896" t="s">
        <v>22</v>
      </c>
      <c r="B896" t="s">
        <v>2717</v>
      </c>
      <c r="C896">
        <v>89.57700347900391</v>
      </c>
      <c r="D896">
        <v>90.64600372314453</v>
      </c>
      <c r="E896">
        <v>86.59999847412109</v>
      </c>
      <c r="F896">
        <v>87.94400024414062</v>
      </c>
      <c r="G896">
        <v>87.69395446777344</v>
      </c>
      <c r="H896">
        <v>602318000</v>
      </c>
      <c r="I896" t="s">
        <v>2718</v>
      </c>
      <c r="J896" t="s">
        <v>2719</v>
      </c>
      <c r="K896" t="s">
        <v>37</v>
      </c>
    </row>
    <row r="897" spans="1:11" ht="20" customHeight="1">
      <c r="A897" t="s">
        <v>22</v>
      </c>
      <c r="B897" t="s">
        <v>2720</v>
      </c>
      <c r="C897">
        <v>86.93000030517578</v>
      </c>
      <c r="D897">
        <v>89.54599761962891</v>
      </c>
      <c r="E897">
        <v>86.25700378417969</v>
      </c>
      <c r="F897">
        <v>87.83699798583984</v>
      </c>
      <c r="G897">
        <v>87.58725738525391</v>
      </c>
      <c r="H897">
        <v>642086000</v>
      </c>
      <c r="I897" t="s">
        <v>2721</v>
      </c>
      <c r="J897" t="s">
        <v>2722</v>
      </c>
      <c r="K897" t="s">
        <v>37</v>
      </c>
    </row>
    <row r="898" spans="1:11" ht="20" customHeight="1">
      <c r="A898" t="s">
        <v>22</v>
      </c>
      <c r="B898" t="s">
        <v>2723</v>
      </c>
      <c r="C898">
        <v>90.38800048828125</v>
      </c>
      <c r="D898">
        <v>92.40499877929688</v>
      </c>
      <c r="E898">
        <v>87.08499908447266</v>
      </c>
      <c r="F898">
        <v>88.45500183105469</v>
      </c>
      <c r="G898">
        <v>88.20350646972656</v>
      </c>
      <c r="H898">
        <v>668976000</v>
      </c>
      <c r="I898" t="s">
        <v>2724</v>
      </c>
      <c r="J898" t="s">
        <v>2725</v>
      </c>
      <c r="K898" t="s">
        <v>37</v>
      </c>
    </row>
    <row r="899" spans="1:11" ht="20" customHeight="1">
      <c r="A899" t="s">
        <v>22</v>
      </c>
      <c r="B899" t="s">
        <v>2726</v>
      </c>
      <c r="C899">
        <v>86.69999694824219</v>
      </c>
      <c r="D899">
        <v>90.54399871826172</v>
      </c>
      <c r="E899">
        <v>85.01000213623047</v>
      </c>
      <c r="F899">
        <v>89.39800262451172</v>
      </c>
      <c r="G899">
        <v>89.14382171630859</v>
      </c>
      <c r="H899">
        <v>672171000</v>
      </c>
      <c r="I899" t="s">
        <v>2727</v>
      </c>
      <c r="J899" t="s">
        <v>2728</v>
      </c>
      <c r="K899" t="s">
        <v>37</v>
      </c>
    </row>
    <row r="900" spans="1:11" ht="20" customHeight="1">
      <c r="A900" t="s">
        <v>22</v>
      </c>
      <c r="B900" t="s">
        <v>2729</v>
      </c>
      <c r="C900">
        <v>89.7969970703125</v>
      </c>
      <c r="D900">
        <v>90.41000366210938</v>
      </c>
      <c r="E900">
        <v>88.22299957275391</v>
      </c>
      <c r="F900">
        <v>90.37200164794922</v>
      </c>
      <c r="G900">
        <v>90.11505126953125</v>
      </c>
      <c r="H900">
        <v>479063000</v>
      </c>
      <c r="I900" t="s">
        <v>2730</v>
      </c>
      <c r="J900" t="s">
        <v>2731</v>
      </c>
      <c r="K900" t="s">
        <v>37</v>
      </c>
    </row>
    <row r="901" spans="1:11" ht="20" customHeight="1">
      <c r="A901" t="s">
        <v>22</v>
      </c>
      <c r="B901" t="s">
        <v>2732</v>
      </c>
      <c r="C901">
        <v>92.30000305175781</v>
      </c>
      <c r="D901">
        <v>92.64800262451172</v>
      </c>
      <c r="E901">
        <v>90.40499877929688</v>
      </c>
      <c r="F901">
        <v>91.43499755859375</v>
      </c>
      <c r="G901">
        <v>91.17501831054688</v>
      </c>
      <c r="H901">
        <v>480372000</v>
      </c>
      <c r="I901" t="s">
        <v>2733</v>
      </c>
      <c r="J901" t="s">
        <v>2734</v>
      </c>
      <c r="K901" t="s">
        <v>37</v>
      </c>
    </row>
    <row r="902" spans="1:11" ht="20" customHeight="1">
      <c r="A902" t="s">
        <v>22</v>
      </c>
      <c r="B902" t="s">
        <v>2735</v>
      </c>
      <c r="C902">
        <v>91.14099884033203</v>
      </c>
      <c r="D902">
        <v>94.77799987792969</v>
      </c>
      <c r="E902">
        <v>90.83399963378906</v>
      </c>
      <c r="F902">
        <v>94.28900146484375</v>
      </c>
      <c r="G902">
        <v>94.02090454101562</v>
      </c>
      <c r="H902">
        <v>586719000</v>
      </c>
      <c r="I902" t="s">
        <v>2736</v>
      </c>
      <c r="J902" t="s">
        <v>2737</v>
      </c>
      <c r="K902" t="s">
        <v>37</v>
      </c>
    </row>
    <row r="903" spans="1:11" ht="20" customHeight="1">
      <c r="A903" t="s">
        <v>22</v>
      </c>
      <c r="B903" t="s">
        <v>2738</v>
      </c>
      <c r="C903">
        <v>93.94100189208984</v>
      </c>
      <c r="D903">
        <v>96.76599884033203</v>
      </c>
      <c r="E903">
        <v>93.51000213623047</v>
      </c>
      <c r="F903">
        <v>95.00199890136719</v>
      </c>
      <c r="G903">
        <v>94.73188781738281</v>
      </c>
      <c r="H903">
        <v>552136000</v>
      </c>
      <c r="I903" t="s">
        <v>2739</v>
      </c>
      <c r="J903" t="s">
        <v>2740</v>
      </c>
      <c r="K903" t="s">
        <v>37</v>
      </c>
    </row>
    <row r="904" spans="1:11" ht="20" customHeight="1">
      <c r="A904" t="s">
        <v>22</v>
      </c>
      <c r="B904" t="s">
        <v>2741</v>
      </c>
      <c r="C904">
        <v>95.85099792480469</v>
      </c>
      <c r="D904">
        <v>96.375</v>
      </c>
      <c r="E904">
        <v>92.50199890136719</v>
      </c>
      <c r="F904">
        <v>92.56099700927734</v>
      </c>
      <c r="G904">
        <v>92.29781341552734</v>
      </c>
      <c r="H904">
        <v>513648000</v>
      </c>
      <c r="I904" t="s">
        <v>2742</v>
      </c>
      <c r="J904" t="s">
        <v>2743</v>
      </c>
      <c r="K904" t="s">
        <v>37</v>
      </c>
    </row>
    <row r="905" spans="1:11" ht="20" customHeight="1">
      <c r="A905" t="s">
        <v>22</v>
      </c>
      <c r="B905" t="s">
        <v>2744</v>
      </c>
      <c r="C905">
        <v>93.11199951171875</v>
      </c>
      <c r="D905">
        <v>93.23999786376953</v>
      </c>
      <c r="E905">
        <v>89.12300109863281</v>
      </c>
      <c r="F905">
        <v>90.25</v>
      </c>
      <c r="G905">
        <v>89.99339294433594</v>
      </c>
      <c r="H905">
        <v>586067000</v>
      </c>
      <c r="I905" t="s">
        <v>2745</v>
      </c>
      <c r="J905" t="s">
        <v>2746</v>
      </c>
      <c r="K905" t="s">
        <v>37</v>
      </c>
    </row>
    <row r="906" spans="1:11" ht="20" customHeight="1">
      <c r="A906" t="s">
        <v>22</v>
      </c>
      <c r="B906" t="s">
        <v>2747</v>
      </c>
      <c r="C906">
        <v>90</v>
      </c>
      <c r="D906">
        <v>91.30000305175781</v>
      </c>
      <c r="E906">
        <v>89.19300079345703</v>
      </c>
      <c r="F906">
        <v>90.35600280761719</v>
      </c>
      <c r="G906">
        <v>90.09909057617188</v>
      </c>
      <c r="H906">
        <v>435212000</v>
      </c>
      <c r="I906" t="s">
        <v>2748</v>
      </c>
      <c r="J906" t="s">
        <v>2749</v>
      </c>
      <c r="K906" t="s">
        <v>37</v>
      </c>
    </row>
    <row r="907" spans="1:11" ht="20" customHeight="1">
      <c r="A907" t="s">
        <v>22</v>
      </c>
      <c r="B907" t="s">
        <v>2750</v>
      </c>
      <c r="C907">
        <v>90.29900360107422</v>
      </c>
      <c r="D907">
        <v>92.22499847412109</v>
      </c>
      <c r="E907">
        <v>89.20400238037109</v>
      </c>
      <c r="F907">
        <v>90.36299896240234</v>
      </c>
      <c r="G907">
        <v>90.10606384277344</v>
      </c>
      <c r="H907">
        <v>452441000</v>
      </c>
      <c r="I907" t="s">
        <v>2751</v>
      </c>
      <c r="J907" t="s">
        <v>2752</v>
      </c>
      <c r="K907" t="s">
        <v>37</v>
      </c>
    </row>
    <row r="908" spans="1:11" ht="20" customHeight="1">
      <c r="A908" t="s">
        <v>22</v>
      </c>
      <c r="B908" t="s">
        <v>2753</v>
      </c>
      <c r="C908">
        <v>88.447998046875</v>
      </c>
      <c r="D908">
        <v>90.09400177001953</v>
      </c>
      <c r="E908">
        <v>87.62000274658203</v>
      </c>
      <c r="F908">
        <v>89.45200347900391</v>
      </c>
      <c r="G908">
        <v>89.19766235351562</v>
      </c>
      <c r="H908">
        <v>433064000</v>
      </c>
      <c r="I908" t="s">
        <v>2754</v>
      </c>
      <c r="J908" t="s">
        <v>2755</v>
      </c>
      <c r="K908" t="s">
        <v>37</v>
      </c>
    </row>
    <row r="909" spans="1:11" ht="20" customHeight="1">
      <c r="A909" t="s">
        <v>22</v>
      </c>
      <c r="B909" t="s">
        <v>2756</v>
      </c>
      <c r="C909">
        <v>88.48400115966797</v>
      </c>
      <c r="D909">
        <v>90.37400054931641</v>
      </c>
      <c r="E909">
        <v>88.40000152587891</v>
      </c>
      <c r="F909">
        <v>88.96399688720703</v>
      </c>
      <c r="G909">
        <v>88.71105194091797</v>
      </c>
      <c r="H909">
        <v>370067000</v>
      </c>
      <c r="I909" t="s">
        <v>2757</v>
      </c>
      <c r="J909" t="s">
        <v>2758</v>
      </c>
      <c r="K909" t="s">
        <v>37</v>
      </c>
    </row>
    <row r="910" spans="1:11" ht="20" customHeight="1">
      <c r="A910" t="s">
        <v>22</v>
      </c>
      <c r="B910" t="s">
        <v>2759</v>
      </c>
      <c r="C910">
        <v>90.40599822998047</v>
      </c>
      <c r="D910">
        <v>90.63400268554688</v>
      </c>
      <c r="E910">
        <v>85.87999725341797</v>
      </c>
      <c r="F910">
        <v>85.90499877929688</v>
      </c>
      <c r="G910">
        <v>85.66073608398438</v>
      </c>
      <c r="H910">
        <v>434965000</v>
      </c>
      <c r="I910" t="s">
        <v>2760</v>
      </c>
      <c r="J910" t="s">
        <v>2761</v>
      </c>
      <c r="K910" t="s">
        <v>37</v>
      </c>
    </row>
    <row r="911" spans="1:11" ht="20" customHeight="1">
      <c r="A911" t="s">
        <v>22</v>
      </c>
      <c r="B911" t="s">
        <v>2762</v>
      </c>
      <c r="C911">
        <v>86.86599731445312</v>
      </c>
      <c r="D911">
        <v>88.48100280761719</v>
      </c>
      <c r="E911">
        <v>85.92600250244141</v>
      </c>
      <c r="F911">
        <v>88.00800323486328</v>
      </c>
      <c r="G911">
        <v>87.75777435302734</v>
      </c>
      <c r="H911">
        <v>399678000</v>
      </c>
      <c r="I911" t="s">
        <v>2763</v>
      </c>
      <c r="J911" t="s">
        <v>2764</v>
      </c>
      <c r="K911" t="s">
        <v>37</v>
      </c>
    </row>
    <row r="912" spans="1:11" ht="20" customHeight="1">
      <c r="A912" t="s">
        <v>22</v>
      </c>
      <c r="B912" t="s">
        <v>2765</v>
      </c>
      <c r="C912">
        <v>88.69999694824219</v>
      </c>
      <c r="D912">
        <v>88.83000183105469</v>
      </c>
      <c r="E912">
        <v>86.73200225830078</v>
      </c>
      <c r="F912">
        <v>87.13300323486328</v>
      </c>
      <c r="G912">
        <v>86.88526153564453</v>
      </c>
      <c r="H912">
        <v>283220000</v>
      </c>
      <c r="I912" t="s">
        <v>2766</v>
      </c>
      <c r="J912" t="s">
        <v>2767</v>
      </c>
      <c r="K912" t="s">
        <v>37</v>
      </c>
    </row>
    <row r="913" spans="1:11" ht="20" customHeight="1">
      <c r="A913" t="s">
        <v>22</v>
      </c>
      <c r="B913" t="s">
        <v>2768</v>
      </c>
      <c r="C913">
        <v>87.44200134277344</v>
      </c>
      <c r="D913">
        <v>87.63500213623047</v>
      </c>
      <c r="E913">
        <v>83.02200317382812</v>
      </c>
      <c r="F913">
        <v>85.35399627685547</v>
      </c>
      <c r="G913">
        <v>85.11130523681641</v>
      </c>
      <c r="H913">
        <v>501700000</v>
      </c>
      <c r="I913" t="s">
        <v>2769</v>
      </c>
      <c r="J913" t="s">
        <v>2770</v>
      </c>
      <c r="K913" t="s">
        <v>37</v>
      </c>
    </row>
    <row r="914" spans="1:11" ht="20" customHeight="1">
      <c r="A914" t="s">
        <v>22</v>
      </c>
      <c r="B914" t="s">
        <v>2771</v>
      </c>
      <c r="C914">
        <v>83.92600250244141</v>
      </c>
      <c r="D914">
        <v>87.40000152587891</v>
      </c>
      <c r="E914">
        <v>83.70899963378906</v>
      </c>
      <c r="F914">
        <v>87.03900146484375</v>
      </c>
      <c r="G914">
        <v>86.79152679443359</v>
      </c>
      <c r="H914">
        <v>431929000</v>
      </c>
      <c r="I914" t="s">
        <v>2772</v>
      </c>
      <c r="J914" t="s">
        <v>2773</v>
      </c>
      <c r="K914" t="s">
        <v>37</v>
      </c>
    </row>
    <row r="915" spans="1:11" ht="20" customHeight="1">
      <c r="A915" t="s">
        <v>22</v>
      </c>
      <c r="B915" t="s">
        <v>2774</v>
      </c>
      <c r="C915">
        <v>87.41999816894531</v>
      </c>
      <c r="D915">
        <v>90.73899841308594</v>
      </c>
      <c r="E915">
        <v>86.92600250244141</v>
      </c>
      <c r="F915">
        <v>90.61599731445312</v>
      </c>
      <c r="G915">
        <v>90.35834503173828</v>
      </c>
      <c r="H915">
        <v>431637000</v>
      </c>
      <c r="I915" t="s">
        <v>2775</v>
      </c>
      <c r="J915" t="s">
        <v>2776</v>
      </c>
      <c r="K915" t="s">
        <v>37</v>
      </c>
    </row>
    <row r="916" spans="1:11" ht="20" customHeight="1">
      <c r="A916" t="s">
        <v>22</v>
      </c>
      <c r="B916" t="s">
        <v>2777</v>
      </c>
      <c r="C916">
        <v>89.69899749755859</v>
      </c>
      <c r="D916">
        <v>90.17500305175781</v>
      </c>
      <c r="E916">
        <v>87.52999877929688</v>
      </c>
      <c r="F916">
        <v>88.18599700927734</v>
      </c>
      <c r="G916">
        <v>87.93526458740234</v>
      </c>
      <c r="H916">
        <v>426805000</v>
      </c>
      <c r="I916" t="s">
        <v>2778</v>
      </c>
      <c r="J916" t="s">
        <v>2779</v>
      </c>
      <c r="K916" t="s">
        <v>37</v>
      </c>
    </row>
    <row r="917" spans="1:11" ht="20" customHeight="1">
      <c r="A917" t="s">
        <v>22</v>
      </c>
      <c r="B917" t="s">
        <v>2780</v>
      </c>
      <c r="C917">
        <v>89.09799957275391</v>
      </c>
      <c r="D917">
        <v>90.61299896240234</v>
      </c>
      <c r="E917">
        <v>85.92900085449219</v>
      </c>
      <c r="F917">
        <v>86.00099945068359</v>
      </c>
      <c r="G917">
        <v>85.75646209716797</v>
      </c>
      <c r="H917">
        <v>443077000</v>
      </c>
      <c r="I917" t="s">
        <v>2781</v>
      </c>
      <c r="J917" t="s">
        <v>2782</v>
      </c>
      <c r="K917" t="s">
        <v>37</v>
      </c>
    </row>
    <row r="918" spans="1:11" ht="20" customHeight="1">
      <c r="A918" t="s">
        <v>22</v>
      </c>
      <c r="B918" t="s">
        <v>2783</v>
      </c>
      <c r="C918">
        <v>86.43299865722656</v>
      </c>
      <c r="D918">
        <v>88.11799621582031</v>
      </c>
      <c r="E918">
        <v>86.06400299072266</v>
      </c>
      <c r="F918">
        <v>87.41500091552734</v>
      </c>
      <c r="G918">
        <v>87.16645812988281</v>
      </c>
      <c r="H918">
        <v>370453000</v>
      </c>
      <c r="I918" t="s">
        <v>2784</v>
      </c>
      <c r="J918" t="s">
        <v>2785</v>
      </c>
      <c r="K918" t="s">
        <v>37</v>
      </c>
    </row>
    <row r="919" spans="1:11" ht="20" customHeight="1">
      <c r="A919" t="s">
        <v>22</v>
      </c>
      <c r="B919" t="s">
        <v>2786</v>
      </c>
      <c r="C919">
        <v>88.33999633789062</v>
      </c>
      <c r="D919">
        <v>88.77500152587891</v>
      </c>
      <c r="E919">
        <v>83.94999694824219</v>
      </c>
      <c r="F919">
        <v>84.03500366210938</v>
      </c>
      <c r="G919">
        <v>83.79606628417969</v>
      </c>
      <c r="H919">
        <v>495400000</v>
      </c>
      <c r="I919" t="s">
        <v>2787</v>
      </c>
      <c r="J919" t="s">
        <v>2788</v>
      </c>
      <c r="K919" t="s">
        <v>37</v>
      </c>
    </row>
    <row r="920" spans="1:11" ht="20" customHeight="1">
      <c r="A920" t="s">
        <v>22</v>
      </c>
      <c r="B920" t="s">
        <v>2789</v>
      </c>
      <c r="C920">
        <v>84.97000122070312</v>
      </c>
      <c r="D920">
        <v>86.19000244140625</v>
      </c>
      <c r="E920">
        <v>82.40200042724609</v>
      </c>
      <c r="F920">
        <v>84.67099761962891</v>
      </c>
      <c r="G920">
        <v>84.43024444580078</v>
      </c>
      <c r="H920">
        <v>447260000</v>
      </c>
      <c r="I920" t="s">
        <v>2790</v>
      </c>
      <c r="J920" t="s">
        <v>2791</v>
      </c>
      <c r="K920" t="s">
        <v>37</v>
      </c>
    </row>
    <row r="921" spans="1:11" ht="20" customHeight="1">
      <c r="A921" t="s">
        <v>22</v>
      </c>
      <c r="B921" t="s">
        <v>2792</v>
      </c>
      <c r="C921">
        <v>83.15000152587891</v>
      </c>
      <c r="D921">
        <v>84.32399749755859</v>
      </c>
      <c r="E921">
        <v>75.60600280761719</v>
      </c>
      <c r="F921">
        <v>76.19999694824219</v>
      </c>
      <c r="G921">
        <v>75.98333740234375</v>
      </c>
      <c r="H921">
        <v>875198000</v>
      </c>
      <c r="I921" t="s">
        <v>2793</v>
      </c>
      <c r="J921" t="s">
        <v>2794</v>
      </c>
      <c r="K921" t="s">
        <v>37</v>
      </c>
    </row>
    <row r="922" spans="1:11" ht="20" customHeight="1">
      <c r="A922" t="s">
        <v>22</v>
      </c>
      <c r="B922" t="s">
        <v>2795</v>
      </c>
      <c r="C922">
        <v>78.10399627685547</v>
      </c>
      <c r="D922">
        <v>80.072998046875</v>
      </c>
      <c r="E922">
        <v>76.40000152587891</v>
      </c>
      <c r="F922">
        <v>79.51799774169922</v>
      </c>
      <c r="G922">
        <v>79.29190063476562</v>
      </c>
      <c r="H922">
        <v>596341000</v>
      </c>
      <c r="I922" t="s">
        <v>2796</v>
      </c>
      <c r="J922" t="s">
        <v>2797</v>
      </c>
      <c r="K922" t="s">
        <v>37</v>
      </c>
    </row>
    <row r="923" spans="1:11" ht="20" customHeight="1">
      <c r="A923" t="s">
        <v>22</v>
      </c>
      <c r="B923" t="s">
        <v>2798</v>
      </c>
      <c r="C923">
        <v>80.76899719238281</v>
      </c>
      <c r="D923">
        <v>82.76899719238281</v>
      </c>
      <c r="E923">
        <v>80.26399993896484</v>
      </c>
      <c r="F923">
        <v>82.42299652099609</v>
      </c>
      <c r="G923">
        <v>82.18865203857422</v>
      </c>
      <c r="H923">
        <v>438559000</v>
      </c>
      <c r="I923" t="s">
        <v>2799</v>
      </c>
      <c r="J923" t="s">
        <v>2800</v>
      </c>
      <c r="K923" t="s">
        <v>37</v>
      </c>
    </row>
    <row r="924" spans="1:11" ht="20" customHeight="1">
      <c r="A924" t="s">
        <v>22</v>
      </c>
      <c r="B924" t="s">
        <v>2801</v>
      </c>
      <c r="C924">
        <v>83.94999694824219</v>
      </c>
      <c r="D924">
        <v>84.08200073242188</v>
      </c>
      <c r="E924">
        <v>79.18299865722656</v>
      </c>
      <c r="F924">
        <v>79.677001953125</v>
      </c>
      <c r="G924">
        <v>79.45045471191406</v>
      </c>
      <c r="H924">
        <v>512208000</v>
      </c>
      <c r="I924" t="s">
        <v>2802</v>
      </c>
      <c r="J924" t="s">
        <v>2803</v>
      </c>
      <c r="K924" t="s">
        <v>37</v>
      </c>
    </row>
    <row r="925" spans="1:11" ht="20" customHeight="1">
      <c r="A925" t="s">
        <v>22</v>
      </c>
      <c r="B925" t="s">
        <v>2804</v>
      </c>
      <c r="C925">
        <v>78.86799621582031</v>
      </c>
      <c r="D925">
        <v>83.322998046875</v>
      </c>
      <c r="E925">
        <v>78.22299957275391</v>
      </c>
      <c r="F925">
        <v>82.63200378417969</v>
      </c>
      <c r="G925">
        <v>82.39707183837891</v>
      </c>
      <c r="H925">
        <v>424641000</v>
      </c>
      <c r="I925" t="s">
        <v>2805</v>
      </c>
      <c r="J925" t="s">
        <v>2806</v>
      </c>
      <c r="K925" t="s">
        <v>37</v>
      </c>
    </row>
    <row r="926" spans="1:11" ht="20" customHeight="1">
      <c r="A926" t="s">
        <v>22</v>
      </c>
      <c r="B926" t="s">
        <v>2807</v>
      </c>
      <c r="C926">
        <v>83.81800079345703</v>
      </c>
      <c r="D926">
        <v>88.33100128173828</v>
      </c>
      <c r="E926">
        <v>83.38700103759766</v>
      </c>
      <c r="F926">
        <v>87.73500061035156</v>
      </c>
      <c r="G926">
        <v>87.48554992675781</v>
      </c>
      <c r="H926">
        <v>551011000</v>
      </c>
      <c r="I926" t="s">
        <v>2808</v>
      </c>
      <c r="J926" t="s">
        <v>2809</v>
      </c>
      <c r="K926" t="s">
        <v>37</v>
      </c>
    </row>
    <row r="927" spans="1:11" ht="20" customHeight="1">
      <c r="A927" t="s">
        <v>22</v>
      </c>
      <c r="B927" t="s">
        <v>2810</v>
      </c>
      <c r="C927">
        <v>87.59500122070312</v>
      </c>
      <c r="D927">
        <v>87.99199676513672</v>
      </c>
      <c r="E927">
        <v>85.26599884033203</v>
      </c>
      <c r="F927">
        <v>87.75700378417969</v>
      </c>
      <c r="G927">
        <v>87.50746917724609</v>
      </c>
      <c r="H927">
        <v>388971000</v>
      </c>
      <c r="I927" t="s">
        <v>2811</v>
      </c>
      <c r="J927" t="s">
        <v>2812</v>
      </c>
      <c r="K927" t="s">
        <v>37</v>
      </c>
    </row>
    <row r="928" spans="1:11" ht="20" customHeight="1">
      <c r="A928" t="s">
        <v>22</v>
      </c>
      <c r="B928" t="s">
        <v>2813</v>
      </c>
      <c r="C928">
        <v>87.23999786376953</v>
      </c>
      <c r="D928">
        <v>88.81900024414062</v>
      </c>
      <c r="E928">
        <v>86.30000305175781</v>
      </c>
      <c r="F928">
        <v>86.40200042724609</v>
      </c>
      <c r="G928">
        <v>86.15633392333984</v>
      </c>
      <c r="H928">
        <v>363709000</v>
      </c>
      <c r="I928" t="s">
        <v>2814</v>
      </c>
      <c r="J928" t="s">
        <v>2815</v>
      </c>
      <c r="K928" t="s">
        <v>37</v>
      </c>
    </row>
    <row r="929" spans="1:11" ht="20" customHeight="1">
      <c r="A929" t="s">
        <v>22</v>
      </c>
      <c r="B929" t="s">
        <v>2816</v>
      </c>
      <c r="C929">
        <v>85.07700347900391</v>
      </c>
      <c r="D929">
        <v>86</v>
      </c>
      <c r="E929">
        <v>81.25499725341797</v>
      </c>
      <c r="F929">
        <v>83.04100036621094</v>
      </c>
      <c r="G929">
        <v>82.80489349365234</v>
      </c>
      <c r="H929">
        <v>559863000</v>
      </c>
      <c r="I929" t="s">
        <v>2817</v>
      </c>
      <c r="J929" t="s">
        <v>2818</v>
      </c>
      <c r="K929" t="s">
        <v>37</v>
      </c>
    </row>
    <row r="930" spans="1:11" ht="20" customHeight="1">
      <c r="A930" t="s">
        <v>22</v>
      </c>
      <c r="B930" t="s">
        <v>2819</v>
      </c>
      <c r="C930">
        <v>84.44899749755859</v>
      </c>
      <c r="D930">
        <v>86.23699951171875</v>
      </c>
      <c r="E930">
        <v>83.19999694824219</v>
      </c>
      <c r="F930">
        <v>85.81700134277344</v>
      </c>
      <c r="G930">
        <v>85.57299041748047</v>
      </c>
      <c r="H930">
        <v>377898000</v>
      </c>
      <c r="I930" t="s">
        <v>2820</v>
      </c>
      <c r="J930" t="s">
        <v>2821</v>
      </c>
      <c r="K930" t="s">
        <v>37</v>
      </c>
    </row>
    <row r="931" spans="1:11" ht="20" customHeight="1">
      <c r="A931" t="s">
        <v>22</v>
      </c>
      <c r="B931" t="s">
        <v>2822</v>
      </c>
      <c r="C931">
        <v>87.78900146484375</v>
      </c>
      <c r="D931">
        <v>89.28099822998047</v>
      </c>
      <c r="E931">
        <v>87.04000091552734</v>
      </c>
      <c r="F931">
        <v>88.78900146484375</v>
      </c>
      <c r="G931">
        <v>88.53655242919922</v>
      </c>
      <c r="H931">
        <v>398341000</v>
      </c>
      <c r="I931" t="s">
        <v>2823</v>
      </c>
      <c r="J931" t="s">
        <v>2824</v>
      </c>
      <c r="K931" t="s">
        <v>37</v>
      </c>
    </row>
    <row r="932" spans="1:11" ht="20" customHeight="1">
      <c r="A932" t="s">
        <v>22</v>
      </c>
      <c r="B932" t="s">
        <v>2825</v>
      </c>
      <c r="C932">
        <v>89.38999938964844</v>
      </c>
      <c r="D932">
        <v>92.22000122070312</v>
      </c>
      <c r="E932">
        <v>89.05500030517578</v>
      </c>
      <c r="F932">
        <v>92.13999938964844</v>
      </c>
      <c r="G932">
        <v>91.87800598144531</v>
      </c>
      <c r="H932">
        <v>376203000</v>
      </c>
      <c r="I932" t="s">
        <v>2826</v>
      </c>
      <c r="J932" t="s">
        <v>2827</v>
      </c>
      <c r="K932" t="s">
        <v>37</v>
      </c>
    </row>
    <row r="933" spans="1:11" ht="20" customHeight="1">
      <c r="A933" t="s">
        <v>22</v>
      </c>
      <c r="B933" t="s">
        <v>2828</v>
      </c>
      <c r="C933">
        <v>91.09799957275391</v>
      </c>
      <c r="D933">
        <v>91.78099822998047</v>
      </c>
      <c r="E933">
        <v>89.01100158691406</v>
      </c>
      <c r="F933">
        <v>90.55400085449219</v>
      </c>
      <c r="G933">
        <v>90.29652404785156</v>
      </c>
      <c r="H933">
        <v>437342000</v>
      </c>
      <c r="I933" t="s">
        <v>2829</v>
      </c>
      <c r="J933" t="s">
        <v>2830</v>
      </c>
      <c r="K933" t="s">
        <v>37</v>
      </c>
    </row>
    <row r="934" spans="1:11" ht="20" customHeight="1">
      <c r="A934" t="s">
        <v>22</v>
      </c>
      <c r="B934" t="s">
        <v>2831</v>
      </c>
      <c r="C934">
        <v>89.48300170898438</v>
      </c>
      <c r="D934">
        <v>91.19400024414062</v>
      </c>
      <c r="E934">
        <v>89.41999816894531</v>
      </c>
      <c r="F934">
        <v>90.41200256347656</v>
      </c>
      <c r="G934">
        <v>90.15493774414062</v>
      </c>
      <c r="H934">
        <v>325721000</v>
      </c>
      <c r="I934" t="s">
        <v>2832</v>
      </c>
      <c r="J934" t="s">
        <v>2833</v>
      </c>
      <c r="K934" t="s">
        <v>37</v>
      </c>
    </row>
    <row r="935" spans="1:11" ht="20" customHeight="1">
      <c r="A935" t="s">
        <v>22</v>
      </c>
      <c r="B935" t="s">
        <v>2834</v>
      </c>
      <c r="C935">
        <v>90.52899932861328</v>
      </c>
      <c r="D935">
        <v>91.07199859619141</v>
      </c>
      <c r="E935">
        <v>88.23100280761719</v>
      </c>
      <c r="F935">
        <v>88.74700164794922</v>
      </c>
      <c r="G935">
        <v>88.49465942382812</v>
      </c>
      <c r="H935">
        <v>378013000</v>
      </c>
      <c r="I935" t="s">
        <v>2835</v>
      </c>
      <c r="J935" t="s">
        <v>2836</v>
      </c>
      <c r="K935" t="s">
        <v>37</v>
      </c>
    </row>
    <row r="936" spans="1:11" ht="20" customHeight="1">
      <c r="A936" t="s">
        <v>22</v>
      </c>
      <c r="B936" t="s">
        <v>2837</v>
      </c>
      <c r="C936">
        <v>90.30500030517578</v>
      </c>
      <c r="D936">
        <v>91.4010009765625</v>
      </c>
      <c r="E936">
        <v>89.22699737548828</v>
      </c>
      <c r="F936">
        <v>89.87799835205078</v>
      </c>
      <c r="G936">
        <v>89.62245178222656</v>
      </c>
      <c r="H936">
        <v>335325000</v>
      </c>
      <c r="I936" t="s">
        <v>2838</v>
      </c>
      <c r="J936" t="s">
        <v>2839</v>
      </c>
      <c r="K936" t="s">
        <v>37</v>
      </c>
    </row>
    <row r="937" spans="1:11" ht="20" customHeight="1">
      <c r="A937" t="s">
        <v>22</v>
      </c>
      <c r="B937" t="s">
        <v>2840</v>
      </c>
      <c r="C937">
        <v>90.47799682617188</v>
      </c>
      <c r="D937">
        <v>90.99800109863281</v>
      </c>
      <c r="E937">
        <v>88.52899932861328</v>
      </c>
      <c r="F937">
        <v>90.39900207519531</v>
      </c>
      <c r="G937">
        <v>90.14197540283203</v>
      </c>
      <c r="H937">
        <v>289680000</v>
      </c>
      <c r="I937" t="s">
        <v>2841</v>
      </c>
      <c r="J937" t="s">
        <v>2842</v>
      </c>
      <c r="K937" t="s">
        <v>37</v>
      </c>
    </row>
    <row r="938" spans="1:11" ht="20" customHeight="1">
      <c r="A938" t="s">
        <v>22</v>
      </c>
      <c r="B938" t="s">
        <v>2843</v>
      </c>
      <c r="C938">
        <v>89.5989990234375</v>
      </c>
      <c r="D938">
        <v>91.6510009765625</v>
      </c>
      <c r="E938">
        <v>88.93399810791016</v>
      </c>
      <c r="F938">
        <v>91.35600280761719</v>
      </c>
      <c r="G938">
        <v>91.09626007080078</v>
      </c>
      <c r="H938">
        <v>296507000</v>
      </c>
      <c r="I938" t="s">
        <v>2844</v>
      </c>
      <c r="J938" t="s">
        <v>2845</v>
      </c>
      <c r="K938" t="s">
        <v>37</v>
      </c>
    </row>
    <row r="939" spans="1:11" ht="20" customHeight="1">
      <c r="A939" t="s">
        <v>22</v>
      </c>
      <c r="B939" t="s">
        <v>2846</v>
      </c>
      <c r="C939">
        <v>92.47200012207031</v>
      </c>
      <c r="D939">
        <v>94.86199951171875</v>
      </c>
      <c r="E939">
        <v>91.5989990234375</v>
      </c>
      <c r="F939">
        <v>94.62999725341797</v>
      </c>
      <c r="G939">
        <v>94.36093139648438</v>
      </c>
      <c r="H939">
        <v>417735000</v>
      </c>
      <c r="I939" t="s">
        <v>2847</v>
      </c>
      <c r="J939" t="s">
        <v>2848</v>
      </c>
      <c r="K939" t="s">
        <v>37</v>
      </c>
    </row>
    <row r="940" spans="1:11" ht="20" customHeight="1">
      <c r="A940" t="s">
        <v>22</v>
      </c>
      <c r="B940" t="s">
        <v>2849</v>
      </c>
      <c r="C940">
        <v>94.91000366210938</v>
      </c>
      <c r="D940">
        <v>95.81900024414062</v>
      </c>
      <c r="E940">
        <v>94.10299682617188</v>
      </c>
      <c r="F940">
        <v>94.35900115966797</v>
      </c>
      <c r="G940">
        <v>94.09071350097656</v>
      </c>
      <c r="H940">
        <v>323952000</v>
      </c>
      <c r="I940" t="s">
        <v>2850</v>
      </c>
      <c r="J940" t="s">
        <v>2851</v>
      </c>
      <c r="K940" t="s">
        <v>37</v>
      </c>
    </row>
    <row r="941" spans="1:11" ht="20" customHeight="1">
      <c r="A941" t="s">
        <v>22</v>
      </c>
      <c r="B941" t="s">
        <v>2852</v>
      </c>
      <c r="C941">
        <v>94.36900329589844</v>
      </c>
      <c r="D941">
        <v>94.73999786376953</v>
      </c>
      <c r="E941">
        <v>91.80599975585938</v>
      </c>
      <c r="F941">
        <v>92.47899627685547</v>
      </c>
      <c r="G941">
        <v>92.21605682373047</v>
      </c>
      <c r="H941">
        <v>359691000</v>
      </c>
      <c r="I941" t="s">
        <v>2853</v>
      </c>
      <c r="J941" t="s">
        <v>2854</v>
      </c>
      <c r="K941" t="s">
        <v>37</v>
      </c>
    </row>
    <row r="942" spans="1:11" ht="20" customHeight="1">
      <c r="A942" t="s">
        <v>22</v>
      </c>
      <c r="B942" t="s">
        <v>2855</v>
      </c>
      <c r="C942">
        <v>93.75</v>
      </c>
      <c r="D942">
        <v>95.19999694824219</v>
      </c>
      <c r="E942">
        <v>93.44000244140625</v>
      </c>
      <c r="F942">
        <v>94.77999877929688</v>
      </c>
      <c r="G942">
        <v>94.51052093505859</v>
      </c>
      <c r="H942">
        <v>318764000</v>
      </c>
      <c r="I942" t="s">
        <v>2856</v>
      </c>
      <c r="J942" t="s">
        <v>2857</v>
      </c>
      <c r="K942" t="s">
        <v>37</v>
      </c>
    </row>
    <row r="943" spans="1:11" ht="20" customHeight="1">
      <c r="A943" t="s">
        <v>22</v>
      </c>
      <c r="B943" t="s">
        <v>2858</v>
      </c>
      <c r="C943">
        <v>93.5989990234375</v>
      </c>
      <c r="D943">
        <v>95.40000152587891</v>
      </c>
      <c r="E943">
        <v>93.18000030517578</v>
      </c>
      <c r="F943">
        <v>95.38600158691406</v>
      </c>
      <c r="G943">
        <v>95.11479187011719</v>
      </c>
      <c r="H943">
        <v>328946000</v>
      </c>
      <c r="I943" t="s">
        <v>2859</v>
      </c>
      <c r="J943" t="s">
        <v>2860</v>
      </c>
      <c r="K943" t="s">
        <v>37</v>
      </c>
    </row>
    <row r="944" spans="1:11" ht="20" customHeight="1">
      <c r="A944" t="s">
        <v>22</v>
      </c>
      <c r="B944" t="s">
        <v>2861</v>
      </c>
      <c r="C944">
        <v>95.45899963378906</v>
      </c>
      <c r="D944">
        <v>96.01999664306641</v>
      </c>
      <c r="E944">
        <v>93.24900054931641</v>
      </c>
      <c r="F944">
        <v>94.94999694824219</v>
      </c>
      <c r="G944">
        <v>94.68002319335938</v>
      </c>
      <c r="H944">
        <v>548648000</v>
      </c>
      <c r="I944" t="s">
        <v>2862</v>
      </c>
      <c r="J944" t="s">
        <v>2863</v>
      </c>
      <c r="K944" t="s">
        <v>37</v>
      </c>
    </row>
    <row r="945" spans="1:11" ht="20" customHeight="1">
      <c r="A945" t="s">
        <v>22</v>
      </c>
      <c r="B945" t="s">
        <v>2864</v>
      </c>
      <c r="C945">
        <v>102.0279998779297</v>
      </c>
      <c r="D945">
        <v>106.3199996948242</v>
      </c>
      <c r="E945">
        <v>101.5199966430664</v>
      </c>
      <c r="F945">
        <v>103.7990036010742</v>
      </c>
      <c r="G945">
        <v>103.5038833618164</v>
      </c>
      <c r="H945">
        <v>835065000</v>
      </c>
      <c r="I945" t="s">
        <v>2865</v>
      </c>
      <c r="J945" t="s">
        <v>2866</v>
      </c>
      <c r="K945" t="s">
        <v>37</v>
      </c>
    </row>
    <row r="946" spans="1:11" ht="20" customHeight="1">
      <c r="A946" t="s">
        <v>22</v>
      </c>
      <c r="B946" t="s">
        <v>2867</v>
      </c>
      <c r="C946">
        <v>104.4489974975586</v>
      </c>
      <c r="D946">
        <v>106.4749984741211</v>
      </c>
      <c r="E946">
        <v>103</v>
      </c>
      <c r="F946">
        <v>106.4690017700195</v>
      </c>
      <c r="G946">
        <v>106.1662673950195</v>
      </c>
      <c r="H946">
        <v>429494000</v>
      </c>
      <c r="I946" t="s">
        <v>2868</v>
      </c>
      <c r="J946" t="s">
        <v>2869</v>
      </c>
      <c r="K946" t="s">
        <v>37</v>
      </c>
    </row>
    <row r="947" spans="1:11" ht="20" customHeight="1">
      <c r="A947" t="s">
        <v>22</v>
      </c>
      <c r="B947" t="s">
        <v>2870</v>
      </c>
      <c r="C947">
        <v>110.2440032958984</v>
      </c>
      <c r="D947">
        <v>114.9390029907227</v>
      </c>
      <c r="E947">
        <v>109.8830032348633</v>
      </c>
      <c r="F947">
        <v>113.9010009765625</v>
      </c>
      <c r="G947">
        <v>113.5771484375</v>
      </c>
      <c r="H947">
        <v>652728000</v>
      </c>
      <c r="I947" t="s">
        <v>2871</v>
      </c>
      <c r="J947" t="s">
        <v>2872</v>
      </c>
      <c r="K947" t="s">
        <v>37</v>
      </c>
    </row>
    <row r="948" spans="1:11" ht="20" customHeight="1">
      <c r="A948" t="s">
        <v>22</v>
      </c>
      <c r="B948" t="s">
        <v>2873</v>
      </c>
      <c r="C948">
        <v>113.0500030517578</v>
      </c>
      <c r="D948">
        <v>115.4919967651367</v>
      </c>
      <c r="E948">
        <v>110.9010009765625</v>
      </c>
      <c r="F948">
        <v>114.8249969482422</v>
      </c>
      <c r="G948">
        <v>114.4985122680664</v>
      </c>
      <c r="H948">
        <v>557442000</v>
      </c>
      <c r="I948" t="s">
        <v>2874</v>
      </c>
      <c r="J948" t="s">
        <v>2875</v>
      </c>
      <c r="K948" t="s">
        <v>37</v>
      </c>
    </row>
    <row r="949" spans="1:11" ht="20" customHeight="1">
      <c r="A949" t="s">
        <v>22</v>
      </c>
      <c r="B949" t="s">
        <v>2876</v>
      </c>
      <c r="C949">
        <v>114.6500015258789</v>
      </c>
      <c r="D949">
        <v>115.8190002441406</v>
      </c>
      <c r="E949">
        <v>109.6630020141602</v>
      </c>
      <c r="F949">
        <v>110.5</v>
      </c>
      <c r="G949">
        <v>110.1858215332031</v>
      </c>
      <c r="H949">
        <v>484553000</v>
      </c>
      <c r="I949" t="s">
        <v>2877</v>
      </c>
      <c r="J949" t="s">
        <v>2878</v>
      </c>
      <c r="K949" t="s">
        <v>37</v>
      </c>
    </row>
    <row r="950" spans="1:11" ht="20" customHeight="1">
      <c r="A950" t="s">
        <v>22</v>
      </c>
      <c r="B950" t="s">
        <v>2879</v>
      </c>
      <c r="C950">
        <v>112.5199966430664</v>
      </c>
      <c r="D950">
        <v>112.7170028686523</v>
      </c>
      <c r="E950">
        <v>106.9400024414062</v>
      </c>
      <c r="F950">
        <v>109.6330032348633</v>
      </c>
      <c r="G950">
        <v>109.3212814331055</v>
      </c>
      <c r="H950">
        <v>613263000</v>
      </c>
      <c r="I950" t="s">
        <v>2880</v>
      </c>
      <c r="J950" t="s">
        <v>2881</v>
      </c>
      <c r="K950" t="s">
        <v>37</v>
      </c>
    </row>
    <row r="951" spans="1:11" ht="20" customHeight="1">
      <c r="A951" t="s">
        <v>22</v>
      </c>
      <c r="B951" t="s">
        <v>2882</v>
      </c>
      <c r="C951">
        <v>113.6210021972656</v>
      </c>
      <c r="D951">
        <v>115</v>
      </c>
      <c r="E951">
        <v>112.0029983520508</v>
      </c>
      <c r="F951">
        <v>115</v>
      </c>
      <c r="G951">
        <v>114.6730270385742</v>
      </c>
      <c r="H951">
        <v>438392000</v>
      </c>
      <c r="I951" t="s">
        <v>2883</v>
      </c>
      <c r="J951" t="s">
        <v>2884</v>
      </c>
      <c r="K951" t="s">
        <v>37</v>
      </c>
    </row>
    <row r="952" spans="1:11" ht="20" customHeight="1">
      <c r="A952" t="s">
        <v>22</v>
      </c>
      <c r="B952" t="s">
        <v>2885</v>
      </c>
      <c r="C952">
        <v>115.7160034179688</v>
      </c>
      <c r="D952">
        <v>116.5999984741211</v>
      </c>
      <c r="E952">
        <v>114.0449981689453</v>
      </c>
      <c r="F952">
        <v>116.4369964599609</v>
      </c>
      <c r="G952">
        <v>116.1059341430664</v>
      </c>
      <c r="H952">
        <v>403324000</v>
      </c>
      <c r="I952" t="s">
        <v>2886</v>
      </c>
      <c r="J952" t="s">
        <v>2887</v>
      </c>
      <c r="K952" t="s">
        <v>37</v>
      </c>
    </row>
    <row r="953" spans="1:11" ht="20" customHeight="1">
      <c r="A953" t="s">
        <v>22</v>
      </c>
      <c r="B953" t="s">
        <v>2888</v>
      </c>
      <c r="C953">
        <v>118.3710021972656</v>
      </c>
      <c r="D953">
        <v>122.4489974975586</v>
      </c>
      <c r="E953">
        <v>117.4680023193359</v>
      </c>
      <c r="F953">
        <v>122.4400024414062</v>
      </c>
      <c r="G953">
        <v>122.0918731689453</v>
      </c>
      <c r="H953">
        <v>528402000</v>
      </c>
      <c r="I953" t="s">
        <v>2889</v>
      </c>
      <c r="J953" t="s">
        <v>2890</v>
      </c>
      <c r="K953" t="s">
        <v>37</v>
      </c>
    </row>
    <row r="954" spans="1:11" ht="20" customHeight="1">
      <c r="A954" t="s">
        <v>22</v>
      </c>
      <c r="B954" t="s">
        <v>2891</v>
      </c>
      <c r="C954">
        <v>124.0479965209961</v>
      </c>
      <c r="D954">
        <v>125.5869979858398</v>
      </c>
      <c r="E954">
        <v>118.3199996948242</v>
      </c>
      <c r="F954">
        <v>120.9980010986328</v>
      </c>
      <c r="G954">
        <v>120.6539611816406</v>
      </c>
      <c r="H954">
        <v>664696000</v>
      </c>
      <c r="I954" t="s">
        <v>2892</v>
      </c>
      <c r="J954" t="s">
        <v>2893</v>
      </c>
      <c r="K954" t="s">
        <v>37</v>
      </c>
    </row>
    <row r="955" spans="1:11" ht="20" customHeight="1">
      <c r="A955" t="s">
        <v>22</v>
      </c>
      <c r="B955" t="s">
        <v>2894</v>
      </c>
      <c r="C955">
        <v>119.7699966430664</v>
      </c>
      <c r="D955">
        <v>121.6920013427734</v>
      </c>
      <c r="E955">
        <v>118.0220031738281</v>
      </c>
      <c r="F955">
        <v>120.8880004882812</v>
      </c>
      <c r="G955">
        <v>120.5442733764648</v>
      </c>
      <c r="H955">
        <v>412386000</v>
      </c>
      <c r="I955" t="s">
        <v>2895</v>
      </c>
      <c r="J955" t="s">
        <v>2896</v>
      </c>
      <c r="K955" t="s">
        <v>37</v>
      </c>
    </row>
    <row r="956" spans="1:11" ht="20" customHeight="1">
      <c r="A956" t="s">
        <v>22</v>
      </c>
      <c r="B956" t="s">
        <v>2897</v>
      </c>
      <c r="C956">
        <v>120.370002746582</v>
      </c>
      <c r="D956">
        <v>123.0999984741211</v>
      </c>
      <c r="E956">
        <v>117.0100021362305</v>
      </c>
      <c r="F956">
        <v>121.7900009155273</v>
      </c>
      <c r="G956">
        <v>121.443717956543</v>
      </c>
      <c r="H956">
        <v>313434100</v>
      </c>
      <c r="I956" t="s">
        <v>2898</v>
      </c>
      <c r="J956" t="s">
        <v>2899</v>
      </c>
      <c r="K956" t="s">
        <v>37</v>
      </c>
    </row>
    <row r="957" spans="1:11" ht="20" customHeight="1">
      <c r="A957" t="s">
        <v>22</v>
      </c>
      <c r="B957" t="s">
        <v>2900</v>
      </c>
      <c r="C957">
        <v>121.7699966430664</v>
      </c>
      <c r="D957">
        <v>122.870002746582</v>
      </c>
      <c r="E957">
        <v>118.7399978637695</v>
      </c>
      <c r="F957">
        <v>120.9100036621094</v>
      </c>
      <c r="G957">
        <v>120.5761260986328</v>
      </c>
      <c r="H957">
        <v>222551200</v>
      </c>
      <c r="I957" t="s">
        <v>2901</v>
      </c>
      <c r="J957" t="s">
        <v>2902</v>
      </c>
      <c r="K957" t="s">
        <v>37</v>
      </c>
    </row>
    <row r="958" spans="1:11" ht="20" customHeight="1">
      <c r="A958" t="s">
        <v>22</v>
      </c>
      <c r="B958" t="s">
        <v>2903</v>
      </c>
      <c r="C958">
        <v>123.0599975585938</v>
      </c>
      <c r="D958">
        <v>126.879997253418</v>
      </c>
      <c r="E958">
        <v>122.5699996948242</v>
      </c>
      <c r="F958">
        <v>125.1999969482422</v>
      </c>
      <c r="G958">
        <v>124.8542709350586</v>
      </c>
      <c r="H958">
        <v>299595000</v>
      </c>
      <c r="I958" t="s">
        <v>2904</v>
      </c>
      <c r="J958" t="s">
        <v>2905</v>
      </c>
      <c r="K958" t="s">
        <v>37</v>
      </c>
    </row>
    <row r="959" spans="1:11" ht="20" customHeight="1">
      <c r="A959" t="s">
        <v>22</v>
      </c>
      <c r="B959" t="s">
        <v>2906</v>
      </c>
      <c r="C959">
        <v>129.3899993896484</v>
      </c>
      <c r="D959">
        <v>129.8000030517578</v>
      </c>
      <c r="E959">
        <v>127.1600036621094</v>
      </c>
      <c r="F959">
        <v>129.6100006103516</v>
      </c>
      <c r="G959">
        <v>129.2520904541016</v>
      </c>
      <c r="H959">
        <v>260704500</v>
      </c>
      <c r="I959" t="s">
        <v>2907</v>
      </c>
      <c r="J959" t="s">
        <v>2908</v>
      </c>
      <c r="K959" t="s">
        <v>37</v>
      </c>
    </row>
    <row r="960" spans="1:11" ht="20" customHeight="1">
      <c r="A960" t="s">
        <v>22</v>
      </c>
      <c r="B960" t="s">
        <v>2909</v>
      </c>
      <c r="C960">
        <v>129.9600067138672</v>
      </c>
      <c r="D960">
        <v>132.8399963378906</v>
      </c>
      <c r="E960">
        <v>128.3200073242188</v>
      </c>
      <c r="F960">
        <v>131.8800048828125</v>
      </c>
      <c r="G960">
        <v>131.5158233642578</v>
      </c>
      <c r="H960">
        <v>309320400</v>
      </c>
      <c r="I960" t="s">
        <v>2910</v>
      </c>
      <c r="J960" t="s">
        <v>2911</v>
      </c>
      <c r="K960" t="s">
        <v>37</v>
      </c>
    </row>
    <row r="961" spans="1:11" ht="20" customHeight="1">
      <c r="A961" t="s">
        <v>22</v>
      </c>
      <c r="B961" t="s">
        <v>2912</v>
      </c>
      <c r="C961">
        <v>132.9900054931641</v>
      </c>
      <c r="D961">
        <v>133.7299957275391</v>
      </c>
      <c r="E961">
        <v>129.5800018310547</v>
      </c>
      <c r="F961">
        <v>130.9799957275391</v>
      </c>
      <c r="G961">
        <v>130.6183319091797</v>
      </c>
      <c r="H961">
        <v>288504400</v>
      </c>
      <c r="I961" t="s">
        <v>2913</v>
      </c>
      <c r="J961" t="s">
        <v>2914</v>
      </c>
      <c r="K961" t="s">
        <v>37</v>
      </c>
    </row>
    <row r="962" spans="1:11" ht="20" customHeight="1">
      <c r="A962" t="s">
        <v>22</v>
      </c>
      <c r="B962" t="s">
        <v>2915</v>
      </c>
      <c r="C962">
        <v>131.1399993896484</v>
      </c>
      <c r="D962">
        <v>136.3300018310547</v>
      </c>
      <c r="E962">
        <v>130.6900024414062</v>
      </c>
      <c r="F962">
        <v>135.5800018310547</v>
      </c>
      <c r="G962">
        <v>135.2056274414062</v>
      </c>
      <c r="H962">
        <v>294335100</v>
      </c>
      <c r="I962" t="s">
        <v>2916</v>
      </c>
      <c r="J962" t="s">
        <v>2917</v>
      </c>
      <c r="K962" t="s">
        <v>37</v>
      </c>
    </row>
    <row r="963" spans="1:11" ht="20" customHeight="1">
      <c r="A963" t="s">
        <v>22</v>
      </c>
      <c r="B963" t="s">
        <v>2918</v>
      </c>
      <c r="C963">
        <v>139.8000030517578</v>
      </c>
      <c r="D963">
        <v>140.7599945068359</v>
      </c>
      <c r="E963">
        <v>129.5200042724609</v>
      </c>
      <c r="F963">
        <v>130.7799987792969</v>
      </c>
      <c r="G963">
        <v>130.4188690185547</v>
      </c>
      <c r="H963">
        <v>517768400</v>
      </c>
      <c r="I963" t="s">
        <v>2919</v>
      </c>
      <c r="J963" t="s">
        <v>2920</v>
      </c>
      <c r="K963" t="s">
        <v>37</v>
      </c>
    </row>
    <row r="964" spans="1:11" ht="20" customHeight="1">
      <c r="A964" t="s">
        <v>22</v>
      </c>
      <c r="B964" t="s">
        <v>2921</v>
      </c>
      <c r="C964">
        <v>127.120002746582</v>
      </c>
      <c r="D964">
        <v>130.6300048828125</v>
      </c>
      <c r="E964">
        <v>124.3000030517578</v>
      </c>
      <c r="F964">
        <v>126.5699996948242</v>
      </c>
      <c r="G964">
        <v>126.2204971313477</v>
      </c>
      <c r="H964">
        <v>649445800</v>
      </c>
      <c r="I964" t="s">
        <v>2922</v>
      </c>
      <c r="J964" t="s">
        <v>2923</v>
      </c>
      <c r="K964" t="s">
        <v>37</v>
      </c>
    </row>
    <row r="965" spans="1:11" ht="20" customHeight="1">
      <c r="A965" t="s">
        <v>22</v>
      </c>
      <c r="B965" t="s">
        <v>2924</v>
      </c>
      <c r="C965">
        <v>123.2399978637695</v>
      </c>
      <c r="D965">
        <v>124.4599990844727</v>
      </c>
      <c r="E965">
        <v>118.0400009155273</v>
      </c>
      <c r="F965">
        <v>118.1100006103516</v>
      </c>
      <c r="G965">
        <v>117.7838516235352</v>
      </c>
      <c r="H965">
        <v>476060900</v>
      </c>
      <c r="I965" t="s">
        <v>2925</v>
      </c>
      <c r="J965" t="s">
        <v>2926</v>
      </c>
      <c r="K965" t="s">
        <v>37</v>
      </c>
    </row>
    <row r="966" spans="1:11" ht="20" customHeight="1">
      <c r="A966" t="s">
        <v>22</v>
      </c>
      <c r="B966" t="s">
        <v>2927</v>
      </c>
      <c r="C966">
        <v>121.1999969482422</v>
      </c>
      <c r="D966">
        <v>126.5</v>
      </c>
      <c r="E966">
        <v>119.3199996948242</v>
      </c>
      <c r="F966">
        <v>126.0899963378906</v>
      </c>
      <c r="G966">
        <v>125.7418060302734</v>
      </c>
      <c r="H966">
        <v>414192600</v>
      </c>
      <c r="I966" t="s">
        <v>2928</v>
      </c>
      <c r="J966" t="s">
        <v>2929</v>
      </c>
      <c r="K966" t="s">
        <v>37</v>
      </c>
    </row>
    <row r="967" spans="1:11" ht="20" customHeight="1">
      <c r="A967" t="s">
        <v>22</v>
      </c>
      <c r="B967" t="s">
        <v>2930</v>
      </c>
      <c r="C967">
        <v>126.129997253418</v>
      </c>
      <c r="D967">
        <v>128.1199951171875</v>
      </c>
      <c r="E967">
        <v>122.5999984741211</v>
      </c>
      <c r="F967">
        <v>126.4000015258789</v>
      </c>
      <c r="G967">
        <v>126.0509567260742</v>
      </c>
      <c r="H967">
        <v>362975900</v>
      </c>
      <c r="I967" t="s">
        <v>2931</v>
      </c>
      <c r="J967" t="s">
        <v>2932</v>
      </c>
      <c r="K967" t="s">
        <v>37</v>
      </c>
    </row>
    <row r="968" spans="1:11" ht="20" customHeight="1">
      <c r="A968" t="s">
        <v>22</v>
      </c>
      <c r="B968" t="s">
        <v>2933</v>
      </c>
      <c r="C968">
        <v>124.0999984741211</v>
      </c>
      <c r="D968">
        <v>126.4100036621094</v>
      </c>
      <c r="E968">
        <v>122.9199981689453</v>
      </c>
      <c r="F968">
        <v>123.9899978637695</v>
      </c>
      <c r="G968">
        <v>123.6476211547852</v>
      </c>
      <c r="H968">
        <v>252571700</v>
      </c>
      <c r="I968" t="s">
        <v>2934</v>
      </c>
      <c r="J968" t="s">
        <v>2935</v>
      </c>
      <c r="K968" t="s">
        <v>37</v>
      </c>
    </row>
    <row r="969" spans="1:11" ht="20" customHeight="1">
      <c r="A969" t="s">
        <v>22</v>
      </c>
      <c r="B969" t="s">
        <v>2936</v>
      </c>
      <c r="C969">
        <v>124.5800018310547</v>
      </c>
      <c r="D969">
        <v>127.7099990844727</v>
      </c>
      <c r="E969">
        <v>122.75</v>
      </c>
      <c r="F969">
        <v>123.5400009155273</v>
      </c>
      <c r="G969">
        <v>123.1988677978516</v>
      </c>
      <c r="H969">
        <v>315516700</v>
      </c>
      <c r="I969" t="s">
        <v>2937</v>
      </c>
      <c r="J969" t="s">
        <v>2938</v>
      </c>
      <c r="K969" t="s">
        <v>37</v>
      </c>
    </row>
    <row r="970" spans="1:11" ht="20" customHeight="1">
      <c r="A970" t="s">
        <v>22</v>
      </c>
      <c r="B970" t="s">
        <v>2939</v>
      </c>
      <c r="C970">
        <v>123.4700012207031</v>
      </c>
      <c r="D970">
        <v>124.8399963378906</v>
      </c>
      <c r="E970">
        <v>118.8300018310547</v>
      </c>
      <c r="F970">
        <v>124.3000030517578</v>
      </c>
      <c r="G970">
        <v>123.9567565917969</v>
      </c>
      <c r="H970">
        <v>284885500</v>
      </c>
      <c r="I970" t="s">
        <v>2940</v>
      </c>
      <c r="J970" t="s">
        <v>2941</v>
      </c>
      <c r="K970" t="s">
        <v>37</v>
      </c>
    </row>
    <row r="971" spans="1:11" ht="20" customHeight="1">
      <c r="A971" t="s">
        <v>22</v>
      </c>
      <c r="B971" t="s">
        <v>2942</v>
      </c>
      <c r="C971">
        <v>121.129997253418</v>
      </c>
      <c r="D971">
        <v>123.4100036621094</v>
      </c>
      <c r="E971">
        <v>121.0299987792969</v>
      </c>
      <c r="F971">
        <v>122.6699981689453</v>
      </c>
      <c r="G971">
        <v>122.3312530517578</v>
      </c>
      <c r="H971">
        <v>218374000</v>
      </c>
      <c r="I971" t="s">
        <v>2943</v>
      </c>
      <c r="J971" t="s">
        <v>2944</v>
      </c>
      <c r="K971" t="s">
        <v>37</v>
      </c>
    </row>
    <row r="972" spans="1:11" ht="20" customHeight="1">
      <c r="A972" t="s">
        <v>22</v>
      </c>
      <c r="B972" t="s">
        <v>2945</v>
      </c>
      <c r="C972">
        <v>121.6600036621094</v>
      </c>
      <c r="D972">
        <v>128.2799987792969</v>
      </c>
      <c r="E972">
        <v>121.3600006103516</v>
      </c>
      <c r="F972">
        <v>128.2799987792969</v>
      </c>
      <c r="G972">
        <v>127.9257888793945</v>
      </c>
      <c r="H972">
        <v>215749000</v>
      </c>
      <c r="I972" t="s">
        <v>2946</v>
      </c>
      <c r="J972" t="s">
        <v>2947</v>
      </c>
      <c r="K972" t="s">
        <v>37</v>
      </c>
    </row>
    <row r="973" spans="1:11" ht="20" customHeight="1">
      <c r="A973" t="s">
        <v>22</v>
      </c>
      <c r="B973" t="s">
        <v>2948</v>
      </c>
      <c r="C973">
        <v>127.379997253418</v>
      </c>
      <c r="D973">
        <v>128.8500061035156</v>
      </c>
      <c r="E973">
        <v>125.6800003051758</v>
      </c>
      <c r="F973">
        <v>125.8300018310547</v>
      </c>
      <c r="G973">
        <v>125.4825286865234</v>
      </c>
      <c r="H973">
        <v>214176700</v>
      </c>
      <c r="I973" t="s">
        <v>2949</v>
      </c>
      <c r="J973" t="s">
        <v>2950</v>
      </c>
      <c r="K973" t="s">
        <v>37</v>
      </c>
    </row>
    <row r="974" spans="1:11" ht="20" customHeight="1">
      <c r="A974" t="s">
        <v>22</v>
      </c>
      <c r="B974" t="s">
        <v>2951</v>
      </c>
      <c r="C974">
        <v>127.4899978637695</v>
      </c>
      <c r="D974">
        <v>130.7700042724609</v>
      </c>
      <c r="E974">
        <v>127.0400009155273</v>
      </c>
      <c r="F974">
        <v>128.1999969482422</v>
      </c>
      <c r="G974">
        <v>127.8459854125977</v>
      </c>
      <c r="H974">
        <v>237677300</v>
      </c>
      <c r="I974" t="s">
        <v>2952</v>
      </c>
      <c r="J974" t="s">
        <v>2953</v>
      </c>
      <c r="K974" t="s">
        <v>37</v>
      </c>
    </row>
    <row r="975" spans="1:11" ht="20" customHeight="1">
      <c r="A975" t="s">
        <v>22</v>
      </c>
      <c r="B975" t="s">
        <v>2954</v>
      </c>
      <c r="C975">
        <v>130.3500061035156</v>
      </c>
      <c r="D975">
        <v>133.8200073242188</v>
      </c>
      <c r="E975">
        <v>128.6499938964844</v>
      </c>
      <c r="F975">
        <v>131.3800048828125</v>
      </c>
      <c r="G975">
        <v>131.0172119140625</v>
      </c>
      <c r="H975">
        <v>285366600</v>
      </c>
      <c r="I975" t="s">
        <v>2955</v>
      </c>
      <c r="J975" t="s">
        <v>2956</v>
      </c>
      <c r="K975" t="s">
        <v>37</v>
      </c>
    </row>
    <row r="976" spans="1:11" ht="20" customHeight="1">
      <c r="A976" t="s">
        <v>22</v>
      </c>
      <c r="B976" t="s">
        <v>2957</v>
      </c>
      <c r="C976">
        <v>134.0299987792969</v>
      </c>
      <c r="D976">
        <v>135.1000061035156</v>
      </c>
      <c r="E976">
        <v>132.4199981689453</v>
      </c>
      <c r="F976">
        <v>134.9100036621094</v>
      </c>
      <c r="G976">
        <v>134.5374755859375</v>
      </c>
      <c r="H976">
        <v>248978600</v>
      </c>
      <c r="I976" t="s">
        <v>2958</v>
      </c>
      <c r="J976" t="s">
        <v>2959</v>
      </c>
      <c r="K976" t="s">
        <v>37</v>
      </c>
    </row>
    <row r="977" spans="1:11" ht="20" customHeight="1">
      <c r="A977" t="s">
        <v>22</v>
      </c>
      <c r="B977" t="s">
        <v>2960</v>
      </c>
      <c r="C977">
        <v>135.75</v>
      </c>
      <c r="D977">
        <v>136.1499938964844</v>
      </c>
      <c r="E977">
        <v>127.0500030517578</v>
      </c>
      <c r="F977">
        <v>127.4000015258789</v>
      </c>
      <c r="G977">
        <v>127.0481948852539</v>
      </c>
      <c r="H977">
        <v>374782700</v>
      </c>
      <c r="I977" t="s">
        <v>2961</v>
      </c>
      <c r="J977" t="s">
        <v>2962</v>
      </c>
      <c r="K977" t="s">
        <v>37</v>
      </c>
    </row>
    <row r="978" spans="1:11" ht="20" customHeight="1">
      <c r="A978" t="s">
        <v>22</v>
      </c>
      <c r="B978" t="s">
        <v>2963</v>
      </c>
      <c r="C978">
        <v>128.2599945068359</v>
      </c>
      <c r="D978">
        <v>131.9199981689453</v>
      </c>
      <c r="E978">
        <v>127.2200012207031</v>
      </c>
      <c r="F978">
        <v>129.2400054931641</v>
      </c>
      <c r="G978">
        <v>128.8831176757812</v>
      </c>
      <c r="H978">
        <v>252680500</v>
      </c>
      <c r="I978" t="s">
        <v>2964</v>
      </c>
      <c r="J978" t="s">
        <v>2965</v>
      </c>
      <c r="K978" t="s">
        <v>37</v>
      </c>
    </row>
    <row r="979" spans="1:11" ht="20" customHeight="1">
      <c r="A979" t="s">
        <v>22</v>
      </c>
      <c r="B979" t="s">
        <v>2966</v>
      </c>
      <c r="C979">
        <v>130.5599975585938</v>
      </c>
      <c r="D979">
        <v>131.3899993896484</v>
      </c>
      <c r="E979">
        <v>127.1800003051758</v>
      </c>
      <c r="F979">
        <v>128.4400024414062</v>
      </c>
      <c r="G979">
        <v>128.0853271484375</v>
      </c>
      <c r="H979">
        <v>208326200</v>
      </c>
      <c r="I979" t="s">
        <v>2967</v>
      </c>
      <c r="J979" t="s">
        <v>2968</v>
      </c>
      <c r="K979" t="s">
        <v>37</v>
      </c>
    </row>
    <row r="980" spans="1:11" ht="20" customHeight="1">
      <c r="A980" t="s">
        <v>22</v>
      </c>
      <c r="B980" t="s">
        <v>2969</v>
      </c>
      <c r="C980">
        <v>128.4400024414062</v>
      </c>
      <c r="D980">
        <v>129.0399932861328</v>
      </c>
      <c r="E980">
        <v>124.5800018310547</v>
      </c>
      <c r="F980">
        <v>126.3600006103516</v>
      </c>
      <c r="G980">
        <v>126.0110778808594</v>
      </c>
      <c r="H980">
        <v>214769500</v>
      </c>
      <c r="I980" t="s">
        <v>2970</v>
      </c>
      <c r="J980" t="s">
        <v>2971</v>
      </c>
      <c r="K980" t="s">
        <v>37</v>
      </c>
    </row>
    <row r="981" spans="1:11" ht="20" customHeight="1">
      <c r="A981" t="s">
        <v>22</v>
      </c>
      <c r="B981" t="s">
        <v>2972</v>
      </c>
      <c r="C981">
        <v>121.3499984741211</v>
      </c>
      <c r="D981">
        <v>121.8499984741211</v>
      </c>
      <c r="E981">
        <v>116.7200012207031</v>
      </c>
      <c r="F981">
        <v>117.9899978637695</v>
      </c>
      <c r="G981">
        <v>117.6641845703125</v>
      </c>
      <c r="H981">
        <v>390086200</v>
      </c>
      <c r="I981" t="s">
        <v>2973</v>
      </c>
      <c r="J981" t="s">
        <v>2974</v>
      </c>
      <c r="K981" t="s">
        <v>37</v>
      </c>
    </row>
    <row r="982" spans="1:11" ht="20" customHeight="1">
      <c r="A982" t="s">
        <v>22</v>
      </c>
      <c r="B982" t="s">
        <v>2975</v>
      </c>
      <c r="C982">
        <v>121.8499984741211</v>
      </c>
      <c r="D982">
        <v>122.4000015258789</v>
      </c>
      <c r="E982">
        <v>116.5599975585938</v>
      </c>
      <c r="F982">
        <v>121.0899963378906</v>
      </c>
      <c r="G982">
        <v>120.7556076049805</v>
      </c>
      <c r="H982">
        <v>320979500</v>
      </c>
      <c r="I982" t="s">
        <v>2976</v>
      </c>
      <c r="J982" t="s">
        <v>2977</v>
      </c>
      <c r="K982" t="s">
        <v>37</v>
      </c>
    </row>
    <row r="983" spans="1:11" ht="20" customHeight="1">
      <c r="A983" t="s">
        <v>22</v>
      </c>
      <c r="B983" t="s">
        <v>2978</v>
      </c>
      <c r="C983">
        <v>120.3499984741211</v>
      </c>
      <c r="D983">
        <v>121.5999984741211</v>
      </c>
      <c r="E983">
        <v>117.370002746582</v>
      </c>
      <c r="F983">
        <v>117.9300003051758</v>
      </c>
      <c r="G983">
        <v>117.6043548583984</v>
      </c>
      <c r="H983">
        <v>217223800</v>
      </c>
      <c r="I983" t="s">
        <v>2979</v>
      </c>
      <c r="J983" t="s">
        <v>2980</v>
      </c>
      <c r="K983" t="s">
        <v>37</v>
      </c>
    </row>
    <row r="984" spans="1:11" ht="20" customHeight="1">
      <c r="A984" t="s">
        <v>22</v>
      </c>
      <c r="B984" t="s">
        <v>2981</v>
      </c>
      <c r="C984">
        <v>120.3499984741211</v>
      </c>
      <c r="D984">
        <v>124.0699996948242</v>
      </c>
      <c r="E984">
        <v>119.8600006103516</v>
      </c>
      <c r="F984">
        <v>123.5400009155273</v>
      </c>
      <c r="G984">
        <v>123.1988677978516</v>
      </c>
      <c r="H984">
        <v>258068900</v>
      </c>
      <c r="I984" t="s">
        <v>2982</v>
      </c>
      <c r="J984" t="s">
        <v>2983</v>
      </c>
      <c r="K984" t="s">
        <v>37</v>
      </c>
    </row>
    <row r="985" spans="1:11" ht="20" customHeight="1">
      <c r="A985" t="s">
        <v>22</v>
      </c>
      <c r="B985" t="s">
        <v>2984</v>
      </c>
      <c r="C985">
        <v>122.7799987792969</v>
      </c>
      <c r="D985">
        <v>124.6900024414062</v>
      </c>
      <c r="E985">
        <v>122.0999984741211</v>
      </c>
      <c r="F985">
        <v>122.5899963378906</v>
      </c>
      <c r="G985">
        <v>122.2514801025391</v>
      </c>
      <c r="H985">
        <v>173911000</v>
      </c>
      <c r="I985" t="s">
        <v>2985</v>
      </c>
      <c r="J985" t="s">
        <v>2986</v>
      </c>
      <c r="K985" t="s">
        <v>37</v>
      </c>
    </row>
    <row r="986" spans="1:11" ht="20" customHeight="1">
      <c r="A986" t="s">
        <v>22</v>
      </c>
      <c r="B986" t="s">
        <v>2987</v>
      </c>
      <c r="C986">
        <v>119.1699981689453</v>
      </c>
      <c r="D986">
        <v>119.9499969482422</v>
      </c>
      <c r="E986">
        <v>113.4400024414062</v>
      </c>
      <c r="F986">
        <v>114.25</v>
      </c>
      <c r="G986">
        <v>113.9345169067383</v>
      </c>
      <c r="H986">
        <v>327776900</v>
      </c>
      <c r="I986" t="s">
        <v>2988</v>
      </c>
      <c r="J986" t="s">
        <v>2989</v>
      </c>
      <c r="K986" t="s">
        <v>37</v>
      </c>
    </row>
    <row r="987" spans="1:11" ht="20" customHeight="1">
      <c r="A987" t="s">
        <v>22</v>
      </c>
      <c r="B987" t="s">
        <v>2990</v>
      </c>
      <c r="C987">
        <v>113.0400009155273</v>
      </c>
      <c r="D987">
        <v>116.629997253418</v>
      </c>
      <c r="E987">
        <v>106.3000030517578</v>
      </c>
      <c r="F987">
        <v>112.2799987792969</v>
      </c>
      <c r="G987">
        <v>111.9699554443359</v>
      </c>
      <c r="H987">
        <v>460067000</v>
      </c>
      <c r="I987" t="s">
        <v>2991</v>
      </c>
      <c r="J987" t="s">
        <v>2992</v>
      </c>
      <c r="K987" t="s">
        <v>37</v>
      </c>
    </row>
    <row r="988" spans="1:11" ht="20" customHeight="1">
      <c r="A988" t="s">
        <v>22</v>
      </c>
      <c r="B988" t="s">
        <v>2993</v>
      </c>
      <c r="C988">
        <v>116.1900024414062</v>
      </c>
      <c r="D988">
        <v>116.1999969482422</v>
      </c>
      <c r="E988">
        <v>111.5800018310547</v>
      </c>
      <c r="F988">
        <v>113.0599975585938</v>
      </c>
      <c r="G988">
        <v>112.747802734375</v>
      </c>
      <c r="H988">
        <v>293399100</v>
      </c>
      <c r="I988" t="s">
        <v>2994</v>
      </c>
      <c r="J988" t="s">
        <v>2995</v>
      </c>
      <c r="K988" t="s">
        <v>37</v>
      </c>
    </row>
    <row r="989" spans="1:11" ht="20" customHeight="1">
      <c r="A989" t="s">
        <v>22</v>
      </c>
      <c r="B989" t="s">
        <v>2996</v>
      </c>
      <c r="C989">
        <v>113.6900024414062</v>
      </c>
      <c r="D989">
        <v>116.2799987792969</v>
      </c>
      <c r="E989">
        <v>111.3000030517578</v>
      </c>
      <c r="F989">
        <v>111.5899963378906</v>
      </c>
      <c r="G989">
        <v>111.281852722168</v>
      </c>
      <c r="H989">
        <v>248152100</v>
      </c>
      <c r="I989" t="s">
        <v>2997</v>
      </c>
      <c r="J989" t="s">
        <v>2998</v>
      </c>
      <c r="K989" t="s">
        <v>37</v>
      </c>
    </row>
    <row r="990" spans="1:11" ht="20" customHeight="1">
      <c r="A990" t="s">
        <v>22</v>
      </c>
      <c r="B990" t="s">
        <v>2999</v>
      </c>
      <c r="C990">
        <v>111.5199966430664</v>
      </c>
      <c r="D990">
        <v>111.9899978637695</v>
      </c>
      <c r="E990">
        <v>102.5400009155273</v>
      </c>
      <c r="F990">
        <v>103.7300033569336</v>
      </c>
      <c r="G990">
        <v>103.4435577392578</v>
      </c>
      <c r="H990">
        <v>486833300</v>
      </c>
      <c r="I990" t="s">
        <v>3000</v>
      </c>
      <c r="J990" t="s">
        <v>3001</v>
      </c>
      <c r="K990" t="s">
        <v>37</v>
      </c>
    </row>
    <row r="991" spans="1:11" ht="20" customHeight="1">
      <c r="A991" t="s">
        <v>22</v>
      </c>
      <c r="B991" t="s">
        <v>3002</v>
      </c>
      <c r="C991">
        <v>112.9000015258789</v>
      </c>
      <c r="D991">
        <v>118.3399963378906</v>
      </c>
      <c r="E991">
        <v>110.879997253418</v>
      </c>
      <c r="F991">
        <v>117.0199966430664</v>
      </c>
      <c r="G991">
        <v>116.6968536376953</v>
      </c>
      <c r="H991">
        <v>473174200</v>
      </c>
      <c r="I991" t="s">
        <v>3003</v>
      </c>
      <c r="J991" t="s">
        <v>3004</v>
      </c>
      <c r="K991" t="s">
        <v>37</v>
      </c>
    </row>
    <row r="992" spans="1:11" ht="20" customHeight="1">
      <c r="A992" t="s">
        <v>22</v>
      </c>
      <c r="B992" t="s">
        <v>3005</v>
      </c>
      <c r="C992">
        <v>117.5299987792969</v>
      </c>
      <c r="D992">
        <v>120.1600036621094</v>
      </c>
      <c r="E992">
        <v>106.8099975585938</v>
      </c>
      <c r="F992">
        <v>109.2099990844727</v>
      </c>
      <c r="G992">
        <v>108.9084243774414</v>
      </c>
      <c r="H992">
        <v>523462300</v>
      </c>
      <c r="I992" t="s">
        <v>3006</v>
      </c>
      <c r="J992" t="s">
        <v>3007</v>
      </c>
      <c r="K992" t="s">
        <v>37</v>
      </c>
    </row>
    <row r="993" spans="1:11" ht="20" customHeight="1">
      <c r="A993" t="s">
        <v>22</v>
      </c>
      <c r="B993" t="s">
        <v>3008</v>
      </c>
      <c r="C993">
        <v>103.7600021362305</v>
      </c>
      <c r="D993">
        <v>108.7200012207031</v>
      </c>
      <c r="E993">
        <v>101.370002746582</v>
      </c>
      <c r="F993">
        <v>107.2699966430664</v>
      </c>
      <c r="G993">
        <v>106.9737777709961</v>
      </c>
      <c r="H993">
        <v>482027500</v>
      </c>
      <c r="I993" t="s">
        <v>3009</v>
      </c>
      <c r="J993" t="s">
        <v>3010</v>
      </c>
      <c r="K993" t="s">
        <v>37</v>
      </c>
    </row>
    <row r="994" spans="1:11" ht="20" customHeight="1">
      <c r="A994" t="s">
        <v>22</v>
      </c>
      <c r="B994" t="s">
        <v>3011</v>
      </c>
      <c r="C994">
        <v>92.05999755859375</v>
      </c>
      <c r="D994">
        <v>103.4100036621094</v>
      </c>
      <c r="E994">
        <v>90.69000244140625</v>
      </c>
      <c r="F994">
        <v>100.4499969482422</v>
      </c>
      <c r="G994">
        <v>100.1726150512695</v>
      </c>
      <c r="H994">
        <v>552842400</v>
      </c>
      <c r="I994" t="s">
        <v>3012</v>
      </c>
      <c r="J994" t="s">
        <v>3013</v>
      </c>
      <c r="K994" t="s">
        <v>37</v>
      </c>
    </row>
    <row r="995" spans="1:11" ht="20" customHeight="1">
      <c r="A995" t="s">
        <v>22</v>
      </c>
      <c r="B995" t="s">
        <v>3014</v>
      </c>
      <c r="C995">
        <v>103.8399963378906</v>
      </c>
      <c r="D995">
        <v>107.7099990844727</v>
      </c>
      <c r="E995">
        <v>100.5500030517578</v>
      </c>
      <c r="F995">
        <v>104.25</v>
      </c>
      <c r="G995">
        <v>103.9621276855469</v>
      </c>
      <c r="H995">
        <v>409012100</v>
      </c>
      <c r="I995" t="s">
        <v>3015</v>
      </c>
      <c r="J995" t="s">
        <v>3016</v>
      </c>
      <c r="K995" t="s">
        <v>37</v>
      </c>
    </row>
    <row r="996" spans="1:11" ht="20" customHeight="1">
      <c r="A996" t="s">
        <v>22</v>
      </c>
      <c r="B996" t="s">
        <v>3017</v>
      </c>
      <c r="C996">
        <v>107.8099975585938</v>
      </c>
      <c r="D996">
        <v>108.8000030517578</v>
      </c>
      <c r="E996">
        <v>98.69000244140625</v>
      </c>
      <c r="F996">
        <v>98.91000366210938</v>
      </c>
      <c r="G996">
        <v>98.63687896728516</v>
      </c>
      <c r="H996">
        <v>411440400</v>
      </c>
      <c r="I996" t="s">
        <v>3018</v>
      </c>
      <c r="J996" t="s">
        <v>3019</v>
      </c>
      <c r="K996" t="s">
        <v>37</v>
      </c>
    </row>
    <row r="997" spans="1:11" ht="20" customHeight="1">
      <c r="A997" t="s">
        <v>22</v>
      </c>
      <c r="B997" t="s">
        <v>3020</v>
      </c>
      <c r="C997">
        <v>102</v>
      </c>
      <c r="D997">
        <v>105.5</v>
      </c>
      <c r="E997">
        <v>97.51999664306641</v>
      </c>
      <c r="F997">
        <v>104.9700012207031</v>
      </c>
      <c r="G997">
        <v>104.6801376342773</v>
      </c>
      <c r="H997">
        <v>391910000</v>
      </c>
      <c r="I997" t="s">
        <v>3021</v>
      </c>
      <c r="J997" t="s">
        <v>3022</v>
      </c>
      <c r="K997" t="s">
        <v>37</v>
      </c>
    </row>
    <row r="998" spans="1:11" ht="20" customHeight="1">
      <c r="A998" t="s">
        <v>22</v>
      </c>
      <c r="B998" t="s">
        <v>3023</v>
      </c>
      <c r="C998">
        <v>105.6399993896484</v>
      </c>
      <c r="D998">
        <v>106.5999984741211</v>
      </c>
      <c r="E998">
        <v>103.4300003051758</v>
      </c>
      <c r="F998">
        <v>104.75</v>
      </c>
      <c r="G998">
        <v>104.4607543945312</v>
      </c>
      <c r="H998">
        <v>290844200</v>
      </c>
      <c r="I998" t="s">
        <v>3024</v>
      </c>
      <c r="J998" t="s">
        <v>3025</v>
      </c>
      <c r="K998" t="s">
        <v>37</v>
      </c>
    </row>
    <row r="999" spans="1:11" ht="20" customHeight="1">
      <c r="A999" t="s">
        <v>22</v>
      </c>
      <c r="B999" t="s">
        <v>3026</v>
      </c>
      <c r="C999">
        <v>106.3199996948242</v>
      </c>
      <c r="D999">
        <v>111.0699996948242</v>
      </c>
      <c r="E999">
        <v>106.2600021362305</v>
      </c>
      <c r="F999">
        <v>109.0199966430664</v>
      </c>
      <c r="G999">
        <v>108.7189483642578</v>
      </c>
      <c r="H999">
        <v>325559900</v>
      </c>
      <c r="I999" t="s">
        <v>3027</v>
      </c>
      <c r="J999" t="s">
        <v>3028</v>
      </c>
      <c r="K999" t="s">
        <v>37</v>
      </c>
    </row>
    <row r="1000" spans="1:11" ht="20" customHeight="1">
      <c r="A1000" t="s">
        <v>22</v>
      </c>
      <c r="B1000" t="s">
        <v>3029</v>
      </c>
      <c r="C1000">
        <v>112.4400024414062</v>
      </c>
      <c r="D1000">
        <v>116.2300033569336</v>
      </c>
      <c r="E1000">
        <v>111.5800018310547</v>
      </c>
      <c r="F1000">
        <v>116.1399993896484</v>
      </c>
      <c r="G1000">
        <v>115.8192977905273</v>
      </c>
      <c r="H1000">
        <v>312646700</v>
      </c>
      <c r="I1000" t="s">
        <v>3030</v>
      </c>
      <c r="J1000" t="s">
        <v>3031</v>
      </c>
      <c r="K1000" t="s">
        <v>37</v>
      </c>
    </row>
    <row r="1001" spans="1:11" ht="20" customHeight="1">
      <c r="A1001" t="s">
        <v>22</v>
      </c>
      <c r="B1001" t="s">
        <v>3032</v>
      </c>
      <c r="C1001">
        <v>118.5299987792969</v>
      </c>
      <c r="D1001">
        <v>118.5999984741211</v>
      </c>
      <c r="E1001">
        <v>114.0699996948242</v>
      </c>
      <c r="F1001">
        <v>118.0800018310547</v>
      </c>
      <c r="G1001">
        <v>117.7539367675781</v>
      </c>
      <c r="H1001">
        <v>339246400</v>
      </c>
      <c r="I1001" t="s">
        <v>3033</v>
      </c>
      <c r="J1001" t="s">
        <v>3034</v>
      </c>
      <c r="K1001" t="s">
        <v>37</v>
      </c>
    </row>
    <row r="1002" spans="1:11" ht="20" customHeight="1">
      <c r="A1002" t="s">
        <v>22</v>
      </c>
      <c r="B1002" t="s">
        <v>3035</v>
      </c>
      <c r="C1002">
        <v>118.7600021362305</v>
      </c>
      <c r="D1002">
        <v>123.2399978637695</v>
      </c>
      <c r="E1002">
        <v>117.4700012207031</v>
      </c>
      <c r="F1002">
        <v>122.8600006103516</v>
      </c>
      <c r="G1002">
        <v>122.5207366943359</v>
      </c>
      <c r="H1002">
        <v>318086700</v>
      </c>
      <c r="I1002" t="s">
        <v>3036</v>
      </c>
      <c r="J1002" t="s">
        <v>3037</v>
      </c>
      <c r="K1002" t="s">
        <v>37</v>
      </c>
    </row>
    <row r="1003" spans="1:11" ht="20" customHeight="1">
      <c r="A1003" t="s">
        <v>22</v>
      </c>
      <c r="B1003" t="s">
        <v>3038</v>
      </c>
      <c r="C1003">
        <v>121.9400024414062</v>
      </c>
      <c r="D1003">
        <v>125</v>
      </c>
      <c r="E1003">
        <v>121.1800003051758</v>
      </c>
      <c r="F1003">
        <v>124.5800018310547</v>
      </c>
      <c r="G1003">
        <v>124.2359771728516</v>
      </c>
      <c r="H1003">
        <v>302589900</v>
      </c>
      <c r="I1003" t="s">
        <v>3039</v>
      </c>
      <c r="J1003" t="s">
        <v>3040</v>
      </c>
      <c r="K1003" t="s">
        <v>37</v>
      </c>
    </row>
    <row r="1004" spans="1:11" ht="20" customHeight="1">
      <c r="A1004" t="s">
        <v>22</v>
      </c>
      <c r="B1004" t="s">
        <v>3041</v>
      </c>
      <c r="C1004">
        <v>124.2799987792969</v>
      </c>
      <c r="D1004">
        <v>130</v>
      </c>
      <c r="E1004">
        <v>123.4199981689453</v>
      </c>
      <c r="F1004">
        <v>130</v>
      </c>
      <c r="G1004">
        <v>129.6410217285156</v>
      </c>
      <c r="H1004">
        <v>318333600</v>
      </c>
      <c r="I1004" t="s">
        <v>3042</v>
      </c>
      <c r="J1004" t="s">
        <v>3043</v>
      </c>
      <c r="K1004" t="s">
        <v>37</v>
      </c>
    </row>
    <row r="1005" spans="1:11" ht="20" customHeight="1">
      <c r="A1005" t="s">
        <v>22</v>
      </c>
      <c r="B1005" t="s">
        <v>3044</v>
      </c>
      <c r="C1005">
        <v>128.3999938964844</v>
      </c>
      <c r="D1005">
        <v>129.8800048828125</v>
      </c>
      <c r="E1005">
        <v>125.8899993896484</v>
      </c>
      <c r="F1005">
        <v>127.25</v>
      </c>
      <c r="G1005">
        <v>126.8986129760742</v>
      </c>
      <c r="H1005">
        <v>300087400</v>
      </c>
      <c r="I1005" t="s">
        <v>3045</v>
      </c>
      <c r="J1005" t="s">
        <v>3046</v>
      </c>
      <c r="K1005" t="s">
        <v>37</v>
      </c>
    </row>
    <row r="1006" spans="1:11" ht="20" customHeight="1">
      <c r="A1006" t="s">
        <v>22</v>
      </c>
      <c r="B1006" t="s">
        <v>3047</v>
      </c>
      <c r="C1006">
        <v>127.3199996948242</v>
      </c>
      <c r="D1006">
        <v>129.3500061035156</v>
      </c>
      <c r="E1006">
        <v>126.6600036621094</v>
      </c>
      <c r="F1006">
        <v>128.5</v>
      </c>
      <c r="G1006">
        <v>128.1451873779297</v>
      </c>
      <c r="H1006">
        <v>257883600</v>
      </c>
      <c r="I1006" t="s">
        <v>3048</v>
      </c>
      <c r="J1006" t="s">
        <v>3049</v>
      </c>
      <c r="K1006" t="s">
        <v>37</v>
      </c>
    </row>
    <row r="1007" spans="1:11" ht="20" customHeight="1">
      <c r="A1007" t="s">
        <v>22</v>
      </c>
      <c r="B1007" t="s">
        <v>3050</v>
      </c>
      <c r="C1007">
        <v>130.0200042724609</v>
      </c>
      <c r="D1007">
        <v>130.75</v>
      </c>
      <c r="E1007">
        <v>123.0999984741211</v>
      </c>
      <c r="F1007">
        <v>123.7399978637695</v>
      </c>
      <c r="G1007">
        <v>123.3982849121094</v>
      </c>
      <c r="H1007">
        <v>376189100</v>
      </c>
      <c r="I1007" t="s">
        <v>3051</v>
      </c>
      <c r="J1007" t="s">
        <v>3052</v>
      </c>
      <c r="K1007" t="s">
        <v>37</v>
      </c>
    </row>
    <row r="1008" spans="1:11" ht="20" customHeight="1">
      <c r="A1008" t="s">
        <v>22</v>
      </c>
      <c r="B1008" t="s">
        <v>3053</v>
      </c>
      <c r="C1008">
        <v>125.8600006103516</v>
      </c>
      <c r="D1008">
        <v>129.6000061035156</v>
      </c>
      <c r="E1008">
        <v>125.2200012207031</v>
      </c>
      <c r="F1008">
        <v>129.3699951171875</v>
      </c>
      <c r="G1008">
        <v>129.0127563476562</v>
      </c>
      <c r="H1008">
        <v>323230300</v>
      </c>
      <c r="I1008" t="s">
        <v>3054</v>
      </c>
      <c r="J1008" t="s">
        <v>3055</v>
      </c>
      <c r="K1008" t="s">
        <v>37</v>
      </c>
    </row>
    <row r="1009" spans="1:11" ht="20" customHeight="1">
      <c r="A1009" t="s">
        <v>22</v>
      </c>
      <c r="B1009" t="s">
        <v>3056</v>
      </c>
      <c r="C1009">
        <v>129.5700073242188</v>
      </c>
      <c r="D1009">
        <v>131.2599945068359</v>
      </c>
      <c r="E1009">
        <v>124.370002746582</v>
      </c>
      <c r="F1009">
        <v>126.4599990844727</v>
      </c>
      <c r="G1009">
        <v>126.1108093261719</v>
      </c>
      <c r="H1009">
        <v>331964700</v>
      </c>
      <c r="I1009" t="s">
        <v>3057</v>
      </c>
      <c r="J1009" t="s">
        <v>3058</v>
      </c>
      <c r="K1009" t="s">
        <v>37</v>
      </c>
    </row>
    <row r="1010" spans="1:11" ht="20" customHeight="1">
      <c r="A1010" t="s">
        <v>22</v>
      </c>
      <c r="B1010" t="s">
        <v>3059</v>
      </c>
      <c r="C1010">
        <v>125.0500030517578</v>
      </c>
      <c r="D1010">
        <v>129.1999969482422</v>
      </c>
      <c r="E1010">
        <v>123.879997253418</v>
      </c>
      <c r="F1010">
        <v>128.3000030517578</v>
      </c>
      <c r="G1010">
        <v>127.9457397460938</v>
      </c>
      <c r="H1010">
        <v>303134600</v>
      </c>
      <c r="I1010" t="s">
        <v>3060</v>
      </c>
      <c r="J1010" t="s">
        <v>3061</v>
      </c>
      <c r="K1010" t="s">
        <v>37</v>
      </c>
    </row>
    <row r="1011" spans="1:11" ht="20" customHeight="1">
      <c r="A1011" t="s">
        <v>22</v>
      </c>
      <c r="B1011" t="s">
        <v>3062</v>
      </c>
      <c r="C1011">
        <v>128.1199951171875</v>
      </c>
      <c r="D1011">
        <v>128.3300018310547</v>
      </c>
      <c r="E1011">
        <v>122.6399993896484</v>
      </c>
      <c r="F1011">
        <v>125.6100006103516</v>
      </c>
      <c r="G1011">
        <v>125.2631530761719</v>
      </c>
      <c r="H1011">
        <v>448101100</v>
      </c>
      <c r="I1011" t="s">
        <v>3063</v>
      </c>
      <c r="J1011" t="s">
        <v>3064</v>
      </c>
      <c r="K1011" t="s">
        <v>37</v>
      </c>
    </row>
    <row r="1012" spans="1:11" ht="20" customHeight="1">
      <c r="A1012" t="s">
        <v>22</v>
      </c>
      <c r="B1012" t="s">
        <v>3065</v>
      </c>
      <c r="C1012">
        <v>121.3600006103516</v>
      </c>
      <c r="D1012">
        <v>124.4300003051758</v>
      </c>
      <c r="E1012">
        <v>116.7099990844727</v>
      </c>
      <c r="F1012">
        <v>117.5899963378906</v>
      </c>
      <c r="G1012">
        <v>117.2652740478516</v>
      </c>
      <c r="H1012">
        <v>453023300</v>
      </c>
      <c r="I1012" t="s">
        <v>3066</v>
      </c>
      <c r="J1012" t="s">
        <v>3067</v>
      </c>
      <c r="K1012" t="s">
        <v>37</v>
      </c>
    </row>
    <row r="1013" spans="1:11" ht="20" customHeight="1">
      <c r="A1013" t="s">
        <v>22</v>
      </c>
      <c r="B1013" t="s">
        <v>3068</v>
      </c>
      <c r="C1013">
        <v>119.5299987792969</v>
      </c>
      <c r="D1013">
        <v>121.75</v>
      </c>
      <c r="E1013">
        <v>117.2200012207031</v>
      </c>
      <c r="F1013">
        <v>119.370002746582</v>
      </c>
      <c r="G1013">
        <v>119.0403671264648</v>
      </c>
      <c r="H1013">
        <v>333751600</v>
      </c>
      <c r="I1013" t="s">
        <v>3069</v>
      </c>
      <c r="J1013" t="s">
        <v>3070</v>
      </c>
      <c r="K1013" t="s">
        <v>37</v>
      </c>
    </row>
    <row r="1014" spans="1:11" ht="20" customHeight="1">
      <c r="A1014" t="s">
        <v>22</v>
      </c>
      <c r="B1014" t="s">
        <v>3071</v>
      </c>
      <c r="C1014">
        <v>116.0100021362305</v>
      </c>
      <c r="D1014">
        <v>116.2099990844727</v>
      </c>
      <c r="E1014">
        <v>107.2900009155273</v>
      </c>
      <c r="F1014">
        <v>108</v>
      </c>
      <c r="G1014">
        <v>107.7017822265625</v>
      </c>
      <c r="H1014">
        <v>477155100</v>
      </c>
      <c r="I1014" t="s">
        <v>3072</v>
      </c>
      <c r="J1014" t="s">
        <v>3073</v>
      </c>
      <c r="K1014" t="s">
        <v>37</v>
      </c>
    </row>
    <row r="1015" spans="1:11" ht="20" customHeight="1">
      <c r="A1015" t="s">
        <v>22</v>
      </c>
      <c r="B1015" t="s">
        <v>3074</v>
      </c>
      <c r="C1015">
        <v>105.4100036621094</v>
      </c>
      <c r="D1015">
        <v>113.2699966430664</v>
      </c>
      <c r="E1015">
        <v>104.120002746582</v>
      </c>
      <c r="F1015">
        <v>106.2099990844727</v>
      </c>
      <c r="G1015">
        <v>105.9167175292969</v>
      </c>
      <c r="H1015">
        <v>372470300</v>
      </c>
      <c r="I1015" t="s">
        <v>3075</v>
      </c>
      <c r="J1015" t="s">
        <v>3076</v>
      </c>
      <c r="K1015" t="s">
        <v>37</v>
      </c>
    </row>
    <row r="1016" spans="1:11" ht="20" customHeight="1">
      <c r="A1016" t="s">
        <v>22</v>
      </c>
      <c r="B1016" t="s">
        <v>3077</v>
      </c>
      <c r="C1016">
        <v>104.9899978637695</v>
      </c>
      <c r="D1016">
        <v>109.6500015258789</v>
      </c>
      <c r="E1016">
        <v>104.7600021362305</v>
      </c>
      <c r="F1016">
        <v>107.2099990844727</v>
      </c>
      <c r="G1016">
        <v>106.9139709472656</v>
      </c>
      <c r="H1016">
        <v>306850700</v>
      </c>
      <c r="I1016" t="s">
        <v>3078</v>
      </c>
      <c r="J1016" t="s">
        <v>3079</v>
      </c>
      <c r="K1016" t="s">
        <v>37</v>
      </c>
    </row>
    <row r="1017" spans="1:11" ht="20" customHeight="1">
      <c r="A1017" t="s">
        <v>22</v>
      </c>
      <c r="B1017" t="s">
        <v>3080</v>
      </c>
      <c r="C1017">
        <v>108.0400009155273</v>
      </c>
      <c r="D1017">
        <v>108.1500015258789</v>
      </c>
      <c r="E1017">
        <v>100.9499969482422</v>
      </c>
      <c r="F1017">
        <v>102.8300018310547</v>
      </c>
      <c r="G1017">
        <v>102.5460510253906</v>
      </c>
      <c r="H1017">
        <v>413638100</v>
      </c>
      <c r="I1017" t="s">
        <v>3081</v>
      </c>
      <c r="J1017" t="s">
        <v>3082</v>
      </c>
      <c r="K1017" t="s">
        <v>37</v>
      </c>
    </row>
    <row r="1018" spans="1:11" ht="20" customHeight="1">
      <c r="A1018" t="s">
        <v>22</v>
      </c>
      <c r="B1018" t="s">
        <v>3083</v>
      </c>
      <c r="C1018">
        <v>104.879997253418</v>
      </c>
      <c r="D1018">
        <v>106.5500030517578</v>
      </c>
      <c r="E1018">
        <v>103.6900024414062</v>
      </c>
      <c r="F1018">
        <v>106.4700012207031</v>
      </c>
      <c r="G1018">
        <v>106.1759948730469</v>
      </c>
      <c r="H1018">
        <v>273912000</v>
      </c>
      <c r="I1018" t="s">
        <v>3084</v>
      </c>
      <c r="J1018" t="s">
        <v>3085</v>
      </c>
      <c r="K1018" t="s">
        <v>37</v>
      </c>
    </row>
    <row r="1019" spans="1:11" ht="20" customHeight="1">
      <c r="A1019" t="s">
        <v>22</v>
      </c>
      <c r="B1019" t="s">
        <v>3086</v>
      </c>
      <c r="C1019">
        <v>107.8099975585938</v>
      </c>
      <c r="D1019">
        <v>109.4000015258789</v>
      </c>
      <c r="E1019">
        <v>104.9499969482422</v>
      </c>
      <c r="F1019">
        <v>108.0999984741211</v>
      </c>
      <c r="G1019">
        <v>107.8014831542969</v>
      </c>
      <c r="H1019">
        <v>268283700</v>
      </c>
      <c r="I1019" t="s">
        <v>3087</v>
      </c>
      <c r="J1019" t="s">
        <v>3088</v>
      </c>
      <c r="K1019" t="s">
        <v>37</v>
      </c>
    </row>
    <row r="1020" spans="1:11" ht="20" customHeight="1">
      <c r="A1020" t="s">
        <v>22</v>
      </c>
      <c r="B1020" t="s">
        <v>3089</v>
      </c>
      <c r="C1020">
        <v>109.3899993896484</v>
      </c>
      <c r="D1020">
        <v>117.1900024414062</v>
      </c>
      <c r="E1020">
        <v>107.4199981689453</v>
      </c>
      <c r="F1020">
        <v>116.9100036621094</v>
      </c>
      <c r="G1020">
        <v>116.5871658325195</v>
      </c>
      <c r="H1020">
        <v>441422400</v>
      </c>
      <c r="I1020" t="s">
        <v>3090</v>
      </c>
      <c r="J1020" t="s">
        <v>3091</v>
      </c>
      <c r="K1020" t="s">
        <v>37</v>
      </c>
    </row>
    <row r="1021" spans="1:11" ht="20" customHeight="1">
      <c r="A1021" t="s">
        <v>22</v>
      </c>
      <c r="B1021" t="s">
        <v>3092</v>
      </c>
      <c r="C1021">
        <v>116.8399963378906</v>
      </c>
      <c r="D1021">
        <v>120.7900009155273</v>
      </c>
      <c r="E1021">
        <v>115.379997253418</v>
      </c>
      <c r="F1021">
        <v>119.1399993896484</v>
      </c>
      <c r="G1021">
        <v>118.8211822509766</v>
      </c>
      <c r="H1021">
        <v>366052700</v>
      </c>
      <c r="I1021" t="s">
        <v>3093</v>
      </c>
      <c r="J1021" t="s">
        <v>3094</v>
      </c>
      <c r="K1021" t="s">
        <v>37</v>
      </c>
    </row>
    <row r="1022" spans="1:11" ht="20" customHeight="1">
      <c r="A1022" t="s">
        <v>22</v>
      </c>
      <c r="B1022" t="s">
        <v>3095</v>
      </c>
      <c r="C1022">
        <v>119.0800018310547</v>
      </c>
      <c r="D1022">
        <v>119.9599990844727</v>
      </c>
      <c r="E1022">
        <v>117.5999984741211</v>
      </c>
      <c r="F1022">
        <v>119.0999984741211</v>
      </c>
      <c r="G1022">
        <v>118.7812728881836</v>
      </c>
      <c r="H1022">
        <v>238358300</v>
      </c>
      <c r="I1022" t="s">
        <v>3096</v>
      </c>
      <c r="J1022" t="s">
        <v>3097</v>
      </c>
      <c r="K1022" t="s">
        <v>37</v>
      </c>
    </row>
    <row r="1023" spans="1:11" ht="20" customHeight="1">
      <c r="A1023" t="s">
        <v>22</v>
      </c>
      <c r="B1023" t="s">
        <v>3098</v>
      </c>
      <c r="C1023">
        <v>116.7900009155273</v>
      </c>
      <c r="D1023">
        <v>118.1800003051758</v>
      </c>
      <c r="E1023">
        <v>114.3600006103516</v>
      </c>
      <c r="F1023">
        <v>116.7799987792969</v>
      </c>
      <c r="G1023">
        <v>116.4674835205078</v>
      </c>
      <c r="H1023">
        <v>248772300</v>
      </c>
      <c r="I1023" t="s">
        <v>3099</v>
      </c>
      <c r="J1023" t="s">
        <v>3100</v>
      </c>
      <c r="K1023" t="s">
        <v>37</v>
      </c>
    </row>
    <row r="1024" spans="1:11" ht="20" customHeight="1">
      <c r="A1024" t="s">
        <v>22</v>
      </c>
      <c r="B1024" t="s">
        <v>3101</v>
      </c>
      <c r="C1024">
        <v>118.1699981689453</v>
      </c>
      <c r="D1024">
        <v>118.8000030517578</v>
      </c>
      <c r="E1024">
        <v>114.8300018310547</v>
      </c>
      <c r="F1024">
        <v>115.5899963378906</v>
      </c>
      <c r="G1024">
        <v>115.2806701660156</v>
      </c>
      <c r="H1024">
        <v>231925900</v>
      </c>
      <c r="I1024" t="s">
        <v>3102</v>
      </c>
      <c r="J1024" t="s">
        <v>3103</v>
      </c>
      <c r="K1024" t="s">
        <v>37</v>
      </c>
    </row>
    <row r="1025" spans="1:11" ht="20" customHeight="1">
      <c r="A1025" t="s">
        <v>22</v>
      </c>
      <c r="B1025" t="s">
        <v>3104</v>
      </c>
      <c r="C1025">
        <v>115.8899993896484</v>
      </c>
      <c r="D1025">
        <v>117.6999969482422</v>
      </c>
      <c r="E1025">
        <v>113.2200012207031</v>
      </c>
      <c r="F1025">
        <v>113.370002746582</v>
      </c>
      <c r="G1025">
        <v>113.0666122436523</v>
      </c>
      <c r="H1025">
        <v>310318900</v>
      </c>
      <c r="I1025" t="s">
        <v>3105</v>
      </c>
      <c r="J1025" t="s">
        <v>3106</v>
      </c>
      <c r="K1025" t="s">
        <v>37</v>
      </c>
    </row>
    <row r="1026" spans="1:11" ht="20" customHeight="1">
      <c r="A1026" t="s">
        <v>22</v>
      </c>
      <c r="B1026" t="s">
        <v>3107</v>
      </c>
      <c r="C1026">
        <v>117.3499984741211</v>
      </c>
      <c r="D1026">
        <v>119.6600036621094</v>
      </c>
      <c r="E1026">
        <v>117.25</v>
      </c>
      <c r="F1026">
        <v>117.870002746582</v>
      </c>
      <c r="G1026">
        <v>117.554573059082</v>
      </c>
      <c r="H1026">
        <v>293506400</v>
      </c>
      <c r="I1026" t="s">
        <v>3108</v>
      </c>
      <c r="J1026" t="s">
        <v>3109</v>
      </c>
      <c r="K1026" t="s">
        <v>37</v>
      </c>
    </row>
    <row r="1027" spans="1:11" ht="20" customHeight="1">
      <c r="A1027" t="s">
        <v>22</v>
      </c>
      <c r="B1027" t="s">
        <v>3110</v>
      </c>
      <c r="C1027">
        <v>117.0599975585938</v>
      </c>
      <c r="D1027">
        <v>118.620002746582</v>
      </c>
      <c r="E1027">
        <v>115.3899993896484</v>
      </c>
      <c r="F1027">
        <v>116</v>
      </c>
      <c r="G1027">
        <v>115.6895751953125</v>
      </c>
      <c r="H1027">
        <v>382462400</v>
      </c>
      <c r="I1027" t="s">
        <v>3111</v>
      </c>
      <c r="J1027" t="s">
        <v>3112</v>
      </c>
      <c r="K1027" t="s">
        <v>37</v>
      </c>
    </row>
    <row r="1028" spans="1:11" ht="20" customHeight="1">
      <c r="A1028" t="s">
        <v>22</v>
      </c>
      <c r="B1028" t="s">
        <v>3113</v>
      </c>
      <c r="C1028">
        <v>116.5500030517578</v>
      </c>
      <c r="D1028">
        <v>116.9899978637695</v>
      </c>
      <c r="E1028">
        <v>114.8600006103516</v>
      </c>
      <c r="F1028">
        <v>116.2600021362305</v>
      </c>
      <c r="G1028">
        <v>115.9488830566406</v>
      </c>
      <c r="H1028">
        <v>206228500</v>
      </c>
      <c r="I1028" t="s">
        <v>3114</v>
      </c>
      <c r="J1028" t="s">
        <v>3115</v>
      </c>
      <c r="K1028" t="s">
        <v>37</v>
      </c>
    </row>
    <row r="1029" spans="1:11" ht="20" customHeight="1">
      <c r="A1029" t="s">
        <v>22</v>
      </c>
      <c r="B1029" t="s">
        <v>3116</v>
      </c>
      <c r="C1029">
        <v>116.5199966430664</v>
      </c>
      <c r="D1029">
        <v>121.8000030517578</v>
      </c>
      <c r="E1029">
        <v>115.379997253418</v>
      </c>
      <c r="F1029">
        <v>120.870002746582</v>
      </c>
      <c r="G1029">
        <v>120.5465469360352</v>
      </c>
      <c r="H1029">
        <v>354966800</v>
      </c>
      <c r="I1029" t="s">
        <v>3117</v>
      </c>
      <c r="J1029" t="s">
        <v>3118</v>
      </c>
      <c r="K1029" t="s">
        <v>37</v>
      </c>
    </row>
    <row r="1030" spans="1:11" ht="20" customHeight="1">
      <c r="A1030" t="s">
        <v>22</v>
      </c>
      <c r="B1030" t="s">
        <v>3119</v>
      </c>
      <c r="C1030">
        <v>122.0199966430664</v>
      </c>
      <c r="D1030">
        <v>124.9400024414062</v>
      </c>
      <c r="E1030">
        <v>121.6100006103516</v>
      </c>
      <c r="F1030">
        <v>123.5100021362305</v>
      </c>
      <c r="G1030">
        <v>123.1794815063477</v>
      </c>
      <c r="H1030">
        <v>284692900</v>
      </c>
      <c r="I1030" t="s">
        <v>3120</v>
      </c>
      <c r="J1030" t="s">
        <v>3121</v>
      </c>
      <c r="K1030" t="s">
        <v>37</v>
      </c>
    </row>
    <row r="1031" spans="1:11" ht="20" customHeight="1">
      <c r="A1031" t="s">
        <v>22</v>
      </c>
      <c r="B1031" t="s">
        <v>3122</v>
      </c>
      <c r="C1031">
        <v>126.8000030517578</v>
      </c>
      <c r="D1031">
        <v>127.6699981689453</v>
      </c>
      <c r="E1031">
        <v>121.8000030517578</v>
      </c>
      <c r="F1031">
        <v>124.0400009155273</v>
      </c>
      <c r="G1031">
        <v>123.7080612182617</v>
      </c>
      <c r="H1031">
        <v>302582900</v>
      </c>
      <c r="I1031" t="s">
        <v>3123</v>
      </c>
      <c r="J1031" t="s">
        <v>3124</v>
      </c>
      <c r="K1031" t="s">
        <v>37</v>
      </c>
    </row>
    <row r="1032" spans="1:11" ht="20" customHeight="1">
      <c r="A1032" t="s">
        <v>22</v>
      </c>
      <c r="B1032" t="s">
        <v>3125</v>
      </c>
      <c r="C1032">
        <v>123.9700012207031</v>
      </c>
      <c r="D1032">
        <v>124.0299987792969</v>
      </c>
      <c r="E1032">
        <v>119.2600021362305</v>
      </c>
      <c r="F1032">
        <v>121.4000015258789</v>
      </c>
      <c r="G1032">
        <v>121.0751266479492</v>
      </c>
      <c r="H1032">
        <v>271009200</v>
      </c>
      <c r="I1032" t="s">
        <v>3126</v>
      </c>
      <c r="J1032" t="s">
        <v>3127</v>
      </c>
      <c r="K1032" t="s">
        <v>37</v>
      </c>
    </row>
    <row r="1033" spans="1:11" ht="20" customHeight="1">
      <c r="A1033" t="s">
        <v>22</v>
      </c>
      <c r="B1033" t="s">
        <v>3128</v>
      </c>
      <c r="C1033">
        <v>118.3099975585938</v>
      </c>
      <c r="D1033">
        <v>121.5</v>
      </c>
      <c r="E1033">
        <v>118.1500015258789</v>
      </c>
      <c r="F1033">
        <v>121.4400024414062</v>
      </c>
      <c r="G1033">
        <v>121.1150207519531</v>
      </c>
      <c r="H1033">
        <v>226553700</v>
      </c>
      <c r="I1033" t="s">
        <v>3129</v>
      </c>
      <c r="J1033" t="s">
        <v>3130</v>
      </c>
      <c r="K1033" t="s">
        <v>37</v>
      </c>
    </row>
    <row r="1034" spans="1:11" ht="20" customHeight="1">
      <c r="A1034" t="s">
        <v>22</v>
      </c>
      <c r="B1034" t="s">
        <v>3131</v>
      </c>
      <c r="C1034">
        <v>121.7699966430664</v>
      </c>
      <c r="D1034">
        <v>122.4400024414062</v>
      </c>
      <c r="E1034">
        <v>115.7900009155273</v>
      </c>
      <c r="F1034">
        <v>117</v>
      </c>
      <c r="G1034">
        <v>116.6868896484375</v>
      </c>
      <c r="H1034">
        <v>302094500</v>
      </c>
      <c r="I1034" t="s">
        <v>3132</v>
      </c>
      <c r="J1034" t="s">
        <v>3133</v>
      </c>
      <c r="K1034" t="s">
        <v>37</v>
      </c>
    </row>
    <row r="1035" spans="1:11" ht="20" customHeight="1">
      <c r="A1035" t="s">
        <v>22</v>
      </c>
      <c r="B1035" t="s">
        <v>3134</v>
      </c>
      <c r="C1035">
        <v>116.4400024414062</v>
      </c>
      <c r="D1035">
        <v>119.379997253418</v>
      </c>
      <c r="E1035">
        <v>115.1399993896484</v>
      </c>
      <c r="F1035">
        <v>118.8499984741211</v>
      </c>
      <c r="G1035">
        <v>118.5319595336914</v>
      </c>
      <c r="H1035">
        <v>221845900</v>
      </c>
      <c r="I1035" t="s">
        <v>3135</v>
      </c>
      <c r="J1035" t="s">
        <v>3136</v>
      </c>
      <c r="K1035" t="s">
        <v>37</v>
      </c>
    </row>
    <row r="1036" spans="1:11" ht="20" customHeight="1">
      <c r="A1036" t="s">
        <v>22</v>
      </c>
      <c r="B1036" t="s">
        <v>3137</v>
      </c>
      <c r="C1036">
        <v>120.9199981689453</v>
      </c>
      <c r="D1036">
        <v>124.3600006103516</v>
      </c>
      <c r="E1036">
        <v>120.3399963378906</v>
      </c>
      <c r="F1036">
        <v>122.8499984741211</v>
      </c>
      <c r="G1036">
        <v>122.5212478637695</v>
      </c>
      <c r="H1036">
        <v>277118000</v>
      </c>
      <c r="I1036" t="s">
        <v>3138</v>
      </c>
      <c r="J1036" t="s">
        <v>3139</v>
      </c>
      <c r="K1036" t="s">
        <v>37</v>
      </c>
    </row>
    <row r="1037" spans="1:11" ht="20" customHeight="1">
      <c r="A1037" t="s">
        <v>22</v>
      </c>
      <c r="B1037" t="s">
        <v>3140</v>
      </c>
      <c r="C1037">
        <v>124.9400024414062</v>
      </c>
      <c r="D1037">
        <v>125.0400009155273</v>
      </c>
      <c r="E1037">
        <v>121.8300018310547</v>
      </c>
      <c r="F1037">
        <v>124.9199981689453</v>
      </c>
      <c r="G1037">
        <v>124.5857086181641</v>
      </c>
      <c r="H1037">
        <v>243678100</v>
      </c>
      <c r="I1037" t="s">
        <v>3141</v>
      </c>
      <c r="J1037" t="s">
        <v>3142</v>
      </c>
      <c r="K1037" t="s">
        <v>37</v>
      </c>
    </row>
    <row r="1038" spans="1:11" ht="20" customHeight="1">
      <c r="A1038" t="s">
        <v>22</v>
      </c>
      <c r="B1038" t="s">
        <v>3143</v>
      </c>
      <c r="C1038">
        <v>124.9899978637695</v>
      </c>
      <c r="D1038">
        <v>130.6399993896484</v>
      </c>
      <c r="E1038">
        <v>124.9499969482422</v>
      </c>
      <c r="F1038">
        <v>127.7200012207031</v>
      </c>
      <c r="G1038">
        <v>127.3782043457031</v>
      </c>
      <c r="H1038">
        <v>346250200</v>
      </c>
      <c r="I1038" t="s">
        <v>3144</v>
      </c>
      <c r="J1038" t="s">
        <v>3145</v>
      </c>
      <c r="K1038" t="s">
        <v>37</v>
      </c>
    </row>
    <row r="1039" spans="1:11" ht="20" customHeight="1">
      <c r="A1039" t="s">
        <v>22</v>
      </c>
      <c r="B1039" t="s">
        <v>3146</v>
      </c>
      <c r="C1039">
        <v>130.2599945068359</v>
      </c>
      <c r="D1039">
        <v>133.4799957275391</v>
      </c>
      <c r="E1039">
        <v>129.4199981689453</v>
      </c>
      <c r="F1039">
        <v>132.8899993896484</v>
      </c>
      <c r="G1039">
        <v>132.5343780517578</v>
      </c>
      <c r="H1039">
        <v>285722500</v>
      </c>
      <c r="I1039" t="s">
        <v>3147</v>
      </c>
      <c r="J1039" t="s">
        <v>3148</v>
      </c>
      <c r="K1039" t="s">
        <v>37</v>
      </c>
    </row>
    <row r="1040" spans="1:11" ht="20" customHeight="1">
      <c r="A1040" t="s">
        <v>22</v>
      </c>
      <c r="B1040" t="s">
        <v>3149</v>
      </c>
      <c r="C1040">
        <v>134.1100006103516</v>
      </c>
      <c r="D1040">
        <v>134.5200042724609</v>
      </c>
      <c r="E1040">
        <v>131.3800048828125</v>
      </c>
      <c r="F1040">
        <v>132.6499938964844</v>
      </c>
      <c r="G1040">
        <v>132.2950286865234</v>
      </c>
      <c r="H1040">
        <v>246191600</v>
      </c>
      <c r="I1040" t="s">
        <v>3150</v>
      </c>
      <c r="J1040" t="s">
        <v>3151</v>
      </c>
      <c r="K1040" t="s">
        <v>37</v>
      </c>
    </row>
    <row r="1041" spans="1:11" ht="20" customHeight="1">
      <c r="A1041" t="s">
        <v>22</v>
      </c>
      <c r="B1041" t="s">
        <v>3152</v>
      </c>
      <c r="C1041">
        <v>131.9100036621094</v>
      </c>
      <c r="D1041">
        <v>135</v>
      </c>
      <c r="E1041">
        <v>131</v>
      </c>
      <c r="F1041">
        <v>134.8099975585938</v>
      </c>
      <c r="G1041">
        <v>134.44921875</v>
      </c>
      <c r="H1041">
        <v>242311300</v>
      </c>
      <c r="I1041" t="s">
        <v>3153</v>
      </c>
      <c r="J1041" t="s">
        <v>3154</v>
      </c>
      <c r="K1041" t="s">
        <v>37</v>
      </c>
    </row>
    <row r="1042" spans="1:11" ht="20" customHeight="1">
      <c r="A1042" t="s">
        <v>22</v>
      </c>
      <c r="B1042" t="s">
        <v>3155</v>
      </c>
      <c r="C1042">
        <v>134.0099945068359</v>
      </c>
      <c r="D1042">
        <v>135.7799987792969</v>
      </c>
      <c r="E1042">
        <v>133.6600036621094</v>
      </c>
      <c r="F1042">
        <v>134.8000030517578</v>
      </c>
      <c r="G1042">
        <v>134.4392547607422</v>
      </c>
      <c r="H1042">
        <v>170209500</v>
      </c>
      <c r="I1042" t="s">
        <v>3156</v>
      </c>
      <c r="J1042" t="s">
        <v>3157</v>
      </c>
      <c r="K1042" t="s">
        <v>37</v>
      </c>
    </row>
    <row r="1043" spans="1:11" ht="20" customHeight="1">
      <c r="A1043" t="s">
        <v>22</v>
      </c>
      <c r="B1043" t="s">
        <v>3158</v>
      </c>
      <c r="C1043">
        <v>136.4700012207031</v>
      </c>
      <c r="D1043">
        <v>139.6000061035156</v>
      </c>
      <c r="E1043">
        <v>136.3000030517578</v>
      </c>
      <c r="F1043">
        <v>138.0700073242188</v>
      </c>
      <c r="G1043">
        <v>137.7005310058594</v>
      </c>
      <c r="H1043">
        <v>232347700</v>
      </c>
      <c r="I1043" t="s">
        <v>3159</v>
      </c>
      <c r="J1043" t="s">
        <v>3160</v>
      </c>
      <c r="K1043" t="s">
        <v>37</v>
      </c>
    </row>
    <row r="1044" spans="1:11" ht="20" customHeight="1">
      <c r="A1044" t="s">
        <v>22</v>
      </c>
      <c r="B1044" t="s">
        <v>3161</v>
      </c>
      <c r="C1044">
        <v>137.8699951171875</v>
      </c>
      <c r="D1044">
        <v>138.5700073242188</v>
      </c>
      <c r="E1044">
        <v>128.7400054931641</v>
      </c>
      <c r="F1044">
        <v>131.6000061035156</v>
      </c>
      <c r="G1044">
        <v>131.2478332519531</v>
      </c>
      <c r="H1044">
        <v>377831000</v>
      </c>
      <c r="I1044" t="s">
        <v>3162</v>
      </c>
      <c r="J1044" t="s">
        <v>3163</v>
      </c>
      <c r="K1044" t="s">
        <v>37</v>
      </c>
    </row>
    <row r="1045" spans="1:11" ht="20" customHeight="1">
      <c r="A1045" t="s">
        <v>22</v>
      </c>
      <c r="B1045" t="s">
        <v>3164</v>
      </c>
      <c r="C1045">
        <v>133.9799957275391</v>
      </c>
      <c r="D1045">
        <v>136.6199951171875</v>
      </c>
      <c r="E1045">
        <v>131.5800018310547</v>
      </c>
      <c r="F1045">
        <v>135.7200012207031</v>
      </c>
      <c r="G1045">
        <v>135.3568115234375</v>
      </c>
      <c r="H1045">
        <v>264879700</v>
      </c>
      <c r="I1045" t="s">
        <v>3165</v>
      </c>
      <c r="J1045" t="s">
        <v>3166</v>
      </c>
      <c r="K1045" t="s">
        <v>37</v>
      </c>
    </row>
    <row r="1046" spans="1:11" ht="20" customHeight="1">
      <c r="A1046" t="s">
        <v>22</v>
      </c>
      <c r="B1046" t="s">
        <v>3167</v>
      </c>
      <c r="C1046">
        <v>139.3399963378906</v>
      </c>
      <c r="D1046">
        <v>140.8899993896484</v>
      </c>
      <c r="E1046">
        <v>136.8699951171875</v>
      </c>
      <c r="F1046">
        <v>136.9299926757812</v>
      </c>
      <c r="G1046">
        <v>136.5635681152344</v>
      </c>
      <c r="H1046">
        <v>306435900</v>
      </c>
      <c r="I1046" t="s">
        <v>3168</v>
      </c>
      <c r="J1046" t="s">
        <v>3169</v>
      </c>
      <c r="K1046" t="s">
        <v>37</v>
      </c>
    </row>
    <row r="1047" spans="1:11" ht="20" customHeight="1">
      <c r="A1047" t="s">
        <v>22</v>
      </c>
      <c r="B1047" t="s">
        <v>3170</v>
      </c>
      <c r="C1047">
        <v>138.6699981689453</v>
      </c>
      <c r="D1047">
        <v>138.8999938964844</v>
      </c>
      <c r="E1047">
        <v>137.2799987792969</v>
      </c>
      <c r="F1047">
        <v>138</v>
      </c>
      <c r="G1047">
        <v>137.6307220458984</v>
      </c>
      <c r="H1047">
        <v>176090200</v>
      </c>
      <c r="I1047" t="s">
        <v>3171</v>
      </c>
      <c r="J1047" t="s">
        <v>3172</v>
      </c>
      <c r="K1047" t="s">
        <v>37</v>
      </c>
    </row>
    <row r="1048" spans="1:11" ht="20" customHeight="1">
      <c r="A1048" t="s">
        <v>22</v>
      </c>
      <c r="B1048" t="s">
        <v>3173</v>
      </c>
      <c r="C1048">
        <v>138.1300048828125</v>
      </c>
      <c r="D1048">
        <v>143.7100067138672</v>
      </c>
      <c r="E1048">
        <v>138</v>
      </c>
      <c r="F1048">
        <v>143.7100067138672</v>
      </c>
      <c r="G1048">
        <v>143.325439453125</v>
      </c>
      <c r="H1048">
        <v>264554500</v>
      </c>
      <c r="I1048" t="s">
        <v>3174</v>
      </c>
      <c r="J1048" t="s">
        <v>3175</v>
      </c>
      <c r="K1048" t="s">
        <v>37</v>
      </c>
    </row>
    <row r="1049" spans="1:11" ht="20" customHeight="1">
      <c r="A1049" t="s">
        <v>22</v>
      </c>
      <c r="B1049" t="s">
        <v>3176</v>
      </c>
      <c r="C1049">
        <v>142.9100036621094</v>
      </c>
      <c r="D1049">
        <v>144.4199981689453</v>
      </c>
      <c r="E1049">
        <v>141.7799987792969</v>
      </c>
      <c r="F1049">
        <v>143.5899963378906</v>
      </c>
      <c r="G1049">
        <v>143.2057342529297</v>
      </c>
      <c r="H1049">
        <v>226311600</v>
      </c>
      <c r="I1049" t="s">
        <v>3177</v>
      </c>
      <c r="J1049" t="s">
        <v>3178</v>
      </c>
      <c r="K1049" t="s">
        <v>37</v>
      </c>
    </row>
    <row r="1050" spans="1:11" ht="20" customHeight="1">
      <c r="A1050" t="s">
        <v>22</v>
      </c>
      <c r="B1050" t="s">
        <v>3179</v>
      </c>
      <c r="C1050">
        <v>142.0299987792969</v>
      </c>
      <c r="D1050">
        <v>142.4299926757812</v>
      </c>
      <c r="E1050">
        <v>137.4600067138672</v>
      </c>
      <c r="F1050">
        <v>139.5599975585938</v>
      </c>
      <c r="G1050">
        <v>139.1865234375</v>
      </c>
      <c r="H1050">
        <v>285930000</v>
      </c>
      <c r="I1050" t="s">
        <v>3180</v>
      </c>
      <c r="J1050" t="s">
        <v>3181</v>
      </c>
      <c r="K1050" t="s">
        <v>37</v>
      </c>
    </row>
    <row r="1051" spans="1:11" ht="20" customHeight="1">
      <c r="A1051" t="s">
        <v>22</v>
      </c>
      <c r="B1051" t="s">
        <v>3182</v>
      </c>
      <c r="C1051">
        <v>140.8200073242188</v>
      </c>
      <c r="D1051">
        <v>141.3500061035156</v>
      </c>
      <c r="E1051">
        <v>138.4600067138672</v>
      </c>
      <c r="F1051">
        <v>140.4100036621094</v>
      </c>
      <c r="G1051">
        <v>140.0342559814453</v>
      </c>
      <c r="H1051">
        <v>172354900</v>
      </c>
      <c r="I1051" t="s">
        <v>3183</v>
      </c>
      <c r="J1051" t="s">
        <v>3184</v>
      </c>
      <c r="K1051" t="s">
        <v>37</v>
      </c>
    </row>
    <row r="1052" spans="1:11" ht="20" customHeight="1">
      <c r="A1052" t="s">
        <v>22</v>
      </c>
      <c r="B1052" t="s">
        <v>3185</v>
      </c>
      <c r="C1052">
        <v>140.9299926757812</v>
      </c>
      <c r="D1052">
        <v>144.1300048828125</v>
      </c>
      <c r="E1052">
        <v>140.8000030517578</v>
      </c>
      <c r="F1052">
        <v>141.5399932861328</v>
      </c>
      <c r="G1052">
        <v>141.1612243652344</v>
      </c>
      <c r="H1052">
        <v>205122100</v>
      </c>
      <c r="I1052" t="s">
        <v>3186</v>
      </c>
      <c r="J1052" t="s">
        <v>3187</v>
      </c>
      <c r="K1052" t="s">
        <v>37</v>
      </c>
    </row>
    <row r="1053" spans="1:11" ht="20" customHeight="1">
      <c r="A1053" t="s">
        <v>22</v>
      </c>
      <c r="B1053" t="s">
        <v>3188</v>
      </c>
      <c r="C1053">
        <v>143</v>
      </c>
      <c r="D1053">
        <v>143.1399993896484</v>
      </c>
      <c r="E1053">
        <v>140.0500030517578</v>
      </c>
      <c r="F1053">
        <v>140.5200042724609</v>
      </c>
      <c r="G1053">
        <v>140.1439514160156</v>
      </c>
      <c r="H1053">
        <v>173586700</v>
      </c>
      <c r="I1053" t="s">
        <v>3189</v>
      </c>
      <c r="J1053" t="s">
        <v>3190</v>
      </c>
      <c r="K1053" t="s">
        <v>37</v>
      </c>
    </row>
    <row r="1054" spans="1:11" ht="20" customHeight="1">
      <c r="A1054" t="s">
        <v>22</v>
      </c>
      <c r="B1054" t="s">
        <v>3191</v>
      </c>
      <c r="C1054">
        <v>140.2899932861328</v>
      </c>
      <c r="D1054">
        <v>142.2599945068359</v>
      </c>
      <c r="E1054">
        <v>138.8999938964844</v>
      </c>
      <c r="F1054">
        <v>141.25</v>
      </c>
      <c r="G1054">
        <v>140.8720092773438</v>
      </c>
      <c r="H1054">
        <v>157593600</v>
      </c>
      <c r="I1054" t="s">
        <v>3192</v>
      </c>
      <c r="J1054" t="s">
        <v>3193</v>
      </c>
      <c r="K1054" t="s">
        <v>37</v>
      </c>
    </row>
    <row r="1055" spans="1:11" ht="20" customHeight="1">
      <c r="A1055" t="s">
        <v>22</v>
      </c>
      <c r="B1055" t="s">
        <v>3194</v>
      </c>
      <c r="C1055">
        <v>139.5399932861328</v>
      </c>
      <c r="D1055">
        <v>140.3300018310547</v>
      </c>
      <c r="E1055">
        <v>136.8099975585938</v>
      </c>
      <c r="F1055">
        <v>139.3399963378906</v>
      </c>
      <c r="G1055">
        <v>138.9671325683594</v>
      </c>
      <c r="H1055">
        <v>179418100</v>
      </c>
      <c r="I1055" t="s">
        <v>3195</v>
      </c>
      <c r="J1055" t="s">
        <v>3196</v>
      </c>
      <c r="K1055" t="s">
        <v>37</v>
      </c>
    </row>
    <row r="1056" spans="1:11" ht="20" customHeight="1">
      <c r="A1056" t="s">
        <v>22</v>
      </c>
      <c r="B1056" t="s">
        <v>3197</v>
      </c>
      <c r="C1056">
        <v>137.6000061035156</v>
      </c>
      <c r="D1056">
        <v>137.6100006103516</v>
      </c>
      <c r="E1056">
        <v>132.1100006103516</v>
      </c>
      <c r="F1056">
        <v>132.7599945068359</v>
      </c>
      <c r="G1056">
        <v>132.4047393798828</v>
      </c>
      <c r="H1056">
        <v>270039600</v>
      </c>
      <c r="I1056" t="s">
        <v>3198</v>
      </c>
      <c r="J1056" t="s">
        <v>3199</v>
      </c>
      <c r="K1056" t="s">
        <v>37</v>
      </c>
    </row>
    <row r="1057" spans="1:11" ht="20" customHeight="1">
      <c r="A1057" t="s">
        <v>22</v>
      </c>
      <c r="B1057" t="s">
        <v>3200</v>
      </c>
      <c r="C1057">
        <v>134.6999969482422</v>
      </c>
      <c r="D1057">
        <v>137.3099975585938</v>
      </c>
      <c r="E1057">
        <v>134.5700073242188</v>
      </c>
      <c r="F1057">
        <v>135.3999938964844</v>
      </c>
      <c r="G1057">
        <v>135.0376586914062</v>
      </c>
      <c r="H1057">
        <v>207127800</v>
      </c>
      <c r="I1057" t="s">
        <v>3201</v>
      </c>
      <c r="J1057" t="s">
        <v>3202</v>
      </c>
      <c r="K1057" t="s">
        <v>37</v>
      </c>
    </row>
    <row r="1058" spans="1:11" ht="20" customHeight="1">
      <c r="A1058" t="s">
        <v>22</v>
      </c>
      <c r="B1058" t="s">
        <v>3203</v>
      </c>
      <c r="C1058">
        <v>137.2100067138672</v>
      </c>
      <c r="D1058">
        <v>138.9600067138672</v>
      </c>
      <c r="E1058">
        <v>135.5700073242188</v>
      </c>
      <c r="F1058">
        <v>136.0500030517578</v>
      </c>
      <c r="G1058">
        <v>135.6859436035156</v>
      </c>
      <c r="H1058">
        <v>187528200</v>
      </c>
      <c r="I1058" t="s">
        <v>3204</v>
      </c>
      <c r="J1058" t="s">
        <v>3205</v>
      </c>
      <c r="K1058" t="s">
        <v>37</v>
      </c>
    </row>
    <row r="1059" spans="1:11" ht="20" customHeight="1">
      <c r="A1059" t="s">
        <v>22</v>
      </c>
      <c r="B1059" t="s">
        <v>3206</v>
      </c>
      <c r="C1059">
        <v>137.4499969482422</v>
      </c>
      <c r="D1059">
        <v>140.3699951171875</v>
      </c>
      <c r="E1059">
        <v>137.3300018310547</v>
      </c>
      <c r="F1059">
        <v>139.9100036621094</v>
      </c>
      <c r="G1059">
        <v>139.5355987548828</v>
      </c>
      <c r="H1059">
        <v>160537400</v>
      </c>
      <c r="I1059" t="s">
        <v>3207</v>
      </c>
      <c r="J1059" t="s">
        <v>3208</v>
      </c>
      <c r="K1059" t="s">
        <v>37</v>
      </c>
    </row>
    <row r="1060" spans="1:11" ht="20" customHeight="1">
      <c r="A1060" t="s">
        <v>22</v>
      </c>
      <c r="B1060" t="s">
        <v>3209</v>
      </c>
      <c r="C1060">
        <v>142.9600067138672</v>
      </c>
      <c r="D1060">
        <v>146.4900054931641</v>
      </c>
      <c r="E1060">
        <v>141.9600067138672</v>
      </c>
      <c r="F1060">
        <v>145.6100006103516</v>
      </c>
      <c r="G1060">
        <v>145.2203369140625</v>
      </c>
      <c r="H1060">
        <v>242043900</v>
      </c>
      <c r="I1060" t="s">
        <v>3210</v>
      </c>
      <c r="J1060" t="s">
        <v>3211</v>
      </c>
      <c r="K1060" t="s">
        <v>37</v>
      </c>
    </row>
    <row r="1061" spans="1:11" ht="20" customHeight="1">
      <c r="A1061" t="s">
        <v>22</v>
      </c>
      <c r="B1061" t="s">
        <v>3212</v>
      </c>
      <c r="C1061">
        <v>146.3899993896484</v>
      </c>
      <c r="D1061">
        <v>148.9299926757812</v>
      </c>
      <c r="E1061">
        <v>146.1699981689453</v>
      </c>
      <c r="F1061">
        <v>148.8800048828125</v>
      </c>
      <c r="G1061">
        <v>148.4815979003906</v>
      </c>
      <c r="H1061">
        <v>207323300</v>
      </c>
      <c r="I1061" t="s">
        <v>3213</v>
      </c>
      <c r="J1061" t="s">
        <v>3214</v>
      </c>
      <c r="K1061" t="s">
        <v>37</v>
      </c>
    </row>
    <row r="1062" spans="1:11" ht="20" customHeight="1">
      <c r="A1062" t="s">
        <v>22</v>
      </c>
      <c r="B1062" t="s">
        <v>3215</v>
      </c>
      <c r="C1062">
        <v>148.7700042724609</v>
      </c>
      <c r="D1062">
        <v>149.7700042724609</v>
      </c>
      <c r="E1062">
        <v>146.2599945068359</v>
      </c>
      <c r="F1062">
        <v>147.6300048828125</v>
      </c>
      <c r="G1062">
        <v>147.2349090576172</v>
      </c>
      <c r="H1062">
        <v>175665800</v>
      </c>
      <c r="I1062" t="s">
        <v>3216</v>
      </c>
      <c r="J1062" t="s">
        <v>3217</v>
      </c>
      <c r="K1062" t="s">
        <v>37</v>
      </c>
    </row>
    <row r="1063" spans="1:11" ht="20" customHeight="1">
      <c r="A1063" t="s">
        <v>22</v>
      </c>
      <c r="B1063" t="s">
        <v>3218</v>
      </c>
      <c r="C1063">
        <v>148.6799926757812</v>
      </c>
      <c r="D1063">
        <v>148.8500061035156</v>
      </c>
      <c r="E1063">
        <v>143.5700073242188</v>
      </c>
      <c r="F1063">
        <v>145.2599945068359</v>
      </c>
      <c r="G1063">
        <v>144.8712768554688</v>
      </c>
      <c r="H1063">
        <v>182325600</v>
      </c>
      <c r="I1063" t="s">
        <v>3219</v>
      </c>
      <c r="J1063" t="s">
        <v>3220</v>
      </c>
      <c r="K1063" t="s">
        <v>37</v>
      </c>
    </row>
    <row r="1064" spans="1:11" ht="20" customHeight="1">
      <c r="A1064" t="s">
        <v>22</v>
      </c>
      <c r="B1064" t="s">
        <v>3221</v>
      </c>
      <c r="C1064">
        <v>146.7799987792969</v>
      </c>
      <c r="D1064">
        <v>149.6499938964844</v>
      </c>
      <c r="E1064">
        <v>146.0099945068359</v>
      </c>
      <c r="F1064">
        <v>148.2899932861328</v>
      </c>
      <c r="G1064">
        <v>147.8931579589844</v>
      </c>
      <c r="H1064">
        <v>198634700</v>
      </c>
      <c r="I1064" t="s">
        <v>3222</v>
      </c>
      <c r="J1064" t="s">
        <v>3223</v>
      </c>
      <c r="K1064" t="s">
        <v>37</v>
      </c>
    </row>
    <row r="1065" spans="1:11" ht="20" customHeight="1">
      <c r="A1065" t="s">
        <v>22</v>
      </c>
      <c r="B1065" t="s">
        <v>3224</v>
      </c>
      <c r="C1065">
        <v>149.0700073242188</v>
      </c>
      <c r="D1065">
        <v>149.3300018310547</v>
      </c>
      <c r="E1065">
        <v>145.8999938964844</v>
      </c>
      <c r="F1065">
        <v>146.2700042724609</v>
      </c>
      <c r="G1065">
        <v>145.8785705566406</v>
      </c>
      <c r="H1065">
        <v>191903300</v>
      </c>
      <c r="I1065" t="s">
        <v>3225</v>
      </c>
      <c r="J1065" t="s">
        <v>3226</v>
      </c>
      <c r="K1065" t="s">
        <v>37</v>
      </c>
    </row>
    <row r="1066" spans="1:11" ht="20" customHeight="1">
      <c r="A1066" t="s">
        <v>22</v>
      </c>
      <c r="B1066" t="s">
        <v>3227</v>
      </c>
      <c r="C1066">
        <v>147.6399993896484</v>
      </c>
      <c r="D1066">
        <v>149</v>
      </c>
      <c r="E1066">
        <v>145.5500030517578</v>
      </c>
      <c r="F1066">
        <v>146.7599945068359</v>
      </c>
      <c r="G1066">
        <v>146.3672485351562</v>
      </c>
      <c r="H1066">
        <v>194463300</v>
      </c>
      <c r="I1066" t="s">
        <v>3228</v>
      </c>
      <c r="J1066" t="s">
        <v>3229</v>
      </c>
      <c r="K1066" t="s">
        <v>37</v>
      </c>
    </row>
    <row r="1067" spans="1:11" ht="20" customHeight="1">
      <c r="A1067" t="s">
        <v>22</v>
      </c>
      <c r="B1067" t="s">
        <v>3230</v>
      </c>
      <c r="C1067">
        <v>144.8699951171875</v>
      </c>
      <c r="D1067">
        <v>145.2400054931641</v>
      </c>
      <c r="E1067">
        <v>140.0800018310547</v>
      </c>
      <c r="F1067">
        <v>141.9799957275391</v>
      </c>
      <c r="G1067">
        <v>141.6000366210938</v>
      </c>
      <c r="H1067">
        <v>250132900</v>
      </c>
      <c r="I1067" t="s">
        <v>3231</v>
      </c>
      <c r="J1067" t="s">
        <v>3232</v>
      </c>
      <c r="K1067" t="s">
        <v>37</v>
      </c>
    </row>
    <row r="1068" spans="1:11" ht="20" customHeight="1">
      <c r="A1068" t="s">
        <v>22</v>
      </c>
      <c r="B1068" t="s">
        <v>3233</v>
      </c>
      <c r="C1068">
        <v>139.5</v>
      </c>
      <c r="D1068">
        <v>141.5500030517578</v>
      </c>
      <c r="E1068">
        <v>137.1499938964844</v>
      </c>
      <c r="F1068">
        <v>140.1499938964844</v>
      </c>
      <c r="G1068">
        <v>139.7749328613281</v>
      </c>
      <c r="H1068">
        <v>221205300</v>
      </c>
      <c r="I1068" t="s">
        <v>3234</v>
      </c>
      <c r="J1068" t="s">
        <v>3235</v>
      </c>
      <c r="K1068" t="s">
        <v>37</v>
      </c>
    </row>
    <row r="1069" spans="1:11" ht="20" customHeight="1">
      <c r="A1069" t="s">
        <v>22</v>
      </c>
      <c r="B1069" t="s">
        <v>3236</v>
      </c>
      <c r="C1069">
        <v>141.3200073242188</v>
      </c>
      <c r="D1069">
        <v>147.1300048828125</v>
      </c>
      <c r="E1069">
        <v>140.9900054931641</v>
      </c>
      <c r="F1069">
        <v>147.0099945068359</v>
      </c>
      <c r="G1069">
        <v>146.6165771484375</v>
      </c>
      <c r="H1069">
        <v>227834900</v>
      </c>
      <c r="I1069" t="s">
        <v>3237</v>
      </c>
      <c r="J1069" t="s">
        <v>3238</v>
      </c>
      <c r="K1069" t="s">
        <v>37</v>
      </c>
    </row>
    <row r="1070" spans="1:11" ht="20" customHeight="1">
      <c r="A1070" t="s">
        <v>22</v>
      </c>
      <c r="B1070" t="s">
        <v>3239</v>
      </c>
      <c r="C1070">
        <v>147.4100036621094</v>
      </c>
      <c r="D1070">
        <v>147.5599975585938</v>
      </c>
      <c r="E1070">
        <v>142.7299957275391</v>
      </c>
      <c r="F1070">
        <v>145.8899993896484</v>
      </c>
      <c r="G1070">
        <v>145.4996032714844</v>
      </c>
      <c r="H1070">
        <v>309871700</v>
      </c>
      <c r="I1070" t="s">
        <v>3240</v>
      </c>
      <c r="J1070" t="s">
        <v>3241</v>
      </c>
      <c r="K1070" t="s">
        <v>37</v>
      </c>
    </row>
    <row r="1071" spans="1:11" ht="20" customHeight="1">
      <c r="A1071" t="s">
        <v>22</v>
      </c>
      <c r="B1071" t="s">
        <v>3242</v>
      </c>
      <c r="C1071">
        <v>149.3500061035156</v>
      </c>
      <c r="D1071">
        <v>152.8899993896484</v>
      </c>
      <c r="E1071">
        <v>140.6999969482422</v>
      </c>
      <c r="F1071">
        <v>146.6699981689453</v>
      </c>
      <c r="G1071">
        <v>146.2774963378906</v>
      </c>
      <c r="H1071">
        <v>400946600</v>
      </c>
      <c r="I1071" t="s">
        <v>3243</v>
      </c>
      <c r="J1071" t="s">
        <v>3244</v>
      </c>
      <c r="K1071" t="s">
        <v>37</v>
      </c>
    </row>
    <row r="1072" spans="1:11" ht="20" customHeight="1">
      <c r="A1072" t="s">
        <v>22</v>
      </c>
      <c r="B1072" t="s">
        <v>3245</v>
      </c>
      <c r="C1072">
        <v>145.9299926757812</v>
      </c>
      <c r="D1072">
        <v>147.1600036621094</v>
      </c>
      <c r="E1072">
        <v>141.1000061035156</v>
      </c>
      <c r="F1072">
        <v>141.9499969482422</v>
      </c>
      <c r="G1072">
        <v>141.5701293945312</v>
      </c>
      <c r="H1072">
        <v>236406200</v>
      </c>
      <c r="I1072" t="s">
        <v>3246</v>
      </c>
      <c r="J1072" t="s">
        <v>3247</v>
      </c>
      <c r="K1072" t="s">
        <v>37</v>
      </c>
    </row>
    <row r="1073" spans="1:11" ht="20" customHeight="1">
      <c r="A1073" t="s">
        <v>22</v>
      </c>
      <c r="B1073" t="s">
        <v>3248</v>
      </c>
      <c r="C1073">
        <v>141.9900054931641</v>
      </c>
      <c r="D1073">
        <v>142.0500030517578</v>
      </c>
      <c r="E1073">
        <v>135.8200073242188</v>
      </c>
      <c r="F1073">
        <v>136.0200042724609</v>
      </c>
      <c r="G1073">
        <v>135.6560211181641</v>
      </c>
      <c r="H1073">
        <v>344941900</v>
      </c>
      <c r="I1073" t="s">
        <v>3249</v>
      </c>
      <c r="J1073" t="s">
        <v>3250</v>
      </c>
      <c r="K1073" t="s">
        <v>37</v>
      </c>
    </row>
    <row r="1074" spans="1:11" ht="20" customHeight="1">
      <c r="A1074" t="s">
        <v>22</v>
      </c>
      <c r="B1074" t="s">
        <v>3251</v>
      </c>
      <c r="C1074">
        <v>137.6999969482422</v>
      </c>
      <c r="D1074">
        <v>139.3000030517578</v>
      </c>
      <c r="E1074">
        <v>135.6699981689453</v>
      </c>
      <c r="F1074">
        <v>136.9199981689453</v>
      </c>
      <c r="G1074">
        <v>136.5536041259766</v>
      </c>
      <c r="H1074">
        <v>190287700</v>
      </c>
      <c r="I1074" t="s">
        <v>3252</v>
      </c>
      <c r="J1074" t="s">
        <v>3253</v>
      </c>
      <c r="K1074" t="s">
        <v>37</v>
      </c>
    </row>
    <row r="1075" spans="1:11" ht="20" customHeight="1">
      <c r="A1075" t="s">
        <v>22</v>
      </c>
      <c r="B1075" t="s">
        <v>3254</v>
      </c>
      <c r="C1075">
        <v>135.0099945068359</v>
      </c>
      <c r="D1075">
        <v>137.2200012207031</v>
      </c>
      <c r="E1075">
        <v>131.8000030517578</v>
      </c>
      <c r="F1075">
        <v>135.3399963378906</v>
      </c>
      <c r="G1075">
        <v>134.9778137207031</v>
      </c>
      <c r="H1075">
        <v>226370900</v>
      </c>
      <c r="I1075" t="s">
        <v>3255</v>
      </c>
      <c r="J1075" t="s">
        <v>3256</v>
      </c>
      <c r="K1075" t="s">
        <v>37</v>
      </c>
    </row>
    <row r="1076" spans="1:11" ht="20" customHeight="1">
      <c r="A1076" t="s">
        <v>22</v>
      </c>
      <c r="B1076" t="s">
        <v>3257</v>
      </c>
      <c r="C1076">
        <v>136.7799987792969</v>
      </c>
      <c r="D1076">
        <v>139.3500061035156</v>
      </c>
      <c r="E1076">
        <v>136.0500030517578</v>
      </c>
      <c r="F1076">
        <v>138.25</v>
      </c>
      <c r="G1076">
        <v>137.8800506591797</v>
      </c>
      <c r="H1076">
        <v>141863200</v>
      </c>
      <c r="I1076" t="s">
        <v>3258</v>
      </c>
      <c r="J1076" t="s">
        <v>3259</v>
      </c>
      <c r="K1076" t="s">
        <v>37</v>
      </c>
    </row>
    <row r="1077" spans="1:11" ht="20" customHeight="1">
      <c r="A1077" t="s">
        <v>22</v>
      </c>
      <c r="B1077" t="s">
        <v>3260</v>
      </c>
      <c r="C1077">
        <v>138.8300018310547</v>
      </c>
      <c r="D1077">
        <v>140.4499969482422</v>
      </c>
      <c r="E1077">
        <v>137.8200073242188</v>
      </c>
      <c r="F1077">
        <v>138.6300048828125</v>
      </c>
      <c r="G1077">
        <v>138.2590179443359</v>
      </c>
      <c r="H1077">
        <v>171682800</v>
      </c>
      <c r="I1077" t="s">
        <v>3261</v>
      </c>
      <c r="J1077" t="s">
        <v>3262</v>
      </c>
      <c r="K1077" t="s">
        <v>37</v>
      </c>
    </row>
    <row r="1078" spans="1:11" ht="20" customHeight="1">
      <c r="A1078" t="s">
        <v>22</v>
      </c>
      <c r="B1078" t="s">
        <v>3263</v>
      </c>
      <c r="C1078">
        <v>138.2599945068359</v>
      </c>
      <c r="D1078">
        <v>140.5399932861328</v>
      </c>
      <c r="E1078">
        <v>137.9499969482422</v>
      </c>
      <c r="F1078">
        <v>140.2599945068359</v>
      </c>
      <c r="G1078">
        <v>139.8846740722656</v>
      </c>
      <c r="H1078">
        <v>164414000</v>
      </c>
      <c r="I1078" t="s">
        <v>3264</v>
      </c>
      <c r="J1078" t="s">
        <v>3265</v>
      </c>
      <c r="K1078" t="s">
        <v>37</v>
      </c>
    </row>
    <row r="1079" spans="1:11" ht="20" customHeight="1">
      <c r="A1079" t="s">
        <v>22</v>
      </c>
      <c r="B1079" t="s">
        <v>3266</v>
      </c>
      <c r="C1079">
        <v>142</v>
      </c>
      <c r="D1079">
        <v>145.7899932861328</v>
      </c>
      <c r="E1079">
        <v>140.2899932861328</v>
      </c>
      <c r="F1079">
        <v>145.1399993896484</v>
      </c>
      <c r="G1079">
        <v>144.7515869140625</v>
      </c>
      <c r="H1079">
        <v>231224300</v>
      </c>
      <c r="I1079" t="s">
        <v>3267</v>
      </c>
      <c r="J1079" t="s">
        <v>3268</v>
      </c>
      <c r="K1079" t="s">
        <v>37</v>
      </c>
    </row>
    <row r="1080" spans="1:11" ht="20" customHeight="1">
      <c r="A1080" t="s">
        <v>22</v>
      </c>
      <c r="B1080" t="s">
        <v>3269</v>
      </c>
      <c r="C1080">
        <v>145.1100006103516</v>
      </c>
      <c r="D1080">
        <v>146.5399932861328</v>
      </c>
      <c r="E1080">
        <v>143.9499969482422</v>
      </c>
      <c r="F1080">
        <v>145.0599975585938</v>
      </c>
      <c r="G1080">
        <v>144.6817779541016</v>
      </c>
      <c r="H1080">
        <v>172621200</v>
      </c>
      <c r="I1080" t="s">
        <v>3270</v>
      </c>
      <c r="J1080" t="s">
        <v>3271</v>
      </c>
      <c r="K1080" t="s">
        <v>37</v>
      </c>
    </row>
    <row r="1081" spans="1:11" ht="20" customHeight="1">
      <c r="A1081" t="s">
        <v>22</v>
      </c>
      <c r="B1081" t="s">
        <v>3272</v>
      </c>
      <c r="C1081">
        <v>144.6000061035156</v>
      </c>
      <c r="D1081">
        <v>145.6999969482422</v>
      </c>
      <c r="E1081">
        <v>141.3099975585938</v>
      </c>
      <c r="F1081">
        <v>142.4400024414062</v>
      </c>
      <c r="G1081">
        <v>142.0686340332031</v>
      </c>
      <c r="H1081">
        <v>188505600</v>
      </c>
      <c r="I1081" t="s">
        <v>3273</v>
      </c>
      <c r="J1081" t="s">
        <v>3274</v>
      </c>
      <c r="K1081" t="s">
        <v>37</v>
      </c>
    </row>
    <row r="1082" spans="1:11" ht="20" customHeight="1">
      <c r="A1082" t="s">
        <v>22</v>
      </c>
      <c r="B1082" t="s">
        <v>3275</v>
      </c>
      <c r="C1082">
        <v>138.9700012207031</v>
      </c>
      <c r="D1082">
        <v>139.9499969482422</v>
      </c>
      <c r="E1082">
        <v>137.1300048828125</v>
      </c>
      <c r="F1082">
        <v>138.8099975585938</v>
      </c>
      <c r="G1082">
        <v>138.4480895996094</v>
      </c>
      <c r="H1082">
        <v>189308600</v>
      </c>
      <c r="I1082" t="s">
        <v>3276</v>
      </c>
      <c r="J1082" t="s">
        <v>3277</v>
      </c>
      <c r="K1082" t="s">
        <v>37</v>
      </c>
    </row>
    <row r="1083" spans="1:11" ht="20" customHeight="1">
      <c r="A1083" t="s">
        <v>22</v>
      </c>
      <c r="B1083" t="s">
        <v>3278</v>
      </c>
      <c r="C1083">
        <v>139.0099945068359</v>
      </c>
      <c r="D1083">
        <v>141.8200073242188</v>
      </c>
      <c r="E1083">
        <v>133.7899932861328</v>
      </c>
      <c r="F1083">
        <v>135.0700073242188</v>
      </c>
      <c r="G1083">
        <v>134.7178192138672</v>
      </c>
      <c r="H1083">
        <v>210020900</v>
      </c>
      <c r="I1083" t="s">
        <v>3279</v>
      </c>
      <c r="J1083" t="s">
        <v>3280</v>
      </c>
      <c r="K1083" t="s">
        <v>37</v>
      </c>
    </row>
    <row r="1084" spans="1:11" ht="20" customHeight="1">
      <c r="A1084" t="s">
        <v>22</v>
      </c>
      <c r="B1084" t="s">
        <v>3281</v>
      </c>
      <c r="C1084">
        <v>137.3600006103516</v>
      </c>
      <c r="D1084">
        <v>140.1699981689453</v>
      </c>
      <c r="E1084">
        <v>135.2100067138672</v>
      </c>
      <c r="F1084">
        <v>139.3099975585938</v>
      </c>
      <c r="G1084">
        <v>138.9467620849609</v>
      </c>
      <c r="H1084">
        <v>184905200</v>
      </c>
      <c r="I1084" t="s">
        <v>3282</v>
      </c>
      <c r="J1084" t="s">
        <v>3283</v>
      </c>
      <c r="K1084" t="s">
        <v>37</v>
      </c>
    </row>
    <row r="1085" spans="1:11" ht="20" customHeight="1">
      <c r="A1085" t="s">
        <v>22</v>
      </c>
      <c r="B1085" t="s">
        <v>3284</v>
      </c>
      <c r="C1085">
        <v>137.0800018310547</v>
      </c>
      <c r="D1085">
        <v>138.4400024414062</v>
      </c>
      <c r="E1085">
        <v>135.8000030517578</v>
      </c>
      <c r="F1085">
        <v>137.3399963378906</v>
      </c>
      <c r="G1085">
        <v>136.9819030761719</v>
      </c>
      <c r="H1085">
        <v>159211400</v>
      </c>
      <c r="I1085" t="s">
        <v>3285</v>
      </c>
      <c r="J1085" t="s">
        <v>3286</v>
      </c>
      <c r="K1085" t="s">
        <v>37</v>
      </c>
    </row>
    <row r="1086" spans="1:11" ht="20" customHeight="1">
      <c r="A1086" t="s">
        <v>22</v>
      </c>
      <c r="B1086" t="s">
        <v>3287</v>
      </c>
      <c r="C1086">
        <v>138.9400024414062</v>
      </c>
      <c r="D1086">
        <v>139.6000061035156</v>
      </c>
      <c r="E1086">
        <v>132.5399932861328</v>
      </c>
      <c r="F1086">
        <v>134.25</v>
      </c>
      <c r="G1086">
        <v>133.8999633789062</v>
      </c>
      <c r="H1086">
        <v>231514900</v>
      </c>
      <c r="I1086" t="s">
        <v>3288</v>
      </c>
      <c r="J1086" t="s">
        <v>3289</v>
      </c>
      <c r="K1086" t="s">
        <v>37</v>
      </c>
    </row>
    <row r="1087" spans="1:11" ht="20" customHeight="1">
      <c r="A1087" t="s">
        <v>22</v>
      </c>
      <c r="B1087" t="s">
        <v>3290</v>
      </c>
      <c r="C1087">
        <v>134.1799926757812</v>
      </c>
      <c r="D1087">
        <v>134.3999938964844</v>
      </c>
      <c r="E1087">
        <v>130.4199981689453</v>
      </c>
      <c r="F1087">
        <v>132</v>
      </c>
      <c r="G1087">
        <v>131.6558380126953</v>
      </c>
      <c r="H1087">
        <v>237951100</v>
      </c>
      <c r="I1087" t="s">
        <v>3291</v>
      </c>
      <c r="J1087" t="s">
        <v>3292</v>
      </c>
      <c r="K1087" t="s">
        <v>37</v>
      </c>
    </row>
    <row r="1088" spans="1:11" ht="20" customHeight="1">
      <c r="A1088" t="s">
        <v>22</v>
      </c>
      <c r="B1088" t="s">
        <v>3293</v>
      </c>
      <c r="C1088">
        <v>129.0899963378906</v>
      </c>
      <c r="D1088">
        <v>131.5899963378906</v>
      </c>
      <c r="E1088">
        <v>126.8600006103516</v>
      </c>
      <c r="F1088">
        <v>130.3899993896484</v>
      </c>
      <c r="G1088">
        <v>130.0500183105469</v>
      </c>
      <c r="H1088">
        <v>259410300</v>
      </c>
      <c r="I1088" t="s">
        <v>3294</v>
      </c>
      <c r="J1088" t="s">
        <v>3295</v>
      </c>
      <c r="K1088" t="s">
        <v>37</v>
      </c>
    </row>
    <row r="1089" spans="1:11" ht="20" customHeight="1">
      <c r="A1089" t="s">
        <v>22</v>
      </c>
      <c r="B1089" t="s">
        <v>3296</v>
      </c>
      <c r="C1089">
        <v>133.8600006103516</v>
      </c>
      <c r="D1089">
        <v>136.6999969482422</v>
      </c>
      <c r="E1089">
        <v>128.2799987792969</v>
      </c>
      <c r="F1089">
        <v>128.9100036621094</v>
      </c>
      <c r="G1089">
        <v>128.5738983154297</v>
      </c>
      <c r="H1089">
        <v>277444500</v>
      </c>
      <c r="I1089" t="s">
        <v>3297</v>
      </c>
      <c r="J1089" t="s">
        <v>3298</v>
      </c>
      <c r="K1089" t="s">
        <v>37</v>
      </c>
    </row>
    <row r="1090" spans="1:11" ht="20" customHeight="1">
      <c r="A1090" t="s">
        <v>22</v>
      </c>
      <c r="B1090" t="s">
        <v>3299</v>
      </c>
      <c r="C1090">
        <v>131.7599945068359</v>
      </c>
      <c r="D1090">
        <v>134.0299987792969</v>
      </c>
      <c r="E1090">
        <v>129.5500030517578</v>
      </c>
      <c r="F1090">
        <v>130.6799926757812</v>
      </c>
      <c r="G1090">
        <v>130.3392486572266</v>
      </c>
      <c r="H1090">
        <v>209719200</v>
      </c>
      <c r="I1090" t="s">
        <v>3300</v>
      </c>
      <c r="J1090" t="s">
        <v>3301</v>
      </c>
      <c r="K1090" t="s">
        <v>37</v>
      </c>
    </row>
    <row r="1091" spans="1:11" ht="20" customHeight="1">
      <c r="A1091" t="s">
        <v>22</v>
      </c>
      <c r="B1091" t="s">
        <v>3302</v>
      </c>
      <c r="C1091">
        <v>129.8099975585938</v>
      </c>
      <c r="D1091">
        <v>135.2799987792969</v>
      </c>
      <c r="E1091">
        <v>128.2200012207031</v>
      </c>
      <c r="F1091">
        <v>134.6999969482422</v>
      </c>
      <c r="G1091">
        <v>134.3488006591797</v>
      </c>
      <c r="H1091">
        <v>306528600</v>
      </c>
      <c r="I1091" t="s">
        <v>3303</v>
      </c>
      <c r="J1091" t="s">
        <v>3304</v>
      </c>
      <c r="K1091" t="s">
        <v>37</v>
      </c>
    </row>
    <row r="1092" spans="1:11" ht="20" customHeight="1">
      <c r="A1092" t="s">
        <v>22</v>
      </c>
      <c r="B1092" t="s">
        <v>3305</v>
      </c>
      <c r="C1092">
        <v>136.2799987792969</v>
      </c>
      <c r="D1092">
        <v>139.7899932861328</v>
      </c>
      <c r="E1092">
        <v>135.1199951171875</v>
      </c>
      <c r="F1092">
        <v>139.6699981689453</v>
      </c>
      <c r="G1092">
        <v>139.3058319091797</v>
      </c>
      <c r="H1092">
        <v>176053500</v>
      </c>
      <c r="I1092" t="s">
        <v>3306</v>
      </c>
      <c r="J1092" t="s">
        <v>3307</v>
      </c>
      <c r="K1092" t="s">
        <v>37</v>
      </c>
    </row>
    <row r="1093" spans="1:11" ht="20" customHeight="1">
      <c r="A1093" t="s">
        <v>22</v>
      </c>
      <c r="B1093" t="s">
        <v>3308</v>
      </c>
      <c r="C1093">
        <v>140</v>
      </c>
      <c r="D1093">
        <v>141.8999938964844</v>
      </c>
      <c r="E1093">
        <v>138.6499938964844</v>
      </c>
      <c r="F1093">
        <v>140.2200012207031</v>
      </c>
      <c r="G1093">
        <v>139.8544006347656</v>
      </c>
      <c r="H1093">
        <v>105157000</v>
      </c>
      <c r="I1093" t="s">
        <v>3309</v>
      </c>
      <c r="J1093" t="s">
        <v>3310</v>
      </c>
      <c r="K1093" t="s">
        <v>37</v>
      </c>
    </row>
    <row r="1094" spans="1:11" ht="20" customHeight="1">
      <c r="A1094" t="s">
        <v>22</v>
      </c>
      <c r="B1094" t="s">
        <v>3311</v>
      </c>
      <c r="C1094">
        <v>139.6999969482422</v>
      </c>
      <c r="D1094">
        <v>140.8500061035156</v>
      </c>
      <c r="E1094">
        <v>137.7299957275391</v>
      </c>
      <c r="F1094">
        <v>139.9299926757812</v>
      </c>
      <c r="G1094">
        <v>139.5651702880859</v>
      </c>
      <c r="H1094">
        <v>116205600</v>
      </c>
      <c r="I1094" t="s">
        <v>3312</v>
      </c>
      <c r="J1094" t="s">
        <v>3313</v>
      </c>
      <c r="K1094" t="s">
        <v>37</v>
      </c>
    </row>
    <row r="1095" spans="1:11" ht="20" customHeight="1">
      <c r="A1095" t="s">
        <v>22</v>
      </c>
      <c r="B1095" t="s">
        <v>3314</v>
      </c>
      <c r="C1095">
        <v>138.5500030517578</v>
      </c>
      <c r="D1095">
        <v>139.0200042724609</v>
      </c>
      <c r="E1095">
        <v>134.7100067138672</v>
      </c>
      <c r="F1095">
        <v>137.0099945068359</v>
      </c>
      <c r="G1095">
        <v>136.6527557373047</v>
      </c>
      <c r="H1095">
        <v>170582600</v>
      </c>
      <c r="I1095" t="s">
        <v>3315</v>
      </c>
      <c r="J1095" t="s">
        <v>3316</v>
      </c>
      <c r="K1095" t="s">
        <v>37</v>
      </c>
    </row>
    <row r="1096" spans="1:11" ht="20" customHeight="1">
      <c r="A1096" t="s">
        <v>22</v>
      </c>
      <c r="B1096" t="s">
        <v>3317</v>
      </c>
      <c r="C1096">
        <v>134.8300018310547</v>
      </c>
      <c r="D1096">
        <v>140.2700042724609</v>
      </c>
      <c r="E1096">
        <v>134.0200042724609</v>
      </c>
      <c r="F1096">
        <v>137.4900054931641</v>
      </c>
      <c r="G1096">
        <v>137.1315155029297</v>
      </c>
      <c r="H1096">
        <v>167734700</v>
      </c>
      <c r="I1096" t="s">
        <v>3318</v>
      </c>
      <c r="J1096" t="s">
        <v>3319</v>
      </c>
      <c r="K1096" t="s">
        <v>37</v>
      </c>
    </row>
    <row r="1097" spans="1:11" ht="20" customHeight="1">
      <c r="A1097" t="s">
        <v>22</v>
      </c>
      <c r="B1097" t="s">
        <v>3320</v>
      </c>
      <c r="C1097">
        <v>138.0299987792969</v>
      </c>
      <c r="D1097">
        <v>138.0700073242188</v>
      </c>
      <c r="E1097">
        <v>133.8300018310547</v>
      </c>
      <c r="F1097">
        <v>134.2899932861328</v>
      </c>
      <c r="G1097">
        <v>133.9398651123047</v>
      </c>
      <c r="H1097">
        <v>155659200</v>
      </c>
      <c r="I1097" t="s">
        <v>3321</v>
      </c>
      <c r="J1097" t="s">
        <v>3322</v>
      </c>
      <c r="K1097" t="s">
        <v>37</v>
      </c>
    </row>
    <row r="1098" spans="1:11" ht="20" customHeight="1">
      <c r="A1098" t="s">
        <v>22</v>
      </c>
      <c r="B1098" t="s">
        <v>3323</v>
      </c>
      <c r="C1098">
        <v>136</v>
      </c>
      <c r="D1098">
        <v>138.8800048828125</v>
      </c>
      <c r="E1098">
        <v>134.6300048828125</v>
      </c>
      <c r="F1098">
        <v>138.3099975585938</v>
      </c>
      <c r="G1098">
        <v>137.9493713378906</v>
      </c>
      <c r="H1098">
        <v>198247200</v>
      </c>
      <c r="I1098" t="s">
        <v>3324</v>
      </c>
      <c r="J1098" t="s">
        <v>3325</v>
      </c>
      <c r="K1098" t="s">
        <v>37</v>
      </c>
    </row>
    <row r="1099" spans="1:11" ht="20" customHeight="1">
      <c r="A1099" t="s">
        <v>22</v>
      </c>
      <c r="B1099" t="s">
        <v>3326</v>
      </c>
      <c r="C1099">
        <v>140.0099945068359</v>
      </c>
      <c r="D1099">
        <v>144.8999938964844</v>
      </c>
      <c r="E1099">
        <v>139.7299957275391</v>
      </c>
      <c r="F1099">
        <v>144.4700012207031</v>
      </c>
      <c r="G1099">
        <v>144.0933074951172</v>
      </c>
      <c r="H1099">
        <v>229322500</v>
      </c>
      <c r="I1099" t="s">
        <v>3327</v>
      </c>
      <c r="J1099" t="s">
        <v>3328</v>
      </c>
      <c r="K1099" t="s">
        <v>37</v>
      </c>
    </row>
    <row r="1100" spans="1:11" ht="20" customHeight="1">
      <c r="A1100" t="s">
        <v>22</v>
      </c>
      <c r="B1100" t="s">
        <v>3329</v>
      </c>
      <c r="C1100">
        <v>148.5899963378906</v>
      </c>
      <c r="D1100">
        <v>152.1600036621094</v>
      </c>
      <c r="E1100">
        <v>147.8200073242188</v>
      </c>
      <c r="F1100">
        <v>149.4299926757812</v>
      </c>
      <c r="G1100">
        <v>149.0403747558594</v>
      </c>
      <c r="H1100">
        <v>265377400</v>
      </c>
      <c r="I1100" t="s">
        <v>3330</v>
      </c>
      <c r="J1100" t="s">
        <v>3331</v>
      </c>
      <c r="K1100" t="s">
        <v>37</v>
      </c>
    </row>
    <row r="1101" spans="1:11" ht="20" customHeight="1">
      <c r="A1101" t="s">
        <v>22</v>
      </c>
      <c r="B1101" t="s">
        <v>3332</v>
      </c>
      <c r="C1101">
        <v>153.0299987792969</v>
      </c>
      <c r="D1101">
        <v>153.1300048828125</v>
      </c>
      <c r="E1101">
        <v>140.0099945068359</v>
      </c>
      <c r="F1101">
        <v>140.1399993896484</v>
      </c>
      <c r="G1101">
        <v>139.7745971679688</v>
      </c>
      <c r="H1101">
        <v>351782200</v>
      </c>
      <c r="I1101" t="s">
        <v>3333</v>
      </c>
      <c r="J1101" t="s">
        <v>3334</v>
      </c>
      <c r="K1101" t="s">
        <v>37</v>
      </c>
    </row>
    <row r="1102" spans="1:11" ht="20" customHeight="1">
      <c r="A1102" t="s">
        <v>22</v>
      </c>
      <c r="B1102" t="s">
        <v>3335</v>
      </c>
      <c r="C1102">
        <v>142.5800018310547</v>
      </c>
      <c r="D1102">
        <v>143.9499969482422</v>
      </c>
      <c r="E1102">
        <v>137.5599975585938</v>
      </c>
      <c r="F1102">
        <v>140.1100006103516</v>
      </c>
      <c r="G1102">
        <v>139.7446746826172</v>
      </c>
      <c r="H1102">
        <v>227349900</v>
      </c>
      <c r="I1102" t="s">
        <v>3336</v>
      </c>
      <c r="J1102" t="s">
        <v>3337</v>
      </c>
      <c r="K1102" t="s">
        <v>37</v>
      </c>
    </row>
    <row r="1103" spans="1:11" ht="20" customHeight="1">
      <c r="A1103" t="s">
        <v>22</v>
      </c>
      <c r="B1103" t="s">
        <v>3338</v>
      </c>
      <c r="C1103">
        <v>137.4499969482422</v>
      </c>
      <c r="D1103">
        <v>139.9199981689453</v>
      </c>
      <c r="E1103">
        <v>134.2200012207031</v>
      </c>
      <c r="F1103">
        <v>135.9100036621094</v>
      </c>
      <c r="G1103">
        <v>135.5556182861328</v>
      </c>
      <c r="H1103">
        <v>207602500</v>
      </c>
      <c r="I1103" t="s">
        <v>3339</v>
      </c>
      <c r="J1103" t="s">
        <v>3340</v>
      </c>
      <c r="K1103" t="s">
        <v>37</v>
      </c>
    </row>
    <row r="1104" spans="1:11" ht="20" customHeight="1">
      <c r="A1104" t="s">
        <v>22</v>
      </c>
      <c r="B1104" t="s">
        <v>3341</v>
      </c>
      <c r="C1104">
        <v>129.9900054931641</v>
      </c>
      <c r="D1104">
        <v>133.4900054931641</v>
      </c>
      <c r="E1104">
        <v>129.5099945068359</v>
      </c>
      <c r="F1104">
        <v>133.2299957275391</v>
      </c>
      <c r="G1104">
        <v>132.8825988769531</v>
      </c>
      <c r="H1104">
        <v>204808900</v>
      </c>
      <c r="I1104" t="s">
        <v>3342</v>
      </c>
      <c r="J1104" t="s">
        <v>3343</v>
      </c>
      <c r="K1104" t="s">
        <v>37</v>
      </c>
    </row>
    <row r="1105" spans="1:11" ht="20" customHeight="1">
      <c r="A1105" t="s">
        <v>22</v>
      </c>
      <c r="B1105" t="s">
        <v>3344</v>
      </c>
      <c r="C1105">
        <v>136.0500030517578</v>
      </c>
      <c r="D1105">
        <v>136.3800048828125</v>
      </c>
      <c r="E1105">
        <v>130.0500030517578</v>
      </c>
      <c r="F1105">
        <v>131.7599945068359</v>
      </c>
      <c r="G1105">
        <v>131.4164581298828</v>
      </c>
      <c r="H1105">
        <v>195590500</v>
      </c>
      <c r="I1105" t="s">
        <v>3345</v>
      </c>
      <c r="J1105" t="s">
        <v>3346</v>
      </c>
      <c r="K1105" t="s">
        <v>37</v>
      </c>
    </row>
    <row r="1106" spans="1:11" ht="20" customHeight="1">
      <c r="A1106" t="s">
        <v>22</v>
      </c>
      <c r="B1106" t="s">
        <v>3347</v>
      </c>
      <c r="C1106">
        <v>133.6499938964844</v>
      </c>
      <c r="D1106">
        <v>136.4499969482422</v>
      </c>
      <c r="E1106">
        <v>131.2899932861328</v>
      </c>
      <c r="F1106">
        <v>136.2400054931641</v>
      </c>
      <c r="G1106">
        <v>135.8847808837891</v>
      </c>
      <c r="H1106">
        <v>185217300</v>
      </c>
      <c r="I1106" t="s">
        <v>3348</v>
      </c>
      <c r="J1106" t="s">
        <v>3349</v>
      </c>
      <c r="K1106" t="s">
        <v>37</v>
      </c>
    </row>
    <row r="1107" spans="1:11" ht="20" customHeight="1">
      <c r="A1107" t="s">
        <v>22</v>
      </c>
      <c r="B1107" t="s">
        <v>3350</v>
      </c>
      <c r="C1107">
        <v>138.6399993896484</v>
      </c>
      <c r="D1107">
        <v>138.75</v>
      </c>
      <c r="E1107">
        <v>133.4900054931641</v>
      </c>
      <c r="F1107">
        <v>133.5700073242188</v>
      </c>
      <c r="G1107">
        <v>133.2217559814453</v>
      </c>
      <c r="H1107">
        <v>209235600</v>
      </c>
      <c r="I1107" t="s">
        <v>3351</v>
      </c>
      <c r="J1107" t="s">
        <v>3352</v>
      </c>
      <c r="K1107" t="s">
        <v>37</v>
      </c>
    </row>
    <row r="1108" spans="1:11" ht="20" customHeight="1">
      <c r="A1108" t="s">
        <v>22</v>
      </c>
      <c r="B1108" t="s">
        <v>3353</v>
      </c>
      <c r="C1108">
        <v>136.6900024414062</v>
      </c>
      <c r="D1108">
        <v>138.5</v>
      </c>
      <c r="E1108">
        <v>135.4600067138672</v>
      </c>
      <c r="F1108">
        <v>137.7100067138672</v>
      </c>
      <c r="G1108">
        <v>137.3509521484375</v>
      </c>
      <c r="H1108">
        <v>201188800</v>
      </c>
      <c r="I1108" t="s">
        <v>3354</v>
      </c>
      <c r="J1108" t="s">
        <v>3355</v>
      </c>
      <c r="K1108" t="s">
        <v>37</v>
      </c>
    </row>
    <row r="1109" spans="1:11" ht="20" customHeight="1">
      <c r="A1109" t="s">
        <v>22</v>
      </c>
      <c r="B1109" t="s">
        <v>3356</v>
      </c>
      <c r="C1109">
        <v>139.1600036621094</v>
      </c>
      <c r="D1109">
        <v>141.8300018310547</v>
      </c>
      <c r="E1109">
        <v>137.0899963378906</v>
      </c>
      <c r="F1109">
        <v>140.8300018310547</v>
      </c>
      <c r="G1109">
        <v>140.4627990722656</v>
      </c>
      <c r="H1109">
        <v>197749000</v>
      </c>
      <c r="I1109" t="s">
        <v>3357</v>
      </c>
      <c r="J1109" t="s">
        <v>3358</v>
      </c>
      <c r="K1109" t="s">
        <v>37</v>
      </c>
    </row>
    <row r="1110" spans="1:11" ht="20" customHeight="1">
      <c r="A1110" t="s">
        <v>22</v>
      </c>
      <c r="B1110" t="s">
        <v>3359</v>
      </c>
      <c r="C1110">
        <v>144.6600036621094</v>
      </c>
      <c r="D1110">
        <v>147.7899932861328</v>
      </c>
      <c r="E1110">
        <v>143.6699981689453</v>
      </c>
      <c r="F1110">
        <v>147.0700073242188</v>
      </c>
      <c r="G1110">
        <v>146.6865539550781</v>
      </c>
      <c r="H1110">
        <v>237651400</v>
      </c>
      <c r="I1110" t="s">
        <v>3360</v>
      </c>
      <c r="J1110" t="s">
        <v>3361</v>
      </c>
      <c r="K1110" t="s">
        <v>37</v>
      </c>
    </row>
    <row r="1111" spans="1:11" ht="20" customHeight="1">
      <c r="A1111" t="s">
        <v>22</v>
      </c>
      <c r="B1111" t="s">
        <v>3362</v>
      </c>
      <c r="C1111">
        <v>145.0500030517578</v>
      </c>
      <c r="D1111">
        <v>147.2299957275391</v>
      </c>
      <c r="E1111">
        <v>143.7200012207031</v>
      </c>
      <c r="F1111">
        <v>147.2200012207031</v>
      </c>
      <c r="G1111">
        <v>146.8361663818359</v>
      </c>
      <c r="H1111">
        <v>155915500</v>
      </c>
      <c r="I1111" t="s">
        <v>3363</v>
      </c>
      <c r="J1111" t="s">
        <v>3364</v>
      </c>
      <c r="K1111" t="s">
        <v>37</v>
      </c>
    </row>
    <row r="1112" spans="1:11" ht="20" customHeight="1">
      <c r="A1112" t="s">
        <v>22</v>
      </c>
      <c r="B1112" t="s">
        <v>3365</v>
      </c>
      <c r="C1112">
        <v>148.3699951171875</v>
      </c>
      <c r="D1112">
        <v>148.9700012207031</v>
      </c>
      <c r="E1112">
        <v>141.8800048828125</v>
      </c>
      <c r="F1112">
        <v>142.6199951171875</v>
      </c>
      <c r="G1112">
        <v>142.2481536865234</v>
      </c>
      <c r="H1112">
        <v>234657600</v>
      </c>
      <c r="I1112" t="s">
        <v>3366</v>
      </c>
      <c r="J1112" t="s">
        <v>3367</v>
      </c>
      <c r="K1112" t="s">
        <v>37</v>
      </c>
    </row>
    <row r="1113" spans="1:11" ht="20" customHeight="1">
      <c r="A1113" t="s">
        <v>22</v>
      </c>
      <c r="B1113" t="s">
        <v>3368</v>
      </c>
      <c r="C1113">
        <v>124.8000030517578</v>
      </c>
      <c r="D1113">
        <v>128.3999938964844</v>
      </c>
      <c r="E1113">
        <v>116.6999969482422</v>
      </c>
      <c r="F1113">
        <v>118.4199981689453</v>
      </c>
      <c r="G1113">
        <v>118.1112365722656</v>
      </c>
      <c r="H1113">
        <v>818830900</v>
      </c>
      <c r="I1113" t="s">
        <v>3369</v>
      </c>
      <c r="J1113" t="s">
        <v>3370</v>
      </c>
      <c r="K1113" t="s">
        <v>37</v>
      </c>
    </row>
    <row r="1114" spans="1:11" ht="20" customHeight="1">
      <c r="A1114" t="s">
        <v>22</v>
      </c>
      <c r="B1114" t="s">
        <v>3371</v>
      </c>
      <c r="C1114">
        <v>121.8099975585938</v>
      </c>
      <c r="D1114">
        <v>129</v>
      </c>
      <c r="E1114">
        <v>116.25</v>
      </c>
      <c r="F1114">
        <v>128.9900054931641</v>
      </c>
      <c r="G1114">
        <v>128.6536865234375</v>
      </c>
      <c r="H1114">
        <v>579666400</v>
      </c>
      <c r="I1114" t="s">
        <v>3372</v>
      </c>
      <c r="J1114" t="s">
        <v>3373</v>
      </c>
      <c r="K1114" t="s">
        <v>37</v>
      </c>
    </row>
    <row r="1115" spans="1:11" ht="20" customHeight="1">
      <c r="A1115" t="s">
        <v>22</v>
      </c>
      <c r="B1115" t="s">
        <v>3374</v>
      </c>
      <c r="C1115">
        <v>126.5</v>
      </c>
      <c r="D1115">
        <v>126.8899993896484</v>
      </c>
      <c r="E1115">
        <v>120.0500030517578</v>
      </c>
      <c r="F1115">
        <v>123.6999969482422</v>
      </c>
      <c r="G1115">
        <v>123.3774871826172</v>
      </c>
      <c r="H1115">
        <v>467120600</v>
      </c>
      <c r="I1115" t="s">
        <v>3375</v>
      </c>
      <c r="J1115" t="s">
        <v>3376</v>
      </c>
      <c r="K1115" t="s">
        <v>37</v>
      </c>
    </row>
    <row r="1116" spans="1:11" ht="20" customHeight="1">
      <c r="A1116" t="s">
        <v>22</v>
      </c>
      <c r="B1116" t="s">
        <v>3377</v>
      </c>
      <c r="C1116">
        <v>123.0999984741211</v>
      </c>
      <c r="D1116">
        <v>125</v>
      </c>
      <c r="E1116">
        <v>118.0999984741211</v>
      </c>
      <c r="F1116">
        <v>124.6500015258789</v>
      </c>
      <c r="G1116">
        <v>124.3250045776367</v>
      </c>
      <c r="H1116">
        <v>392925500</v>
      </c>
      <c r="I1116" t="s">
        <v>3378</v>
      </c>
      <c r="J1116" t="s">
        <v>3379</v>
      </c>
      <c r="K1116" t="s">
        <v>37</v>
      </c>
    </row>
    <row r="1117" spans="1:11" ht="20" customHeight="1">
      <c r="A1117" t="s">
        <v>22</v>
      </c>
      <c r="B1117" t="s">
        <v>3380</v>
      </c>
      <c r="C1117">
        <v>123.7799987792969</v>
      </c>
      <c r="D1117">
        <v>127.8499984741211</v>
      </c>
      <c r="E1117">
        <v>119.1900024414062</v>
      </c>
      <c r="F1117">
        <v>120.0699996948242</v>
      </c>
      <c r="G1117">
        <v>119.7569427490234</v>
      </c>
      <c r="H1117">
        <v>388161100</v>
      </c>
      <c r="I1117" t="s">
        <v>3381</v>
      </c>
      <c r="J1117" t="s">
        <v>3382</v>
      </c>
      <c r="K1117" t="s">
        <v>37</v>
      </c>
    </row>
    <row r="1118" spans="1:11" ht="20" customHeight="1">
      <c r="A1118" t="s">
        <v>22</v>
      </c>
      <c r="B1118" t="s">
        <v>3383</v>
      </c>
      <c r="C1118">
        <v>114.75</v>
      </c>
      <c r="D1118">
        <v>118.5699996948242</v>
      </c>
      <c r="E1118">
        <v>113.0100021362305</v>
      </c>
      <c r="F1118">
        <v>116.6600036621094</v>
      </c>
      <c r="G1118">
        <v>116.355827331543</v>
      </c>
      <c r="H1118">
        <v>371235700</v>
      </c>
      <c r="I1118" t="s">
        <v>3384</v>
      </c>
      <c r="J1118" t="s">
        <v>3385</v>
      </c>
      <c r="K1118" t="s">
        <v>37</v>
      </c>
    </row>
    <row r="1119" spans="1:11" ht="20" customHeight="1">
      <c r="A1119" t="s">
        <v>22</v>
      </c>
      <c r="B1119" t="s">
        <v>3386</v>
      </c>
      <c r="C1119">
        <v>116.9599990844727</v>
      </c>
      <c r="D1119">
        <v>121.1999969482422</v>
      </c>
      <c r="E1119">
        <v>116.6999969482422</v>
      </c>
      <c r="F1119">
        <v>118.6500015258789</v>
      </c>
      <c r="G1119">
        <v>118.3406295776367</v>
      </c>
      <c r="H1119">
        <v>256550000</v>
      </c>
      <c r="I1119" t="s">
        <v>3387</v>
      </c>
      <c r="J1119" t="s">
        <v>3388</v>
      </c>
      <c r="K1119" t="s">
        <v>37</v>
      </c>
    </row>
    <row r="1120" spans="1:11" ht="20" customHeight="1">
      <c r="A1120" t="s">
        <v>22</v>
      </c>
      <c r="B1120" t="s">
        <v>3389</v>
      </c>
      <c r="C1120">
        <v>121.7600021362305</v>
      </c>
      <c r="D1120">
        <v>125</v>
      </c>
      <c r="E1120">
        <v>120.7600021362305</v>
      </c>
      <c r="F1120">
        <v>124.8300018310547</v>
      </c>
      <c r="G1120">
        <v>124.5045166015625</v>
      </c>
      <c r="H1120">
        <v>262230800</v>
      </c>
      <c r="I1120" t="s">
        <v>3390</v>
      </c>
      <c r="J1120" t="s">
        <v>3391</v>
      </c>
      <c r="K1120" t="s">
        <v>37</v>
      </c>
    </row>
    <row r="1121" spans="1:11" ht="20" customHeight="1">
      <c r="A1121" t="s">
        <v>22</v>
      </c>
      <c r="B1121" t="s">
        <v>3392</v>
      </c>
      <c r="C1121">
        <v>127.4199981689453</v>
      </c>
      <c r="D1121">
        <v>128.7700042724609</v>
      </c>
      <c r="E1121">
        <v>125.2099990844727</v>
      </c>
      <c r="F1121">
        <v>128.6799926757812</v>
      </c>
      <c r="G1121">
        <v>128.344482421875</v>
      </c>
      <c r="H1121">
        <v>251483600</v>
      </c>
      <c r="I1121" t="s">
        <v>3393</v>
      </c>
      <c r="J1121" t="s">
        <v>3394</v>
      </c>
      <c r="K1121" t="s">
        <v>37</v>
      </c>
    </row>
    <row r="1122" spans="1:11" ht="20" customHeight="1">
      <c r="A1122" t="s">
        <v>22</v>
      </c>
      <c r="B1122" t="s">
        <v>3395</v>
      </c>
      <c r="C1122">
        <v>129.2200012207031</v>
      </c>
      <c r="D1122">
        <v>130.3699951171875</v>
      </c>
      <c r="E1122">
        <v>125</v>
      </c>
      <c r="F1122">
        <v>129.8399963378906</v>
      </c>
      <c r="G1122">
        <v>129.5014495849609</v>
      </c>
      <c r="H1122">
        <v>228186300</v>
      </c>
      <c r="I1122" t="s">
        <v>3396</v>
      </c>
      <c r="J1122" t="s">
        <v>3397</v>
      </c>
      <c r="K1122" t="s">
        <v>37</v>
      </c>
    </row>
    <row r="1123" spans="1:11" ht="20" customHeight="1">
      <c r="A1123" t="s">
        <v>22</v>
      </c>
      <c r="B1123" t="s">
        <v>3398</v>
      </c>
      <c r="C1123">
        <v>130.0899963378906</v>
      </c>
      <c r="D1123">
        <v>135</v>
      </c>
      <c r="E1123">
        <v>129.9600067138672</v>
      </c>
      <c r="F1123">
        <v>133.5700073242188</v>
      </c>
      <c r="G1123">
        <v>133.2217559814453</v>
      </c>
      <c r="H1123">
        <v>216989100</v>
      </c>
      <c r="I1123" t="s">
        <v>3399</v>
      </c>
      <c r="J1123" t="s">
        <v>3400</v>
      </c>
      <c r="K1123" t="s">
        <v>37</v>
      </c>
    </row>
    <row r="1124" spans="1:11" ht="20" customHeight="1">
      <c r="A1124" t="s">
        <v>22</v>
      </c>
      <c r="B1124" t="s">
        <v>3401</v>
      </c>
      <c r="C1124">
        <v>132.5800018310547</v>
      </c>
      <c r="D1124">
        <v>134.4799957275391</v>
      </c>
      <c r="E1124">
        <v>131.0200042724609</v>
      </c>
      <c r="F1124">
        <v>132.8000030517578</v>
      </c>
      <c r="G1124">
        <v>132.4537506103516</v>
      </c>
      <c r="H1124">
        <v>178902400</v>
      </c>
      <c r="I1124" t="s">
        <v>3402</v>
      </c>
      <c r="J1124" t="s">
        <v>3403</v>
      </c>
      <c r="K1124" t="s">
        <v>37</v>
      </c>
    </row>
    <row r="1125" spans="1:11" ht="20" customHeight="1">
      <c r="A1125" t="s">
        <v>22</v>
      </c>
      <c r="B1125" t="s">
        <v>3404</v>
      </c>
      <c r="C1125">
        <v>130.0200042724609</v>
      </c>
      <c r="D1125">
        <v>132.2400054931641</v>
      </c>
      <c r="E1125">
        <v>129.0800018310547</v>
      </c>
      <c r="F1125">
        <v>131.1399993896484</v>
      </c>
      <c r="G1125">
        <v>130.798095703125</v>
      </c>
      <c r="H1125">
        <v>160278600</v>
      </c>
      <c r="I1125" t="s">
        <v>3405</v>
      </c>
      <c r="J1125" t="s">
        <v>3406</v>
      </c>
      <c r="K1125" t="s">
        <v>37</v>
      </c>
    </row>
    <row r="1126" spans="1:11" ht="20" customHeight="1">
      <c r="A1126" t="s">
        <v>22</v>
      </c>
      <c r="B1126" t="s">
        <v>3407</v>
      </c>
      <c r="C1126">
        <v>131.5599975585938</v>
      </c>
      <c r="D1126">
        <v>136.5</v>
      </c>
      <c r="E1126">
        <v>131.1699981689453</v>
      </c>
      <c r="F1126">
        <v>135.2899932861328</v>
      </c>
      <c r="G1126">
        <v>134.9372711181641</v>
      </c>
      <c r="H1126">
        <v>197430000</v>
      </c>
      <c r="I1126" t="s">
        <v>3408</v>
      </c>
      <c r="J1126" t="s">
        <v>3409</v>
      </c>
      <c r="K1126" t="s">
        <v>37</v>
      </c>
    </row>
    <row r="1127" spans="1:11" ht="20" customHeight="1">
      <c r="A1127" t="s">
        <v>22</v>
      </c>
      <c r="B1127" t="s">
        <v>3410</v>
      </c>
      <c r="C1127">
        <v>136.4799957275391</v>
      </c>
      <c r="D1127">
        <v>139.25</v>
      </c>
      <c r="E1127">
        <v>135.5</v>
      </c>
      <c r="F1127">
        <v>138.8500061035156</v>
      </c>
      <c r="G1127">
        <v>138.4879913330078</v>
      </c>
      <c r="H1127">
        <v>195479600</v>
      </c>
      <c r="I1127" t="s">
        <v>3411</v>
      </c>
      <c r="J1127" t="s">
        <v>3412</v>
      </c>
      <c r="K1127" t="s">
        <v>37</v>
      </c>
    </row>
    <row r="1128" spans="1:11" ht="20" customHeight="1">
      <c r="A1128" t="s">
        <v>22</v>
      </c>
      <c r="B1128" t="s">
        <v>3413</v>
      </c>
      <c r="C1128">
        <v>141.2700042724609</v>
      </c>
      <c r="D1128">
        <v>143.4400024414062</v>
      </c>
      <c r="E1128">
        <v>137.9299926757812</v>
      </c>
      <c r="F1128">
        <v>139.3999938964844</v>
      </c>
      <c r="G1128">
        <v>139.0365447998047</v>
      </c>
      <c r="H1128">
        <v>219176600</v>
      </c>
      <c r="I1128" t="s">
        <v>3414</v>
      </c>
      <c r="J1128" t="s">
        <v>3415</v>
      </c>
      <c r="K1128" t="s">
        <v>37</v>
      </c>
    </row>
    <row r="1129" spans="1:11" ht="20" customHeight="1">
      <c r="A1129" t="s">
        <v>22</v>
      </c>
      <c r="B1129" t="s">
        <v>3416</v>
      </c>
      <c r="C1129">
        <v>139.5099945068359</v>
      </c>
      <c r="D1129">
        <v>141.3600006103516</v>
      </c>
      <c r="E1129">
        <v>137.2200012207031</v>
      </c>
      <c r="F1129">
        <v>139.2299957275391</v>
      </c>
      <c r="G1129">
        <v>138.8669738769531</v>
      </c>
      <c r="H1129">
        <v>167536000</v>
      </c>
      <c r="I1129" t="s">
        <v>3417</v>
      </c>
      <c r="J1129" t="s">
        <v>3418</v>
      </c>
      <c r="K1129" t="s">
        <v>37</v>
      </c>
    </row>
    <row r="1130" spans="1:11" ht="20" customHeight="1">
      <c r="A1130" t="s">
        <v>22</v>
      </c>
      <c r="B1130" t="s">
        <v>3419</v>
      </c>
      <c r="C1130">
        <v>140.0299987792969</v>
      </c>
      <c r="D1130">
        <v>140.6600036621094</v>
      </c>
      <c r="E1130">
        <v>136.7899932861328</v>
      </c>
      <c r="F1130">
        <v>140.1100006103516</v>
      </c>
      <c r="G1130">
        <v>139.7446746826172</v>
      </c>
      <c r="H1130">
        <v>143903600</v>
      </c>
      <c r="I1130" t="s">
        <v>3420</v>
      </c>
      <c r="J1130" t="s">
        <v>3421</v>
      </c>
      <c r="K1130" t="s">
        <v>37</v>
      </c>
    </row>
    <row r="1131" spans="1:11" ht="20" customHeight="1">
      <c r="A1131" t="s">
        <v>22</v>
      </c>
      <c r="B1131" t="s">
        <v>3422</v>
      </c>
      <c r="C1131">
        <v>140.0399932861328</v>
      </c>
      <c r="D1131">
        <v>141.4600067138672</v>
      </c>
      <c r="E1131">
        <v>134.0299987792969</v>
      </c>
      <c r="F1131">
        <v>134.4299926757812</v>
      </c>
      <c r="G1131">
        <v>134.0794982910156</v>
      </c>
      <c r="H1131">
        <v>228217600</v>
      </c>
      <c r="I1131" t="s">
        <v>3423</v>
      </c>
      <c r="J1131" t="s">
        <v>3424</v>
      </c>
      <c r="K1131" t="s">
        <v>37</v>
      </c>
    </row>
    <row r="1132" spans="1:11" ht="20" customHeight="1">
      <c r="A1132" t="s">
        <v>22</v>
      </c>
      <c r="B1132" t="s">
        <v>3425</v>
      </c>
      <c r="C1132">
        <v>136.5599975585938</v>
      </c>
      <c r="D1132">
        <v>138.5899963378906</v>
      </c>
      <c r="E1132">
        <v>130.0800018310547</v>
      </c>
      <c r="F1132">
        <v>130.2799987792969</v>
      </c>
      <c r="G1132">
        <v>129.9403228759766</v>
      </c>
      <c r="H1132">
        <v>251381100</v>
      </c>
      <c r="I1132" t="s">
        <v>3426</v>
      </c>
      <c r="J1132" t="s">
        <v>3427</v>
      </c>
      <c r="K1132" t="s">
        <v>37</v>
      </c>
    </row>
    <row r="1133" spans="1:11" ht="20" customHeight="1">
      <c r="A1133" t="s">
        <v>22</v>
      </c>
      <c r="B1133" t="s">
        <v>3428</v>
      </c>
      <c r="C1133">
        <v>129.9799957275391</v>
      </c>
      <c r="D1133">
        <v>130.1999969482422</v>
      </c>
      <c r="E1133">
        <v>124.4400024414062</v>
      </c>
      <c r="F1133">
        <v>126.629997253418</v>
      </c>
      <c r="G1133">
        <v>126.2998275756836</v>
      </c>
      <c r="H1133">
        <v>271428700</v>
      </c>
      <c r="I1133" t="s">
        <v>3429</v>
      </c>
      <c r="J1133" t="s">
        <v>3430</v>
      </c>
      <c r="K1133" t="s">
        <v>37</v>
      </c>
    </row>
    <row r="1134" spans="1:11" ht="20" customHeight="1">
      <c r="A1134" t="s">
        <v>22</v>
      </c>
      <c r="B1134" t="s">
        <v>3431</v>
      </c>
      <c r="C1134">
        <v>129.9900054931641</v>
      </c>
      <c r="D1134">
        <v>133.7299957275391</v>
      </c>
      <c r="E1134">
        <v>128.4900054931641</v>
      </c>
      <c r="F1134">
        <v>131.2799987792969</v>
      </c>
      <c r="G1134">
        <v>130.9376831054688</v>
      </c>
      <c r="H1134">
        <v>322553800</v>
      </c>
      <c r="I1134" t="s">
        <v>3432</v>
      </c>
      <c r="J1134" t="s">
        <v>3433</v>
      </c>
      <c r="K1134" t="s">
        <v>37</v>
      </c>
    </row>
    <row r="1135" spans="1:11" ht="20" customHeight="1">
      <c r="A1135" t="s">
        <v>22</v>
      </c>
      <c r="B1135" t="s">
        <v>3434</v>
      </c>
      <c r="C1135">
        <v>135</v>
      </c>
      <c r="D1135">
        <v>135.0099945068359</v>
      </c>
      <c r="E1135">
        <v>120.0100021362305</v>
      </c>
      <c r="F1135">
        <v>120.1500015258789</v>
      </c>
      <c r="G1135">
        <v>119.8367309570312</v>
      </c>
      <c r="H1135">
        <v>443175800</v>
      </c>
      <c r="I1135" t="s">
        <v>3435</v>
      </c>
      <c r="J1135" t="s">
        <v>3436</v>
      </c>
      <c r="K1135" t="s">
        <v>37</v>
      </c>
    </row>
    <row r="1136" spans="1:11" ht="20" customHeight="1">
      <c r="A1136" t="s">
        <v>22</v>
      </c>
      <c r="B1136" t="s">
        <v>3437</v>
      </c>
      <c r="C1136">
        <v>118.0199966430664</v>
      </c>
      <c r="D1136">
        <v>125.0899963378906</v>
      </c>
      <c r="E1136">
        <v>116.4000015258789</v>
      </c>
      <c r="F1136">
        <v>124.9199981689453</v>
      </c>
      <c r="G1136">
        <v>124.5942916870117</v>
      </c>
      <c r="H1136">
        <v>389091100</v>
      </c>
      <c r="I1136" t="s">
        <v>3438</v>
      </c>
      <c r="J1136" t="s">
        <v>3439</v>
      </c>
      <c r="K1136" t="s">
        <v>37</v>
      </c>
    </row>
    <row r="1137" spans="1:11" ht="20" customHeight="1">
      <c r="A1137" t="s">
        <v>22</v>
      </c>
      <c r="B1137" t="s">
        <v>3440</v>
      </c>
      <c r="C1137">
        <v>123.5100021362305</v>
      </c>
      <c r="D1137">
        <v>123.6999969482422</v>
      </c>
      <c r="E1137">
        <v>112.2799987792969</v>
      </c>
      <c r="F1137">
        <v>114.0599975585938</v>
      </c>
      <c r="G1137">
        <v>113.7626113891602</v>
      </c>
      <c r="H1137">
        <v>411381400</v>
      </c>
      <c r="I1137" t="s">
        <v>3441</v>
      </c>
      <c r="J1137" t="s">
        <v>3442</v>
      </c>
      <c r="K1137" t="s">
        <v>37</v>
      </c>
    </row>
    <row r="1138" spans="1:11" ht="20" customHeight="1">
      <c r="A1138" t="s">
        <v>22</v>
      </c>
      <c r="B1138" t="s">
        <v>3443</v>
      </c>
      <c r="C1138">
        <v>110.6500015258789</v>
      </c>
      <c r="D1138">
        <v>119.3099975585938</v>
      </c>
      <c r="E1138">
        <v>110.1100006103516</v>
      </c>
      <c r="F1138">
        <v>115.9899978637695</v>
      </c>
      <c r="G1138">
        <v>115.6875762939453</v>
      </c>
      <c r="H1138">
        <v>398163300</v>
      </c>
      <c r="I1138" t="s">
        <v>3444</v>
      </c>
      <c r="J1138" t="s">
        <v>3445</v>
      </c>
      <c r="K1138" t="s">
        <v>37</v>
      </c>
    </row>
    <row r="1139" spans="1:11" ht="20" customHeight="1">
      <c r="A1139" t="s">
        <v>22</v>
      </c>
      <c r="B1139" t="s">
        <v>3446</v>
      </c>
      <c r="C1139">
        <v>117.5800018310547</v>
      </c>
      <c r="D1139">
        <v>118.2799987792969</v>
      </c>
      <c r="E1139">
        <v>114.5100021362305</v>
      </c>
      <c r="F1139">
        <v>117.3000030517578</v>
      </c>
      <c r="G1139">
        <v>116.9941635131836</v>
      </c>
      <c r="H1139">
        <v>284337900</v>
      </c>
      <c r="I1139" t="s">
        <v>3447</v>
      </c>
      <c r="J1139" t="s">
        <v>3448</v>
      </c>
      <c r="K1139" t="s">
        <v>37</v>
      </c>
    </row>
    <row r="1140" spans="1:11" ht="20" customHeight="1">
      <c r="A1140" t="s">
        <v>22</v>
      </c>
      <c r="B1140" t="s">
        <v>3449</v>
      </c>
      <c r="C1140">
        <v>113.5299987792969</v>
      </c>
      <c r="D1140">
        <v>115.3499984741211</v>
      </c>
      <c r="E1140">
        <v>110.2200012207031</v>
      </c>
      <c r="F1140">
        <v>110.5699996948242</v>
      </c>
      <c r="G1140">
        <v>110.2817001342773</v>
      </c>
      <c r="H1140">
        <v>321181900</v>
      </c>
      <c r="I1140" t="s">
        <v>3450</v>
      </c>
      <c r="J1140" t="s">
        <v>3451</v>
      </c>
      <c r="K1140" t="s">
        <v>37</v>
      </c>
    </row>
    <row r="1141" spans="1:11" ht="20" customHeight="1">
      <c r="A1141" t="s">
        <v>22</v>
      </c>
      <c r="B1141" t="s">
        <v>3452</v>
      </c>
      <c r="C1141">
        <v>111.25</v>
      </c>
      <c r="D1141">
        <v>113.4800033569336</v>
      </c>
      <c r="E1141">
        <v>107.5599975585938</v>
      </c>
      <c r="F1141">
        <v>112.6900024414062</v>
      </c>
      <c r="G1141">
        <v>112.3961868286133</v>
      </c>
      <c r="H1141">
        <v>341755500</v>
      </c>
      <c r="I1141" t="s">
        <v>3453</v>
      </c>
      <c r="J1141" t="s">
        <v>3454</v>
      </c>
      <c r="K1141" t="s">
        <v>37</v>
      </c>
    </row>
    <row r="1142" spans="1:11" ht="20" customHeight="1">
      <c r="A1142" t="s">
        <v>22</v>
      </c>
      <c r="B1142" t="s">
        <v>3455</v>
      </c>
      <c r="C1142">
        <v>109.9000015258789</v>
      </c>
      <c r="D1142">
        <v>111.8499984741211</v>
      </c>
      <c r="E1142">
        <v>105.4599990844727</v>
      </c>
      <c r="F1142">
        <v>106.9800033569336</v>
      </c>
      <c r="G1142">
        <v>106.7010726928711</v>
      </c>
      <c r="H1142">
        <v>366487400</v>
      </c>
      <c r="I1142" t="s">
        <v>3456</v>
      </c>
      <c r="J1142" t="s">
        <v>3457</v>
      </c>
      <c r="K1142" t="s">
        <v>37</v>
      </c>
    </row>
    <row r="1143" spans="1:11" ht="20" customHeight="1">
      <c r="A1143" t="s">
        <v>22</v>
      </c>
      <c r="B1143" t="s">
        <v>3458</v>
      </c>
      <c r="C1143">
        <v>106.9899978637695</v>
      </c>
      <c r="D1143">
        <v>112.2399978637695</v>
      </c>
      <c r="E1143">
        <v>104.7699966430664</v>
      </c>
      <c r="F1143">
        <v>108.7600021362305</v>
      </c>
      <c r="G1143">
        <v>108.4764175415039</v>
      </c>
      <c r="H1143">
        <v>354865700</v>
      </c>
      <c r="I1143" t="s">
        <v>3459</v>
      </c>
      <c r="J1143" t="s">
        <v>3460</v>
      </c>
      <c r="K1143" t="s">
        <v>37</v>
      </c>
    </row>
    <row r="1144" spans="1:11" ht="20" customHeight="1">
      <c r="A1144" t="s">
        <v>22</v>
      </c>
      <c r="B1144" t="s">
        <v>3461</v>
      </c>
      <c r="C1144">
        <v>114.120002746582</v>
      </c>
      <c r="D1144">
        <v>116.7600021362305</v>
      </c>
      <c r="E1144">
        <v>112.879997253418</v>
      </c>
      <c r="F1144">
        <v>115.7399978637695</v>
      </c>
      <c r="G1144">
        <v>115.4488525390625</v>
      </c>
      <c r="H1144">
        <v>323857500</v>
      </c>
      <c r="I1144" t="s">
        <v>3462</v>
      </c>
      <c r="J1144" t="s">
        <v>3463</v>
      </c>
      <c r="K1144" t="s">
        <v>37</v>
      </c>
    </row>
    <row r="1145" spans="1:11" ht="20" customHeight="1">
      <c r="A1145" t="s">
        <v>22</v>
      </c>
      <c r="B1145" t="s">
        <v>3464</v>
      </c>
      <c r="C1145">
        <v>117.0299987792969</v>
      </c>
      <c r="D1145">
        <v>117.7600021362305</v>
      </c>
      <c r="E1145">
        <v>113.7900009155273</v>
      </c>
      <c r="F1145">
        <v>115.5800018310547</v>
      </c>
      <c r="G1145">
        <v>115.2892456054688</v>
      </c>
      <c r="H1145">
        <v>299033100</v>
      </c>
      <c r="I1145" t="s">
        <v>3465</v>
      </c>
      <c r="J1145" t="s">
        <v>3466</v>
      </c>
      <c r="K1145" t="s">
        <v>37</v>
      </c>
    </row>
    <row r="1146" spans="1:11" ht="20" customHeight="1">
      <c r="A1146" t="s">
        <v>22</v>
      </c>
      <c r="B1146" t="s">
        <v>3467</v>
      </c>
      <c r="C1146">
        <v>118.6100006103516</v>
      </c>
      <c r="D1146">
        <v>121.879997253418</v>
      </c>
      <c r="E1146">
        <v>118.1500015258789</v>
      </c>
      <c r="F1146">
        <v>121.6699981689453</v>
      </c>
      <c r="G1146">
        <v>121.3639221191406</v>
      </c>
      <c r="H1146">
        <v>277593500</v>
      </c>
      <c r="I1146" t="s">
        <v>3468</v>
      </c>
      <c r="J1146" t="s">
        <v>3469</v>
      </c>
      <c r="K1146" t="s">
        <v>37</v>
      </c>
    </row>
    <row r="1147" spans="1:11" ht="20" customHeight="1">
      <c r="A1147" t="s">
        <v>22</v>
      </c>
      <c r="B1147" t="s">
        <v>3470</v>
      </c>
      <c r="C1147">
        <v>122.7399978637695</v>
      </c>
      <c r="D1147">
        <v>122.8899993896484</v>
      </c>
      <c r="E1147">
        <v>118.0299987792969</v>
      </c>
      <c r="F1147">
        <v>119.5299987792969</v>
      </c>
      <c r="G1147">
        <v>119.2293090820312</v>
      </c>
      <c r="H1147">
        <v>255501500</v>
      </c>
      <c r="I1147" t="s">
        <v>3471</v>
      </c>
      <c r="J1147" t="s">
        <v>3472</v>
      </c>
      <c r="K1147" t="s">
        <v>37</v>
      </c>
    </row>
    <row r="1148" spans="1:11" ht="20" customHeight="1">
      <c r="A1148" t="s">
        <v>22</v>
      </c>
      <c r="B1148" t="s">
        <v>3473</v>
      </c>
      <c r="C1148">
        <v>118</v>
      </c>
      <c r="D1148">
        <v>119.0199966430664</v>
      </c>
      <c r="E1148">
        <v>114.5400009155273</v>
      </c>
      <c r="F1148">
        <v>115.4300003051758</v>
      </c>
      <c r="G1148">
        <v>115.1396255493164</v>
      </c>
      <c r="H1148">
        <v>299686900</v>
      </c>
      <c r="I1148" t="s">
        <v>3474</v>
      </c>
      <c r="J1148" t="s">
        <v>3475</v>
      </c>
      <c r="K1148" t="s">
        <v>37</v>
      </c>
    </row>
    <row r="1149" spans="1:11" ht="20" customHeight="1">
      <c r="A1149" t="s">
        <v>22</v>
      </c>
      <c r="B1149" t="s">
        <v>3476</v>
      </c>
      <c r="C1149">
        <v>117.2699966430664</v>
      </c>
      <c r="D1149">
        <v>120.4499969482422</v>
      </c>
      <c r="E1149">
        <v>115.6800003051758</v>
      </c>
      <c r="F1149">
        <v>117.5199966430664</v>
      </c>
      <c r="G1149">
        <v>117.2243576049805</v>
      </c>
      <c r="H1149">
        <v>273426200</v>
      </c>
      <c r="I1149" t="s">
        <v>3477</v>
      </c>
      <c r="J1149" t="s">
        <v>3478</v>
      </c>
      <c r="K1149" t="s">
        <v>37</v>
      </c>
    </row>
    <row r="1150" spans="1:11" ht="20" customHeight="1">
      <c r="A1150" t="s">
        <v>22</v>
      </c>
      <c r="B1150" t="s">
        <v>3479</v>
      </c>
      <c r="C1150">
        <v>116.5500030517578</v>
      </c>
      <c r="D1150">
        <v>120.1999969482422</v>
      </c>
      <c r="E1150">
        <v>116.4700012207031</v>
      </c>
      <c r="F1150">
        <v>118.5299987792969</v>
      </c>
      <c r="G1150">
        <v>118.231819152832</v>
      </c>
      <c r="H1150">
        <v>248829700</v>
      </c>
      <c r="I1150" t="s">
        <v>3480</v>
      </c>
      <c r="J1150" t="s">
        <v>3481</v>
      </c>
      <c r="K1150" t="s">
        <v>37</v>
      </c>
    </row>
    <row r="1151" spans="1:11" ht="20" customHeight="1">
      <c r="A1151" t="s">
        <v>22</v>
      </c>
      <c r="B1151" t="s">
        <v>3482</v>
      </c>
      <c r="C1151">
        <v>116.9400024414062</v>
      </c>
      <c r="D1151">
        <v>117.9899978637695</v>
      </c>
      <c r="E1151">
        <v>115.4199981689453</v>
      </c>
      <c r="F1151">
        <v>117.6999969482422</v>
      </c>
      <c r="G1151">
        <v>117.4039077758789</v>
      </c>
      <c r="H1151">
        <v>266498500</v>
      </c>
      <c r="I1151" t="s">
        <v>3483</v>
      </c>
      <c r="J1151" t="s">
        <v>3484</v>
      </c>
      <c r="K1151" t="s">
        <v>37</v>
      </c>
    </row>
    <row r="1152" spans="1:11" ht="20" customHeight="1">
      <c r="A1152" t="s">
        <v>22</v>
      </c>
      <c r="B1152" t="s">
        <v>3485</v>
      </c>
      <c r="C1152">
        <v>119.879997253418</v>
      </c>
      <c r="D1152">
        <v>122.2200012207031</v>
      </c>
      <c r="E1152">
        <v>119.3399963378906</v>
      </c>
      <c r="F1152">
        <v>121.4100036621094</v>
      </c>
      <c r="G1152">
        <v>121.1045837402344</v>
      </c>
      <c r="H1152">
        <v>228452500</v>
      </c>
      <c r="I1152" t="s">
        <v>3486</v>
      </c>
      <c r="J1152" t="s">
        <v>3487</v>
      </c>
      <c r="K1152" t="s">
        <v>37</v>
      </c>
    </row>
    <row r="1153" spans="1:11" ht="20" customHeight="1">
      <c r="A1153" t="s">
        <v>22</v>
      </c>
      <c r="B1153" t="s">
        <v>3488</v>
      </c>
      <c r="C1153">
        <v>120.5500030517578</v>
      </c>
      <c r="D1153">
        <v>121.2900009155273</v>
      </c>
      <c r="E1153">
        <v>118.9199981689453</v>
      </c>
      <c r="F1153">
        <v>120.6900024414062</v>
      </c>
      <c r="G1153">
        <v>120.3863983154297</v>
      </c>
      <c r="H1153">
        <v>167447200</v>
      </c>
      <c r="I1153" t="s">
        <v>3489</v>
      </c>
      <c r="J1153" t="s">
        <v>3490</v>
      </c>
      <c r="K1153" t="s">
        <v>37</v>
      </c>
    </row>
    <row r="1154" spans="1:11" ht="20" customHeight="1">
      <c r="A1154" t="s">
        <v>22</v>
      </c>
      <c r="B1154" t="s">
        <v>3491</v>
      </c>
      <c r="C1154">
        <v>118.7300033569336</v>
      </c>
      <c r="D1154">
        <v>118.8399963378906</v>
      </c>
      <c r="E1154">
        <v>112.7099990844727</v>
      </c>
      <c r="F1154">
        <v>113.7600021362305</v>
      </c>
      <c r="G1154">
        <v>113.4738235473633</v>
      </c>
      <c r="H1154">
        <v>293463300</v>
      </c>
      <c r="I1154" t="s">
        <v>3492</v>
      </c>
      <c r="J1154" t="s">
        <v>3493</v>
      </c>
      <c r="K1154" t="s">
        <v>37</v>
      </c>
    </row>
    <row r="1155" spans="1:11" ht="20" customHeight="1">
      <c r="A1155" t="s">
        <v>22</v>
      </c>
      <c r="B1155" t="s">
        <v>3494</v>
      </c>
      <c r="C1155">
        <v>111.3499984741211</v>
      </c>
      <c r="D1155">
        <v>114.4499969482422</v>
      </c>
      <c r="E1155">
        <v>110.6600036621094</v>
      </c>
      <c r="F1155">
        <v>111.4300003051758</v>
      </c>
      <c r="G1155">
        <v>111.1496810913086</v>
      </c>
      <c r="H1155">
        <v>236902100</v>
      </c>
      <c r="I1155" t="s">
        <v>3495</v>
      </c>
      <c r="J1155" t="s">
        <v>3496</v>
      </c>
      <c r="K1155" t="s">
        <v>37</v>
      </c>
    </row>
    <row r="1156" spans="1:11" ht="20" customHeight="1">
      <c r="A1156" t="s">
        <v>22</v>
      </c>
      <c r="B1156" t="s">
        <v>3497</v>
      </c>
      <c r="C1156">
        <v>111.4899978637695</v>
      </c>
      <c r="D1156">
        <v>112.870002746582</v>
      </c>
      <c r="E1156">
        <v>109.0699996948242</v>
      </c>
      <c r="F1156">
        <v>109.6699981689453</v>
      </c>
      <c r="G1156">
        <v>109.3941116333008</v>
      </c>
      <c r="H1156">
        <v>229872500</v>
      </c>
      <c r="I1156" t="s">
        <v>3498</v>
      </c>
      <c r="J1156" t="s">
        <v>3499</v>
      </c>
      <c r="K1156" t="s">
        <v>37</v>
      </c>
    </row>
    <row r="1157" spans="1:11" ht="20" customHeight="1">
      <c r="A1157" t="s">
        <v>22</v>
      </c>
      <c r="B1157" t="s">
        <v>3500</v>
      </c>
      <c r="C1157">
        <v>105.129997253418</v>
      </c>
      <c r="D1157">
        <v>110.9599990844727</v>
      </c>
      <c r="E1157">
        <v>103.6500015258789</v>
      </c>
      <c r="F1157">
        <v>108.379997253418</v>
      </c>
      <c r="G1157">
        <v>108.1073532104492</v>
      </c>
      <c r="H1157">
        <v>299212700</v>
      </c>
      <c r="I1157" t="s">
        <v>3501</v>
      </c>
      <c r="J1157" t="s">
        <v>3502</v>
      </c>
      <c r="K1157" t="s">
        <v>37</v>
      </c>
    </row>
    <row r="1158" spans="1:11" ht="20" customHeight="1">
      <c r="A1158" t="s">
        <v>22</v>
      </c>
      <c r="B1158" t="s">
        <v>3503</v>
      </c>
      <c r="C1158">
        <v>108.5199966430664</v>
      </c>
      <c r="D1158">
        <v>110.1999969482422</v>
      </c>
      <c r="E1158">
        <v>106.4700012207031</v>
      </c>
      <c r="F1158">
        <v>110.1500015258789</v>
      </c>
      <c r="G1158">
        <v>109.8729095458984</v>
      </c>
      <c r="H1158">
        <v>222614000</v>
      </c>
      <c r="I1158" t="s">
        <v>3504</v>
      </c>
      <c r="J1158" t="s">
        <v>3505</v>
      </c>
      <c r="K1158" t="s">
        <v>37</v>
      </c>
    </row>
    <row r="1159" spans="1:11" ht="20" customHeight="1">
      <c r="A1159" t="s">
        <v>22</v>
      </c>
      <c r="B1159" t="s">
        <v>3506</v>
      </c>
      <c r="C1159">
        <v>107.2900009155273</v>
      </c>
      <c r="D1159">
        <v>111.9800033569336</v>
      </c>
      <c r="E1159">
        <v>106.7900009155273</v>
      </c>
      <c r="F1159">
        <v>110.4199981689453</v>
      </c>
      <c r="G1159">
        <v>110.142219543457</v>
      </c>
      <c r="H1159">
        <v>220601200</v>
      </c>
      <c r="I1159" t="s">
        <v>3507</v>
      </c>
      <c r="J1159" t="s">
        <v>3508</v>
      </c>
      <c r="K1159" t="s">
        <v>37</v>
      </c>
    </row>
    <row r="1160" spans="1:11" ht="20" customHeight="1">
      <c r="A1160" t="s">
        <v>22</v>
      </c>
      <c r="B1160" t="s">
        <v>3509</v>
      </c>
      <c r="C1160">
        <v>103.5100021362305</v>
      </c>
      <c r="D1160">
        <v>105.629997253418</v>
      </c>
      <c r="E1160">
        <v>101.5999984741211</v>
      </c>
      <c r="F1160">
        <v>101.8000030517578</v>
      </c>
      <c r="G1160">
        <v>101.5439224243164</v>
      </c>
      <c r="H1160">
        <v>338769400</v>
      </c>
      <c r="I1160" t="s">
        <v>3510</v>
      </c>
      <c r="J1160" t="s">
        <v>3511</v>
      </c>
      <c r="K1160" t="s">
        <v>37</v>
      </c>
    </row>
    <row r="1161" spans="1:11" ht="20" customHeight="1">
      <c r="A1161" t="s">
        <v>22</v>
      </c>
      <c r="B1161" t="s">
        <v>3512</v>
      </c>
      <c r="C1161">
        <v>98.91000366210938</v>
      </c>
      <c r="D1161">
        <v>100.129997253418</v>
      </c>
      <c r="E1161">
        <v>92.11000061035156</v>
      </c>
      <c r="F1161">
        <v>94.30999755859375</v>
      </c>
      <c r="G1161">
        <v>94.07275390625</v>
      </c>
      <c r="H1161">
        <v>532273800</v>
      </c>
      <c r="I1161" t="s">
        <v>3513</v>
      </c>
      <c r="J1161" t="s">
        <v>3514</v>
      </c>
      <c r="K1161" t="s">
        <v>37</v>
      </c>
    </row>
    <row r="1162" spans="1:11" ht="20" customHeight="1">
      <c r="A1162" t="s">
        <v>22</v>
      </c>
      <c r="B1162" t="s">
        <v>3515</v>
      </c>
      <c r="C1162">
        <v>87.45999908447266</v>
      </c>
      <c r="D1162">
        <v>101.75</v>
      </c>
      <c r="E1162">
        <v>86.62000274658203</v>
      </c>
      <c r="F1162">
        <v>97.63999938964844</v>
      </c>
      <c r="G1162">
        <v>97.39437103271484</v>
      </c>
      <c r="H1162">
        <v>611041300</v>
      </c>
      <c r="I1162" t="s">
        <v>3516</v>
      </c>
      <c r="J1162" t="s">
        <v>3517</v>
      </c>
      <c r="K1162" t="s">
        <v>37</v>
      </c>
    </row>
    <row r="1163" spans="1:11" ht="20" customHeight="1">
      <c r="A1163" t="s">
        <v>22</v>
      </c>
      <c r="B1163" t="s">
        <v>3518</v>
      </c>
      <c r="C1163">
        <v>103.8099975585938</v>
      </c>
      <c r="D1163">
        <v>105.8499984741211</v>
      </c>
      <c r="E1163">
        <v>94.45999908447266</v>
      </c>
      <c r="F1163">
        <v>96.30000305175781</v>
      </c>
      <c r="G1163">
        <v>96.05775451660156</v>
      </c>
      <c r="H1163">
        <v>476243400</v>
      </c>
      <c r="I1163" t="s">
        <v>3519</v>
      </c>
      <c r="J1163" t="s">
        <v>3520</v>
      </c>
      <c r="K1163" t="s">
        <v>37</v>
      </c>
    </row>
    <row r="1164" spans="1:11" ht="20" customHeight="1">
      <c r="A1164" t="s">
        <v>22</v>
      </c>
      <c r="B1164" t="s">
        <v>3521</v>
      </c>
      <c r="C1164">
        <v>98.88999938964844</v>
      </c>
      <c r="D1164">
        <v>115.0999984741211</v>
      </c>
      <c r="E1164">
        <v>97.52999877929688</v>
      </c>
      <c r="F1164">
        <v>114.3300018310547</v>
      </c>
      <c r="G1164">
        <v>114.0423965454102</v>
      </c>
      <c r="H1164">
        <v>612918300</v>
      </c>
      <c r="I1164" t="s">
        <v>3522</v>
      </c>
      <c r="J1164" t="s">
        <v>3523</v>
      </c>
      <c r="K1164" t="s">
        <v>37</v>
      </c>
    </row>
    <row r="1165" spans="1:11" ht="20" customHeight="1">
      <c r="A1165" t="s">
        <v>22</v>
      </c>
      <c r="B1165" t="s">
        <v>3524</v>
      </c>
      <c r="C1165">
        <v>109.370002746582</v>
      </c>
      <c r="D1165">
        <v>110.8600006103516</v>
      </c>
      <c r="E1165">
        <v>99.15000152587891</v>
      </c>
      <c r="F1165">
        <v>107.5699996948242</v>
      </c>
      <c r="G1165">
        <v>107.2994003295898</v>
      </c>
      <c r="H1165">
        <v>437812400</v>
      </c>
      <c r="I1165" t="s">
        <v>3525</v>
      </c>
      <c r="J1165" t="s">
        <v>3526</v>
      </c>
      <c r="K1165" t="s">
        <v>37</v>
      </c>
    </row>
    <row r="1166" spans="1:11" ht="20" customHeight="1">
      <c r="A1166" t="s">
        <v>22</v>
      </c>
      <c r="B1166" t="s">
        <v>3527</v>
      </c>
      <c r="C1166">
        <v>108.5</v>
      </c>
      <c r="D1166">
        <v>111.5500030517578</v>
      </c>
      <c r="E1166">
        <v>107.4800033569336</v>
      </c>
      <c r="F1166">
        <v>110.9300003051758</v>
      </c>
      <c r="G1166">
        <v>110.6509552001953</v>
      </c>
      <c r="H1166">
        <v>313417300</v>
      </c>
      <c r="I1166" t="s">
        <v>3528</v>
      </c>
      <c r="J1166" t="s">
        <v>3529</v>
      </c>
      <c r="K1166" t="s">
        <v>37</v>
      </c>
    </row>
    <row r="1167" spans="1:11" ht="20" customHeight="1">
      <c r="A1167" t="s">
        <v>22</v>
      </c>
      <c r="B1167" t="s">
        <v>3530</v>
      </c>
      <c r="C1167">
        <v>114.1100006103516</v>
      </c>
      <c r="D1167">
        <v>114.2900009155273</v>
      </c>
      <c r="E1167">
        <v>109.0699996948242</v>
      </c>
      <c r="F1167">
        <v>110.7099990844727</v>
      </c>
      <c r="G1167">
        <v>110.4315032958984</v>
      </c>
      <c r="H1167">
        <v>264705000</v>
      </c>
      <c r="I1167" t="s">
        <v>3531</v>
      </c>
      <c r="J1167" t="s">
        <v>3532</v>
      </c>
      <c r="K1167" t="s">
        <v>37</v>
      </c>
    </row>
    <row r="1168" spans="1:11" ht="20" customHeight="1">
      <c r="A1168" t="s">
        <v>22</v>
      </c>
      <c r="B1168" t="s">
        <v>3533</v>
      </c>
      <c r="C1168">
        <v>110.9700012207031</v>
      </c>
      <c r="D1168">
        <v>113.620002746582</v>
      </c>
      <c r="E1168">
        <v>110.5</v>
      </c>
      <c r="F1168">
        <v>112.1999969482422</v>
      </c>
      <c r="G1168">
        <v>111.9177474975586</v>
      </c>
      <c r="H1168">
        <v>228966900</v>
      </c>
      <c r="I1168" t="s">
        <v>3534</v>
      </c>
      <c r="J1168" t="s">
        <v>3535</v>
      </c>
      <c r="K1168" t="s">
        <v>37</v>
      </c>
    </row>
    <row r="1169" spans="1:11" ht="20" customHeight="1">
      <c r="A1169" t="s">
        <v>22</v>
      </c>
      <c r="B1169" t="s">
        <v>3536</v>
      </c>
      <c r="C1169">
        <v>104.5500030517578</v>
      </c>
      <c r="D1169">
        <v>106.7900009155273</v>
      </c>
      <c r="E1169">
        <v>100.4499969482422</v>
      </c>
      <c r="F1169">
        <v>104.4899978637695</v>
      </c>
      <c r="G1169">
        <v>104.2271423339844</v>
      </c>
      <c r="H1169">
        <v>397016900</v>
      </c>
      <c r="I1169" t="s">
        <v>3537</v>
      </c>
      <c r="J1169" t="s">
        <v>3538</v>
      </c>
      <c r="K1169" t="s">
        <v>37</v>
      </c>
    </row>
    <row r="1170" spans="1:11" ht="20" customHeight="1">
      <c r="A1170" t="s">
        <v>22</v>
      </c>
      <c r="B1170" t="s">
        <v>3539</v>
      </c>
      <c r="C1170">
        <v>104.4499969482422</v>
      </c>
      <c r="D1170">
        <v>104.4700012207031</v>
      </c>
      <c r="E1170">
        <v>100.0500030517578</v>
      </c>
      <c r="F1170">
        <v>101.4899978637695</v>
      </c>
      <c r="G1170">
        <v>101.2346878051758</v>
      </c>
      <c r="H1170">
        <v>292517500</v>
      </c>
      <c r="I1170" t="s">
        <v>3540</v>
      </c>
      <c r="J1170" t="s">
        <v>3541</v>
      </c>
      <c r="K1170" t="s">
        <v>37</v>
      </c>
    </row>
    <row r="1171" spans="1:11" ht="20" customHeight="1">
      <c r="A1171" t="s">
        <v>22</v>
      </c>
      <c r="B1171" t="s">
        <v>3542</v>
      </c>
      <c r="C1171">
        <v>98.76999664306641</v>
      </c>
      <c r="D1171">
        <v>99.44000244140625</v>
      </c>
      <c r="E1171">
        <v>95.04000091552734</v>
      </c>
      <c r="F1171">
        <v>96.91000366210938</v>
      </c>
      <c r="G1171">
        <v>96.66622161865234</v>
      </c>
      <c r="H1171">
        <v>288501100</v>
      </c>
      <c r="I1171" t="s">
        <v>3543</v>
      </c>
      <c r="J1171" t="s">
        <v>3544</v>
      </c>
      <c r="K1171" t="s">
        <v>37</v>
      </c>
    </row>
    <row r="1172" spans="1:11" ht="20" customHeight="1">
      <c r="A1172" t="s">
        <v>22</v>
      </c>
      <c r="B1172" t="s">
        <v>3545</v>
      </c>
      <c r="C1172">
        <v>98.77999877929688</v>
      </c>
      <c r="D1172">
        <v>99.80999755859375</v>
      </c>
      <c r="E1172">
        <v>97.27999877929688</v>
      </c>
      <c r="F1172">
        <v>98.88999938964844</v>
      </c>
      <c r="G1172">
        <v>98.64122009277344</v>
      </c>
      <c r="H1172">
        <v>241004800</v>
      </c>
      <c r="I1172" t="s">
        <v>3546</v>
      </c>
      <c r="J1172" t="s">
        <v>3547</v>
      </c>
      <c r="K1172" t="s">
        <v>37</v>
      </c>
    </row>
    <row r="1173" spans="1:11" ht="20" customHeight="1">
      <c r="A1173" t="s">
        <v>22</v>
      </c>
      <c r="B1173" t="s">
        <v>3548</v>
      </c>
      <c r="C1173">
        <v>104.5199966430664</v>
      </c>
      <c r="D1173">
        <v>104.8000030517578</v>
      </c>
      <c r="E1173">
        <v>102.0199966430664</v>
      </c>
      <c r="F1173">
        <v>102.7099990844727</v>
      </c>
      <c r="G1173">
        <v>102.4516143798828</v>
      </c>
      <c r="H1173">
        <v>247526000</v>
      </c>
      <c r="I1173" t="s">
        <v>3549</v>
      </c>
      <c r="J1173" t="s">
        <v>3550</v>
      </c>
      <c r="K1173" t="s">
        <v>37</v>
      </c>
    </row>
    <row r="1174" spans="1:11" ht="20" customHeight="1">
      <c r="A1174" t="s">
        <v>22</v>
      </c>
      <c r="B1174" t="s">
        <v>3551</v>
      </c>
      <c r="C1174">
        <v>103.4800033569336</v>
      </c>
      <c r="D1174">
        <v>106.5400009155273</v>
      </c>
      <c r="E1174">
        <v>103.1100006103516</v>
      </c>
      <c r="F1174">
        <v>106.4300003051758</v>
      </c>
      <c r="G1174">
        <v>106.1622619628906</v>
      </c>
      <c r="H1174">
        <v>220815000</v>
      </c>
      <c r="I1174" t="s">
        <v>3552</v>
      </c>
      <c r="J1174" t="s">
        <v>3553</v>
      </c>
      <c r="K1174" t="s">
        <v>37</v>
      </c>
    </row>
    <row r="1175" spans="1:11" ht="20" customHeight="1">
      <c r="A1175" t="s">
        <v>22</v>
      </c>
      <c r="B1175" t="s">
        <v>3554</v>
      </c>
      <c r="C1175">
        <v>106.8499984741211</v>
      </c>
      <c r="D1175">
        <v>111.9199981689453</v>
      </c>
      <c r="E1175">
        <v>105.7300033569336</v>
      </c>
      <c r="F1175">
        <v>111.0100021362305</v>
      </c>
      <c r="G1175">
        <v>110.7307510375977</v>
      </c>
      <c r="H1175">
        <v>251064700</v>
      </c>
      <c r="I1175" t="s">
        <v>3555</v>
      </c>
      <c r="J1175" t="s">
        <v>3556</v>
      </c>
      <c r="K1175" t="s">
        <v>37</v>
      </c>
    </row>
    <row r="1176" spans="1:11" ht="20" customHeight="1">
      <c r="A1176" t="s">
        <v>22</v>
      </c>
      <c r="B1176" t="s">
        <v>3557</v>
      </c>
      <c r="C1176">
        <v>109.6900024414062</v>
      </c>
      <c r="D1176">
        <v>110.370002746582</v>
      </c>
      <c r="E1176">
        <v>106.0199966430664</v>
      </c>
      <c r="F1176">
        <v>108.7300033569336</v>
      </c>
      <c r="G1176">
        <v>108.4564895629883</v>
      </c>
      <c r="H1176">
        <v>207708500</v>
      </c>
      <c r="I1176" t="s">
        <v>3558</v>
      </c>
      <c r="J1176" t="s">
        <v>3559</v>
      </c>
      <c r="K1176" t="s">
        <v>37</v>
      </c>
    </row>
    <row r="1177" spans="1:11" ht="20" customHeight="1">
      <c r="A1177" t="s">
        <v>22</v>
      </c>
      <c r="B1177" t="s">
        <v>3560</v>
      </c>
      <c r="C1177">
        <v>107.6699981689453</v>
      </c>
      <c r="D1177">
        <v>110.1999969482422</v>
      </c>
      <c r="E1177">
        <v>107.4400024414062</v>
      </c>
      <c r="F1177">
        <v>109.0199966430664</v>
      </c>
      <c r="G1177">
        <v>108.7457427978516</v>
      </c>
      <c r="H1177">
        <v>170444300</v>
      </c>
      <c r="I1177" t="s">
        <v>3561</v>
      </c>
      <c r="J1177" t="s">
        <v>3562</v>
      </c>
      <c r="K1177" t="s">
        <v>37</v>
      </c>
    </row>
    <row r="1178" spans="1:11" ht="20" customHeight="1">
      <c r="A1178" t="s">
        <v>22</v>
      </c>
      <c r="B1178" t="s">
        <v>3563</v>
      </c>
      <c r="C1178">
        <v>104.4700012207031</v>
      </c>
      <c r="D1178">
        <v>108.9199981689453</v>
      </c>
      <c r="E1178">
        <v>104.0800018310547</v>
      </c>
      <c r="F1178">
        <v>108.9199981689453</v>
      </c>
      <c r="G1178">
        <v>108.64599609375</v>
      </c>
      <c r="H1178">
        <v>235044600</v>
      </c>
      <c r="I1178" t="s">
        <v>3564</v>
      </c>
      <c r="J1178" t="s">
        <v>3565</v>
      </c>
      <c r="K1178" t="s">
        <v>37</v>
      </c>
    </row>
    <row r="1179" spans="1:11" ht="20" customHeight="1">
      <c r="A1179" t="s">
        <v>22</v>
      </c>
      <c r="B1179" t="s">
        <v>3566</v>
      </c>
      <c r="C1179">
        <v>113.0800018310547</v>
      </c>
      <c r="D1179">
        <v>114.9400024414062</v>
      </c>
      <c r="E1179">
        <v>111.3000030517578</v>
      </c>
      <c r="F1179">
        <v>111.6100006103516</v>
      </c>
      <c r="G1179">
        <v>111.329231262207</v>
      </c>
      <c r="H1179">
        <v>236121500</v>
      </c>
      <c r="I1179" t="s">
        <v>3567</v>
      </c>
      <c r="J1179" t="s">
        <v>3568</v>
      </c>
      <c r="K1179" t="s">
        <v>37</v>
      </c>
    </row>
    <row r="1180" spans="1:11" ht="20" customHeight="1">
      <c r="A1180" t="s">
        <v>22</v>
      </c>
      <c r="B1180" t="s">
        <v>3569</v>
      </c>
      <c r="C1180">
        <v>114.1800003051758</v>
      </c>
      <c r="D1180">
        <v>115.4000015258789</v>
      </c>
      <c r="E1180">
        <v>113.370002746582</v>
      </c>
      <c r="F1180">
        <v>114.5</v>
      </c>
      <c r="G1180">
        <v>114.2119750976562</v>
      </c>
      <c r="H1180">
        <v>190194800</v>
      </c>
      <c r="I1180" t="s">
        <v>3570</v>
      </c>
      <c r="J1180" t="s">
        <v>3571</v>
      </c>
      <c r="K1180" t="s">
        <v>37</v>
      </c>
    </row>
    <row r="1181" spans="1:11" ht="20" customHeight="1">
      <c r="A1181" t="s">
        <v>22</v>
      </c>
      <c r="B1181" t="s">
        <v>3572</v>
      </c>
      <c r="C1181">
        <v>112.9100036621094</v>
      </c>
      <c r="D1181">
        <v>114.6699981689453</v>
      </c>
      <c r="E1181">
        <v>112.6600036621094</v>
      </c>
      <c r="F1181">
        <v>113.8199996948242</v>
      </c>
      <c r="G1181">
        <v>113.5336761474609</v>
      </c>
      <c r="H1181">
        <v>133163200</v>
      </c>
      <c r="I1181" t="s">
        <v>3573</v>
      </c>
      <c r="J1181" t="s">
        <v>3574</v>
      </c>
      <c r="K1181" t="s">
        <v>37</v>
      </c>
    </row>
    <row r="1182" spans="1:11" ht="20" customHeight="1">
      <c r="A1182" t="s">
        <v>22</v>
      </c>
      <c r="B1182" t="s">
        <v>3575</v>
      </c>
      <c r="C1182">
        <v>111.4800033569336</v>
      </c>
      <c r="D1182">
        <v>114.7399978637695</v>
      </c>
      <c r="E1182">
        <v>110.8199996948242</v>
      </c>
      <c r="F1182">
        <v>113.5400009155273</v>
      </c>
      <c r="G1182">
        <v>113.2543869018555</v>
      </c>
      <c r="H1182">
        <v>158525600</v>
      </c>
      <c r="I1182" t="s">
        <v>3576</v>
      </c>
      <c r="J1182" t="s">
        <v>3577</v>
      </c>
      <c r="K1182" t="s">
        <v>37</v>
      </c>
    </row>
    <row r="1183" spans="1:11" ht="20" customHeight="1">
      <c r="A1183" t="s">
        <v>22</v>
      </c>
      <c r="B1183" t="s">
        <v>3578</v>
      </c>
      <c r="C1183">
        <v>113.0500030517578</v>
      </c>
      <c r="D1183">
        <v>117.6800003051758</v>
      </c>
      <c r="E1183">
        <v>112.2799987792969</v>
      </c>
      <c r="F1183">
        <v>117.0599975585938</v>
      </c>
      <c r="G1183">
        <v>116.7655258178711</v>
      </c>
      <c r="H1183">
        <v>206758800</v>
      </c>
      <c r="I1183" t="s">
        <v>3579</v>
      </c>
      <c r="J1183" t="s">
        <v>3580</v>
      </c>
      <c r="K1183" t="s">
        <v>37</v>
      </c>
    </row>
    <row r="1184" spans="1:11" ht="20" customHeight="1">
      <c r="A1184" t="s">
        <v>22</v>
      </c>
      <c r="B1184" t="s">
        <v>3581</v>
      </c>
      <c r="C1184">
        <v>118.25</v>
      </c>
      <c r="D1184">
        <v>118.6800003051758</v>
      </c>
      <c r="E1184">
        <v>115.8499984741211</v>
      </c>
      <c r="F1184">
        <v>117.370002746582</v>
      </c>
      <c r="G1184">
        <v>117.0747451782227</v>
      </c>
      <c r="H1184">
        <v>198428100</v>
      </c>
      <c r="I1184" t="s">
        <v>3582</v>
      </c>
      <c r="J1184" t="s">
        <v>3583</v>
      </c>
      <c r="K1184" t="s">
        <v>37</v>
      </c>
    </row>
    <row r="1185" spans="1:11" ht="20" customHeight="1">
      <c r="A1185" t="s">
        <v>22</v>
      </c>
      <c r="B1185" t="s">
        <v>3584</v>
      </c>
      <c r="C1185">
        <v>117.3499984741211</v>
      </c>
      <c r="D1185">
        <v>118.2300033569336</v>
      </c>
      <c r="E1185">
        <v>115.2099990844727</v>
      </c>
      <c r="F1185">
        <v>116.6500015258789</v>
      </c>
      <c r="G1185">
        <v>116.3565673828125</v>
      </c>
      <c r="H1185">
        <v>132972200</v>
      </c>
      <c r="I1185" t="s">
        <v>3585</v>
      </c>
      <c r="J1185" t="s">
        <v>3586</v>
      </c>
      <c r="K1185" t="s">
        <v>37</v>
      </c>
    </row>
    <row r="1186" spans="1:11" ht="20" customHeight="1">
      <c r="A1186" t="s">
        <v>22</v>
      </c>
      <c r="B1186" t="s">
        <v>3587</v>
      </c>
      <c r="C1186">
        <v>121.9700012207031</v>
      </c>
      <c r="D1186">
        <v>123</v>
      </c>
      <c r="E1186">
        <v>120.2799987792969</v>
      </c>
      <c r="F1186">
        <v>123</v>
      </c>
      <c r="G1186">
        <v>122.6905746459961</v>
      </c>
      <c r="H1186">
        <v>225023300</v>
      </c>
      <c r="I1186" t="s">
        <v>3588</v>
      </c>
      <c r="J1186" t="s">
        <v>3589</v>
      </c>
      <c r="K1186" t="s">
        <v>37</v>
      </c>
    </row>
    <row r="1187" spans="1:11" ht="20" customHeight="1">
      <c r="A1187" t="s">
        <v>22</v>
      </c>
      <c r="B1187" t="s">
        <v>3590</v>
      </c>
      <c r="C1187">
        <v>124.9800033569336</v>
      </c>
      <c r="D1187">
        <v>131.2200012207031</v>
      </c>
      <c r="E1187">
        <v>124.4700012207031</v>
      </c>
      <c r="F1187">
        <v>129.9299926757812</v>
      </c>
      <c r="G1187">
        <v>129.6031188964844</v>
      </c>
      <c r="H1187">
        <v>330430100</v>
      </c>
      <c r="I1187" t="s">
        <v>3591</v>
      </c>
      <c r="J1187" t="s">
        <v>3592</v>
      </c>
      <c r="K1187" t="s">
        <v>37</v>
      </c>
    </row>
    <row r="1188" spans="1:11" ht="20" customHeight="1">
      <c r="A1188" t="s">
        <v>22</v>
      </c>
      <c r="B1188" t="s">
        <v>3593</v>
      </c>
      <c r="C1188">
        <v>133.1999969482422</v>
      </c>
      <c r="D1188">
        <v>135.4400024414062</v>
      </c>
      <c r="E1188">
        <v>131.6799926757812</v>
      </c>
      <c r="F1188">
        <v>135.3399963378906</v>
      </c>
      <c r="G1188">
        <v>134.9995269775391</v>
      </c>
      <c r="H1188">
        <v>281180800</v>
      </c>
      <c r="I1188" t="s">
        <v>3594</v>
      </c>
      <c r="J1188" t="s">
        <v>3595</v>
      </c>
      <c r="K1188" t="s">
        <v>37</v>
      </c>
    </row>
    <row r="1189" spans="1:11" ht="20" customHeight="1">
      <c r="A1189" t="s">
        <v>22</v>
      </c>
      <c r="B1189" t="s">
        <v>3596</v>
      </c>
      <c r="C1189">
        <v>134.2899932861328</v>
      </c>
      <c r="D1189">
        <v>136.3000030517578</v>
      </c>
      <c r="E1189">
        <v>132.6600036621094</v>
      </c>
      <c r="F1189">
        <v>134.8300018310547</v>
      </c>
      <c r="G1189">
        <v>134.4908142089844</v>
      </c>
      <c r="H1189">
        <v>226632600</v>
      </c>
      <c r="I1189" t="s">
        <v>3597</v>
      </c>
      <c r="J1189" t="s">
        <v>3598</v>
      </c>
      <c r="K1189" t="s">
        <v>37</v>
      </c>
    </row>
    <row r="1190" spans="1:11" ht="20" customHeight="1">
      <c r="A1190" t="s">
        <v>22</v>
      </c>
      <c r="B1190" t="s">
        <v>3599</v>
      </c>
      <c r="C1190">
        <v>136.2200012207031</v>
      </c>
      <c r="D1190">
        <v>136.3500061035156</v>
      </c>
      <c r="E1190">
        <v>133.4600067138672</v>
      </c>
      <c r="F1190">
        <v>135.3999938964844</v>
      </c>
      <c r="G1190">
        <v>135.0593719482422</v>
      </c>
      <c r="H1190">
        <v>226542500</v>
      </c>
      <c r="I1190" t="s">
        <v>3600</v>
      </c>
      <c r="J1190" t="s">
        <v>3601</v>
      </c>
      <c r="K1190" t="s">
        <v>37</v>
      </c>
    </row>
    <row r="1191" spans="1:11" ht="20" customHeight="1">
      <c r="A1191" t="s">
        <v>22</v>
      </c>
      <c r="B1191" t="s">
        <v>3602</v>
      </c>
      <c r="C1191">
        <v>132.3899993896484</v>
      </c>
      <c r="D1191">
        <v>135.8699951171875</v>
      </c>
      <c r="E1191">
        <v>132.3899993896484</v>
      </c>
      <c r="F1191">
        <v>135.5700073242188</v>
      </c>
      <c r="G1191">
        <v>135.2289733886719</v>
      </c>
      <c r="H1191">
        <v>193154600</v>
      </c>
      <c r="I1191" t="s">
        <v>3603</v>
      </c>
      <c r="J1191" t="s">
        <v>3604</v>
      </c>
      <c r="K1191" t="s">
        <v>37</v>
      </c>
    </row>
    <row r="1192" spans="1:11" ht="20" customHeight="1">
      <c r="A1192" t="s">
        <v>22</v>
      </c>
      <c r="B1192" t="s">
        <v>3605</v>
      </c>
      <c r="C1192">
        <v>134.2899932861328</v>
      </c>
      <c r="D1192">
        <v>134.5800018310547</v>
      </c>
      <c r="E1192">
        <v>132.6199951171875</v>
      </c>
      <c r="F1192">
        <v>134.3800048828125</v>
      </c>
      <c r="G1192">
        <v>134.0419464111328</v>
      </c>
      <c r="H1192">
        <v>161514200</v>
      </c>
      <c r="I1192" t="s">
        <v>3606</v>
      </c>
      <c r="J1192" t="s">
        <v>3607</v>
      </c>
      <c r="K1192" t="s">
        <v>37</v>
      </c>
    </row>
    <row r="1193" spans="1:11" ht="20" customHeight="1">
      <c r="A1193" t="s">
        <v>22</v>
      </c>
      <c r="B1193" t="s">
        <v>3608</v>
      </c>
      <c r="C1193">
        <v>133.0599975585938</v>
      </c>
      <c r="D1193">
        <v>137.3999938964844</v>
      </c>
      <c r="E1193">
        <v>130.5899963378906</v>
      </c>
      <c r="F1193">
        <v>131.8000030517578</v>
      </c>
      <c r="G1193">
        <v>131.4684600830078</v>
      </c>
      <c r="H1193">
        <v>270608700</v>
      </c>
      <c r="I1193" t="s">
        <v>3609</v>
      </c>
      <c r="J1193" t="s">
        <v>3610</v>
      </c>
      <c r="K1193" t="s">
        <v>37</v>
      </c>
    </row>
    <row r="1194" spans="1:11" ht="20" customHeight="1">
      <c r="A1194" t="s">
        <v>22</v>
      </c>
      <c r="B1194" t="s">
        <v>3611</v>
      </c>
      <c r="C1194">
        <v>132.2299957275391</v>
      </c>
      <c r="D1194">
        <v>134.25</v>
      </c>
      <c r="E1194">
        <v>131.5500030517578</v>
      </c>
      <c r="F1194">
        <v>132.8300018310547</v>
      </c>
      <c r="G1194">
        <v>132.4958648681641</v>
      </c>
      <c r="H1194">
        <v>187344000</v>
      </c>
      <c r="I1194" t="s">
        <v>3612</v>
      </c>
      <c r="J1194" t="s">
        <v>3613</v>
      </c>
      <c r="K1194" t="s">
        <v>37</v>
      </c>
    </row>
    <row r="1195" spans="1:11" ht="20" customHeight="1">
      <c r="A1195" t="s">
        <v>22</v>
      </c>
      <c r="B1195" t="s">
        <v>3614</v>
      </c>
      <c r="C1195">
        <v>130</v>
      </c>
      <c r="D1195">
        <v>132.6799926757812</v>
      </c>
      <c r="E1195">
        <v>129.1600036621094</v>
      </c>
      <c r="F1195">
        <v>131.2899932861328</v>
      </c>
      <c r="G1195">
        <v>130.9597015380859</v>
      </c>
      <c r="H1195">
        <v>198821300</v>
      </c>
      <c r="I1195" t="s">
        <v>3615</v>
      </c>
      <c r="J1195" t="s">
        <v>3616</v>
      </c>
      <c r="K1195" t="s">
        <v>37</v>
      </c>
    </row>
    <row r="1196" spans="1:11" ht="20" customHeight="1">
      <c r="A1196" t="s">
        <v>22</v>
      </c>
      <c r="B1196" t="s">
        <v>3617</v>
      </c>
      <c r="C1196">
        <v>134.1499938964844</v>
      </c>
      <c r="D1196">
        <v>135.6600036621094</v>
      </c>
      <c r="E1196">
        <v>133.3099975585938</v>
      </c>
      <c r="F1196">
        <v>135.5</v>
      </c>
      <c r="G1196">
        <v>135.1591339111328</v>
      </c>
      <c r="H1196">
        <v>192953600</v>
      </c>
      <c r="I1196" t="s">
        <v>3618</v>
      </c>
      <c r="J1196" t="s">
        <v>3619</v>
      </c>
      <c r="K1196" t="s">
        <v>37</v>
      </c>
    </row>
    <row r="1197" spans="1:11" ht="20" customHeight="1">
      <c r="A1197" t="s">
        <v>22</v>
      </c>
      <c r="B1197" t="s">
        <v>3620</v>
      </c>
      <c r="C1197">
        <v>136.0299987792969</v>
      </c>
      <c r="D1197">
        <v>137.25</v>
      </c>
      <c r="E1197">
        <v>134.7899932861328</v>
      </c>
      <c r="F1197">
        <v>134.8099975585938</v>
      </c>
      <c r="G1197">
        <v>134.4708557128906</v>
      </c>
      <c r="H1197">
        <v>304021100</v>
      </c>
      <c r="I1197" t="s">
        <v>3621</v>
      </c>
      <c r="J1197" t="s">
        <v>3622</v>
      </c>
      <c r="K1197" t="s">
        <v>37</v>
      </c>
    </row>
    <row r="1198" spans="1:11" ht="20" customHeight="1">
      <c r="A1198" t="s">
        <v>22</v>
      </c>
      <c r="B1198" t="s">
        <v>3623</v>
      </c>
      <c r="C1198">
        <v>142.25</v>
      </c>
      <c r="D1198">
        <v>143.4900054931641</v>
      </c>
      <c r="E1198">
        <v>137.9100036621094</v>
      </c>
      <c r="F1198">
        <v>139.1900024414062</v>
      </c>
      <c r="G1198">
        <v>138.83984375</v>
      </c>
      <c r="H1198">
        <v>369241900</v>
      </c>
      <c r="I1198" t="s">
        <v>3624</v>
      </c>
      <c r="J1198" t="s">
        <v>3625</v>
      </c>
      <c r="K1198" t="s">
        <v>37</v>
      </c>
    </row>
    <row r="1199" spans="1:11" ht="20" customHeight="1">
      <c r="A1199" t="s">
        <v>22</v>
      </c>
      <c r="B1199" t="s">
        <v>3626</v>
      </c>
      <c r="C1199">
        <v>138.7200012207031</v>
      </c>
      <c r="D1199">
        <v>139.6199951171875</v>
      </c>
      <c r="E1199">
        <v>132.9199981689453</v>
      </c>
      <c r="F1199">
        <v>135.1300048828125</v>
      </c>
      <c r="G1199">
        <v>134.7900695800781</v>
      </c>
      <c r="H1199">
        <v>333170900</v>
      </c>
      <c r="I1199" t="s">
        <v>3627</v>
      </c>
      <c r="J1199" t="s">
        <v>3628</v>
      </c>
      <c r="K1199" t="s">
        <v>37</v>
      </c>
    </row>
    <row r="1200" spans="1:11" ht="20" customHeight="1">
      <c r="A1200" t="s">
        <v>22</v>
      </c>
      <c r="B1200" t="s">
        <v>3629</v>
      </c>
      <c r="C1200">
        <v>135.4900054931641</v>
      </c>
      <c r="D1200">
        <v>138.1199951171875</v>
      </c>
      <c r="E1200">
        <v>135.3999938964844</v>
      </c>
      <c r="F1200">
        <v>137.3800048828125</v>
      </c>
      <c r="G1200">
        <v>137.0344085693359</v>
      </c>
      <c r="H1200">
        <v>197663100</v>
      </c>
      <c r="I1200" t="s">
        <v>3630</v>
      </c>
      <c r="J1200" t="s">
        <v>3631</v>
      </c>
      <c r="K1200" t="s">
        <v>37</v>
      </c>
    </row>
    <row r="1201" spans="1:11" ht="20" customHeight="1">
      <c r="A1201" t="s">
        <v>22</v>
      </c>
      <c r="B1201" t="s">
        <v>3632</v>
      </c>
      <c r="C1201">
        <v>138.7799987792969</v>
      </c>
      <c r="D1201">
        <v>142</v>
      </c>
      <c r="E1201">
        <v>137.9499969482422</v>
      </c>
      <c r="F1201">
        <v>141.2200012207031</v>
      </c>
      <c r="G1201">
        <v>140.86474609375</v>
      </c>
      <c r="H1201">
        <v>225578800</v>
      </c>
      <c r="I1201" t="s">
        <v>3633</v>
      </c>
      <c r="J1201" t="s">
        <v>3634</v>
      </c>
      <c r="K1201" t="s">
        <v>37</v>
      </c>
    </row>
    <row r="1202" spans="1:11" ht="20" customHeight="1">
      <c r="A1202" t="s">
        <v>22</v>
      </c>
      <c r="B1202" t="s">
        <v>3635</v>
      </c>
      <c r="C1202">
        <v>142.1900024414062</v>
      </c>
      <c r="D1202">
        <v>142.3899993896484</v>
      </c>
      <c r="E1202">
        <v>139.5399932861328</v>
      </c>
      <c r="F1202">
        <v>141.9199981689453</v>
      </c>
      <c r="G1202">
        <v>141.56298828125</v>
      </c>
      <c r="H1202">
        <v>167120800</v>
      </c>
      <c r="I1202" t="s">
        <v>3636</v>
      </c>
      <c r="J1202" t="s">
        <v>3637</v>
      </c>
      <c r="K1202" t="s">
        <v>37</v>
      </c>
    </row>
    <row r="1203" spans="1:11" ht="20" customHeight="1">
      <c r="A1203" t="s">
        <v>22</v>
      </c>
      <c r="B1203" t="s">
        <v>3638</v>
      </c>
      <c r="C1203">
        <v>142.1699981689453</v>
      </c>
      <c r="D1203">
        <v>144</v>
      </c>
      <c r="E1203">
        <v>138.8300018310547</v>
      </c>
      <c r="F1203">
        <v>139.9900054931641</v>
      </c>
      <c r="G1203">
        <v>139.6378479003906</v>
      </c>
      <c r="H1203">
        <v>231397900</v>
      </c>
      <c r="I1203" t="s">
        <v>3639</v>
      </c>
      <c r="J1203" t="s">
        <v>3640</v>
      </c>
      <c r="K1203" t="s">
        <v>37</v>
      </c>
    </row>
    <row r="1204" spans="1:11" ht="20" customHeight="1">
      <c r="A1204" t="s">
        <v>22</v>
      </c>
      <c r="B1204" t="s">
        <v>3641</v>
      </c>
      <c r="C1204">
        <v>142.5099945068359</v>
      </c>
      <c r="D1204">
        <v>143.2700042724609</v>
      </c>
      <c r="E1204">
        <v>141.5099945068359</v>
      </c>
      <c r="F1204">
        <v>141.7200012207031</v>
      </c>
      <c r="G1204">
        <v>141.3634948730469</v>
      </c>
      <c r="H1204">
        <v>153986200</v>
      </c>
      <c r="I1204" t="s">
        <v>3642</v>
      </c>
      <c r="J1204" t="s">
        <v>3643</v>
      </c>
      <c r="K1204" t="s">
        <v>37</v>
      </c>
    </row>
    <row r="1205" spans="1:11" ht="20" customHeight="1">
      <c r="A1205" t="s">
        <v>22</v>
      </c>
      <c r="B1205" t="s">
        <v>3644</v>
      </c>
      <c r="C1205">
        <v>143.1900024414062</v>
      </c>
      <c r="D1205">
        <v>145</v>
      </c>
      <c r="E1205">
        <v>141.9400024414062</v>
      </c>
      <c r="F1205">
        <v>142.6300048828125</v>
      </c>
      <c r="G1205">
        <v>142.2712097167969</v>
      </c>
      <c r="H1205">
        <v>185114500</v>
      </c>
      <c r="I1205" t="s">
        <v>3645</v>
      </c>
      <c r="J1205" t="s">
        <v>3646</v>
      </c>
      <c r="K1205" t="s">
        <v>37</v>
      </c>
    </row>
    <row r="1206" spans="1:11" ht="20" customHeight="1">
      <c r="A1206" t="s">
        <v>22</v>
      </c>
      <c r="B1206" t="s">
        <v>3647</v>
      </c>
      <c r="C1206">
        <v>142.6900024414062</v>
      </c>
      <c r="D1206">
        <v>144.2899932861328</v>
      </c>
      <c r="E1206">
        <v>141.5299987792969</v>
      </c>
      <c r="F1206">
        <v>143.9600067138672</v>
      </c>
      <c r="G1206">
        <v>143.5978698730469</v>
      </c>
      <c r="H1206">
        <v>155881900</v>
      </c>
      <c r="I1206" t="s">
        <v>3648</v>
      </c>
      <c r="J1206" t="s">
        <v>3649</v>
      </c>
      <c r="K1206" t="s">
        <v>37</v>
      </c>
    </row>
    <row r="1207" spans="1:11" ht="20" customHeight="1">
      <c r="A1207" t="s">
        <v>22</v>
      </c>
      <c r="B1207" t="s">
        <v>3650</v>
      </c>
      <c r="C1207">
        <v>144.6100006103516</v>
      </c>
      <c r="D1207">
        <v>144.9900054931641</v>
      </c>
      <c r="E1207">
        <v>141.8699951171875</v>
      </c>
      <c r="F1207">
        <v>142.8300018310547</v>
      </c>
      <c r="G1207">
        <v>142.4805755615234</v>
      </c>
      <c r="H1207">
        <v>167694000</v>
      </c>
      <c r="I1207" t="s">
        <v>3651</v>
      </c>
      <c r="J1207" t="s">
        <v>3652</v>
      </c>
      <c r="K1207" t="s">
        <v>37</v>
      </c>
    </row>
    <row r="1208" spans="1:11" ht="20" customHeight="1">
      <c r="A1208" t="s">
        <v>22</v>
      </c>
      <c r="B1208" t="s">
        <v>3653</v>
      </c>
      <c r="C1208">
        <v>141.9700012207031</v>
      </c>
      <c r="D1208">
        <v>145</v>
      </c>
      <c r="E1208">
        <v>141.8500061035156</v>
      </c>
      <c r="F1208">
        <v>145</v>
      </c>
      <c r="G1208">
        <v>144.6452789306641</v>
      </c>
      <c r="H1208">
        <v>162365000</v>
      </c>
      <c r="I1208" t="s">
        <v>3654</v>
      </c>
      <c r="J1208" t="s">
        <v>3655</v>
      </c>
      <c r="K1208" t="s">
        <v>37</v>
      </c>
    </row>
    <row r="1209" spans="1:11" ht="20" customHeight="1">
      <c r="A1209" t="s">
        <v>22</v>
      </c>
      <c r="B1209" t="s">
        <v>3656</v>
      </c>
      <c r="C1209">
        <v>142.4799957275391</v>
      </c>
      <c r="D1209">
        <v>143.5800018310547</v>
      </c>
      <c r="E1209">
        <v>140.8500061035156</v>
      </c>
      <c r="F1209">
        <v>141.9700012207031</v>
      </c>
      <c r="G1209">
        <v>141.6226806640625</v>
      </c>
      <c r="H1209">
        <v>180820600</v>
      </c>
      <c r="I1209" t="s">
        <v>3657</v>
      </c>
      <c r="J1209" t="s">
        <v>3658</v>
      </c>
      <c r="K1209" t="s">
        <v>37</v>
      </c>
    </row>
    <row r="1210" spans="1:11" ht="20" customHeight="1">
      <c r="A1210" t="s">
        <v>22</v>
      </c>
      <c r="B1210" t="s">
        <v>3659</v>
      </c>
      <c r="C1210">
        <v>143.3500061035156</v>
      </c>
      <c r="D1210">
        <v>146.1799926757812</v>
      </c>
      <c r="E1210">
        <v>143.1999969482422</v>
      </c>
      <c r="F1210">
        <v>144.6900024414062</v>
      </c>
      <c r="G1210">
        <v>144.3360443115234</v>
      </c>
      <c r="H1210">
        <v>183133700</v>
      </c>
      <c r="I1210" t="s">
        <v>3660</v>
      </c>
      <c r="J1210" t="s">
        <v>3661</v>
      </c>
      <c r="K1210" t="s">
        <v>37</v>
      </c>
    </row>
    <row r="1211" spans="1:11" ht="20" customHeight="1">
      <c r="A1211" t="s">
        <v>22</v>
      </c>
      <c r="B1211" t="s">
        <v>3662</v>
      </c>
      <c r="C1211">
        <v>144.4900054931641</v>
      </c>
      <c r="D1211">
        <v>145.2200012207031</v>
      </c>
      <c r="E1211">
        <v>143.7799987792969</v>
      </c>
      <c r="F1211">
        <v>144.1199951171875</v>
      </c>
      <c r="G1211">
        <v>143.7674255371094</v>
      </c>
      <c r="H1211">
        <v>139108000</v>
      </c>
      <c r="I1211" t="s">
        <v>3663</v>
      </c>
      <c r="J1211" t="s">
        <v>3664</v>
      </c>
      <c r="K1211" t="s">
        <v>37</v>
      </c>
    </row>
    <row r="1212" spans="1:11" ht="20" customHeight="1">
      <c r="A1212" t="s">
        <v>22</v>
      </c>
      <c r="B1212" t="s">
        <v>3665</v>
      </c>
      <c r="C1212">
        <v>144.0099945068359</v>
      </c>
      <c r="D1212">
        <v>145.6499938964844</v>
      </c>
      <c r="E1212">
        <v>143.1199951171875</v>
      </c>
      <c r="F1212">
        <v>145.4799957275391</v>
      </c>
      <c r="G1212">
        <v>145.1240997314453</v>
      </c>
      <c r="H1212">
        <v>161494100</v>
      </c>
      <c r="I1212" t="s">
        <v>3666</v>
      </c>
      <c r="J1212" t="s">
        <v>3667</v>
      </c>
      <c r="K1212" t="s">
        <v>37</v>
      </c>
    </row>
    <row r="1213" spans="1:11" ht="20" customHeight="1">
      <c r="A1213" t="s">
        <v>22</v>
      </c>
      <c r="B1213" t="s">
        <v>3668</v>
      </c>
      <c r="C1213">
        <v>145.4499969482422</v>
      </c>
      <c r="D1213">
        <v>146.1999969482422</v>
      </c>
      <c r="E1213">
        <v>142.6499938964844</v>
      </c>
      <c r="F1213">
        <v>143.8500061035156</v>
      </c>
      <c r="G1213">
        <v>143.4981079101562</v>
      </c>
      <c r="H1213">
        <v>242956200</v>
      </c>
      <c r="I1213" t="s">
        <v>3669</v>
      </c>
      <c r="J1213" t="s">
        <v>3670</v>
      </c>
      <c r="K1213" t="s">
        <v>37</v>
      </c>
    </row>
    <row r="1214" spans="1:11" ht="20" customHeight="1">
      <c r="A1214" t="s">
        <v>22</v>
      </c>
      <c r="B1214" t="s">
        <v>3671</v>
      </c>
      <c r="C1214">
        <v>142.5</v>
      </c>
      <c r="D1214">
        <v>144.7799987792969</v>
      </c>
      <c r="E1214">
        <v>142.0299987792969</v>
      </c>
      <c r="F1214">
        <v>144.1699981689453</v>
      </c>
      <c r="G1214">
        <v>143.8173065185547</v>
      </c>
      <c r="H1214">
        <v>154308900</v>
      </c>
      <c r="I1214" t="s">
        <v>3672</v>
      </c>
      <c r="J1214" t="s">
        <v>3673</v>
      </c>
      <c r="K1214" t="s">
        <v>37</v>
      </c>
    </row>
    <row r="1215" spans="1:11" ht="20" customHeight="1">
      <c r="A1215" t="s">
        <v>22</v>
      </c>
      <c r="B1215" t="s">
        <v>3674</v>
      </c>
      <c r="C1215">
        <v>145.5599975585938</v>
      </c>
      <c r="D1215">
        <v>147.9600067138672</v>
      </c>
      <c r="E1215">
        <v>145.5</v>
      </c>
      <c r="F1215">
        <v>147.8999938964844</v>
      </c>
      <c r="G1215">
        <v>147.5381774902344</v>
      </c>
      <c r="H1215">
        <v>187566100</v>
      </c>
      <c r="I1215" t="s">
        <v>3675</v>
      </c>
      <c r="J1215" t="s">
        <v>3676</v>
      </c>
      <c r="K1215" t="s">
        <v>37</v>
      </c>
    </row>
    <row r="1216" spans="1:11" ht="20" customHeight="1">
      <c r="A1216" t="s">
        <v>22</v>
      </c>
      <c r="B1216" t="s">
        <v>3677</v>
      </c>
      <c r="C1216">
        <v>149.2700042724609</v>
      </c>
      <c r="D1216">
        <v>154.4499969482422</v>
      </c>
      <c r="E1216">
        <v>149.2599945068359</v>
      </c>
      <c r="F1216">
        <v>154.3099975585938</v>
      </c>
      <c r="G1216">
        <v>153.9324951171875</v>
      </c>
      <c r="H1216">
        <v>269146500</v>
      </c>
      <c r="I1216" t="s">
        <v>3678</v>
      </c>
      <c r="J1216" t="s">
        <v>3679</v>
      </c>
      <c r="K1216" t="s">
        <v>37</v>
      </c>
    </row>
    <row r="1217" spans="1:11" ht="20" customHeight="1">
      <c r="A1217" t="s">
        <v>22</v>
      </c>
      <c r="B1217" t="s">
        <v>3680</v>
      </c>
      <c r="C1217">
        <v>155.9799957275391</v>
      </c>
      <c r="D1217">
        <v>156.7200012207031</v>
      </c>
      <c r="E1217">
        <v>154</v>
      </c>
      <c r="F1217">
        <v>155.0200042724609</v>
      </c>
      <c r="G1217">
        <v>154.6407775878906</v>
      </c>
      <c r="H1217">
        <v>198145700</v>
      </c>
      <c r="I1217" t="s">
        <v>3681</v>
      </c>
      <c r="J1217" t="s">
        <v>3682</v>
      </c>
      <c r="K1217" t="s">
        <v>37</v>
      </c>
    </row>
    <row r="1218" spans="1:11" ht="20" customHeight="1">
      <c r="A1218" t="s">
        <v>22</v>
      </c>
      <c r="B1218" t="s">
        <v>3683</v>
      </c>
      <c r="C1218">
        <v>156.0399932861328</v>
      </c>
      <c r="D1218">
        <v>158.7100067138672</v>
      </c>
      <c r="E1218">
        <v>155.2599945068359</v>
      </c>
      <c r="F1218">
        <v>157.75</v>
      </c>
      <c r="G1218">
        <v>157.3640899658203</v>
      </c>
      <c r="H1218">
        <v>263234500</v>
      </c>
      <c r="I1218" t="s">
        <v>3684</v>
      </c>
      <c r="J1218" t="s">
        <v>3685</v>
      </c>
      <c r="K1218" t="s">
        <v>37</v>
      </c>
    </row>
    <row r="1219" spans="1:11" ht="20" customHeight="1">
      <c r="A1219" t="s">
        <v>22</v>
      </c>
      <c r="B1219" t="s">
        <v>3686</v>
      </c>
      <c r="C1219">
        <v>158.3999938964844</v>
      </c>
      <c r="D1219">
        <v>158.6600036621094</v>
      </c>
      <c r="E1219">
        <v>155.9600067138672</v>
      </c>
      <c r="F1219">
        <v>157.9900054931641</v>
      </c>
      <c r="G1219">
        <v>157.603515625</v>
      </c>
      <c r="H1219">
        <v>194580300</v>
      </c>
      <c r="I1219" t="s">
        <v>3687</v>
      </c>
      <c r="J1219" t="s">
        <v>3688</v>
      </c>
      <c r="K1219" t="s">
        <v>37</v>
      </c>
    </row>
    <row r="1220" spans="1:11" ht="20" customHeight="1">
      <c r="A1220" t="s">
        <v>22</v>
      </c>
      <c r="B1220" t="s">
        <v>3689</v>
      </c>
      <c r="C1220">
        <v>156.2899932861328</v>
      </c>
      <c r="D1220">
        <v>157.1999969482422</v>
      </c>
      <c r="E1220">
        <v>151.4900054931641</v>
      </c>
      <c r="F1220">
        <v>153.3000030517578</v>
      </c>
      <c r="G1220">
        <v>152.9249725341797</v>
      </c>
      <c r="H1220">
        <v>213143600</v>
      </c>
      <c r="I1220" t="s">
        <v>3690</v>
      </c>
      <c r="J1220" t="s">
        <v>3691</v>
      </c>
      <c r="K1220" t="s">
        <v>37</v>
      </c>
    </row>
    <row r="1221" spans="1:11" ht="20" customHeight="1">
      <c r="A1221" t="s">
        <v>22</v>
      </c>
      <c r="B1221" t="s">
        <v>3692</v>
      </c>
      <c r="C1221">
        <v>152.9799957275391</v>
      </c>
      <c r="D1221">
        <v>157.6000061035156</v>
      </c>
      <c r="E1221">
        <v>152.9700012207031</v>
      </c>
      <c r="F1221">
        <v>157.25</v>
      </c>
      <c r="G1221">
        <v>156.8653259277344</v>
      </c>
      <c r="H1221">
        <v>171224100</v>
      </c>
      <c r="I1221" t="s">
        <v>3693</v>
      </c>
      <c r="J1221" t="s">
        <v>3694</v>
      </c>
      <c r="K1221" t="s">
        <v>37</v>
      </c>
    </row>
    <row r="1222" spans="1:11" ht="20" customHeight="1">
      <c r="A1222" t="s">
        <v>22</v>
      </c>
      <c r="B1222" t="s">
        <v>3695</v>
      </c>
      <c r="C1222">
        <v>158.3699951171875</v>
      </c>
      <c r="D1222">
        <v>160.9799957275391</v>
      </c>
      <c r="E1222">
        <v>157.7700042724609</v>
      </c>
      <c r="F1222">
        <v>159.3399963378906</v>
      </c>
      <c r="G1222">
        <v>158.9501953125</v>
      </c>
      <c r="H1222">
        <v>143716100</v>
      </c>
      <c r="I1222" t="s">
        <v>3696</v>
      </c>
      <c r="J1222" t="s">
        <v>3697</v>
      </c>
      <c r="K1222" t="s">
        <v>37</v>
      </c>
    </row>
    <row r="1223" spans="1:11" ht="20" customHeight="1">
      <c r="A1223" t="s">
        <v>22</v>
      </c>
      <c r="B1223" t="s">
        <v>3698</v>
      </c>
      <c r="C1223">
        <v>158.1999969482422</v>
      </c>
      <c r="D1223">
        <v>159.3099975585938</v>
      </c>
      <c r="E1223">
        <v>157.3399963378906</v>
      </c>
      <c r="F1223">
        <v>158.2400054931641</v>
      </c>
      <c r="G1223">
        <v>157.8529052734375</v>
      </c>
      <c r="H1223">
        <v>140139000</v>
      </c>
      <c r="I1223" t="s">
        <v>3699</v>
      </c>
      <c r="J1223" t="s">
        <v>3700</v>
      </c>
      <c r="K1223" t="s">
        <v>37</v>
      </c>
    </row>
    <row r="1224" spans="1:11" ht="20" customHeight="1">
      <c r="A1224" t="s">
        <v>22</v>
      </c>
      <c r="B1224" t="s">
        <v>3701</v>
      </c>
      <c r="C1224">
        <v>159.3300018310547</v>
      </c>
      <c r="D1224">
        <v>160.2200012207031</v>
      </c>
      <c r="E1224">
        <v>158.3899993896484</v>
      </c>
      <c r="F1224">
        <v>160</v>
      </c>
      <c r="G1224">
        <v>159.6085815429688</v>
      </c>
      <c r="H1224">
        <v>138133000</v>
      </c>
      <c r="I1224" t="s">
        <v>3702</v>
      </c>
      <c r="J1224" t="s">
        <v>3703</v>
      </c>
      <c r="K1224" t="s">
        <v>37</v>
      </c>
    </row>
    <row r="1225" spans="1:11" ht="20" customHeight="1">
      <c r="A1225" t="s">
        <v>22</v>
      </c>
      <c r="B1225" t="s">
        <v>3704</v>
      </c>
      <c r="C1225">
        <v>161.2200012207031</v>
      </c>
      <c r="D1225">
        <v>164.4199981689453</v>
      </c>
      <c r="E1225">
        <v>161.1600036621094</v>
      </c>
      <c r="F1225">
        <v>162.8800048828125</v>
      </c>
      <c r="G1225">
        <v>162.4815521240234</v>
      </c>
      <c r="H1225">
        <v>183656400</v>
      </c>
      <c r="I1225" t="s">
        <v>3705</v>
      </c>
      <c r="J1225" t="s">
        <v>3706</v>
      </c>
      <c r="K1225" t="s">
        <v>37</v>
      </c>
    </row>
    <row r="1226" spans="1:11" ht="20" customHeight="1">
      <c r="A1226" t="s">
        <v>22</v>
      </c>
      <c r="B1226" t="s">
        <v>3707</v>
      </c>
      <c r="C1226">
        <v>164.3200073242188</v>
      </c>
      <c r="D1226">
        <v>164.5</v>
      </c>
      <c r="E1226">
        <v>161.6100006103516</v>
      </c>
      <c r="F1226">
        <v>164.1000061035156</v>
      </c>
      <c r="G1226">
        <v>163.6985626220703</v>
      </c>
      <c r="H1226">
        <v>167704100</v>
      </c>
      <c r="I1226" t="s">
        <v>3708</v>
      </c>
      <c r="J1226" t="s">
        <v>3709</v>
      </c>
      <c r="K1226" t="s">
        <v>37</v>
      </c>
    </row>
    <row r="1227" spans="1:11" ht="20" customHeight="1">
      <c r="A1227" t="s">
        <v>22</v>
      </c>
      <c r="B1227" t="s">
        <v>3710</v>
      </c>
      <c r="C1227">
        <v>163.7200012207031</v>
      </c>
      <c r="D1227">
        <v>167.8899993896484</v>
      </c>
      <c r="E1227">
        <v>163.4700012207031</v>
      </c>
      <c r="F1227">
        <v>164.9199981689453</v>
      </c>
      <c r="G1227">
        <v>164.5165405273438</v>
      </c>
      <c r="H1227">
        <v>193633300</v>
      </c>
      <c r="I1227" t="s">
        <v>3711</v>
      </c>
      <c r="J1227" t="s">
        <v>3712</v>
      </c>
      <c r="K1227" t="s">
        <v>37</v>
      </c>
    </row>
    <row r="1228" spans="1:11" ht="20" customHeight="1">
      <c r="A1228" t="s">
        <v>22</v>
      </c>
      <c r="B1228" t="s">
        <v>3713</v>
      </c>
      <c r="C1228">
        <v>165.3699951171875</v>
      </c>
      <c r="D1228">
        <v>165.4900054931641</v>
      </c>
      <c r="E1228">
        <v>162.0200042724609</v>
      </c>
      <c r="F1228">
        <v>164.0700073242188</v>
      </c>
      <c r="G1228">
        <v>163.6686401367188</v>
      </c>
      <c r="H1228">
        <v>136975800</v>
      </c>
      <c r="I1228" t="s">
        <v>3714</v>
      </c>
      <c r="J1228" t="s">
        <v>3715</v>
      </c>
      <c r="K1228" t="s">
        <v>37</v>
      </c>
    </row>
    <row r="1229" spans="1:11" ht="20" customHeight="1">
      <c r="A1229" t="s">
        <v>22</v>
      </c>
      <c r="B1229" t="s">
        <v>3716</v>
      </c>
      <c r="C1229">
        <v>171.1900024414062</v>
      </c>
      <c r="D1229">
        <v>172.3999938964844</v>
      </c>
      <c r="E1229">
        <v>169.1999969482422</v>
      </c>
      <c r="F1229">
        <v>170.6999969482422</v>
      </c>
      <c r="G1229">
        <v>170.2824249267578</v>
      </c>
      <c r="H1229">
        <v>230627400</v>
      </c>
      <c r="I1229" t="s">
        <v>3717</v>
      </c>
      <c r="J1229" t="s">
        <v>3718</v>
      </c>
      <c r="K1229" t="s">
        <v>37</v>
      </c>
    </row>
    <row r="1230" spans="1:11" ht="20" customHeight="1">
      <c r="A1230" t="s">
        <v>22</v>
      </c>
      <c r="B1230" t="s">
        <v>3719</v>
      </c>
      <c r="C1230">
        <v>171.0599975585938</v>
      </c>
      <c r="D1230">
        <v>171.75</v>
      </c>
      <c r="E1230">
        <v>168.8999938964844</v>
      </c>
      <c r="F1230">
        <v>171.3699951171875</v>
      </c>
      <c r="G1230">
        <v>170.9507598876953</v>
      </c>
      <c r="H1230">
        <v>158831500</v>
      </c>
      <c r="I1230" t="s">
        <v>3720</v>
      </c>
      <c r="J1230" t="s">
        <v>3721</v>
      </c>
      <c r="K1230" t="s">
        <v>37</v>
      </c>
    </row>
    <row r="1231" spans="1:11" ht="20" customHeight="1">
      <c r="A1231" t="s">
        <v>22</v>
      </c>
      <c r="B1231" t="s">
        <v>3722</v>
      </c>
      <c r="C1231">
        <v>172.0200042724609</v>
      </c>
      <c r="D1231">
        <v>174.1600036621094</v>
      </c>
      <c r="E1231">
        <v>170.8300018310547</v>
      </c>
      <c r="F1231">
        <v>173</v>
      </c>
      <c r="G1231">
        <v>172.5767669677734</v>
      </c>
      <c r="H1231">
        <v>160841100</v>
      </c>
      <c r="I1231" t="s">
        <v>3723</v>
      </c>
      <c r="J1231" t="s">
        <v>3724</v>
      </c>
      <c r="K1231" t="s">
        <v>37</v>
      </c>
    </row>
    <row r="1232" spans="1:11" ht="20" customHeight="1">
      <c r="A1232" t="s">
        <v>22</v>
      </c>
      <c r="B1232" t="s">
        <v>3725</v>
      </c>
      <c r="C1232">
        <v>173.6399993896484</v>
      </c>
      <c r="D1232">
        <v>174.25</v>
      </c>
      <c r="E1232">
        <v>171.2599945068359</v>
      </c>
      <c r="F1232">
        <v>172.4100036621094</v>
      </c>
      <c r="G1232">
        <v>171.9882202148438</v>
      </c>
      <c r="H1232">
        <v>146456400</v>
      </c>
      <c r="I1232" t="s">
        <v>3726</v>
      </c>
      <c r="J1232" t="s">
        <v>3727</v>
      </c>
      <c r="K1232" t="s">
        <v>37</v>
      </c>
    </row>
    <row r="1233" spans="1:11" ht="20" customHeight="1">
      <c r="A1233" t="s">
        <v>22</v>
      </c>
      <c r="B1233" t="s">
        <v>3728</v>
      </c>
      <c r="C1233">
        <v>172.75</v>
      </c>
      <c r="D1233">
        <v>173.3800048828125</v>
      </c>
      <c r="E1233">
        <v>171</v>
      </c>
      <c r="F1233">
        <v>171.3800048828125</v>
      </c>
      <c r="G1233">
        <v>170.9607391357422</v>
      </c>
      <c r="H1233">
        <v>123126100</v>
      </c>
      <c r="I1233" t="s">
        <v>3729</v>
      </c>
      <c r="J1233" t="s">
        <v>3730</v>
      </c>
      <c r="K1233" t="s">
        <v>37</v>
      </c>
    </row>
    <row r="1234" spans="1:11" ht="20" customHeight="1">
      <c r="A1234" t="s">
        <v>22</v>
      </c>
      <c r="B1234" t="s">
        <v>3731</v>
      </c>
      <c r="C1234">
        <v>171.3399963378906</v>
      </c>
      <c r="D1234">
        <v>171.3899993896484</v>
      </c>
      <c r="E1234">
        <v>164.5800018310547</v>
      </c>
      <c r="F1234">
        <v>167.0299987792969</v>
      </c>
      <c r="G1234">
        <v>166.6213836669922</v>
      </c>
      <c r="H1234">
        <v>193114300</v>
      </c>
      <c r="I1234" t="s">
        <v>3732</v>
      </c>
      <c r="J1234" t="s">
        <v>3733</v>
      </c>
      <c r="K1234" t="s">
        <v>37</v>
      </c>
    </row>
    <row r="1235" spans="1:11" ht="20" customHeight="1">
      <c r="A1235" t="s">
        <v>22</v>
      </c>
      <c r="B1235" t="s">
        <v>3734</v>
      </c>
      <c r="C1235">
        <v>169.5299987792969</v>
      </c>
      <c r="D1235">
        <v>171.2599945068359</v>
      </c>
      <c r="E1235">
        <v>167.9700012207031</v>
      </c>
      <c r="F1235">
        <v>170.7799987792969</v>
      </c>
      <c r="G1235">
        <v>170.3622131347656</v>
      </c>
      <c r="H1235">
        <v>154082200</v>
      </c>
      <c r="I1235" t="s">
        <v>3735</v>
      </c>
      <c r="J1235" t="s">
        <v>3736</v>
      </c>
      <c r="K1235" t="s">
        <v>37</v>
      </c>
    </row>
    <row r="1236" spans="1:11" ht="20" customHeight="1">
      <c r="A1236" t="s">
        <v>22</v>
      </c>
      <c r="B1236" t="s">
        <v>3737</v>
      </c>
      <c r="C1236">
        <v>172.4400024414062</v>
      </c>
      <c r="D1236">
        <v>173.8300018310547</v>
      </c>
      <c r="E1236">
        <v>171.3000030517578</v>
      </c>
      <c r="F1236">
        <v>173.7400054931641</v>
      </c>
      <c r="G1236">
        <v>173.3149871826172</v>
      </c>
      <c r="H1236">
        <v>128984600</v>
      </c>
      <c r="I1236" t="s">
        <v>3738</v>
      </c>
      <c r="J1236" t="s">
        <v>3739</v>
      </c>
      <c r="K1236" t="s">
        <v>37</v>
      </c>
    </row>
    <row r="1237" spans="1:11" ht="20" customHeight="1">
      <c r="A1237" t="s">
        <v>22</v>
      </c>
      <c r="B1237" t="s">
        <v>3740</v>
      </c>
      <c r="C1237">
        <v>173.6100006103516</v>
      </c>
      <c r="D1237">
        <v>174.7200012207031</v>
      </c>
      <c r="E1237">
        <v>172.9600067138672</v>
      </c>
      <c r="F1237">
        <v>173.5</v>
      </c>
      <c r="G1237">
        <v>173.0755767822266</v>
      </c>
      <c r="H1237">
        <v>122316800</v>
      </c>
      <c r="I1237" t="s">
        <v>3741</v>
      </c>
      <c r="J1237" t="s">
        <v>3742</v>
      </c>
      <c r="K1237" t="s">
        <v>37</v>
      </c>
    </row>
    <row r="1238" spans="1:11" ht="20" customHeight="1">
      <c r="A1238" t="s">
        <v>22</v>
      </c>
      <c r="B1238" t="s">
        <v>3743</v>
      </c>
      <c r="C1238">
        <v>174.0200042724609</v>
      </c>
      <c r="D1238">
        <v>177</v>
      </c>
      <c r="E1238">
        <v>173.9700012207031</v>
      </c>
      <c r="F1238">
        <v>176.75</v>
      </c>
      <c r="G1238">
        <v>176.317626953125</v>
      </c>
      <c r="H1238">
        <v>140023500</v>
      </c>
      <c r="I1238" t="s">
        <v>3744</v>
      </c>
      <c r="J1238" t="s">
        <v>3745</v>
      </c>
      <c r="K1238" t="s">
        <v>37</v>
      </c>
    </row>
    <row r="1239" spans="1:11" ht="20" customHeight="1">
      <c r="A1239" t="s">
        <v>22</v>
      </c>
      <c r="B1239" t="s">
        <v>3746</v>
      </c>
      <c r="C1239">
        <v>177.9600067138672</v>
      </c>
      <c r="D1239">
        <v>179.3800048828125</v>
      </c>
      <c r="E1239">
        <v>175.0200042724609</v>
      </c>
      <c r="F1239">
        <v>175.5099945068359</v>
      </c>
      <c r="G1239">
        <v>175.0806274414062</v>
      </c>
      <c r="H1239">
        <v>154077500</v>
      </c>
      <c r="I1239" t="s">
        <v>3747</v>
      </c>
      <c r="J1239" t="s">
        <v>3748</v>
      </c>
      <c r="K1239" t="s">
        <v>37</v>
      </c>
    </row>
    <row r="1240" spans="1:11" ht="20" customHeight="1">
      <c r="A1240" t="s">
        <v>22</v>
      </c>
      <c r="B1240" t="s">
        <v>3749</v>
      </c>
      <c r="C1240">
        <v>176.5099945068359</v>
      </c>
      <c r="D1240">
        <v>179.8899993896484</v>
      </c>
      <c r="E1240">
        <v>176.0399932861328</v>
      </c>
      <c r="F1240">
        <v>179.2700042724609</v>
      </c>
      <c r="G1240">
        <v>178.8314514160156</v>
      </c>
      <c r="H1240">
        <v>174312200</v>
      </c>
      <c r="I1240" t="s">
        <v>3750</v>
      </c>
      <c r="J1240" t="s">
        <v>3751</v>
      </c>
      <c r="K1240" t="s">
        <v>37</v>
      </c>
    </row>
    <row r="1241" spans="1:11" ht="20" customHeight="1">
      <c r="A1241" t="s">
        <v>22</v>
      </c>
      <c r="B1241" t="s">
        <v>3752</v>
      </c>
      <c r="C1241">
        <v>182.8999938964844</v>
      </c>
      <c r="D1241">
        <v>183.3000030517578</v>
      </c>
      <c r="E1241">
        <v>175.9299926757812</v>
      </c>
      <c r="F1241">
        <v>177.8699951171875</v>
      </c>
      <c r="G1241">
        <v>177.4348602294922</v>
      </c>
      <c r="H1241">
        <v>221685400</v>
      </c>
      <c r="I1241" t="s">
        <v>3753</v>
      </c>
      <c r="J1241" t="s">
        <v>3754</v>
      </c>
      <c r="K1241" t="s">
        <v>37</v>
      </c>
    </row>
    <row r="1242" spans="1:11" ht="20" customHeight="1">
      <c r="A1242" t="s">
        <v>22</v>
      </c>
      <c r="B1242" t="s">
        <v>3755</v>
      </c>
      <c r="C1242">
        <v>174.0899963378906</v>
      </c>
      <c r="D1242">
        <v>176.5399932861328</v>
      </c>
      <c r="E1242">
        <v>170.8899993896484</v>
      </c>
      <c r="F1242">
        <v>173.7200012207031</v>
      </c>
      <c r="G1242">
        <v>173.2950439453125</v>
      </c>
      <c r="H1242">
        <v>204529000</v>
      </c>
      <c r="I1242" t="s">
        <v>3756</v>
      </c>
      <c r="J1242" t="s">
        <v>3757</v>
      </c>
      <c r="K1242" t="s">
        <v>37</v>
      </c>
    </row>
    <row r="1243" spans="1:11" ht="20" customHeight="1">
      <c r="A1243" t="s">
        <v>22</v>
      </c>
      <c r="B1243" t="s">
        <v>3758</v>
      </c>
      <c r="C1243">
        <v>175.1600036621094</v>
      </c>
      <c r="D1243">
        <v>180.1999969482422</v>
      </c>
      <c r="E1243">
        <v>174.5200042724609</v>
      </c>
      <c r="F1243">
        <v>180</v>
      </c>
      <c r="G1243">
        <v>179.5596771240234</v>
      </c>
      <c r="H1243">
        <v>148174600</v>
      </c>
      <c r="I1243" t="s">
        <v>3759</v>
      </c>
      <c r="J1243" t="s">
        <v>3760</v>
      </c>
      <c r="K1243" t="s">
        <v>37</v>
      </c>
    </row>
    <row r="1244" spans="1:11" ht="20" customHeight="1">
      <c r="A1244" t="s">
        <v>22</v>
      </c>
      <c r="B1244" t="s">
        <v>3761</v>
      </c>
      <c r="C1244">
        <v>179.6199951171875</v>
      </c>
      <c r="D1244">
        <v>180.2599945068359</v>
      </c>
      <c r="E1244">
        <v>175.8999938964844</v>
      </c>
      <c r="F1244">
        <v>178.2599945068359</v>
      </c>
      <c r="G1244">
        <v>177.8239135742188</v>
      </c>
      <c r="H1244">
        <v>156407600</v>
      </c>
      <c r="I1244" t="s">
        <v>3762</v>
      </c>
      <c r="J1244" t="s">
        <v>3763</v>
      </c>
      <c r="K1244" t="s">
        <v>37</v>
      </c>
    </row>
    <row r="1245" spans="1:11" ht="20" customHeight="1">
      <c r="A1245" t="s">
        <v>22</v>
      </c>
      <c r="B1245" t="s">
        <v>3764</v>
      </c>
      <c r="C1245">
        <v>176.3300018310547</v>
      </c>
      <c r="D1245">
        <v>179.8999938964844</v>
      </c>
      <c r="E1245">
        <v>176.25</v>
      </c>
      <c r="F1245">
        <v>179.4199981689453</v>
      </c>
      <c r="G1245">
        <v>178.9810791015625</v>
      </c>
      <c r="H1245">
        <v>137192300</v>
      </c>
      <c r="I1245" t="s">
        <v>3765</v>
      </c>
      <c r="J1245" t="s">
        <v>3766</v>
      </c>
      <c r="K1245" t="s">
        <v>37</v>
      </c>
    </row>
    <row r="1246" spans="1:11" ht="20" customHeight="1">
      <c r="A1246" t="s">
        <v>22</v>
      </c>
      <c r="B1246" t="s">
        <v>3767</v>
      </c>
      <c r="C1246">
        <v>181.5700073242188</v>
      </c>
      <c r="D1246">
        <v>183.8800048828125</v>
      </c>
      <c r="E1246">
        <v>178.8000030517578</v>
      </c>
      <c r="F1246">
        <v>180.7700042724609</v>
      </c>
      <c r="G1246">
        <v>180.3277740478516</v>
      </c>
      <c r="H1246">
        <v>151878400</v>
      </c>
      <c r="I1246" t="s">
        <v>3768</v>
      </c>
      <c r="J1246" t="s">
        <v>3769</v>
      </c>
      <c r="K1246" t="s">
        <v>37</v>
      </c>
    </row>
    <row r="1247" spans="1:11" ht="20" customHeight="1">
      <c r="A1247" t="s">
        <v>22</v>
      </c>
      <c r="B1247" t="s">
        <v>3770</v>
      </c>
      <c r="C1247">
        <v>181.5500030517578</v>
      </c>
      <c r="D1247">
        <v>183.3000030517578</v>
      </c>
      <c r="E1247">
        <v>180.3999938964844</v>
      </c>
      <c r="F1247">
        <v>182.6999969482422</v>
      </c>
      <c r="G1247">
        <v>182.2530517578125</v>
      </c>
      <c r="H1247">
        <v>123396700</v>
      </c>
      <c r="I1247" t="s">
        <v>3771</v>
      </c>
      <c r="J1247" t="s">
        <v>3772</v>
      </c>
      <c r="K1247" t="s">
        <v>37</v>
      </c>
    </row>
    <row r="1248" spans="1:11" ht="20" customHeight="1">
      <c r="A1248" t="s">
        <v>22</v>
      </c>
      <c r="B1248" t="s">
        <v>3773</v>
      </c>
      <c r="C1248">
        <v>182.0500030517578</v>
      </c>
      <c r="D1248">
        <v>183.8399963378906</v>
      </c>
      <c r="E1248">
        <v>180.25</v>
      </c>
      <c r="F1248">
        <v>182.0599975585938</v>
      </c>
      <c r="G1248">
        <v>181.6146087646484</v>
      </c>
      <c r="H1248">
        <v>138323200</v>
      </c>
      <c r="I1248" t="s">
        <v>3774</v>
      </c>
      <c r="J1248" t="s">
        <v>3775</v>
      </c>
      <c r="K1248" t="s">
        <v>37</v>
      </c>
    </row>
    <row r="1249" spans="1:11" ht="20" customHeight="1">
      <c r="A1249" t="s">
        <v>22</v>
      </c>
      <c r="B1249" t="s">
        <v>3776</v>
      </c>
      <c r="C1249">
        <v>182.9600067138672</v>
      </c>
      <c r="D1249">
        <v>184.4799957275391</v>
      </c>
      <c r="E1249">
        <v>179.4600067138672</v>
      </c>
      <c r="F1249">
        <v>183.1600036621094</v>
      </c>
      <c r="G1249">
        <v>182.7119140625</v>
      </c>
      <c r="H1249">
        <v>145485700</v>
      </c>
      <c r="I1249" t="s">
        <v>3777</v>
      </c>
      <c r="J1249" t="s">
        <v>3778</v>
      </c>
      <c r="K1249" t="s">
        <v>37</v>
      </c>
    </row>
    <row r="1250" spans="1:11" ht="20" customHeight="1">
      <c r="A1250" t="s">
        <v>22</v>
      </c>
      <c r="B1250" t="s">
        <v>3779</v>
      </c>
      <c r="C1250">
        <v>182.6199951171875</v>
      </c>
      <c r="D1250">
        <v>183.9700012207031</v>
      </c>
      <c r="E1250">
        <v>179.3500061035156</v>
      </c>
      <c r="F1250">
        <v>181.5899963378906</v>
      </c>
      <c r="G1250">
        <v>181.1457672119141</v>
      </c>
      <c r="H1250">
        <v>179871700</v>
      </c>
      <c r="I1250" t="s">
        <v>3780</v>
      </c>
      <c r="J1250" t="s">
        <v>3781</v>
      </c>
      <c r="K1250" t="s">
        <v>37</v>
      </c>
    </row>
    <row r="1251" spans="1:11" ht="20" customHeight="1">
      <c r="A1251" t="s">
        <v>22</v>
      </c>
      <c r="B1251" t="s">
        <v>3782</v>
      </c>
      <c r="C1251">
        <v>179.75</v>
      </c>
      <c r="D1251">
        <v>183.0200042724609</v>
      </c>
      <c r="E1251">
        <v>179.4600067138672</v>
      </c>
      <c r="F1251">
        <v>182.0200042724609</v>
      </c>
      <c r="G1251">
        <v>181.57470703125</v>
      </c>
      <c r="H1251">
        <v>129554000</v>
      </c>
      <c r="I1251" t="s">
        <v>3783</v>
      </c>
      <c r="J1251" t="s">
        <v>3784</v>
      </c>
      <c r="K1251" t="s">
        <v>37</v>
      </c>
    </row>
    <row r="1252" spans="1:11" ht="20" customHeight="1">
      <c r="A1252" t="s">
        <v>22</v>
      </c>
      <c r="B1252" t="s">
        <v>3785</v>
      </c>
      <c r="C1252">
        <v>181.8800048828125</v>
      </c>
      <c r="D1252">
        <v>181.8999938964844</v>
      </c>
      <c r="E1252">
        <v>178.0399932861328</v>
      </c>
      <c r="F1252">
        <v>180.4499969482422</v>
      </c>
      <c r="G1252">
        <v>180.0085601806641</v>
      </c>
      <c r="H1252">
        <v>156602200</v>
      </c>
      <c r="I1252" t="s">
        <v>3786</v>
      </c>
      <c r="J1252" t="s">
        <v>3787</v>
      </c>
      <c r="K1252" t="s">
        <v>37</v>
      </c>
    </row>
    <row r="1253" spans="1:11" ht="20" customHeight="1">
      <c r="A1253" t="s">
        <v>22</v>
      </c>
      <c r="B1253" t="s">
        <v>3788</v>
      </c>
      <c r="C1253">
        <v>180.6000061035156</v>
      </c>
      <c r="D1253">
        <v>182.9400024414062</v>
      </c>
      <c r="E1253">
        <v>180.5899963378906</v>
      </c>
      <c r="F1253">
        <v>182.0099945068359</v>
      </c>
      <c r="G1253">
        <v>181.5647277832031</v>
      </c>
      <c r="H1253">
        <v>132008000</v>
      </c>
      <c r="I1253" t="s">
        <v>3789</v>
      </c>
      <c r="J1253" t="s">
        <v>3790</v>
      </c>
      <c r="K1253" t="s">
        <v>37</v>
      </c>
    </row>
    <row r="1254" spans="1:11" ht="20" customHeight="1">
      <c r="A1254" t="s">
        <v>22</v>
      </c>
      <c r="B1254" t="s">
        <v>3791</v>
      </c>
      <c r="C1254">
        <v>182.4299926757812</v>
      </c>
      <c r="D1254">
        <v>182.5</v>
      </c>
      <c r="E1254">
        <v>175.4900054931641</v>
      </c>
      <c r="F1254">
        <v>175.6399993896484</v>
      </c>
      <c r="G1254">
        <v>175.2103271484375</v>
      </c>
      <c r="H1254">
        <v>185229200</v>
      </c>
      <c r="I1254" t="s">
        <v>3792</v>
      </c>
      <c r="J1254" t="s">
        <v>3793</v>
      </c>
      <c r="K1254" t="s">
        <v>37</v>
      </c>
    </row>
    <row r="1255" spans="1:11" ht="20" customHeight="1">
      <c r="A1255" t="s">
        <v>22</v>
      </c>
      <c r="B1255" t="s">
        <v>3794</v>
      </c>
      <c r="C1255">
        <v>175.1699981689453</v>
      </c>
      <c r="D1255">
        <v>176</v>
      </c>
      <c r="E1255">
        <v>168.8000030517578</v>
      </c>
      <c r="F1255">
        <v>175.3999938964844</v>
      </c>
      <c r="G1255">
        <v>174.9709320068359</v>
      </c>
      <c r="H1255">
        <v>215142700</v>
      </c>
      <c r="I1255" t="s">
        <v>3795</v>
      </c>
      <c r="J1255" t="s">
        <v>3796</v>
      </c>
      <c r="K1255" t="s">
        <v>37</v>
      </c>
    </row>
    <row r="1256" spans="1:11" ht="20" customHeight="1">
      <c r="A1256" t="s">
        <v>22</v>
      </c>
      <c r="B1256" t="s">
        <v>3797</v>
      </c>
      <c r="C1256">
        <v>174.8500061035156</v>
      </c>
      <c r="D1256">
        <v>176.8999938964844</v>
      </c>
      <c r="E1256">
        <v>173.8099975585938</v>
      </c>
      <c r="F1256">
        <v>174.9799957275391</v>
      </c>
      <c r="G1256">
        <v>174.5519256591797</v>
      </c>
      <c r="H1256">
        <v>140040900</v>
      </c>
      <c r="I1256" t="s">
        <v>3798</v>
      </c>
      <c r="J1256" t="s">
        <v>3799</v>
      </c>
      <c r="K1256" t="s">
        <v>37</v>
      </c>
    </row>
    <row r="1257" spans="1:11" ht="20" customHeight="1">
      <c r="A1257" t="s">
        <v>22</v>
      </c>
      <c r="B1257" t="s">
        <v>3800</v>
      </c>
      <c r="C1257">
        <v>172.6100006103516</v>
      </c>
      <c r="D1257">
        <v>178.5899963378906</v>
      </c>
      <c r="E1257">
        <v>171.1999969482422</v>
      </c>
      <c r="F1257">
        <v>177.9900054931641</v>
      </c>
      <c r="G1257">
        <v>177.5545806884766</v>
      </c>
      <c r="H1257">
        <v>172789400</v>
      </c>
      <c r="I1257" t="s">
        <v>3801</v>
      </c>
      <c r="J1257" t="s">
        <v>3802</v>
      </c>
      <c r="K1257" t="s">
        <v>37</v>
      </c>
    </row>
    <row r="1258" spans="1:11" ht="20" customHeight="1">
      <c r="A1258" t="s">
        <v>22</v>
      </c>
      <c r="B1258" t="s">
        <v>3803</v>
      </c>
      <c r="C1258">
        <v>178.3500061035156</v>
      </c>
      <c r="D1258">
        <v>181.9100036621094</v>
      </c>
      <c r="E1258">
        <v>176.5700073242188</v>
      </c>
      <c r="F1258">
        <v>179.8099975585938</v>
      </c>
      <c r="G1258">
        <v>179.3701324462891</v>
      </c>
      <c r="H1258">
        <v>163012800</v>
      </c>
      <c r="I1258" t="s">
        <v>3804</v>
      </c>
      <c r="J1258" t="s">
        <v>3805</v>
      </c>
      <c r="K1258" t="s">
        <v>37</v>
      </c>
    </row>
    <row r="1259" spans="1:11" ht="20" customHeight="1">
      <c r="A1259" t="s">
        <v>22</v>
      </c>
      <c r="B1259" t="s">
        <v>3806</v>
      </c>
      <c r="C1259">
        <v>180.0599975585938</v>
      </c>
      <c r="D1259">
        <v>182.3899993896484</v>
      </c>
      <c r="E1259">
        <v>178.8099975585938</v>
      </c>
      <c r="F1259">
        <v>181.7700042724609</v>
      </c>
      <c r="G1259">
        <v>181.3253173828125</v>
      </c>
      <c r="H1259">
        <v>168688200</v>
      </c>
      <c r="I1259" t="s">
        <v>3807</v>
      </c>
      <c r="J1259" t="s">
        <v>3808</v>
      </c>
      <c r="K1259" t="s">
        <v>37</v>
      </c>
    </row>
    <row r="1260" spans="1:11" ht="20" customHeight="1">
      <c r="A1260" t="s">
        <v>22</v>
      </c>
      <c r="B1260" t="s">
        <v>3809</v>
      </c>
      <c r="C1260">
        <v>181.9799957275391</v>
      </c>
      <c r="D1260">
        <v>182.4900054931641</v>
      </c>
      <c r="E1260">
        <v>179.1000061035156</v>
      </c>
      <c r="F1260">
        <v>181.6000061035156</v>
      </c>
      <c r="G1260">
        <v>181.15576171875</v>
      </c>
      <c r="H1260">
        <v>235518900</v>
      </c>
      <c r="I1260" t="s">
        <v>3810</v>
      </c>
      <c r="J1260" t="s">
        <v>3811</v>
      </c>
      <c r="K1260" t="s">
        <v>37</v>
      </c>
    </row>
    <row r="1261" spans="1:11" ht="20" customHeight="1">
      <c r="A1261" t="s">
        <v>22</v>
      </c>
      <c r="B1261" t="s">
        <v>3812</v>
      </c>
      <c r="C1261">
        <v>180.8200073242188</v>
      </c>
      <c r="D1261">
        <v>184.4700012207031</v>
      </c>
      <c r="E1261">
        <v>176.4100036621094</v>
      </c>
      <c r="F1261">
        <v>180.1699981689453</v>
      </c>
      <c r="G1261">
        <v>179.7292327880859</v>
      </c>
      <c r="H1261">
        <v>281787800</v>
      </c>
      <c r="I1261" t="s">
        <v>3813</v>
      </c>
      <c r="J1261" t="s">
        <v>3814</v>
      </c>
      <c r="K1261" t="s">
        <v>37</v>
      </c>
    </row>
    <row r="1262" spans="1:11" ht="20" customHeight="1">
      <c r="A1262" t="s">
        <v>22</v>
      </c>
      <c r="B1262" t="s">
        <v>3815</v>
      </c>
      <c r="C1262">
        <v>178.1100006103516</v>
      </c>
      <c r="D1262">
        <v>178.1499938964844</v>
      </c>
      <c r="E1262">
        <v>173.1499938964844</v>
      </c>
      <c r="F1262">
        <v>174.1799926757812</v>
      </c>
      <c r="G1262">
        <v>173.7538909912109</v>
      </c>
      <c r="H1262">
        <v>243257900</v>
      </c>
      <c r="I1262" t="s">
        <v>3816</v>
      </c>
      <c r="J1262" t="s">
        <v>3817</v>
      </c>
      <c r="K1262" t="s">
        <v>37</v>
      </c>
    </row>
    <row r="1263" spans="1:11" ht="20" customHeight="1">
      <c r="A1263" t="s">
        <v>22</v>
      </c>
      <c r="B1263" t="s">
        <v>3818</v>
      </c>
      <c r="C1263">
        <v>170</v>
      </c>
      <c r="D1263">
        <v>172.3800048828125</v>
      </c>
      <c r="E1263">
        <v>167.2200012207031</v>
      </c>
      <c r="F1263">
        <v>170.7799987792969</v>
      </c>
      <c r="G1263">
        <v>170.3622131347656</v>
      </c>
      <c r="H1263">
        <v>231164900</v>
      </c>
      <c r="I1263" t="s">
        <v>3819</v>
      </c>
      <c r="J1263" t="s">
        <v>3820</v>
      </c>
      <c r="K1263" t="s">
        <v>37</v>
      </c>
    </row>
    <row r="1264" spans="1:11" ht="20" customHeight="1">
      <c r="A1264" t="s">
        <v>22</v>
      </c>
      <c r="B1264" t="s">
        <v>3821</v>
      </c>
      <c r="C1264">
        <v>171.0599975585938</v>
      </c>
      <c r="D1264">
        <v>172.4100036621094</v>
      </c>
      <c r="E1264">
        <v>168.8800048828125</v>
      </c>
      <c r="F1264">
        <v>170.6199951171875</v>
      </c>
      <c r="G1264">
        <v>170.2026062011719</v>
      </c>
      <c r="H1264">
        <v>164424900</v>
      </c>
      <c r="I1264" t="s">
        <v>3822</v>
      </c>
      <c r="J1264" t="s">
        <v>3823</v>
      </c>
      <c r="K1264" t="s">
        <v>37</v>
      </c>
    </row>
    <row r="1265" spans="1:11" ht="20" customHeight="1">
      <c r="A1265" t="s">
        <v>22</v>
      </c>
      <c r="B1265" t="s">
        <v>3824</v>
      </c>
      <c r="C1265">
        <v>170.5700073242188</v>
      </c>
      <c r="D1265">
        <v>171.8600006103516</v>
      </c>
      <c r="E1265">
        <v>169.4100036621094</v>
      </c>
      <c r="F1265">
        <v>171.6600036621094</v>
      </c>
      <c r="G1265">
        <v>171.2400665283203</v>
      </c>
      <c r="H1265">
        <v>141670100</v>
      </c>
      <c r="I1265" t="s">
        <v>3825</v>
      </c>
      <c r="J1265" t="s">
        <v>3826</v>
      </c>
      <c r="K1265" t="s">
        <v>37</v>
      </c>
    </row>
    <row r="1266" spans="1:11" ht="20" customHeight="1">
      <c r="A1266" t="s">
        <v>22</v>
      </c>
      <c r="B1266" t="s">
        <v>3827</v>
      </c>
      <c r="C1266">
        <v>168.0299987792969</v>
      </c>
      <c r="D1266">
        <v>169.0299987792969</v>
      </c>
      <c r="E1266">
        <v>164.0700073242188</v>
      </c>
      <c r="F1266">
        <v>167.0200042724609</v>
      </c>
      <c r="G1266">
        <v>166.6114196777344</v>
      </c>
      <c r="H1266">
        <v>224441400</v>
      </c>
      <c r="I1266" t="s">
        <v>3828</v>
      </c>
      <c r="J1266" t="s">
        <v>3829</v>
      </c>
      <c r="K1266" t="s">
        <v>37</v>
      </c>
    </row>
    <row r="1267" spans="1:11" ht="20" customHeight="1">
      <c r="A1267" t="s">
        <v>22</v>
      </c>
      <c r="B1267" t="s">
        <v>3830</v>
      </c>
      <c r="C1267">
        <v>167.5500030517578</v>
      </c>
      <c r="D1267">
        <v>170.9600067138672</v>
      </c>
      <c r="E1267">
        <v>167.3500061035156</v>
      </c>
      <c r="F1267">
        <v>168.3099975585938</v>
      </c>
      <c r="G1267">
        <v>167.8982543945312</v>
      </c>
      <c r="H1267">
        <v>163769100</v>
      </c>
      <c r="I1267" t="s">
        <v>3831</v>
      </c>
      <c r="J1267" t="s">
        <v>3832</v>
      </c>
      <c r="K1267" t="s">
        <v>37</v>
      </c>
    </row>
    <row r="1268" spans="1:11" ht="20" customHeight="1">
      <c r="A1268" t="s">
        <v>22</v>
      </c>
      <c r="B1268" t="s">
        <v>3833</v>
      </c>
      <c r="C1268">
        <v>169.0899963378906</v>
      </c>
      <c r="D1268">
        <v>170.9799957275391</v>
      </c>
      <c r="E1268">
        <v>166.7400054931641</v>
      </c>
      <c r="F1268">
        <v>170.7599945068359</v>
      </c>
      <c r="G1268">
        <v>170.3422546386719</v>
      </c>
      <c r="H1268">
        <v>157548400</v>
      </c>
      <c r="I1268" t="s">
        <v>3834</v>
      </c>
      <c r="J1268" t="s">
        <v>3835</v>
      </c>
      <c r="K1268" t="s">
        <v>37</v>
      </c>
    </row>
    <row r="1269" spans="1:11" ht="20" customHeight="1">
      <c r="A1269" t="s">
        <v>22</v>
      </c>
      <c r="B1269" t="s">
        <v>3836</v>
      </c>
      <c r="C1269">
        <v>176.6399993896484</v>
      </c>
      <c r="D1269">
        <v>179.2899932861328</v>
      </c>
      <c r="E1269">
        <v>175.4700012207031</v>
      </c>
      <c r="F1269">
        <v>177.3300018310547</v>
      </c>
      <c r="G1269">
        <v>176.8961944580078</v>
      </c>
      <c r="H1269">
        <v>226852000</v>
      </c>
      <c r="I1269" t="s">
        <v>3837</v>
      </c>
      <c r="J1269" t="s">
        <v>3838</v>
      </c>
      <c r="K1269" t="s">
        <v>37</v>
      </c>
    </row>
    <row r="1270" spans="1:11" ht="20" customHeight="1">
      <c r="A1270" t="s">
        <v>22</v>
      </c>
      <c r="B1270" t="s">
        <v>3839</v>
      </c>
      <c r="C1270">
        <v>179.6799926757812</v>
      </c>
      <c r="D1270">
        <v>180.2799987792969</v>
      </c>
      <c r="E1270">
        <v>176.4799957275391</v>
      </c>
      <c r="F1270">
        <v>177.1699981689453</v>
      </c>
      <c r="G1270">
        <v>176.7465515136719</v>
      </c>
      <c r="H1270">
        <v>151159300</v>
      </c>
      <c r="I1270" t="s">
        <v>3840</v>
      </c>
      <c r="J1270" t="s">
        <v>3841</v>
      </c>
      <c r="K1270" t="s">
        <v>37</v>
      </c>
    </row>
    <row r="1271" spans="1:11" ht="20" customHeight="1">
      <c r="A1271" t="s">
        <v>22</v>
      </c>
      <c r="B1271" t="s">
        <v>3842</v>
      </c>
      <c r="C1271">
        <v>177.7700042724609</v>
      </c>
      <c r="D1271">
        <v>178.6000061035156</v>
      </c>
      <c r="E1271">
        <v>176.4499969482422</v>
      </c>
      <c r="F1271">
        <v>177.8200073242188</v>
      </c>
      <c r="G1271">
        <v>177.3949890136719</v>
      </c>
      <c r="H1271">
        <v>124911000</v>
      </c>
      <c r="I1271" t="s">
        <v>3843</v>
      </c>
      <c r="J1271" t="s">
        <v>3844</v>
      </c>
      <c r="K1271" t="s">
        <v>37</v>
      </c>
    </row>
    <row r="1272" spans="1:11" ht="20" customHeight="1">
      <c r="A1272" t="s">
        <v>22</v>
      </c>
      <c r="B1272" t="s">
        <v>3845</v>
      </c>
      <c r="C1272">
        <v>175.6699981689453</v>
      </c>
      <c r="D1272">
        <v>178.8500061035156</v>
      </c>
      <c r="E1272">
        <v>174.5099945068359</v>
      </c>
      <c r="F1272">
        <v>177.75</v>
      </c>
      <c r="G1272">
        <v>177.3251800537109</v>
      </c>
      <c r="H1272">
        <v>147061600</v>
      </c>
      <c r="I1272" t="s">
        <v>3846</v>
      </c>
      <c r="J1272" t="s">
        <v>3847</v>
      </c>
      <c r="K1272" t="s">
        <v>37</v>
      </c>
    </row>
    <row r="1273" spans="1:11" ht="20" customHeight="1">
      <c r="A1273" t="s">
        <v>22</v>
      </c>
      <c r="B1273" t="s">
        <v>3848</v>
      </c>
      <c r="C1273">
        <v>177</v>
      </c>
      <c r="D1273">
        <v>177.5</v>
      </c>
      <c r="E1273">
        <v>174.3800048828125</v>
      </c>
      <c r="F1273">
        <v>174.8800048828125</v>
      </c>
      <c r="G1273">
        <v>174.4620361328125</v>
      </c>
      <c r="H1273">
        <v>140737800</v>
      </c>
      <c r="I1273" t="s">
        <v>3849</v>
      </c>
      <c r="J1273" t="s">
        <v>3850</v>
      </c>
      <c r="K1273" t="s">
        <v>37</v>
      </c>
    </row>
    <row r="1274" spans="1:11" ht="20" customHeight="1">
      <c r="A1274" t="s">
        <v>22</v>
      </c>
      <c r="B1274" t="s">
        <v>3851</v>
      </c>
      <c r="C1274">
        <v>172.6399993896484</v>
      </c>
      <c r="D1274">
        <v>173.1999969482422</v>
      </c>
      <c r="E1274">
        <v>168.4100036621094</v>
      </c>
      <c r="F1274">
        <v>170.2899932861328</v>
      </c>
      <c r="G1274">
        <v>169.8829803466797</v>
      </c>
      <c r="H1274">
        <v>211843800</v>
      </c>
      <c r="I1274" t="s">
        <v>3852</v>
      </c>
      <c r="J1274" t="s">
        <v>3853</v>
      </c>
      <c r="K1274" t="s">
        <v>37</v>
      </c>
    </row>
    <row r="1275" spans="1:11" ht="20" customHeight="1">
      <c r="A1275" t="s">
        <v>22</v>
      </c>
      <c r="B1275" t="s">
        <v>3854</v>
      </c>
      <c r="C1275">
        <v>173.9799957275391</v>
      </c>
      <c r="D1275">
        <v>177.1000061035156</v>
      </c>
      <c r="E1275">
        <v>172.9600067138672</v>
      </c>
      <c r="F1275">
        <v>176.2400054931641</v>
      </c>
      <c r="G1275">
        <v>175.8187866210938</v>
      </c>
      <c r="H1275">
        <v>191763300</v>
      </c>
      <c r="I1275" t="s">
        <v>3855</v>
      </c>
      <c r="J1275" t="s">
        <v>3856</v>
      </c>
      <c r="K1275" t="s">
        <v>37</v>
      </c>
    </row>
    <row r="1276" spans="1:11" ht="20" customHeight="1">
      <c r="A1276" t="s">
        <v>22</v>
      </c>
      <c r="B1276" t="s">
        <v>3857</v>
      </c>
      <c r="C1276">
        <v>175.7700042724609</v>
      </c>
      <c r="D1276">
        <v>178.0800018310547</v>
      </c>
      <c r="E1276">
        <v>175.1799926757812</v>
      </c>
      <c r="F1276">
        <v>176.6699981689453</v>
      </c>
      <c r="G1276">
        <v>176.2477416992188</v>
      </c>
      <c r="H1276">
        <v>237182100</v>
      </c>
      <c r="I1276" t="s">
        <v>3858</v>
      </c>
      <c r="J1276" t="s">
        <v>3859</v>
      </c>
      <c r="K1276" t="s">
        <v>37</v>
      </c>
    </row>
    <row r="1277" spans="1:11" ht="20" customHeight="1">
      <c r="A1277" t="s">
        <v>22</v>
      </c>
      <c r="B1277" t="s">
        <v>3860</v>
      </c>
      <c r="C1277">
        <v>175.3000030517578</v>
      </c>
      <c r="D1277">
        <v>184.5500030517578</v>
      </c>
      <c r="E1277">
        <v>174.7100067138672</v>
      </c>
      <c r="F1277">
        <v>183.6100006103516</v>
      </c>
      <c r="G1277">
        <v>183.1711578369141</v>
      </c>
      <c r="H1277">
        <v>269637000</v>
      </c>
      <c r="I1277" t="s">
        <v>3861</v>
      </c>
      <c r="J1277" t="s">
        <v>3862</v>
      </c>
      <c r="K1277" t="s">
        <v>37</v>
      </c>
    </row>
    <row r="1278" spans="1:11" ht="20" customHeight="1">
      <c r="A1278" t="s">
        <v>22</v>
      </c>
      <c r="B1278" t="s">
        <v>3863</v>
      </c>
      <c r="C1278">
        <v>181.9700012207031</v>
      </c>
      <c r="D1278">
        <v>182.4199981689453</v>
      </c>
      <c r="E1278">
        <v>176.2100067138672</v>
      </c>
      <c r="F1278">
        <v>178.4299926757812</v>
      </c>
      <c r="G1278">
        <v>178.0035400390625</v>
      </c>
      <c r="H1278">
        <v>192559600</v>
      </c>
      <c r="I1278" t="s">
        <v>3864</v>
      </c>
      <c r="J1278" t="s">
        <v>3865</v>
      </c>
      <c r="K1278" t="s">
        <v>37</v>
      </c>
    </row>
    <row r="1279" spans="1:11" ht="20" customHeight="1">
      <c r="A1279" t="s">
        <v>22</v>
      </c>
      <c r="B1279" t="s">
        <v>3866</v>
      </c>
      <c r="C1279">
        <v>179.7700042724609</v>
      </c>
      <c r="D1279">
        <v>179.7799987792969</v>
      </c>
      <c r="E1279">
        <v>175.3999938964844</v>
      </c>
      <c r="F1279">
        <v>176.9700012207031</v>
      </c>
      <c r="G1279">
        <v>176.5470275878906</v>
      </c>
      <c r="H1279">
        <v>143564100</v>
      </c>
      <c r="I1279" t="s">
        <v>3867</v>
      </c>
      <c r="J1279" t="s">
        <v>3868</v>
      </c>
      <c r="K1279" t="s">
        <v>37</v>
      </c>
    </row>
    <row r="1280" spans="1:11" ht="20" customHeight="1">
      <c r="A1280" t="s">
        <v>22</v>
      </c>
      <c r="B1280" t="s">
        <v>3869</v>
      </c>
      <c r="C1280">
        <v>174.4799957275391</v>
      </c>
      <c r="D1280">
        <v>180.2599945068359</v>
      </c>
      <c r="E1280">
        <v>173.1300048828125</v>
      </c>
      <c r="F1280">
        <v>177.6900024414062</v>
      </c>
      <c r="G1280">
        <v>177.2653045654297</v>
      </c>
      <c r="H1280">
        <v>191586700</v>
      </c>
      <c r="I1280" t="s">
        <v>3870</v>
      </c>
      <c r="J1280" t="s">
        <v>3871</v>
      </c>
      <c r="K1280" t="s">
        <v>37</v>
      </c>
    </row>
    <row r="1281" spans="1:11" ht="20" customHeight="1">
      <c r="A1281" t="s">
        <v>22</v>
      </c>
      <c r="B1281" t="s">
        <v>3872</v>
      </c>
      <c r="C1281">
        <v>178.1699981689453</v>
      </c>
      <c r="D1281">
        <v>179.7700042724609</v>
      </c>
      <c r="E1281">
        <v>174.9299926757812</v>
      </c>
      <c r="F1281">
        <v>178.1900024414062</v>
      </c>
      <c r="G1281">
        <v>177.7640991210938</v>
      </c>
      <c r="H1281">
        <v>148573700</v>
      </c>
      <c r="I1281" t="s">
        <v>3873</v>
      </c>
      <c r="J1281" t="s">
        <v>3874</v>
      </c>
      <c r="K1281" t="s">
        <v>37</v>
      </c>
    </row>
    <row r="1282" spans="1:11" ht="20" customHeight="1">
      <c r="A1282" t="s">
        <v>22</v>
      </c>
      <c r="B1282" t="s">
        <v>3875</v>
      </c>
      <c r="C1282">
        <v>180.4299926757812</v>
      </c>
      <c r="D1282">
        <v>184</v>
      </c>
      <c r="E1282">
        <v>180.3200073242188</v>
      </c>
      <c r="F1282">
        <v>181.8500061035156</v>
      </c>
      <c r="G1282">
        <v>181.4153594970703</v>
      </c>
      <c r="H1282">
        <v>193063500</v>
      </c>
      <c r="I1282" t="s">
        <v>3876</v>
      </c>
      <c r="J1282" t="s">
        <v>3877</v>
      </c>
      <c r="K1282" t="s">
        <v>37</v>
      </c>
    </row>
    <row r="1283" spans="1:11" ht="20" customHeight="1">
      <c r="A1283" t="s">
        <v>22</v>
      </c>
      <c r="B1283" t="s">
        <v>3878</v>
      </c>
      <c r="C1283">
        <v>182.0800018310547</v>
      </c>
      <c r="D1283">
        <v>187.3500061035156</v>
      </c>
      <c r="E1283">
        <v>181.4799957275391</v>
      </c>
      <c r="F1283">
        <v>186.5800018310547</v>
      </c>
      <c r="G1283">
        <v>186.1340637207031</v>
      </c>
      <c r="H1283">
        <v>236981000</v>
      </c>
      <c r="I1283" t="s">
        <v>3879</v>
      </c>
      <c r="J1283" t="s">
        <v>3880</v>
      </c>
      <c r="K1283" t="s">
        <v>37</v>
      </c>
    </row>
    <row r="1284" spans="1:11" ht="20" customHeight="1">
      <c r="A1284" t="s">
        <v>22</v>
      </c>
      <c r="B1284" t="s">
        <v>3881</v>
      </c>
      <c r="C1284">
        <v>185.2400054931641</v>
      </c>
      <c r="D1284">
        <v>188.1399993896484</v>
      </c>
      <c r="E1284">
        <v>183.8999938964844</v>
      </c>
      <c r="F1284">
        <v>187.2400054931641</v>
      </c>
      <c r="G1284">
        <v>186.79248046875</v>
      </c>
      <c r="H1284">
        <v>173844900</v>
      </c>
      <c r="I1284" t="s">
        <v>3882</v>
      </c>
      <c r="J1284" t="s">
        <v>3883</v>
      </c>
      <c r="K1284" t="s">
        <v>37</v>
      </c>
    </row>
    <row r="1285" spans="1:11" ht="20" customHeight="1">
      <c r="A1285" t="s">
        <v>22</v>
      </c>
      <c r="B1285" t="s">
        <v>3884</v>
      </c>
      <c r="C1285">
        <v>189.6000061035156</v>
      </c>
      <c r="D1285">
        <v>191.0500030517578</v>
      </c>
      <c r="E1285">
        <v>188.0599975585938</v>
      </c>
      <c r="F1285">
        <v>188.8899993896484</v>
      </c>
      <c r="G1285">
        <v>188.4385375976562</v>
      </c>
      <c r="H1285">
        <v>136805800</v>
      </c>
      <c r="I1285" t="s">
        <v>3885</v>
      </c>
      <c r="J1285" t="s">
        <v>3886</v>
      </c>
      <c r="K1285" t="s">
        <v>37</v>
      </c>
    </row>
    <row r="1286" spans="1:11" ht="20" customHeight="1">
      <c r="A1286" t="s">
        <v>22</v>
      </c>
      <c r="B1286" t="s">
        <v>3887</v>
      </c>
      <c r="C1286">
        <v>189.1900024414062</v>
      </c>
      <c r="D1286">
        <v>190.3600006103516</v>
      </c>
      <c r="E1286">
        <v>185.3800048828125</v>
      </c>
      <c r="F1286">
        <v>187.6199951171875</v>
      </c>
      <c r="G1286">
        <v>187.1715850830078</v>
      </c>
      <c r="H1286">
        <v>137596900</v>
      </c>
      <c r="I1286" t="s">
        <v>3888</v>
      </c>
      <c r="J1286" t="s">
        <v>3889</v>
      </c>
      <c r="K1286" t="s">
        <v>37</v>
      </c>
    </row>
    <row r="1287" spans="1:11" ht="20" customHeight="1">
      <c r="A1287" t="s">
        <v>22</v>
      </c>
      <c r="B1287" t="s">
        <v>3890</v>
      </c>
      <c r="C1287">
        <v>185.5</v>
      </c>
      <c r="D1287">
        <v>187.2299957275391</v>
      </c>
      <c r="E1287">
        <v>183.3300018310547</v>
      </c>
      <c r="F1287">
        <v>185.5399932861328</v>
      </c>
      <c r="G1287">
        <v>185.0965423583984</v>
      </c>
      <c r="H1287">
        <v>157678100</v>
      </c>
      <c r="I1287" t="s">
        <v>3891</v>
      </c>
      <c r="J1287" t="s">
        <v>3892</v>
      </c>
      <c r="K1287" t="s">
        <v>37</v>
      </c>
    </row>
    <row r="1288" spans="1:11" ht="20" customHeight="1">
      <c r="A1288" t="s">
        <v>22</v>
      </c>
      <c r="B1288" t="s">
        <v>3893</v>
      </c>
      <c r="C1288">
        <v>186.2299957275391</v>
      </c>
      <c r="D1288">
        <v>189.0599975585938</v>
      </c>
      <c r="E1288">
        <v>184</v>
      </c>
      <c r="F1288">
        <v>185.0399932861328</v>
      </c>
      <c r="G1288">
        <v>184.5977325439453</v>
      </c>
      <c r="H1288">
        <v>140088000</v>
      </c>
      <c r="I1288" t="s">
        <v>3894</v>
      </c>
      <c r="J1288" t="s">
        <v>3895</v>
      </c>
      <c r="K1288" t="s">
        <v>37</v>
      </c>
    </row>
    <row r="1289" spans="1:11" ht="20" customHeight="1">
      <c r="A1289" t="s">
        <v>22</v>
      </c>
      <c r="B1289" t="s">
        <v>3896</v>
      </c>
      <c r="C1289">
        <v>186.5700073242188</v>
      </c>
      <c r="D1289">
        <v>189.6000061035156</v>
      </c>
      <c r="E1289">
        <v>186.5399932861328</v>
      </c>
      <c r="F1289">
        <v>189.1100006103516</v>
      </c>
      <c r="G1289">
        <v>188.6580047607422</v>
      </c>
      <c r="H1289">
        <v>130168900</v>
      </c>
      <c r="I1289" t="s">
        <v>3897</v>
      </c>
      <c r="J1289" t="s">
        <v>3898</v>
      </c>
      <c r="K1289" t="s">
        <v>37</v>
      </c>
    </row>
    <row r="1290" spans="1:11" ht="20" customHeight="1">
      <c r="A1290" t="s">
        <v>22</v>
      </c>
      <c r="B1290" t="s">
        <v>3899</v>
      </c>
      <c r="C1290">
        <v>192.2299957275391</v>
      </c>
      <c r="D1290">
        <v>195.3000030517578</v>
      </c>
      <c r="E1290">
        <v>191.0599975585938</v>
      </c>
      <c r="F1290">
        <v>192.5700073242188</v>
      </c>
      <c r="G1290">
        <v>192.1097412109375</v>
      </c>
      <c r="H1290">
        <v>182997200</v>
      </c>
      <c r="I1290" t="s">
        <v>3900</v>
      </c>
      <c r="J1290" t="s">
        <v>3901</v>
      </c>
      <c r="K1290" t="s">
        <v>37</v>
      </c>
    </row>
    <row r="1291" spans="1:11" ht="20" customHeight="1">
      <c r="A1291" t="s">
        <v>22</v>
      </c>
      <c r="B1291" t="s">
        <v>3902</v>
      </c>
      <c r="C1291">
        <v>193.5099945068359</v>
      </c>
      <c r="D1291">
        <v>195.6199951171875</v>
      </c>
      <c r="E1291">
        <v>182.0500030517578</v>
      </c>
      <c r="F1291">
        <v>183.1600036621094</v>
      </c>
      <c r="G1291">
        <v>182.7222290039062</v>
      </c>
      <c r="H1291">
        <v>268774400</v>
      </c>
      <c r="I1291" t="s">
        <v>3903</v>
      </c>
      <c r="J1291" t="s">
        <v>3904</v>
      </c>
      <c r="K1291" t="s">
        <v>37</v>
      </c>
    </row>
    <row r="1292" spans="1:11" ht="20" customHeight="1">
      <c r="A1292" t="s">
        <v>22</v>
      </c>
      <c r="B1292" t="s">
        <v>3905</v>
      </c>
      <c r="C1292">
        <v>187.9700012207031</v>
      </c>
      <c r="D1292">
        <v>190.1100006103516</v>
      </c>
      <c r="E1292">
        <v>185.9600067138672</v>
      </c>
      <c r="F1292">
        <v>188.3200073242188</v>
      </c>
      <c r="G1292">
        <v>187.8699035644531</v>
      </c>
      <c r="H1292">
        <v>153482800</v>
      </c>
      <c r="I1292" t="s">
        <v>3906</v>
      </c>
      <c r="J1292" t="s">
        <v>3907</v>
      </c>
      <c r="K1292" t="s">
        <v>37</v>
      </c>
    </row>
    <row r="1293" spans="1:11" ht="20" customHeight="1">
      <c r="A1293" t="s">
        <v>22</v>
      </c>
      <c r="B1293" t="s">
        <v>3908</v>
      </c>
      <c r="C1293">
        <v>184.7700042724609</v>
      </c>
      <c r="D1293">
        <v>184.8000030517578</v>
      </c>
      <c r="E1293">
        <v>179.6999969482422</v>
      </c>
      <c r="F1293">
        <v>180.0299987792969</v>
      </c>
      <c r="G1293">
        <v>179.5997161865234</v>
      </c>
      <c r="H1293">
        <v>205641400</v>
      </c>
      <c r="I1293" t="s">
        <v>3909</v>
      </c>
      <c r="J1293" t="s">
        <v>3910</v>
      </c>
      <c r="K1293" t="s">
        <v>37</v>
      </c>
    </row>
    <row r="1294" spans="1:11" ht="20" customHeight="1">
      <c r="A1294" t="s">
        <v>22</v>
      </c>
      <c r="B1294" t="s">
        <v>3911</v>
      </c>
      <c r="C1294">
        <v>184.8000030517578</v>
      </c>
      <c r="D1294">
        <v>184.8699951171875</v>
      </c>
      <c r="E1294">
        <v>177.2899932861328</v>
      </c>
      <c r="F1294">
        <v>179.8300018310547</v>
      </c>
      <c r="G1294">
        <v>179.4001770019531</v>
      </c>
      <c r="H1294">
        <v>214450500</v>
      </c>
      <c r="I1294" t="s">
        <v>3912</v>
      </c>
      <c r="J1294" t="s">
        <v>3913</v>
      </c>
      <c r="K1294" t="s">
        <v>37</v>
      </c>
    </row>
    <row r="1295" spans="1:11" ht="20" customHeight="1">
      <c r="A1295" t="s">
        <v>22</v>
      </c>
      <c r="B1295" t="s">
        <v>3914</v>
      </c>
      <c r="C1295">
        <v>182.2299957275391</v>
      </c>
      <c r="D1295">
        <v>183.2799987792969</v>
      </c>
      <c r="E1295">
        <v>179.7700042724609</v>
      </c>
      <c r="F1295">
        <v>181.8099975585938</v>
      </c>
      <c r="G1295">
        <v>181.3754425048828</v>
      </c>
      <c r="H1295">
        <v>179723300</v>
      </c>
      <c r="I1295" t="s">
        <v>3915</v>
      </c>
      <c r="J1295" t="s">
        <v>3916</v>
      </c>
      <c r="K1295" t="s">
        <v>37</v>
      </c>
    </row>
    <row r="1296" spans="1:11" ht="20" customHeight="1">
      <c r="A1296" t="s">
        <v>22</v>
      </c>
      <c r="B1296" t="s">
        <v>3917</v>
      </c>
      <c r="C1296">
        <v>180.1799926757812</v>
      </c>
      <c r="D1296">
        <v>184.1000061035156</v>
      </c>
      <c r="E1296">
        <v>179.75</v>
      </c>
      <c r="F1296">
        <v>183.2200012207031</v>
      </c>
      <c r="G1296">
        <v>182.7820892333984</v>
      </c>
      <c r="H1296">
        <v>173135200</v>
      </c>
      <c r="I1296" t="s">
        <v>3918</v>
      </c>
      <c r="J1296" t="s">
        <v>3919</v>
      </c>
      <c r="K1296" t="s">
        <v>37</v>
      </c>
    </row>
    <row r="1297" spans="1:11" ht="20" customHeight="1">
      <c r="A1297" t="s">
        <v>22</v>
      </c>
      <c r="B1297" t="s">
        <v>3920</v>
      </c>
      <c r="C1297">
        <v>183.1300048828125</v>
      </c>
      <c r="D1297">
        <v>185.1999969482422</v>
      </c>
      <c r="E1297">
        <v>181.7299957275391</v>
      </c>
      <c r="F1297">
        <v>182.6399993896484</v>
      </c>
      <c r="G1297">
        <v>182.2034606933594</v>
      </c>
      <c r="H1297">
        <v>128544700</v>
      </c>
      <c r="I1297" t="s">
        <v>3921</v>
      </c>
      <c r="J1297" t="s">
        <v>3922</v>
      </c>
      <c r="K1297" t="s">
        <v>37</v>
      </c>
    </row>
    <row r="1298" spans="1:11" ht="20" customHeight="1">
      <c r="A1298" t="s">
        <v>22</v>
      </c>
      <c r="B1298" t="s">
        <v>3923</v>
      </c>
      <c r="C1298">
        <v>182.7899932861328</v>
      </c>
      <c r="D1298">
        <v>182.7899932861328</v>
      </c>
      <c r="E1298">
        <v>179.8000030517578</v>
      </c>
      <c r="F1298">
        <v>181.1600036621094</v>
      </c>
      <c r="G1298">
        <v>180.7270202636719</v>
      </c>
      <c r="H1298">
        <v>124240200</v>
      </c>
      <c r="I1298" t="s">
        <v>3924</v>
      </c>
      <c r="J1298" t="s">
        <v>3925</v>
      </c>
      <c r="K1298" t="s">
        <v>37</v>
      </c>
    </row>
    <row r="1299" spans="1:11" ht="20" customHeight="1">
      <c r="A1299" t="s">
        <v>22</v>
      </c>
      <c r="B1299" t="s">
        <v>3926</v>
      </c>
      <c r="C1299">
        <v>181.1399993896484</v>
      </c>
      <c r="D1299">
        <v>183.4400024414062</v>
      </c>
      <c r="E1299">
        <v>176.7599945068359</v>
      </c>
      <c r="F1299">
        <v>180.2799987792969</v>
      </c>
      <c r="G1299">
        <v>179.84912109375</v>
      </c>
      <c r="H1299">
        <v>162249600</v>
      </c>
      <c r="I1299" t="s">
        <v>3927</v>
      </c>
      <c r="J1299" t="s">
        <v>3928</v>
      </c>
      <c r="K1299" t="s">
        <v>37</v>
      </c>
    </row>
    <row r="1300" spans="1:11" ht="20" customHeight="1">
      <c r="A1300" t="s">
        <v>22</v>
      </c>
      <c r="B1300" t="s">
        <v>3929</v>
      </c>
      <c r="C1300">
        <v>180.4199981689453</v>
      </c>
      <c r="D1300">
        <v>183.0299987792969</v>
      </c>
      <c r="E1300">
        <v>179.7899932861328</v>
      </c>
      <c r="F1300">
        <v>182.1600036621094</v>
      </c>
      <c r="G1300">
        <v>181.7246398925781</v>
      </c>
      <c r="H1300">
        <v>111363700</v>
      </c>
      <c r="I1300" t="s">
        <v>3930</v>
      </c>
      <c r="J1300" t="s">
        <v>3931</v>
      </c>
      <c r="K1300" t="s">
        <v>37</v>
      </c>
    </row>
    <row r="1301" spans="1:11" ht="20" customHeight="1">
      <c r="A1301" t="s">
        <v>22</v>
      </c>
      <c r="B1301" t="s">
        <v>3932</v>
      </c>
      <c r="C1301">
        <v>183.8399963378906</v>
      </c>
      <c r="D1301">
        <v>187.4700012207031</v>
      </c>
      <c r="E1301">
        <v>183.5</v>
      </c>
      <c r="F1301">
        <v>186.2599945068359</v>
      </c>
      <c r="G1301">
        <v>185.8148040771484</v>
      </c>
      <c r="H1301">
        <v>131296700</v>
      </c>
      <c r="I1301" t="s">
        <v>3933</v>
      </c>
      <c r="J1301" t="s">
        <v>3934</v>
      </c>
      <c r="K1301" t="s">
        <v>37</v>
      </c>
    </row>
    <row r="1302" spans="1:11" ht="20" customHeight="1">
      <c r="A1302" t="s">
        <v>22</v>
      </c>
      <c r="B1302" t="s">
        <v>3935</v>
      </c>
      <c r="C1302">
        <v>189.9900054931641</v>
      </c>
      <c r="D1302">
        <v>192</v>
      </c>
      <c r="E1302">
        <v>188.4299926757812</v>
      </c>
      <c r="F1302">
        <v>191.4900054931641</v>
      </c>
      <c r="G1302">
        <v>191.0323333740234</v>
      </c>
      <c r="H1302">
        <v>153452700</v>
      </c>
      <c r="I1302" t="s">
        <v>3936</v>
      </c>
      <c r="J1302" t="s">
        <v>3937</v>
      </c>
      <c r="K1302" t="s">
        <v>37</v>
      </c>
    </row>
    <row r="1303" spans="1:11" ht="20" customHeight="1">
      <c r="A1303" t="s">
        <v>22</v>
      </c>
      <c r="B1303" t="s">
        <v>3938</v>
      </c>
      <c r="C1303">
        <v>193.0500030517578</v>
      </c>
      <c r="D1303">
        <v>203.1499938964844</v>
      </c>
      <c r="E1303">
        <v>191.9100036621094</v>
      </c>
      <c r="F1303">
        <v>201.0299987792969</v>
      </c>
      <c r="G1303">
        <v>200.5495147705078</v>
      </c>
      <c r="H1303">
        <v>297986200</v>
      </c>
      <c r="I1303" t="s">
        <v>3939</v>
      </c>
      <c r="J1303" t="s">
        <v>3940</v>
      </c>
      <c r="K1303" t="s">
        <v>37</v>
      </c>
    </row>
    <row r="1304" spans="1:11" ht="20" customHeight="1">
      <c r="A1304" t="s">
        <v>22</v>
      </c>
      <c r="B1304" t="s">
        <v>3941</v>
      </c>
      <c r="C1304">
        <v>207.9799957275391</v>
      </c>
      <c r="D1304">
        <v>212.1900024414062</v>
      </c>
      <c r="E1304">
        <v>204.7799987792969</v>
      </c>
      <c r="F1304">
        <v>207.0399932861328</v>
      </c>
      <c r="G1304">
        <v>206.5451507568359</v>
      </c>
      <c r="H1304">
        <v>308829600</v>
      </c>
      <c r="I1304" t="s">
        <v>3942</v>
      </c>
      <c r="J1304" t="s">
        <v>3943</v>
      </c>
      <c r="K1304" t="s">
        <v>37</v>
      </c>
    </row>
    <row r="1305" spans="1:11" ht="20" customHeight="1">
      <c r="A1305" t="s">
        <v>22</v>
      </c>
      <c r="B1305" t="s">
        <v>3944</v>
      </c>
      <c r="C1305">
        <v>205.1499938964844</v>
      </c>
      <c r="D1305">
        <v>206.1600036621094</v>
      </c>
      <c r="E1305">
        <v>201.4100036621094</v>
      </c>
      <c r="F1305">
        <v>202.8899993896484</v>
      </c>
      <c r="G1305">
        <v>202.4050598144531</v>
      </c>
      <c r="H1305">
        <v>178864400</v>
      </c>
      <c r="I1305" t="s">
        <v>3945</v>
      </c>
      <c r="J1305" t="s">
        <v>3946</v>
      </c>
      <c r="K1305" t="s">
        <v>37</v>
      </c>
    </row>
    <row r="1306" spans="1:11" ht="20" customHeight="1">
      <c r="A1306" t="s">
        <v>22</v>
      </c>
      <c r="B1306" t="s">
        <v>3947</v>
      </c>
      <c r="C1306">
        <v>206.4499969482422</v>
      </c>
      <c r="D1306">
        <v>207.9700012207031</v>
      </c>
      <c r="E1306">
        <v>202.0700073242188</v>
      </c>
      <c r="F1306">
        <v>202.4900054931641</v>
      </c>
      <c r="G1306">
        <v>202.0060424804688</v>
      </c>
      <c r="H1306">
        <v>179802200</v>
      </c>
      <c r="I1306" t="s">
        <v>3948</v>
      </c>
      <c r="J1306" t="s">
        <v>3949</v>
      </c>
      <c r="K1306" t="s">
        <v>37</v>
      </c>
    </row>
    <row r="1307" spans="1:11" ht="20" customHeight="1">
      <c r="A1307" t="s">
        <v>22</v>
      </c>
      <c r="B1307" t="s">
        <v>3950</v>
      </c>
      <c r="C1307">
        <v>208.0800018310547</v>
      </c>
      <c r="D1307">
        <v>211.3399963378906</v>
      </c>
      <c r="E1307">
        <v>205.5599975585938</v>
      </c>
      <c r="F1307">
        <v>206.8800048828125</v>
      </c>
      <c r="G1307">
        <v>206.3855438232422</v>
      </c>
      <c r="H1307">
        <v>180267300</v>
      </c>
      <c r="I1307" t="s">
        <v>3951</v>
      </c>
      <c r="J1307" t="s">
        <v>3952</v>
      </c>
      <c r="K1307" t="s">
        <v>37</v>
      </c>
    </row>
    <row r="1308" spans="1:11" ht="20" customHeight="1">
      <c r="A1308" t="s">
        <v>22</v>
      </c>
      <c r="B1308" t="s">
        <v>3953</v>
      </c>
      <c r="C1308">
        <v>203</v>
      </c>
      <c r="D1308">
        <v>203.9700012207031</v>
      </c>
      <c r="E1308">
        <v>197.9299926757812</v>
      </c>
      <c r="F1308">
        <v>198.6900024414062</v>
      </c>
      <c r="G1308">
        <v>198.2151184082031</v>
      </c>
      <c r="H1308">
        <v>188919300</v>
      </c>
      <c r="I1308" t="s">
        <v>3954</v>
      </c>
      <c r="J1308" t="s">
        <v>3955</v>
      </c>
      <c r="K1308" t="s">
        <v>37</v>
      </c>
    </row>
    <row r="1309" spans="1:11" ht="20" customHeight="1">
      <c r="A1309" t="s">
        <v>22</v>
      </c>
      <c r="B1309" t="s">
        <v>3956</v>
      </c>
      <c r="C1309">
        <v>198.7700042724609</v>
      </c>
      <c r="D1309">
        <v>202.9199981689453</v>
      </c>
      <c r="E1309">
        <v>194.6499938964844</v>
      </c>
      <c r="F1309">
        <v>195.2100067138672</v>
      </c>
      <c r="G1309">
        <v>194.7434387207031</v>
      </c>
      <c r="H1309">
        <v>171350300</v>
      </c>
      <c r="I1309" t="s">
        <v>3957</v>
      </c>
      <c r="J1309" t="s">
        <v>3958</v>
      </c>
      <c r="K1309" t="s">
        <v>37</v>
      </c>
    </row>
    <row r="1310" spans="1:11" ht="20" customHeight="1">
      <c r="A1310" t="s">
        <v>22</v>
      </c>
      <c r="B1310" t="s">
        <v>3959</v>
      </c>
      <c r="C1310">
        <v>196.4199981689453</v>
      </c>
      <c r="D1310">
        <v>197.6199951171875</v>
      </c>
      <c r="E1310">
        <v>186.3800048828125</v>
      </c>
      <c r="F1310">
        <v>188.0800018310547</v>
      </c>
      <c r="G1310">
        <v>187.6304779052734</v>
      </c>
      <c r="H1310">
        <v>223029800</v>
      </c>
      <c r="I1310" t="s">
        <v>3960</v>
      </c>
      <c r="J1310" t="s">
        <v>3961</v>
      </c>
      <c r="K1310" t="s">
        <v>37</v>
      </c>
    </row>
    <row r="1311" spans="1:11" ht="20" customHeight="1">
      <c r="A1311" t="s">
        <v>22</v>
      </c>
      <c r="B1311" t="s">
        <v>3962</v>
      </c>
      <c r="C1311">
        <v>184.8999938964844</v>
      </c>
      <c r="D1311">
        <v>188.3200073242188</v>
      </c>
      <c r="E1311">
        <v>178.9100036621094</v>
      </c>
      <c r="F1311">
        <v>188.1499938964844</v>
      </c>
      <c r="G1311">
        <v>187.7003021240234</v>
      </c>
      <c r="H1311">
        <v>264942300</v>
      </c>
      <c r="I1311" t="s">
        <v>3963</v>
      </c>
      <c r="J1311" t="s">
        <v>3964</v>
      </c>
      <c r="K1311" t="s">
        <v>37</v>
      </c>
    </row>
    <row r="1312" spans="1:11" ht="20" customHeight="1">
      <c r="A1312" t="s">
        <v>22</v>
      </c>
      <c r="B1312" t="s">
        <v>3965</v>
      </c>
      <c r="C1312">
        <v>195.1100006103516</v>
      </c>
      <c r="D1312">
        <v>199.9400024414062</v>
      </c>
      <c r="E1312">
        <v>193.7899932861328</v>
      </c>
      <c r="F1312">
        <v>199.0500030517578</v>
      </c>
      <c r="G1312">
        <v>198.5742492675781</v>
      </c>
      <c r="H1312">
        <v>198897100</v>
      </c>
      <c r="I1312" t="s">
        <v>3966</v>
      </c>
      <c r="J1312" t="s">
        <v>3967</v>
      </c>
      <c r="K1312" t="s">
        <v>37</v>
      </c>
    </row>
    <row r="1313" spans="1:11" ht="20" customHeight="1">
      <c r="A1313" t="s">
        <v>22</v>
      </c>
      <c r="B1313" t="s">
        <v>3968</v>
      </c>
      <c r="C1313">
        <v>195.1600036621094</v>
      </c>
      <c r="D1313">
        <v>195.4199981689453</v>
      </c>
      <c r="E1313">
        <v>191.3000030517578</v>
      </c>
      <c r="F1313">
        <v>193.1600036621094</v>
      </c>
      <c r="G1313">
        <v>192.6983489990234</v>
      </c>
      <c r="H1313">
        <v>176483300</v>
      </c>
      <c r="I1313" t="s">
        <v>3969</v>
      </c>
      <c r="J1313" t="s">
        <v>3970</v>
      </c>
      <c r="K1313" t="s">
        <v>37</v>
      </c>
    </row>
    <row r="1314" spans="1:11" ht="20" customHeight="1">
      <c r="A1314" t="s">
        <v>22</v>
      </c>
      <c r="B1314" t="s">
        <v>3971</v>
      </c>
      <c r="C1314">
        <v>195.7200012207031</v>
      </c>
      <c r="D1314">
        <v>195.8899993896484</v>
      </c>
      <c r="E1314">
        <v>191.1300048828125</v>
      </c>
      <c r="F1314">
        <v>193.8000030517578</v>
      </c>
      <c r="G1314">
        <v>193.3368225097656</v>
      </c>
      <c r="H1314">
        <v>154935300</v>
      </c>
      <c r="I1314" t="s">
        <v>3972</v>
      </c>
      <c r="J1314" t="s">
        <v>3973</v>
      </c>
      <c r="K1314" t="s">
        <v>37</v>
      </c>
    </row>
    <row r="1315" spans="1:11" ht="20" customHeight="1">
      <c r="A1315" t="s">
        <v>22</v>
      </c>
      <c r="B1315" t="s">
        <v>3974</v>
      </c>
      <c r="C1315">
        <v>191.0500030517578</v>
      </c>
      <c r="D1315">
        <v>191.4400024414062</v>
      </c>
      <c r="E1315">
        <v>183.8500061035156</v>
      </c>
      <c r="F1315">
        <v>186.8600006103516</v>
      </c>
      <c r="G1315">
        <v>186.4133911132812</v>
      </c>
      <c r="H1315">
        <v>207423100</v>
      </c>
      <c r="I1315" t="s">
        <v>3975</v>
      </c>
      <c r="J1315" t="s">
        <v>3976</v>
      </c>
      <c r="K1315" t="s">
        <v>37</v>
      </c>
    </row>
    <row r="1316" spans="1:11" ht="20" customHeight="1">
      <c r="A1316" t="s">
        <v>22</v>
      </c>
      <c r="B1316" t="s">
        <v>3977</v>
      </c>
      <c r="C1316">
        <v>182.8600006103516</v>
      </c>
      <c r="D1316">
        <v>191.0099945068359</v>
      </c>
      <c r="E1316">
        <v>180.5800018310547</v>
      </c>
      <c r="F1316">
        <v>190.1699981689453</v>
      </c>
      <c r="G1316">
        <v>189.7154693603516</v>
      </c>
      <c r="H1316">
        <v>186591900</v>
      </c>
      <c r="I1316" t="s">
        <v>3978</v>
      </c>
      <c r="J1316" t="s">
        <v>3979</v>
      </c>
      <c r="K1316" t="s">
        <v>37</v>
      </c>
    </row>
    <row r="1317" spans="1:11" ht="20" customHeight="1">
      <c r="A1317" t="s">
        <v>22</v>
      </c>
      <c r="B1317" t="s">
        <v>3980</v>
      </c>
      <c r="C1317">
        <v>185.9700012207031</v>
      </c>
      <c r="D1317">
        <v>189</v>
      </c>
      <c r="E1317">
        <v>184.3200073242188</v>
      </c>
      <c r="F1317">
        <v>186.6000061035156</v>
      </c>
      <c r="G1317">
        <v>186.1540069580078</v>
      </c>
      <c r="H1317">
        <v>173628900</v>
      </c>
      <c r="I1317" t="s">
        <v>3981</v>
      </c>
      <c r="J1317" t="s">
        <v>3982</v>
      </c>
      <c r="K1317" t="s">
        <v>37</v>
      </c>
    </row>
    <row r="1318" spans="1:11" ht="20" customHeight="1">
      <c r="A1318" t="s">
        <v>22</v>
      </c>
      <c r="B1318" t="s">
        <v>3983</v>
      </c>
      <c r="C1318">
        <v>183.3800048828125</v>
      </c>
      <c r="D1318">
        <v>184.8000030517578</v>
      </c>
      <c r="E1318">
        <v>179.6499938964844</v>
      </c>
      <c r="F1318">
        <v>181.3600006103516</v>
      </c>
      <c r="G1318">
        <v>180.9265441894531</v>
      </c>
      <c r="H1318">
        <v>213598900</v>
      </c>
      <c r="I1318" t="s">
        <v>3984</v>
      </c>
      <c r="J1318" t="s">
        <v>3985</v>
      </c>
      <c r="K1318" t="s">
        <v>37</v>
      </c>
    </row>
    <row r="1319" spans="1:11" ht="20" customHeight="1">
      <c r="A1319" t="s">
        <v>22</v>
      </c>
      <c r="B1319" t="s">
        <v>3986</v>
      </c>
      <c r="C1319">
        <v>184.7899932861328</v>
      </c>
      <c r="D1319">
        <v>187.8600006103516</v>
      </c>
      <c r="E1319">
        <v>182.8300018310547</v>
      </c>
      <c r="F1319">
        <v>186.5200042724609</v>
      </c>
      <c r="G1319">
        <v>186.0742034912109</v>
      </c>
      <c r="H1319">
        <v>247246400</v>
      </c>
      <c r="I1319" t="s">
        <v>3987</v>
      </c>
      <c r="J1319" t="s">
        <v>3988</v>
      </c>
      <c r="K1319" t="s">
        <v>37</v>
      </c>
    </row>
    <row r="1320" spans="1:11" ht="20" customHeight="1">
      <c r="A1320" t="s">
        <v>22</v>
      </c>
      <c r="B1320" t="s">
        <v>3989</v>
      </c>
      <c r="C1320">
        <v>195.9499969482422</v>
      </c>
      <c r="D1320">
        <v>196</v>
      </c>
      <c r="E1320">
        <v>179.8500061035156</v>
      </c>
      <c r="F1320">
        <v>180.6399993896484</v>
      </c>
      <c r="G1320">
        <v>180.208251953125</v>
      </c>
      <c r="H1320">
        <v>343504800</v>
      </c>
      <c r="I1320" t="s">
        <v>3990</v>
      </c>
      <c r="J1320" t="s">
        <v>3991</v>
      </c>
      <c r="K1320" t="s">
        <v>37</v>
      </c>
    </row>
    <row r="1321" spans="1:11" ht="20" customHeight="1">
      <c r="A1321" t="s">
        <v>22</v>
      </c>
      <c r="B1321" t="s">
        <v>3992</v>
      </c>
      <c r="C1321">
        <v>181.2400054931641</v>
      </c>
      <c r="D1321">
        <v>184.5599975585938</v>
      </c>
      <c r="E1321">
        <v>172.9299926757812</v>
      </c>
      <c r="F1321">
        <v>178.8800048828125</v>
      </c>
      <c r="G1321">
        <v>178.4524841308594</v>
      </c>
      <c r="H1321">
        <v>346926200</v>
      </c>
      <c r="I1321" t="s">
        <v>3993</v>
      </c>
      <c r="J1321" t="s">
        <v>3994</v>
      </c>
      <c r="K1321" t="s">
        <v>37</v>
      </c>
    </row>
    <row r="1322" spans="1:11" ht="20" customHeight="1">
      <c r="A1322" t="s">
        <v>22</v>
      </c>
      <c r="B1322" t="s">
        <v>3995</v>
      </c>
      <c r="C1322">
        <v>179.4900054931641</v>
      </c>
      <c r="D1322">
        <v>183.5</v>
      </c>
      <c r="E1322">
        <v>176.4799957275391</v>
      </c>
      <c r="F1322">
        <v>182.5500030517578</v>
      </c>
      <c r="G1322">
        <v>182.1137084960938</v>
      </c>
      <c r="H1322">
        <v>256618300</v>
      </c>
      <c r="I1322" t="s">
        <v>3996</v>
      </c>
      <c r="J1322" t="s">
        <v>3997</v>
      </c>
      <c r="K1322" t="s">
        <v>37</v>
      </c>
    </row>
    <row r="1323" spans="1:11" ht="20" customHeight="1">
      <c r="A1323" t="s">
        <v>22</v>
      </c>
      <c r="B1323" t="s">
        <v>3998</v>
      </c>
      <c r="C1323">
        <v>174.9100036621094</v>
      </c>
      <c r="D1323">
        <v>178.1600036621094</v>
      </c>
      <c r="E1323">
        <v>169.5500030517578</v>
      </c>
      <c r="F1323">
        <v>177.8200073242188</v>
      </c>
      <c r="G1323">
        <v>177.3949890136719</v>
      </c>
      <c r="H1323">
        <v>320600300</v>
      </c>
      <c r="I1323" t="s">
        <v>3999</v>
      </c>
      <c r="J1323" t="s">
        <v>4000</v>
      </c>
      <c r="K1323" t="s">
        <v>37</v>
      </c>
    </row>
    <row r="1324" spans="1:11" ht="20" customHeight="1">
      <c r="A1324" t="s">
        <v>22</v>
      </c>
      <c r="B1324" t="s">
        <v>4001</v>
      </c>
      <c r="C1324">
        <v>181.6300048828125</v>
      </c>
      <c r="D1324">
        <v>182.9100036621094</v>
      </c>
      <c r="E1324">
        <v>178.2400054931641</v>
      </c>
      <c r="F1324">
        <v>180.2599945068359</v>
      </c>
      <c r="G1324">
        <v>179.8291778564453</v>
      </c>
      <c r="H1324">
        <v>183852000</v>
      </c>
      <c r="I1324" t="s">
        <v>4002</v>
      </c>
      <c r="J1324" t="s">
        <v>4003</v>
      </c>
      <c r="K1324" t="s">
        <v>37</v>
      </c>
    </row>
    <row r="1325" spans="1:11" ht="20" customHeight="1">
      <c r="A1325" t="s">
        <v>22</v>
      </c>
      <c r="B1325" t="s">
        <v>4004</v>
      </c>
      <c r="C1325">
        <v>179.0099945068359</v>
      </c>
      <c r="D1325">
        <v>179.2899932861328</v>
      </c>
      <c r="E1325">
        <v>176.5</v>
      </c>
      <c r="F1325">
        <v>177</v>
      </c>
      <c r="G1325">
        <v>176.5769500732422</v>
      </c>
      <c r="H1325">
        <v>121332800</v>
      </c>
      <c r="I1325" t="s">
        <v>4005</v>
      </c>
      <c r="J1325" t="s">
        <v>4006</v>
      </c>
      <c r="K1325" t="s">
        <v>37</v>
      </c>
    </row>
    <row r="1326" spans="1:11" ht="20" customHeight="1">
      <c r="A1326" t="s">
        <v>22</v>
      </c>
      <c r="B1326" t="s">
        <v>4007</v>
      </c>
      <c r="C1326">
        <v>174.7599945068359</v>
      </c>
      <c r="D1326">
        <v>180.3000030517578</v>
      </c>
      <c r="E1326">
        <v>173.6799926757812</v>
      </c>
      <c r="F1326">
        <v>179.9199981689453</v>
      </c>
      <c r="G1326">
        <v>179.4899749755859</v>
      </c>
      <c r="H1326">
        <v>188131000</v>
      </c>
      <c r="I1326" t="s">
        <v>4008</v>
      </c>
      <c r="J1326" t="s">
        <v>4009</v>
      </c>
      <c r="K1326" t="s">
        <v>37</v>
      </c>
    </row>
    <row r="1327" spans="1:11" ht="20" customHeight="1">
      <c r="A1327" t="s">
        <v>22</v>
      </c>
      <c r="B1327" t="s">
        <v>4010</v>
      </c>
      <c r="C1327">
        <v>181.7599945068359</v>
      </c>
      <c r="D1327">
        <v>185.6600036621094</v>
      </c>
      <c r="E1327">
        <v>180</v>
      </c>
      <c r="F1327">
        <v>181.4600067138672</v>
      </c>
      <c r="G1327">
        <v>181.0263061523438</v>
      </c>
      <c r="H1327">
        <v>182632200</v>
      </c>
      <c r="I1327" t="s">
        <v>4011</v>
      </c>
      <c r="J1327" t="s">
        <v>4012</v>
      </c>
      <c r="K1327" t="s">
        <v>37</v>
      </c>
    </row>
    <row r="1328" spans="1:11" ht="20" customHeight="1">
      <c r="A1328" t="s">
        <v>22</v>
      </c>
      <c r="B1328" t="s">
        <v>4013</v>
      </c>
      <c r="C1328">
        <v>181.0800018310547</v>
      </c>
      <c r="D1328">
        <v>182.4499969482422</v>
      </c>
      <c r="E1328">
        <v>179.1100006103516</v>
      </c>
      <c r="F1328">
        <v>179.5899963378906</v>
      </c>
      <c r="G1328">
        <v>179.1607666015625</v>
      </c>
      <c r="H1328">
        <v>165138000</v>
      </c>
      <c r="I1328" t="s">
        <v>4014</v>
      </c>
      <c r="J1328" t="s">
        <v>4015</v>
      </c>
      <c r="K1328" t="s">
        <v>37</v>
      </c>
    </row>
    <row r="1329" spans="1:11" ht="20" customHeight="1">
      <c r="A1329" t="s">
        <v>22</v>
      </c>
      <c r="B1329" t="s">
        <v>4016</v>
      </c>
      <c r="C1329">
        <v>181.6199951171875</v>
      </c>
      <c r="D1329">
        <v>184.5200042724609</v>
      </c>
      <c r="E1329">
        <v>179.9600067138672</v>
      </c>
      <c r="F1329">
        <v>183.3800048828125</v>
      </c>
      <c r="G1329">
        <v>182.951904296875</v>
      </c>
      <c r="H1329">
        <v>167364900</v>
      </c>
      <c r="I1329" t="s">
        <v>4017</v>
      </c>
      <c r="J1329" t="s">
        <v>4018</v>
      </c>
      <c r="K1329" t="s">
        <v>37</v>
      </c>
    </row>
    <row r="1330" spans="1:11" ht="20" customHeight="1">
      <c r="A1330" t="s">
        <v>22</v>
      </c>
      <c r="B1330" t="s">
        <v>4019</v>
      </c>
      <c r="C1330">
        <v>183.8899993896484</v>
      </c>
      <c r="D1330">
        <v>184.6600036621094</v>
      </c>
      <c r="E1330">
        <v>180.9100036621094</v>
      </c>
      <c r="F1330">
        <v>182.4100036621094</v>
      </c>
      <c r="G1330">
        <v>181.9841613769531</v>
      </c>
      <c r="H1330">
        <v>143971100</v>
      </c>
      <c r="I1330" t="s">
        <v>4020</v>
      </c>
      <c r="J1330" t="s">
        <v>4021</v>
      </c>
      <c r="K1330" t="s">
        <v>37</v>
      </c>
    </row>
    <row r="1331" spans="1:11" ht="20" customHeight="1">
      <c r="A1331" t="s">
        <v>22</v>
      </c>
      <c r="B1331" t="s">
        <v>4022</v>
      </c>
      <c r="C1331">
        <v>182.6399993896484</v>
      </c>
      <c r="D1331">
        <v>188</v>
      </c>
      <c r="E1331">
        <v>182.3999938964844</v>
      </c>
      <c r="F1331">
        <v>185.5500030517578</v>
      </c>
      <c r="G1331">
        <v>185.1168212890625</v>
      </c>
      <c r="H1331">
        <v>204378100</v>
      </c>
      <c r="I1331" t="s">
        <v>4023</v>
      </c>
      <c r="J1331" t="s">
        <v>4024</v>
      </c>
      <c r="K1331" t="s">
        <v>37</v>
      </c>
    </row>
    <row r="1332" spans="1:11" ht="20" customHeight="1">
      <c r="A1332" t="s">
        <v>22</v>
      </c>
      <c r="B1332" t="s">
        <v>4025</v>
      </c>
      <c r="C1332">
        <v>185.5599975585938</v>
      </c>
      <c r="D1332">
        <v>185.7200012207031</v>
      </c>
      <c r="E1332">
        <v>183.3200073242188</v>
      </c>
      <c r="F1332">
        <v>184.9700012207031</v>
      </c>
      <c r="G1332">
        <v>184.5381927490234</v>
      </c>
      <c r="H1332">
        <v>144719700</v>
      </c>
      <c r="I1332" t="s">
        <v>4026</v>
      </c>
      <c r="J1332" t="s">
        <v>4027</v>
      </c>
      <c r="K1332" t="s">
        <v>37</v>
      </c>
    </row>
    <row r="1333" spans="1:11" ht="20" customHeight="1">
      <c r="A1333" t="s">
        <v>22</v>
      </c>
      <c r="B1333" t="s">
        <v>4028</v>
      </c>
      <c r="C1333">
        <v>184.9700012207031</v>
      </c>
      <c r="D1333">
        <v>185.4799957275391</v>
      </c>
      <c r="E1333">
        <v>182.0399932861328</v>
      </c>
      <c r="F1333">
        <v>183.7799987792969</v>
      </c>
      <c r="G1333">
        <v>183.3509521484375</v>
      </c>
      <c r="H1333">
        <v>162785400</v>
      </c>
      <c r="I1333" t="s">
        <v>4029</v>
      </c>
      <c r="J1333" t="s">
        <v>4030</v>
      </c>
      <c r="K1333" t="s">
        <v>37</v>
      </c>
    </row>
    <row r="1334" spans="1:11" ht="20" customHeight="1">
      <c r="A1334" t="s">
        <v>22</v>
      </c>
      <c r="B1334" t="s">
        <v>4031</v>
      </c>
      <c r="C1334">
        <v>180.2799987792969</v>
      </c>
      <c r="D1334">
        <v>181.3200073242188</v>
      </c>
      <c r="E1334">
        <v>176.6199951171875</v>
      </c>
      <c r="F1334">
        <v>180.9299926757812</v>
      </c>
      <c r="G1334">
        <v>180.5075988769531</v>
      </c>
      <c r="H1334">
        <v>182136600</v>
      </c>
      <c r="I1334" t="s">
        <v>4032</v>
      </c>
      <c r="J1334" t="s">
        <v>4033</v>
      </c>
      <c r="K1334" t="s">
        <v>37</v>
      </c>
    </row>
    <row r="1335" spans="1:11" ht="20" customHeight="1">
      <c r="A1335" t="s">
        <v>22</v>
      </c>
      <c r="B1335" t="s">
        <v>4034</v>
      </c>
      <c r="C1335">
        <v>181.1100006103516</v>
      </c>
      <c r="D1335">
        <v>182.8200073242188</v>
      </c>
      <c r="E1335">
        <v>174.6199951171875</v>
      </c>
      <c r="F1335">
        <v>175.0200042724609</v>
      </c>
      <c r="G1335">
        <v>174.6114044189453</v>
      </c>
      <c r="H1335">
        <v>204274900</v>
      </c>
      <c r="I1335" t="s">
        <v>4035</v>
      </c>
      <c r="J1335" t="s">
        <v>4036</v>
      </c>
      <c r="K1335" t="s">
        <v>37</v>
      </c>
    </row>
    <row r="1336" spans="1:11" ht="20" customHeight="1">
      <c r="A1336" t="s">
        <v>22</v>
      </c>
      <c r="B1336" t="s">
        <v>4037</v>
      </c>
      <c r="C1336">
        <v>177.9400024414062</v>
      </c>
      <c r="D1336">
        <v>178.4199981689453</v>
      </c>
      <c r="E1336">
        <v>175.0299987792969</v>
      </c>
      <c r="F1336">
        <v>176.2899932861328</v>
      </c>
      <c r="G1336">
        <v>175.8784332275391</v>
      </c>
      <c r="H1336">
        <v>164775600</v>
      </c>
      <c r="I1336" t="s">
        <v>4038</v>
      </c>
      <c r="J1336" t="s">
        <v>4039</v>
      </c>
      <c r="K1336" t="s">
        <v>37</v>
      </c>
    </row>
    <row r="1337" spans="1:11" ht="20" customHeight="1">
      <c r="A1337" t="s">
        <v>22</v>
      </c>
      <c r="B1337" t="s">
        <v>4040</v>
      </c>
      <c r="C1337">
        <v>176.2599945068359</v>
      </c>
      <c r="D1337">
        <v>178.4900054931641</v>
      </c>
      <c r="E1337">
        <v>174.8999938964844</v>
      </c>
      <c r="F1337">
        <v>177.7200012207031</v>
      </c>
      <c r="G1337">
        <v>177.3051147460938</v>
      </c>
      <c r="H1337">
        <v>148588100</v>
      </c>
      <c r="I1337" t="s">
        <v>4041</v>
      </c>
      <c r="J1337" t="s">
        <v>4042</v>
      </c>
      <c r="K1337" t="s">
        <v>37</v>
      </c>
    </row>
    <row r="1338" spans="1:11" ht="20" customHeight="1">
      <c r="A1338" t="s">
        <v>22</v>
      </c>
      <c r="B1338" t="s">
        <v>4043</v>
      </c>
      <c r="C1338">
        <v>176.1000061035156</v>
      </c>
      <c r="D1338">
        <v>176.1300048828125</v>
      </c>
      <c r="E1338">
        <v>170.3099975585938</v>
      </c>
      <c r="F1338">
        <v>170.9400024414062</v>
      </c>
      <c r="G1338">
        <v>170.5409393310547</v>
      </c>
      <c r="H1338">
        <v>222775500</v>
      </c>
      <c r="I1338" t="s">
        <v>4044</v>
      </c>
      <c r="J1338" t="s">
        <v>4045</v>
      </c>
      <c r="K1338" t="s">
        <v>37</v>
      </c>
    </row>
    <row r="1339" spans="1:11" ht="20" customHeight="1">
      <c r="A1339" t="s">
        <v>22</v>
      </c>
      <c r="B1339" t="s">
        <v>4046</v>
      </c>
      <c r="C1339">
        <v>174.5299987792969</v>
      </c>
      <c r="D1339">
        <v>176.1499938964844</v>
      </c>
      <c r="E1339">
        <v>171.8200073242188</v>
      </c>
      <c r="F1339">
        <v>174.1399993896484</v>
      </c>
      <c r="G1339">
        <v>173.7334594726562</v>
      </c>
      <c r="H1339">
        <v>176096000</v>
      </c>
      <c r="I1339" t="s">
        <v>4047</v>
      </c>
      <c r="J1339" t="s">
        <v>4048</v>
      </c>
      <c r="K1339" t="s">
        <v>37</v>
      </c>
    </row>
    <row r="1340" spans="1:11" ht="20" customHeight="1">
      <c r="A1340" t="s">
        <v>22</v>
      </c>
      <c r="B1340" t="s">
        <v>4049</v>
      </c>
      <c r="C1340">
        <v>176.6699981689453</v>
      </c>
      <c r="D1340">
        <v>181.4499969482422</v>
      </c>
      <c r="E1340">
        <v>176.3399963378906</v>
      </c>
      <c r="F1340">
        <v>180.9900054931641</v>
      </c>
      <c r="G1340">
        <v>180.5674743652344</v>
      </c>
      <c r="H1340">
        <v>324925900</v>
      </c>
      <c r="I1340" t="s">
        <v>4050</v>
      </c>
      <c r="J1340" t="s">
        <v>4051</v>
      </c>
      <c r="K1340" t="s">
        <v>37</v>
      </c>
    </row>
    <row r="1341" spans="1:11" ht="20" customHeight="1">
      <c r="A1341" t="s">
        <v>22</v>
      </c>
      <c r="B1341" t="s">
        <v>4052</v>
      </c>
      <c r="C1341">
        <v>183.9199981689453</v>
      </c>
      <c r="D1341">
        <v>184.1600036621094</v>
      </c>
      <c r="E1341">
        <v>182.3500061035156</v>
      </c>
      <c r="F1341">
        <v>183.6900024414062</v>
      </c>
      <c r="G1341">
        <v>183.2611541748047</v>
      </c>
      <c r="H1341">
        <v>129064400</v>
      </c>
      <c r="I1341" t="s">
        <v>4053</v>
      </c>
      <c r="J1341" t="s">
        <v>4054</v>
      </c>
      <c r="K1341" t="s">
        <v>37</v>
      </c>
    </row>
    <row r="1342" spans="1:11" ht="20" customHeight="1">
      <c r="A1342" t="s">
        <v>22</v>
      </c>
      <c r="B1342" t="s">
        <v>4055</v>
      </c>
      <c r="C1342">
        <v>182.9700012207031</v>
      </c>
      <c r="D1342">
        <v>189.3300018310547</v>
      </c>
      <c r="E1342">
        <v>182.8999938964844</v>
      </c>
      <c r="F1342">
        <v>189.2100067138672</v>
      </c>
      <c r="G1342">
        <v>188.7682952880859</v>
      </c>
      <c r="H1342">
        <v>174873600</v>
      </c>
      <c r="I1342" t="s">
        <v>4056</v>
      </c>
      <c r="J1342" t="s">
        <v>4057</v>
      </c>
      <c r="K1342" t="s">
        <v>37</v>
      </c>
    </row>
    <row r="1343" spans="1:11" ht="20" customHeight="1">
      <c r="A1343" t="s">
        <v>22</v>
      </c>
      <c r="B1343" t="s">
        <v>4058</v>
      </c>
      <c r="C1343">
        <v>187.9400024414062</v>
      </c>
      <c r="D1343">
        <v>188.9100036621094</v>
      </c>
      <c r="E1343">
        <v>186.5899963378906</v>
      </c>
      <c r="F1343">
        <v>188.6100006103516</v>
      </c>
      <c r="G1343">
        <v>188.169677734375</v>
      </c>
      <c r="H1343">
        <v>65528500</v>
      </c>
      <c r="I1343" t="s">
        <v>4059</v>
      </c>
      <c r="J1343" t="s">
        <v>4060</v>
      </c>
      <c r="K1343" t="s">
        <v>37</v>
      </c>
    </row>
    <row r="1344" spans="1:11" ht="20" customHeight="1">
      <c r="A1344" t="s">
        <v>22</v>
      </c>
      <c r="B1344" t="s">
        <v>4061</v>
      </c>
      <c r="C1344">
        <v>189.9199981689453</v>
      </c>
      <c r="D1344">
        <v>192.6900024414062</v>
      </c>
      <c r="E1344">
        <v>188</v>
      </c>
      <c r="F1344">
        <v>190.5299987792969</v>
      </c>
      <c r="G1344">
        <v>190.0851898193359</v>
      </c>
      <c r="H1344">
        <v>139740300</v>
      </c>
      <c r="I1344" t="s">
        <v>4062</v>
      </c>
      <c r="J1344" t="s">
        <v>4063</v>
      </c>
      <c r="K1344" t="s">
        <v>37</v>
      </c>
    </row>
    <row r="1345" spans="1:11" ht="20" customHeight="1">
      <c r="A1345" t="s">
        <v>22</v>
      </c>
      <c r="B1345" t="s">
        <v>4064</v>
      </c>
      <c r="C1345">
        <v>187.7100067138672</v>
      </c>
      <c r="D1345">
        <v>188.7599945068359</v>
      </c>
      <c r="E1345">
        <v>185.9100036621094</v>
      </c>
      <c r="F1345">
        <v>188.2200012207031</v>
      </c>
      <c r="G1345">
        <v>187.7805938720703</v>
      </c>
      <c r="H1345">
        <v>120006100</v>
      </c>
      <c r="I1345" t="s">
        <v>4065</v>
      </c>
      <c r="J1345" t="s">
        <v>4066</v>
      </c>
      <c r="K1345" t="s">
        <v>37</v>
      </c>
    </row>
    <row r="1346" spans="1:11" ht="20" customHeight="1">
      <c r="A1346" t="s">
        <v>22</v>
      </c>
      <c r="B1346" t="s">
        <v>4067</v>
      </c>
      <c r="C1346">
        <v>188.2400054931641</v>
      </c>
      <c r="D1346">
        <v>188.9900054931641</v>
      </c>
      <c r="E1346">
        <v>186.9299926757812</v>
      </c>
      <c r="F1346">
        <v>187.5399932861328</v>
      </c>
      <c r="G1346">
        <v>187.1021728515625</v>
      </c>
      <c r="H1346">
        <v>97687300</v>
      </c>
      <c r="I1346" t="s">
        <v>4068</v>
      </c>
      <c r="J1346" t="s">
        <v>4069</v>
      </c>
      <c r="K1346" t="s">
        <v>37</v>
      </c>
    </row>
    <row r="1347" spans="1:11" ht="20" customHeight="1">
      <c r="A1347" t="s">
        <v>22</v>
      </c>
      <c r="B1347" t="s">
        <v>4070</v>
      </c>
      <c r="C1347">
        <v>189.5700073242188</v>
      </c>
      <c r="D1347">
        <v>190.5599975585938</v>
      </c>
      <c r="E1347">
        <v>186.4900054931641</v>
      </c>
      <c r="F1347">
        <v>186.5</v>
      </c>
      <c r="G1347">
        <v>186.0646209716797</v>
      </c>
      <c r="H1347">
        <v>120100500</v>
      </c>
      <c r="I1347" t="s">
        <v>4071</v>
      </c>
      <c r="J1347" t="s">
        <v>4072</v>
      </c>
      <c r="K1347" t="s">
        <v>37</v>
      </c>
    </row>
    <row r="1348" spans="1:11" ht="20" customHeight="1">
      <c r="A1348" t="s">
        <v>22</v>
      </c>
      <c r="B1348" t="s">
        <v>4073</v>
      </c>
      <c r="C1348">
        <v>189.8399963378906</v>
      </c>
      <c r="D1348">
        <v>192.9299926757812</v>
      </c>
      <c r="E1348">
        <v>188.2599945068359</v>
      </c>
      <c r="F1348">
        <v>188.8500061035156</v>
      </c>
      <c r="G1348">
        <v>188.4091186523438</v>
      </c>
      <c r="H1348">
        <v>148240500</v>
      </c>
      <c r="I1348" t="s">
        <v>4074</v>
      </c>
      <c r="J1348" t="s">
        <v>4075</v>
      </c>
      <c r="K1348" t="s">
        <v>37</v>
      </c>
    </row>
    <row r="1349" spans="1:11" ht="20" customHeight="1">
      <c r="A1349" t="s">
        <v>22</v>
      </c>
      <c r="B1349" t="s">
        <v>4076</v>
      </c>
      <c r="C1349">
        <v>191.7599945068359</v>
      </c>
      <c r="D1349">
        <v>193.6300048828125</v>
      </c>
      <c r="E1349">
        <v>186.1499938964844</v>
      </c>
      <c r="F1349">
        <v>188.1199951171875</v>
      </c>
      <c r="G1349">
        <v>187.6808319091797</v>
      </c>
      <c r="H1349">
        <v>183529700</v>
      </c>
      <c r="I1349" t="s">
        <v>4077</v>
      </c>
      <c r="J1349" t="s">
        <v>4078</v>
      </c>
      <c r="K1349" t="s">
        <v>37</v>
      </c>
    </row>
    <row r="1350" spans="1:11" ht="20" customHeight="1">
      <c r="A1350" t="s">
        <v>22</v>
      </c>
      <c r="B1350" t="s">
        <v>4079</v>
      </c>
      <c r="C1350">
        <v>190.5200042724609</v>
      </c>
      <c r="D1350">
        <v>192.1699981689453</v>
      </c>
      <c r="E1350">
        <v>186.8200073242188</v>
      </c>
      <c r="F1350">
        <v>187.2400054931641</v>
      </c>
      <c r="G1350">
        <v>186.8028869628906</v>
      </c>
      <c r="H1350">
        <v>176862600</v>
      </c>
      <c r="I1350" t="s">
        <v>4080</v>
      </c>
      <c r="J1350" t="s">
        <v>4081</v>
      </c>
      <c r="K1350" t="s">
        <v>37</v>
      </c>
    </row>
    <row r="1351" spans="1:11" ht="20" customHeight="1">
      <c r="A1351" t="s">
        <v>22</v>
      </c>
      <c r="B1351" t="s">
        <v>4082</v>
      </c>
      <c r="C1351">
        <v>188.5700073242188</v>
      </c>
      <c r="D1351">
        <v>191.3699951171875</v>
      </c>
      <c r="E1351">
        <v>186.5599975585938</v>
      </c>
      <c r="F1351">
        <v>189.1100006103516</v>
      </c>
      <c r="G1351">
        <v>188.6685028076172</v>
      </c>
      <c r="H1351">
        <v>153543200</v>
      </c>
      <c r="I1351" t="s">
        <v>4083</v>
      </c>
      <c r="J1351" t="s">
        <v>4084</v>
      </c>
      <c r="K1351" t="s">
        <v>37</v>
      </c>
    </row>
    <row r="1352" spans="1:11" ht="20" customHeight="1">
      <c r="A1352" t="s">
        <v>22</v>
      </c>
      <c r="B1352" t="s">
        <v>4085</v>
      </c>
      <c r="C1352">
        <v>189.1100006103516</v>
      </c>
      <c r="D1352">
        <v>189.5500030517578</v>
      </c>
      <c r="E1352">
        <v>183.7100067138672</v>
      </c>
      <c r="F1352">
        <v>185.0399932861328</v>
      </c>
      <c r="G1352">
        <v>184.6080169677734</v>
      </c>
      <c r="H1352">
        <v>172457000</v>
      </c>
      <c r="I1352" t="s">
        <v>4086</v>
      </c>
      <c r="J1352" t="s">
        <v>4087</v>
      </c>
      <c r="K1352" t="s">
        <v>37</v>
      </c>
    </row>
    <row r="1353" spans="1:11" ht="20" customHeight="1">
      <c r="A1353" t="s">
        <v>22</v>
      </c>
      <c r="B1353" t="s">
        <v>4088</v>
      </c>
      <c r="C1353">
        <v>185.0800018310547</v>
      </c>
      <c r="D1353">
        <v>186.3399963378906</v>
      </c>
      <c r="E1353">
        <v>183.6699981689453</v>
      </c>
      <c r="F1353">
        <v>184.8600006103516</v>
      </c>
      <c r="G1353">
        <v>184.4284362792969</v>
      </c>
      <c r="H1353">
        <v>131327500</v>
      </c>
      <c r="I1353" t="s">
        <v>4089</v>
      </c>
      <c r="J1353" t="s">
        <v>4090</v>
      </c>
      <c r="K1353" t="s">
        <v>37</v>
      </c>
    </row>
    <row r="1354" spans="1:11" ht="20" customHeight="1">
      <c r="A1354" t="s">
        <v>22</v>
      </c>
      <c r="B1354" t="s">
        <v>4091</v>
      </c>
      <c r="C1354">
        <v>183.2200012207031</v>
      </c>
      <c r="D1354">
        <v>187.1199951171875</v>
      </c>
      <c r="E1354">
        <v>183.0200042724609</v>
      </c>
      <c r="F1354">
        <v>184.9400024414062</v>
      </c>
      <c r="G1354">
        <v>184.5082550048828</v>
      </c>
      <c r="H1354">
        <v>137968500</v>
      </c>
      <c r="I1354" t="s">
        <v>4092</v>
      </c>
      <c r="J1354" t="s">
        <v>4093</v>
      </c>
      <c r="K1354" t="s">
        <v>37</v>
      </c>
    </row>
    <row r="1355" spans="1:11" ht="20" customHeight="1">
      <c r="A1355" t="s">
        <v>22</v>
      </c>
      <c r="B1355" t="s">
        <v>4094</v>
      </c>
      <c r="C1355">
        <v>185</v>
      </c>
      <c r="D1355">
        <v>188.1100006103516</v>
      </c>
      <c r="E1355">
        <v>183.3999938964844</v>
      </c>
      <c r="F1355">
        <v>185.8099975585938</v>
      </c>
      <c r="G1355">
        <v>185.376220703125</v>
      </c>
      <c r="H1355">
        <v>160128900</v>
      </c>
      <c r="I1355" t="s">
        <v>4095</v>
      </c>
      <c r="J1355" t="s">
        <v>4096</v>
      </c>
      <c r="K1355" t="s">
        <v>37</v>
      </c>
    </row>
    <row r="1356" spans="1:11" ht="20" customHeight="1">
      <c r="A1356" t="s">
        <v>22</v>
      </c>
      <c r="B1356" t="s">
        <v>4097</v>
      </c>
      <c r="C1356">
        <v>184.3200073242188</v>
      </c>
      <c r="D1356">
        <v>184.4600067138672</v>
      </c>
      <c r="E1356">
        <v>180.8000030517578</v>
      </c>
      <c r="F1356">
        <v>183.1399993896484</v>
      </c>
      <c r="G1356">
        <v>182.7124481201172</v>
      </c>
      <c r="H1356">
        <v>159586100</v>
      </c>
      <c r="I1356" t="s">
        <v>4098</v>
      </c>
      <c r="J1356" t="s">
        <v>4099</v>
      </c>
      <c r="K1356" t="s">
        <v>37</v>
      </c>
    </row>
    <row r="1357" spans="1:11" ht="20" customHeight="1">
      <c r="A1357" t="s">
        <v>22</v>
      </c>
      <c r="B1357" t="s">
        <v>4100</v>
      </c>
      <c r="C1357">
        <v>186.5</v>
      </c>
      <c r="D1357">
        <v>189.6999969482422</v>
      </c>
      <c r="E1357">
        <v>186.3300018310547</v>
      </c>
      <c r="F1357">
        <v>187.0500030517578</v>
      </c>
      <c r="G1357">
        <v>186.6133270263672</v>
      </c>
      <c r="H1357">
        <v>206188600</v>
      </c>
      <c r="I1357" t="s">
        <v>4101</v>
      </c>
      <c r="J1357" t="s">
        <v>4102</v>
      </c>
      <c r="K1357" t="s">
        <v>37</v>
      </c>
    </row>
    <row r="1358" spans="1:11" ht="20" customHeight="1">
      <c r="A1358" t="s">
        <v>22</v>
      </c>
      <c r="B1358" t="s">
        <v>4103</v>
      </c>
      <c r="C1358">
        <v>189.0800018310547</v>
      </c>
      <c r="D1358">
        <v>190.4400024414062</v>
      </c>
      <c r="E1358">
        <v>186.0800018310547</v>
      </c>
      <c r="F1358">
        <v>186.2299957275391</v>
      </c>
      <c r="G1358">
        <v>185.7952270507812</v>
      </c>
      <c r="H1358">
        <v>187967200</v>
      </c>
      <c r="I1358" t="s">
        <v>4104</v>
      </c>
      <c r="J1358" t="s">
        <v>4105</v>
      </c>
      <c r="K1358" t="s">
        <v>37</v>
      </c>
    </row>
    <row r="1359" spans="1:11" ht="20" customHeight="1">
      <c r="A1359" t="s">
        <v>22</v>
      </c>
      <c r="B1359" t="s">
        <v>4106</v>
      </c>
      <c r="C1359">
        <v>181.8999938964844</v>
      </c>
      <c r="D1359">
        <v>182.3800048828125</v>
      </c>
      <c r="E1359">
        <v>177.6100006103516</v>
      </c>
      <c r="F1359">
        <v>178.0700073242188</v>
      </c>
      <c r="G1359">
        <v>177.6542816162109</v>
      </c>
      <c r="H1359">
        <v>223345300</v>
      </c>
      <c r="I1359" t="s">
        <v>4107</v>
      </c>
      <c r="J1359" t="s">
        <v>4108</v>
      </c>
      <c r="K1359" t="s">
        <v>37</v>
      </c>
    </row>
    <row r="1360" spans="1:11" ht="20" customHeight="1">
      <c r="A1360" t="s">
        <v>22</v>
      </c>
      <c r="B1360" t="s">
        <v>4109</v>
      </c>
      <c r="C1360">
        <v>179.0500030517578</v>
      </c>
      <c r="D1360">
        <v>185.3800048828125</v>
      </c>
      <c r="E1360">
        <v>178.3999938964844</v>
      </c>
      <c r="F1360">
        <v>183.3200073242188</v>
      </c>
      <c r="G1360">
        <v>182.8920440673828</v>
      </c>
      <c r="H1360">
        <v>200381000</v>
      </c>
      <c r="I1360" t="s">
        <v>4110</v>
      </c>
      <c r="J1360" t="s">
        <v>4111</v>
      </c>
      <c r="K1360" t="s">
        <v>37</v>
      </c>
    </row>
    <row r="1361" spans="1:11" ht="20" customHeight="1">
      <c r="A1361" t="s">
        <v>22</v>
      </c>
      <c r="B1361" t="s">
        <v>4112</v>
      </c>
      <c r="C1361">
        <v>184.75</v>
      </c>
      <c r="D1361">
        <v>186.1699981689453</v>
      </c>
      <c r="E1361">
        <v>183.9299926757812</v>
      </c>
      <c r="F1361">
        <v>184.8399963378906</v>
      </c>
      <c r="G1361">
        <v>184.4084777832031</v>
      </c>
      <c r="H1361">
        <v>139636600</v>
      </c>
      <c r="I1361" t="s">
        <v>4113</v>
      </c>
      <c r="J1361" t="s">
        <v>4114</v>
      </c>
      <c r="K1361" t="s">
        <v>37</v>
      </c>
    </row>
    <row r="1362" spans="1:11" ht="20" customHeight="1">
      <c r="A1362" t="s">
        <v>22</v>
      </c>
      <c r="B1362" t="s">
        <v>4115</v>
      </c>
      <c r="C1362">
        <v>187.5</v>
      </c>
      <c r="D1362">
        <v>189.6000061035156</v>
      </c>
      <c r="E1362">
        <v>186.8200073242188</v>
      </c>
      <c r="F1362">
        <v>187.6699981689453</v>
      </c>
      <c r="G1362">
        <v>187.2318725585938</v>
      </c>
      <c r="H1362">
        <v>142748100</v>
      </c>
      <c r="I1362" t="s">
        <v>4116</v>
      </c>
      <c r="J1362" t="s">
        <v>4117</v>
      </c>
      <c r="K1362" t="s">
        <v>37</v>
      </c>
    </row>
    <row r="1363" spans="1:11" ht="20" customHeight="1">
      <c r="A1363" t="s">
        <v>22</v>
      </c>
      <c r="B1363" t="s">
        <v>4118</v>
      </c>
      <c r="C1363">
        <v>187.1600036621094</v>
      </c>
      <c r="D1363">
        <v>189.1199951171875</v>
      </c>
      <c r="E1363">
        <v>185.9900054931641</v>
      </c>
      <c r="F1363">
        <v>186.4700012207031</v>
      </c>
      <c r="G1363">
        <v>186.0346832275391</v>
      </c>
      <c r="H1363">
        <v>124799600</v>
      </c>
      <c r="I1363" t="s">
        <v>4119</v>
      </c>
      <c r="J1363" t="s">
        <v>4120</v>
      </c>
      <c r="K1363" t="s">
        <v>37</v>
      </c>
    </row>
    <row r="1364" spans="1:11" ht="20" customHeight="1">
      <c r="A1364" t="s">
        <v>22</v>
      </c>
      <c r="B1364" t="s">
        <v>4121</v>
      </c>
      <c r="C1364">
        <v>187.2400054931641</v>
      </c>
      <c r="D1364">
        <v>190</v>
      </c>
      <c r="E1364">
        <v>185.6999969482422</v>
      </c>
      <c r="F1364">
        <v>188.5200042724609</v>
      </c>
      <c r="G1364">
        <v>188.0798950195312</v>
      </c>
      <c r="H1364">
        <v>143711600</v>
      </c>
      <c r="I1364" t="s">
        <v>4122</v>
      </c>
      <c r="J1364" t="s">
        <v>4123</v>
      </c>
      <c r="K1364" t="s">
        <v>37</v>
      </c>
    </row>
    <row r="1365" spans="1:11" ht="20" customHeight="1">
      <c r="A1365" t="s">
        <v>22</v>
      </c>
      <c r="B1365" t="s">
        <v>4124</v>
      </c>
      <c r="C1365">
        <v>191.2700042724609</v>
      </c>
      <c r="D1365">
        <v>192.3500061035156</v>
      </c>
      <c r="E1365">
        <v>189.8399963378906</v>
      </c>
      <c r="F1365">
        <v>191.5200042724609</v>
      </c>
      <c r="G1365">
        <v>191.0728912353516</v>
      </c>
      <c r="H1365">
        <v>148552700</v>
      </c>
      <c r="I1365" t="s">
        <v>4125</v>
      </c>
      <c r="J1365" t="s">
        <v>4126</v>
      </c>
      <c r="K1365" t="s">
        <v>37</v>
      </c>
    </row>
    <row r="1366" spans="1:11" ht="20" customHeight="1">
      <c r="A1366" t="s">
        <v>22</v>
      </c>
      <c r="B1366" t="s">
        <v>4127</v>
      </c>
      <c r="C1366">
        <v>191.3399963378906</v>
      </c>
      <c r="D1366">
        <v>193.4799957275391</v>
      </c>
      <c r="E1366">
        <v>186.0599975585938</v>
      </c>
      <c r="F1366">
        <v>192.5099945068359</v>
      </c>
      <c r="G1366">
        <v>192.0605621337891</v>
      </c>
      <c r="H1366">
        <v>171764400</v>
      </c>
      <c r="I1366" t="s">
        <v>4128</v>
      </c>
      <c r="J1366" t="s">
        <v>4129</v>
      </c>
      <c r="K1366" t="s">
        <v>37</v>
      </c>
    </row>
    <row r="1367" spans="1:11" ht="20" customHeight="1">
      <c r="A1367" t="s">
        <v>22</v>
      </c>
      <c r="B1367" t="s">
        <v>4130</v>
      </c>
      <c r="C1367">
        <v>191.2100067138672</v>
      </c>
      <c r="D1367">
        <v>194.4900054931641</v>
      </c>
      <c r="E1367">
        <v>189.4700012207031</v>
      </c>
      <c r="F1367">
        <v>191.1300048828125</v>
      </c>
      <c r="G1367">
        <v>190.6837921142578</v>
      </c>
      <c r="H1367">
        <v>179489500</v>
      </c>
      <c r="I1367" t="s">
        <v>4131</v>
      </c>
      <c r="J1367" t="s">
        <v>4132</v>
      </c>
      <c r="K1367" t="s">
        <v>37</v>
      </c>
    </row>
    <row r="1368" spans="1:11" ht="20" customHeight="1">
      <c r="A1368" t="s">
        <v>22</v>
      </c>
      <c r="B1368" t="s">
        <v>4133</v>
      </c>
      <c r="C1368">
        <v>187.1999969482422</v>
      </c>
      <c r="D1368">
        <v>190.3000030517578</v>
      </c>
      <c r="E1368">
        <v>184.8800048828125</v>
      </c>
      <c r="F1368">
        <v>185.6100006103516</v>
      </c>
      <c r="G1368">
        <v>185.1766967773438</v>
      </c>
      <c r="H1368">
        <v>165794100</v>
      </c>
      <c r="I1368" t="s">
        <v>4134</v>
      </c>
      <c r="J1368" t="s">
        <v>4135</v>
      </c>
      <c r="K1368" t="s">
        <v>37</v>
      </c>
    </row>
    <row r="1369" spans="1:11" ht="20" customHeight="1">
      <c r="A1369" t="s">
        <v>22</v>
      </c>
      <c r="B1369" t="s">
        <v>4136</v>
      </c>
      <c r="C1369">
        <v>186.2400054931641</v>
      </c>
      <c r="D1369">
        <v>186.2700042724609</v>
      </c>
      <c r="E1369">
        <v>176.2299957275391</v>
      </c>
      <c r="F1369">
        <v>180.3399963378906</v>
      </c>
      <c r="G1369">
        <v>179.9189758300781</v>
      </c>
      <c r="H1369">
        <v>204019600</v>
      </c>
      <c r="I1369" t="s">
        <v>4137</v>
      </c>
      <c r="J1369" t="s">
        <v>4138</v>
      </c>
      <c r="K1369" t="s">
        <v>37</v>
      </c>
    </row>
    <row r="1370" spans="1:11" ht="20" customHeight="1">
      <c r="A1370" t="s">
        <v>22</v>
      </c>
      <c r="B1370" t="s">
        <v>4139</v>
      </c>
      <c r="C1370">
        <v>179.4600067138672</v>
      </c>
      <c r="D1370">
        <v>179.5800018310547</v>
      </c>
      <c r="E1370">
        <v>171.9100036621094</v>
      </c>
      <c r="F1370">
        <v>174.1900024414062</v>
      </c>
      <c r="G1370">
        <v>173.7833404541016</v>
      </c>
      <c r="H1370">
        <v>207014100</v>
      </c>
      <c r="I1370" t="s">
        <v>4140</v>
      </c>
      <c r="J1370" t="s">
        <v>4141</v>
      </c>
      <c r="K1370" t="s">
        <v>37</v>
      </c>
    </row>
    <row r="1371" spans="1:11" ht="20" customHeight="1">
      <c r="A1371" t="s">
        <v>22</v>
      </c>
      <c r="B1371" t="s">
        <v>4142</v>
      </c>
      <c r="C1371">
        <v>174.9299926757812</v>
      </c>
      <c r="D1371">
        <v>176.8200073242188</v>
      </c>
      <c r="E1371">
        <v>171.0299987792969</v>
      </c>
      <c r="F1371">
        <v>171.8800048828125</v>
      </c>
      <c r="G1371">
        <v>171.4787292480469</v>
      </c>
      <c r="H1371">
        <v>206312900</v>
      </c>
      <c r="I1371" t="s">
        <v>4143</v>
      </c>
      <c r="J1371" t="s">
        <v>4144</v>
      </c>
      <c r="K1371" t="s">
        <v>37</v>
      </c>
    </row>
    <row r="1372" spans="1:11" ht="20" customHeight="1">
      <c r="A1372" t="s">
        <v>22</v>
      </c>
      <c r="B1372" t="s">
        <v>4145</v>
      </c>
      <c r="C1372">
        <v>176.6900024414062</v>
      </c>
      <c r="D1372">
        <v>187</v>
      </c>
      <c r="E1372">
        <v>174.6000061035156</v>
      </c>
      <c r="F1372">
        <v>185.4100036621094</v>
      </c>
      <c r="G1372">
        <v>184.9771423339844</v>
      </c>
      <c r="H1372">
        <v>231346200</v>
      </c>
      <c r="I1372" t="s">
        <v>4146</v>
      </c>
      <c r="J1372" t="s">
        <v>4147</v>
      </c>
      <c r="K1372" t="s">
        <v>37</v>
      </c>
    </row>
    <row r="1373" spans="1:11" ht="20" customHeight="1">
      <c r="A1373" t="s">
        <v>22</v>
      </c>
      <c r="B1373" t="s">
        <v>4148</v>
      </c>
      <c r="C1373">
        <v>184.2599945068359</v>
      </c>
      <c r="D1373">
        <v>193.6600036621094</v>
      </c>
      <c r="E1373">
        <v>183.9499969482422</v>
      </c>
      <c r="F1373">
        <v>190.0399932861328</v>
      </c>
      <c r="G1373">
        <v>189.5963287353516</v>
      </c>
      <c r="H1373">
        <v>196387400</v>
      </c>
      <c r="I1373" t="s">
        <v>4149</v>
      </c>
      <c r="J1373" t="s">
        <v>4150</v>
      </c>
      <c r="K1373" t="s">
        <v>37</v>
      </c>
    </row>
    <row r="1374" spans="1:11" ht="20" customHeight="1">
      <c r="A1374" t="s">
        <v>22</v>
      </c>
      <c r="B1374" t="s">
        <v>4151</v>
      </c>
      <c r="C1374">
        <v>191.3800048828125</v>
      </c>
      <c r="D1374">
        <v>192.4799957275391</v>
      </c>
      <c r="E1374">
        <v>188.1199951171875</v>
      </c>
      <c r="F1374">
        <v>188.5399932861328</v>
      </c>
      <c r="G1374">
        <v>188.0998382568359</v>
      </c>
      <c r="H1374">
        <v>136764800</v>
      </c>
      <c r="I1374" t="s">
        <v>4152</v>
      </c>
      <c r="J1374" t="s">
        <v>4153</v>
      </c>
      <c r="K1374" t="s">
        <v>37</v>
      </c>
    </row>
    <row r="1375" spans="1:11" ht="20" customHeight="1">
      <c r="A1375" t="s">
        <v>22</v>
      </c>
      <c r="B1375" t="s">
        <v>4154</v>
      </c>
      <c r="C1375">
        <v>192.4499969482422</v>
      </c>
      <c r="D1375">
        <v>193.2599945068359</v>
      </c>
      <c r="E1375">
        <v>188.7700042724609</v>
      </c>
      <c r="F1375">
        <v>190.0500030517578</v>
      </c>
      <c r="G1375">
        <v>189.6063385009766</v>
      </c>
      <c r="H1375">
        <v>144192700</v>
      </c>
      <c r="I1375" t="s">
        <v>4155</v>
      </c>
      <c r="J1375" t="s">
        <v>4156</v>
      </c>
      <c r="K1375" t="s">
        <v>37</v>
      </c>
    </row>
    <row r="1376" spans="1:11" ht="20" customHeight="1">
      <c r="A1376" t="s">
        <v>22</v>
      </c>
      <c r="B1376" t="s">
        <v>4157</v>
      </c>
      <c r="C1376">
        <v>193.0299987792969</v>
      </c>
      <c r="D1376">
        <v>193.6100006103516</v>
      </c>
      <c r="E1376">
        <v>186.5099945068359</v>
      </c>
      <c r="F1376">
        <v>186.9400024414062</v>
      </c>
      <c r="G1376">
        <v>186.5035858154297</v>
      </c>
      <c r="H1376">
        <v>189932500</v>
      </c>
      <c r="I1376" t="s">
        <v>4158</v>
      </c>
      <c r="J1376" t="s">
        <v>4159</v>
      </c>
      <c r="K1376" t="s">
        <v>37</v>
      </c>
    </row>
    <row r="1377" spans="1:11" ht="20" customHeight="1">
      <c r="A1377" t="s">
        <v>22</v>
      </c>
      <c r="B1377" t="s">
        <v>4160</v>
      </c>
      <c r="C1377">
        <v>187.4799957275391</v>
      </c>
      <c r="D1377">
        <v>187.5</v>
      </c>
      <c r="E1377">
        <v>181.5899963378906</v>
      </c>
      <c r="F1377">
        <v>182.8099975585938</v>
      </c>
      <c r="G1377">
        <v>182.3832244873047</v>
      </c>
      <c r="H1377">
        <v>161888000</v>
      </c>
      <c r="I1377" t="s">
        <v>4161</v>
      </c>
      <c r="J1377" t="s">
        <v>4162</v>
      </c>
      <c r="K1377" t="s">
        <v>37</v>
      </c>
    </row>
    <row r="1378" spans="1:11" ht="20" customHeight="1">
      <c r="A1378" t="s">
        <v>22</v>
      </c>
      <c r="B1378" t="s">
        <v>4163</v>
      </c>
      <c r="C1378">
        <v>181.75</v>
      </c>
      <c r="D1378">
        <v>187.1499938964844</v>
      </c>
      <c r="E1378">
        <v>179.1799926757812</v>
      </c>
      <c r="F1378">
        <v>184.9700012207031</v>
      </c>
      <c r="G1378">
        <v>184.5381927490234</v>
      </c>
      <c r="H1378">
        <v>162276900</v>
      </c>
      <c r="I1378" t="s">
        <v>4164</v>
      </c>
      <c r="J1378" t="s">
        <v>4165</v>
      </c>
      <c r="K1378" t="s">
        <v>37</v>
      </c>
    </row>
    <row r="1379" spans="1:11" ht="20" customHeight="1">
      <c r="A1379" t="s">
        <v>22</v>
      </c>
      <c r="B1379" t="s">
        <v>4166</v>
      </c>
      <c r="C1379">
        <v>188.75</v>
      </c>
      <c r="D1379">
        <v>190.3699951171875</v>
      </c>
      <c r="E1379">
        <v>186.7599945068359</v>
      </c>
      <c r="F1379">
        <v>187.9799957275391</v>
      </c>
      <c r="G1379">
        <v>187.5411376953125</v>
      </c>
      <c r="H1379">
        <v>164749100</v>
      </c>
      <c r="I1379" t="s">
        <v>4167</v>
      </c>
      <c r="J1379" t="s">
        <v>4168</v>
      </c>
      <c r="K1379" t="s">
        <v>37</v>
      </c>
    </row>
    <row r="1380" spans="1:11" ht="20" customHeight="1">
      <c r="A1380" t="s">
        <v>22</v>
      </c>
      <c r="B1380" t="s">
        <v>4169</v>
      </c>
      <c r="C1380">
        <v>187.0599975585938</v>
      </c>
      <c r="D1380">
        <v>188.4299926757812</v>
      </c>
      <c r="E1380">
        <v>185.6600036621094</v>
      </c>
      <c r="F1380">
        <v>187.8999938964844</v>
      </c>
      <c r="G1380">
        <v>187.4613342285156</v>
      </c>
      <c r="H1380">
        <v>126554500</v>
      </c>
      <c r="I1380" t="s">
        <v>4170</v>
      </c>
      <c r="J1380" t="s">
        <v>4171</v>
      </c>
      <c r="K1380" t="s">
        <v>37</v>
      </c>
    </row>
    <row r="1381" spans="1:11" ht="20" customHeight="1">
      <c r="A1381" t="s">
        <v>22</v>
      </c>
      <c r="B1381" t="s">
        <v>4172</v>
      </c>
      <c r="C1381">
        <v>186.5700073242188</v>
      </c>
      <c r="D1381">
        <v>190.3300018310547</v>
      </c>
      <c r="E1381">
        <v>185.9400024414062</v>
      </c>
      <c r="F1381">
        <v>189.8200073242188</v>
      </c>
      <c r="G1381">
        <v>189.3768615722656</v>
      </c>
      <c r="H1381">
        <v>178422300</v>
      </c>
      <c r="I1381" t="s">
        <v>4173</v>
      </c>
      <c r="J1381" t="s">
        <v>4174</v>
      </c>
      <c r="K1381" t="s">
        <v>37</v>
      </c>
    </row>
    <row r="1382" spans="1:11" ht="20" customHeight="1">
      <c r="A1382" t="s">
        <v>22</v>
      </c>
      <c r="B1382" t="s">
        <v>4175</v>
      </c>
      <c r="C1382">
        <v>191.3999938964844</v>
      </c>
      <c r="D1382">
        <v>193.9499969482422</v>
      </c>
      <c r="E1382">
        <v>189.5800018310547</v>
      </c>
      <c r="F1382">
        <v>191.5500030517578</v>
      </c>
      <c r="G1382">
        <v>191.1028289794922</v>
      </c>
      <c r="H1382">
        <v>171584800</v>
      </c>
      <c r="I1382" t="s">
        <v>4176</v>
      </c>
      <c r="J1382" t="s">
        <v>4177</v>
      </c>
      <c r="K1382" t="s">
        <v>37</v>
      </c>
    </row>
    <row r="1383" spans="1:11" ht="20" customHeight="1">
      <c r="A1383" t="s">
        <v>22</v>
      </c>
      <c r="B1383" t="s">
        <v>4178</v>
      </c>
      <c r="C1383">
        <v>191.4900054931641</v>
      </c>
      <c r="D1383">
        <v>193.7700042724609</v>
      </c>
      <c r="E1383">
        <v>187.3999938964844</v>
      </c>
      <c r="F1383">
        <v>192.8500061035156</v>
      </c>
      <c r="G1383">
        <v>192.3997955322266</v>
      </c>
      <c r="H1383">
        <v>175123600</v>
      </c>
      <c r="I1383" t="s">
        <v>4179</v>
      </c>
      <c r="J1383" t="s">
        <v>4180</v>
      </c>
      <c r="K1383" t="s">
        <v>37</v>
      </c>
    </row>
    <row r="1384" spans="1:11" ht="20" customHeight="1">
      <c r="A1384" t="s">
        <v>22</v>
      </c>
      <c r="B1384" t="s">
        <v>4181</v>
      </c>
      <c r="C1384">
        <v>194.4499969482422</v>
      </c>
      <c r="D1384">
        <v>197.6300048828125</v>
      </c>
      <c r="E1384">
        <v>193.7899932861328</v>
      </c>
      <c r="F1384">
        <v>195.5599975585938</v>
      </c>
      <c r="G1384">
        <v>195.1034545898438</v>
      </c>
      <c r="H1384">
        <v>250637100</v>
      </c>
      <c r="I1384" t="s">
        <v>4182</v>
      </c>
      <c r="J1384" t="s">
        <v>4183</v>
      </c>
      <c r="K1384" t="s">
        <v>37</v>
      </c>
    </row>
    <row r="1385" spans="1:11" ht="20" customHeight="1">
      <c r="A1385" t="s">
        <v>22</v>
      </c>
      <c r="B1385" t="s">
        <v>4184</v>
      </c>
      <c r="C1385">
        <v>194.2700042724609</v>
      </c>
      <c r="D1385">
        <v>194.2899932861328</v>
      </c>
      <c r="E1385">
        <v>184.3200073242188</v>
      </c>
      <c r="F1385">
        <v>184.8899993896484</v>
      </c>
      <c r="G1385">
        <v>184.4583740234375</v>
      </c>
      <c r="H1385">
        <v>360807900</v>
      </c>
      <c r="I1385" t="s">
        <v>4185</v>
      </c>
      <c r="J1385" t="s">
        <v>4186</v>
      </c>
      <c r="K1385" t="s">
        <v>37</v>
      </c>
    </row>
    <row r="1386" spans="1:11" ht="20" customHeight="1">
      <c r="A1386" t="s">
        <v>22</v>
      </c>
      <c r="B1386" t="s">
        <v>4187</v>
      </c>
      <c r="C1386">
        <v>181.25</v>
      </c>
      <c r="D1386">
        <v>182.5899963378906</v>
      </c>
      <c r="E1386">
        <v>176.3800048828125</v>
      </c>
      <c r="F1386">
        <v>177.1900024414062</v>
      </c>
      <c r="G1386">
        <v>176.7763519287109</v>
      </c>
      <c r="H1386">
        <v>311636500</v>
      </c>
      <c r="I1386" t="s">
        <v>4188</v>
      </c>
      <c r="J1386" t="s">
        <v>4189</v>
      </c>
      <c r="K1386" t="s">
        <v>37</v>
      </c>
    </row>
    <row r="1387" spans="1:11" ht="20" customHeight="1">
      <c r="A1387" t="s">
        <v>22</v>
      </c>
      <c r="B1387" t="s">
        <v>4190</v>
      </c>
      <c r="C1387">
        <v>175.0099945068359</v>
      </c>
      <c r="D1387">
        <v>183.4600067138672</v>
      </c>
      <c r="E1387">
        <v>174.6399993896484</v>
      </c>
      <c r="F1387">
        <v>182.4799957275391</v>
      </c>
      <c r="G1387">
        <v>182.0539855957031</v>
      </c>
      <c r="H1387">
        <v>209095300</v>
      </c>
      <c r="I1387" t="s">
        <v>4191</v>
      </c>
      <c r="J1387" t="s">
        <v>4192</v>
      </c>
      <c r="K1387" t="s">
        <v>37</v>
      </c>
    </row>
    <row r="1388" spans="1:11" ht="20" customHeight="1">
      <c r="A1388" t="s">
        <v>22</v>
      </c>
      <c r="B1388" t="s">
        <v>4193</v>
      </c>
      <c r="C1388">
        <v>178.4900054931641</v>
      </c>
      <c r="D1388">
        <v>180.8999938964844</v>
      </c>
      <c r="E1388">
        <v>176.9199981689453</v>
      </c>
      <c r="F1388">
        <v>180.0500030517578</v>
      </c>
      <c r="G1388">
        <v>179.6296691894531</v>
      </c>
      <c r="H1388">
        <v>178099400</v>
      </c>
      <c r="I1388" t="s">
        <v>4194</v>
      </c>
      <c r="J1388" t="s">
        <v>4195</v>
      </c>
      <c r="K1388" t="s">
        <v>37</v>
      </c>
    </row>
    <row r="1389" spans="1:11" ht="20" customHeight="1">
      <c r="A1389" t="s">
        <v>22</v>
      </c>
      <c r="B1389" t="s">
        <v>4196</v>
      </c>
      <c r="C1389">
        <v>180.4400024414062</v>
      </c>
      <c r="D1389">
        <v>184.6999969482422</v>
      </c>
      <c r="E1389">
        <v>180.0599975585938</v>
      </c>
      <c r="F1389">
        <v>183.0399932861328</v>
      </c>
      <c r="G1389">
        <v>182.6126861572266</v>
      </c>
      <c r="H1389">
        <v>177731200</v>
      </c>
      <c r="I1389" t="s">
        <v>4197</v>
      </c>
      <c r="J1389" t="s">
        <v>4198</v>
      </c>
      <c r="K1389" t="s">
        <v>37</v>
      </c>
    </row>
    <row r="1390" spans="1:11" ht="20" customHeight="1">
      <c r="A1390" t="s">
        <v>22</v>
      </c>
      <c r="B1390" t="s">
        <v>4199</v>
      </c>
      <c r="C1390">
        <v>181.1699981689453</v>
      </c>
      <c r="D1390">
        <v>184.0599975585938</v>
      </c>
      <c r="E1390">
        <v>177.8800048828125</v>
      </c>
      <c r="F1390">
        <v>183.3399963378906</v>
      </c>
      <c r="G1390">
        <v>182.9119873046875</v>
      </c>
      <c r="H1390">
        <v>198779700</v>
      </c>
      <c r="I1390" t="s">
        <v>4200</v>
      </c>
      <c r="J1390" t="s">
        <v>4201</v>
      </c>
      <c r="K1390" t="s">
        <v>37</v>
      </c>
    </row>
    <row r="1391" spans="1:11" ht="20" customHeight="1">
      <c r="A1391" t="s">
        <v>22</v>
      </c>
      <c r="B1391" t="s">
        <v>4202</v>
      </c>
      <c r="C1391">
        <v>179.8399963378906</v>
      </c>
      <c r="D1391">
        <v>182.7599945068359</v>
      </c>
      <c r="E1391">
        <v>176.8200073242188</v>
      </c>
      <c r="F1391">
        <v>177.8200073242188</v>
      </c>
      <c r="G1391">
        <v>177.4048614501953</v>
      </c>
      <c r="H1391">
        <v>189021900</v>
      </c>
      <c r="I1391" t="s">
        <v>4203</v>
      </c>
      <c r="J1391" t="s">
        <v>4204</v>
      </c>
      <c r="K1391" t="s">
        <v>37</v>
      </c>
    </row>
    <row r="1392" spans="1:11" ht="20" customHeight="1">
      <c r="A1392" t="s">
        <v>22</v>
      </c>
      <c r="B1392" t="s">
        <v>4205</v>
      </c>
      <c r="C1392">
        <v>176.8300018310547</v>
      </c>
      <c r="D1392">
        <v>182.9100036621094</v>
      </c>
      <c r="E1392">
        <v>175.5599975585938</v>
      </c>
      <c r="F1392">
        <v>182.6499938964844</v>
      </c>
      <c r="G1392">
        <v>182.2235870361328</v>
      </c>
      <c r="H1392">
        <v>177213600</v>
      </c>
      <c r="I1392" t="s">
        <v>4206</v>
      </c>
      <c r="J1392" t="s">
        <v>4207</v>
      </c>
      <c r="K1392" t="s">
        <v>37</v>
      </c>
    </row>
    <row r="1393" spans="1:11" ht="20" customHeight="1">
      <c r="A1393" t="s">
        <v>22</v>
      </c>
      <c r="B1393" t="s">
        <v>4208</v>
      </c>
      <c r="C1393">
        <v>182.3999938964844</v>
      </c>
      <c r="D1393">
        <v>186.4400024414062</v>
      </c>
      <c r="E1393">
        <v>182.0099945068359</v>
      </c>
      <c r="F1393">
        <v>184.7700042724609</v>
      </c>
      <c r="G1393">
        <v>184.3386535644531</v>
      </c>
      <c r="H1393">
        <v>179118500</v>
      </c>
      <c r="I1393" t="s">
        <v>4209</v>
      </c>
      <c r="J1393" t="s">
        <v>4210</v>
      </c>
      <c r="K1393" t="s">
        <v>37</v>
      </c>
    </row>
    <row r="1394" spans="1:11" ht="20" customHeight="1">
      <c r="A1394" t="s">
        <v>22</v>
      </c>
      <c r="B1394" t="s">
        <v>4211</v>
      </c>
      <c r="C1394">
        <v>185.9100036621094</v>
      </c>
      <c r="D1394">
        <v>187.6199951171875</v>
      </c>
      <c r="E1394">
        <v>184.4499969482422</v>
      </c>
      <c r="F1394">
        <v>186.0299987792969</v>
      </c>
      <c r="G1394">
        <v>185.6057434082031</v>
      </c>
      <c r="H1394">
        <v>145280400</v>
      </c>
      <c r="I1394" t="s">
        <v>4212</v>
      </c>
      <c r="J1394" t="s">
        <v>4213</v>
      </c>
      <c r="K1394" t="s">
        <v>37</v>
      </c>
    </row>
    <row r="1395" spans="1:11" ht="20" customHeight="1">
      <c r="A1395" t="s">
        <v>22</v>
      </c>
      <c r="B1395" t="s">
        <v>4214</v>
      </c>
      <c r="C1395">
        <v>184.0500030517578</v>
      </c>
      <c r="D1395">
        <v>184.9400024414062</v>
      </c>
      <c r="E1395">
        <v>181.75</v>
      </c>
      <c r="F1395">
        <v>183.1399993896484</v>
      </c>
      <c r="G1395">
        <v>182.7223358154297</v>
      </c>
      <c r="H1395">
        <v>155762700</v>
      </c>
      <c r="I1395" t="s">
        <v>4215</v>
      </c>
      <c r="J1395" t="s">
        <v>4216</v>
      </c>
      <c r="K1395" t="s">
        <v>37</v>
      </c>
    </row>
    <row r="1396" spans="1:11" ht="20" customHeight="1">
      <c r="A1396" t="s">
        <v>22</v>
      </c>
      <c r="B1396" t="s">
        <v>4217</v>
      </c>
      <c r="C1396">
        <v>184.9199981689453</v>
      </c>
      <c r="D1396">
        <v>186.0899963378906</v>
      </c>
      <c r="E1396">
        <v>179.9400024414062</v>
      </c>
      <c r="F1396">
        <v>180.25</v>
      </c>
      <c r="G1396">
        <v>179.8389434814453</v>
      </c>
      <c r="H1396">
        <v>160988400</v>
      </c>
      <c r="I1396" t="s">
        <v>4218</v>
      </c>
      <c r="J1396" t="s">
        <v>4219</v>
      </c>
      <c r="K1396" t="s">
        <v>37</v>
      </c>
    </row>
    <row r="1397" spans="1:11" ht="20" customHeight="1">
      <c r="A1397" t="s">
        <v>22</v>
      </c>
      <c r="B1397" t="s">
        <v>4220</v>
      </c>
      <c r="C1397">
        <v>182.9700012207031</v>
      </c>
      <c r="D1397">
        <v>188.8800048828125</v>
      </c>
      <c r="E1397">
        <v>181.4100036621094</v>
      </c>
      <c r="F1397">
        <v>183.2200012207031</v>
      </c>
      <c r="G1397">
        <v>182.8021545410156</v>
      </c>
      <c r="H1397">
        <v>217307400</v>
      </c>
      <c r="I1397" t="s">
        <v>4221</v>
      </c>
      <c r="J1397" t="s">
        <v>4222</v>
      </c>
      <c r="K1397" t="s">
        <v>37</v>
      </c>
    </row>
    <row r="1398" spans="1:11" ht="20" customHeight="1">
      <c r="A1398" t="s">
        <v>22</v>
      </c>
      <c r="B1398" t="s">
        <v>4223</v>
      </c>
      <c r="C1398">
        <v>185.0599975585938</v>
      </c>
      <c r="D1398">
        <v>185.3999938964844</v>
      </c>
      <c r="E1398">
        <v>181.6799926757812</v>
      </c>
      <c r="F1398">
        <v>181.9299926757812</v>
      </c>
      <c r="G1398">
        <v>181.5151062011719</v>
      </c>
      <c r="H1398">
        <v>182497800</v>
      </c>
      <c r="I1398" t="s">
        <v>4224</v>
      </c>
      <c r="J1398" t="s">
        <v>4225</v>
      </c>
      <c r="K1398" t="s">
        <v>37</v>
      </c>
    </row>
    <row r="1399" spans="1:11" ht="20" customHeight="1">
      <c r="A1399" t="s">
        <v>22</v>
      </c>
      <c r="B1399" t="s">
        <v>4226</v>
      </c>
      <c r="C1399">
        <v>182.4799957275391</v>
      </c>
      <c r="D1399">
        <v>183.3800048828125</v>
      </c>
      <c r="E1399">
        <v>180.3300018310547</v>
      </c>
      <c r="F1399">
        <v>180.3999938964844</v>
      </c>
      <c r="G1399">
        <v>179.9885864257812</v>
      </c>
      <c r="H1399">
        <v>156683100</v>
      </c>
      <c r="I1399" t="s">
        <v>4227</v>
      </c>
      <c r="J1399" t="s">
        <v>4228</v>
      </c>
      <c r="K1399" t="s">
        <v>37</v>
      </c>
    </row>
    <row r="1400" spans="1:11" ht="20" customHeight="1">
      <c r="A1400" t="s">
        <v>22</v>
      </c>
      <c r="B1400" t="s">
        <v>4229</v>
      </c>
      <c r="C1400">
        <v>178.0099945068359</v>
      </c>
      <c r="D1400">
        <v>179.9799957275391</v>
      </c>
      <c r="E1400">
        <v>175.7899932861328</v>
      </c>
      <c r="F1400">
        <v>178.5599975585938</v>
      </c>
      <c r="G1400">
        <v>178.1527709960938</v>
      </c>
      <c r="H1400">
        <v>170968500</v>
      </c>
      <c r="I1400" t="s">
        <v>4230</v>
      </c>
      <c r="J1400" t="s">
        <v>4231</v>
      </c>
      <c r="K1400" t="s">
        <v>37</v>
      </c>
    </row>
    <row r="1401" spans="1:11" ht="20" customHeight="1">
      <c r="A1401" t="s">
        <v>22</v>
      </c>
      <c r="B1401" t="s">
        <v>4232</v>
      </c>
      <c r="C1401">
        <v>178</v>
      </c>
      <c r="D1401">
        <v>178.2599945068359</v>
      </c>
      <c r="E1401">
        <v>171.7200012207031</v>
      </c>
      <c r="F1401">
        <v>172.6999969482422</v>
      </c>
      <c r="G1401">
        <v>172.30615234375</v>
      </c>
      <c r="H1401">
        <v>241323500</v>
      </c>
      <c r="I1401" t="s">
        <v>4233</v>
      </c>
      <c r="J1401" t="s">
        <v>4234</v>
      </c>
      <c r="K1401" t="s">
        <v>37</v>
      </c>
    </row>
    <row r="1402" spans="1:11" ht="20" customHeight="1">
      <c r="A1402" t="s">
        <v>22</v>
      </c>
      <c r="B1402" t="s">
        <v>4235</v>
      </c>
      <c r="C1402">
        <v>177.2599945068359</v>
      </c>
      <c r="D1402">
        <v>178.3699951171875</v>
      </c>
      <c r="E1402">
        <v>174.7599945068359</v>
      </c>
      <c r="F1402">
        <v>175.6399993896484</v>
      </c>
      <c r="G1402">
        <v>175.2394409179688</v>
      </c>
      <c r="H1402">
        <v>182836300</v>
      </c>
      <c r="I1402" t="s">
        <v>4236</v>
      </c>
      <c r="J1402" t="s">
        <v>4237</v>
      </c>
      <c r="K1402" t="s">
        <v>37</v>
      </c>
    </row>
    <row r="1403" spans="1:11" ht="20" customHeight="1">
      <c r="A1403" t="s">
        <v>22</v>
      </c>
      <c r="B1403" t="s">
        <v>4238</v>
      </c>
      <c r="C1403">
        <v>174.8300018310547</v>
      </c>
      <c r="D1403">
        <v>176.2200012207031</v>
      </c>
      <c r="E1403">
        <v>173.9799957275391</v>
      </c>
      <c r="F1403">
        <v>175.1999969482422</v>
      </c>
      <c r="G1403">
        <v>174.8004455566406</v>
      </c>
      <c r="H1403">
        <v>147667800</v>
      </c>
      <c r="I1403" t="s">
        <v>4239</v>
      </c>
      <c r="J1403" t="s">
        <v>4240</v>
      </c>
      <c r="K1403" t="s">
        <v>37</v>
      </c>
    </row>
    <row r="1404" spans="1:11" ht="20" customHeight="1">
      <c r="A1404" t="s">
        <v>22</v>
      </c>
      <c r="B1404" t="s">
        <v>4241</v>
      </c>
      <c r="C1404">
        <v>177.1000061035156</v>
      </c>
      <c r="D1404">
        <v>181.2200012207031</v>
      </c>
      <c r="E1404">
        <v>176.8500061035156</v>
      </c>
      <c r="F1404">
        <v>178.6799926757812</v>
      </c>
      <c r="G1404">
        <v>178.2725067138672</v>
      </c>
      <c r="H1404">
        <v>162602100</v>
      </c>
      <c r="I1404" t="s">
        <v>4242</v>
      </c>
      <c r="J1404" t="s">
        <v>4243</v>
      </c>
      <c r="K1404" t="s">
        <v>37</v>
      </c>
    </row>
    <row r="1405" spans="1:11" ht="20" customHeight="1">
      <c r="A1405" t="s">
        <v>22</v>
      </c>
      <c r="B1405" t="s">
        <v>4244</v>
      </c>
      <c r="C1405">
        <v>176.0700073242188</v>
      </c>
      <c r="D1405">
        <v>176.5099945068359</v>
      </c>
      <c r="E1405">
        <v>171.1399993896484</v>
      </c>
      <c r="F1405">
        <v>171.2400054931641</v>
      </c>
      <c r="G1405">
        <v>170.8494873046875</v>
      </c>
      <c r="H1405">
        <v>186152200</v>
      </c>
      <c r="I1405" t="s">
        <v>4245</v>
      </c>
      <c r="J1405" t="s">
        <v>4246</v>
      </c>
      <c r="K1405" t="s">
        <v>37</v>
      </c>
    </row>
    <row r="1406" spans="1:11" ht="20" customHeight="1">
      <c r="A1406" t="s">
        <v>22</v>
      </c>
      <c r="B1406" t="s">
        <v>4247</v>
      </c>
      <c r="C1406">
        <v>170</v>
      </c>
      <c r="D1406">
        <v>170.9700012207031</v>
      </c>
      <c r="E1406">
        <v>167.0099945068359</v>
      </c>
      <c r="F1406">
        <v>167.5200042724609</v>
      </c>
      <c r="G1406">
        <v>167.1379699707031</v>
      </c>
      <c r="H1406">
        <v>196212700</v>
      </c>
      <c r="I1406" t="s">
        <v>4248</v>
      </c>
      <c r="J1406" t="s">
        <v>4249</v>
      </c>
      <c r="K1406" t="s">
        <v>37</v>
      </c>
    </row>
    <row r="1407" spans="1:11" ht="20" customHeight="1">
      <c r="A1407" t="s">
        <v>22</v>
      </c>
      <c r="B1407" t="s">
        <v>4250</v>
      </c>
      <c r="C1407">
        <v>168.7799987792969</v>
      </c>
      <c r="D1407">
        <v>169.4499969482422</v>
      </c>
      <c r="E1407">
        <v>164.2700042724609</v>
      </c>
      <c r="F1407">
        <v>165.1699981689453</v>
      </c>
      <c r="G1407">
        <v>164.7933197021484</v>
      </c>
      <c r="H1407">
        <v>185627000</v>
      </c>
      <c r="I1407" t="s">
        <v>4251</v>
      </c>
      <c r="J1407" t="s">
        <v>4252</v>
      </c>
      <c r="K1407" t="s">
        <v>37</v>
      </c>
    </row>
    <row r="1408" spans="1:11" ht="20" customHeight="1">
      <c r="A1408" t="s">
        <v>22</v>
      </c>
      <c r="B1408" t="s">
        <v>4253</v>
      </c>
      <c r="C1408">
        <v>166.9700012207031</v>
      </c>
      <c r="D1408">
        <v>174.6199951171875</v>
      </c>
      <c r="E1408">
        <v>166.9600067138672</v>
      </c>
      <c r="F1408">
        <v>174.3999938964844</v>
      </c>
      <c r="G1408">
        <v>174.0022583007812</v>
      </c>
      <c r="H1408">
        <v>226181300</v>
      </c>
      <c r="I1408" t="s">
        <v>4254</v>
      </c>
      <c r="J1408" t="s">
        <v>4255</v>
      </c>
      <c r="K1408" t="s">
        <v>37</v>
      </c>
    </row>
    <row r="1409" spans="1:11" ht="20" customHeight="1">
      <c r="A1409" t="s">
        <v>22</v>
      </c>
      <c r="B1409" t="s">
        <v>4256</v>
      </c>
      <c r="C1409">
        <v>176</v>
      </c>
      <c r="D1409">
        <v>177.3699951171875</v>
      </c>
      <c r="E1409">
        <v>174.75</v>
      </c>
      <c r="F1409">
        <v>175.75</v>
      </c>
      <c r="G1409">
        <v>175.3491821289062</v>
      </c>
      <c r="H1409">
        <v>168132000</v>
      </c>
      <c r="I1409" t="s">
        <v>4257</v>
      </c>
      <c r="J1409" t="s">
        <v>4258</v>
      </c>
      <c r="K1409" t="s">
        <v>37</v>
      </c>
    </row>
    <row r="1410" spans="1:11" ht="20" customHeight="1">
      <c r="A1410" t="s">
        <v>22</v>
      </c>
      <c r="B1410" t="s">
        <v>4259</v>
      </c>
      <c r="C1410">
        <v>172.1799926757812</v>
      </c>
      <c r="D1410">
        <v>177.4900054931641</v>
      </c>
      <c r="E1410">
        <v>171.3699951171875</v>
      </c>
      <c r="F1410">
        <v>177.3899993896484</v>
      </c>
      <c r="G1410">
        <v>176.9854583740234</v>
      </c>
      <c r="H1410">
        <v>143143200</v>
      </c>
      <c r="I1410" t="s">
        <v>4260</v>
      </c>
      <c r="J1410" t="s">
        <v>4261</v>
      </c>
      <c r="K1410" t="s">
        <v>37</v>
      </c>
    </row>
    <row r="1411" spans="1:11" ht="20" customHeight="1">
      <c r="A1411" t="s">
        <v>22</v>
      </c>
      <c r="B1411" t="s">
        <v>4262</v>
      </c>
      <c r="C1411">
        <v>177.1600036621094</v>
      </c>
      <c r="D1411">
        <v>177.7899932861328</v>
      </c>
      <c r="E1411">
        <v>175.7599945068359</v>
      </c>
      <c r="F1411">
        <v>177.6399993896484</v>
      </c>
      <c r="G1411">
        <v>177.2348785400391</v>
      </c>
      <c r="H1411">
        <v>107564300</v>
      </c>
      <c r="I1411" t="s">
        <v>4263</v>
      </c>
      <c r="J1411" t="s">
        <v>4264</v>
      </c>
      <c r="K1411" t="s">
        <v>37</v>
      </c>
    </row>
    <row r="1412" spans="1:11" ht="20" customHeight="1">
      <c r="A1412" t="s">
        <v>22</v>
      </c>
      <c r="B1412" t="s">
        <v>4265</v>
      </c>
      <c r="C1412">
        <v>175.7299957275391</v>
      </c>
      <c r="D1412">
        <v>178.2299957275391</v>
      </c>
      <c r="E1412">
        <v>173.6600036621094</v>
      </c>
      <c r="F1412">
        <v>178.1000061035156</v>
      </c>
      <c r="G1412">
        <v>177.6938323974609</v>
      </c>
      <c r="H1412">
        <v>132534900</v>
      </c>
      <c r="I1412" t="s">
        <v>4266</v>
      </c>
      <c r="J1412" t="s">
        <v>4267</v>
      </c>
      <c r="K1412" t="s">
        <v>37</v>
      </c>
    </row>
    <row r="1413" spans="1:11" ht="20" customHeight="1">
      <c r="A1413" t="s">
        <v>22</v>
      </c>
      <c r="B1413" t="s">
        <v>4268</v>
      </c>
      <c r="C1413">
        <v>184.5</v>
      </c>
      <c r="D1413">
        <v>185.2599945068359</v>
      </c>
      <c r="E1413">
        <v>180.3000030517578</v>
      </c>
      <c r="F1413">
        <v>182.0800018310547</v>
      </c>
      <c r="G1413">
        <v>181.6647644042969</v>
      </c>
      <c r="H1413">
        <v>147732700</v>
      </c>
      <c r="I1413" t="s">
        <v>4269</v>
      </c>
      <c r="J1413" t="s">
        <v>4270</v>
      </c>
      <c r="K1413" t="s">
        <v>37</v>
      </c>
    </row>
    <row r="1414" spans="1:11" ht="20" customHeight="1">
      <c r="A1414" t="s">
        <v>22</v>
      </c>
      <c r="B1414" t="s">
        <v>4271</v>
      </c>
      <c r="C1414">
        <v>181.8399963378906</v>
      </c>
      <c r="D1414">
        <v>184.0800018310547</v>
      </c>
      <c r="E1414">
        <v>180.6199951171875</v>
      </c>
      <c r="F1414">
        <v>183.9100036621094</v>
      </c>
      <c r="G1414">
        <v>183.4906005859375</v>
      </c>
      <c r="H1414">
        <v>116428500</v>
      </c>
      <c r="I1414" t="s">
        <v>4272</v>
      </c>
      <c r="J1414" t="s">
        <v>4273</v>
      </c>
      <c r="K1414" t="s">
        <v>37</v>
      </c>
    </row>
    <row r="1415" spans="1:11" ht="20" customHeight="1">
      <c r="A1415" t="s">
        <v>22</v>
      </c>
      <c r="B1415" t="s">
        <v>4274</v>
      </c>
      <c r="C1415">
        <v>184.3099975585938</v>
      </c>
      <c r="D1415">
        <v>190</v>
      </c>
      <c r="E1415">
        <v>184.3000030517578</v>
      </c>
      <c r="F1415">
        <v>188.6300048828125</v>
      </c>
      <c r="G1415">
        <v>188.1998291015625</v>
      </c>
      <c r="H1415">
        <v>160459500</v>
      </c>
      <c r="I1415" t="s">
        <v>4275</v>
      </c>
      <c r="J1415" t="s">
        <v>4276</v>
      </c>
      <c r="K1415" t="s">
        <v>37</v>
      </c>
    </row>
    <row r="1416" spans="1:11" ht="20" customHeight="1">
      <c r="A1416" t="s">
        <v>22</v>
      </c>
      <c r="B1416" t="s">
        <v>4277</v>
      </c>
      <c r="C1416">
        <v>186.0299987792969</v>
      </c>
      <c r="D1416">
        <v>189.6600036621094</v>
      </c>
      <c r="E1416">
        <v>185.7400054931641</v>
      </c>
      <c r="F1416">
        <v>189.3099975585938</v>
      </c>
      <c r="G1416">
        <v>188.8782653808594</v>
      </c>
      <c r="H1416">
        <v>133648200</v>
      </c>
      <c r="I1416" t="s">
        <v>4278</v>
      </c>
      <c r="J1416" t="s">
        <v>4279</v>
      </c>
      <c r="K1416" t="s">
        <v>37</v>
      </c>
    </row>
    <row r="1417" spans="1:11" ht="20" customHeight="1">
      <c r="A1417" t="s">
        <v>22</v>
      </c>
      <c r="B1417" t="s">
        <v>4280</v>
      </c>
      <c r="C1417">
        <v>190.8399963378906</v>
      </c>
      <c r="D1417">
        <v>196.5099945068359</v>
      </c>
      <c r="E1417">
        <v>190.7700042724609</v>
      </c>
      <c r="F1417">
        <v>196.5099945068359</v>
      </c>
      <c r="G1417">
        <v>196.0618438720703</v>
      </c>
      <c r="H1417">
        <v>161307000</v>
      </c>
      <c r="I1417" t="s">
        <v>4281</v>
      </c>
      <c r="J1417" t="s">
        <v>4282</v>
      </c>
      <c r="K1417" t="s">
        <v>37</v>
      </c>
    </row>
    <row r="1418" spans="1:11" ht="20" customHeight="1">
      <c r="A1418" t="s">
        <v>22</v>
      </c>
      <c r="B1418" t="s">
        <v>4283</v>
      </c>
      <c r="C1418">
        <v>196.5399932861328</v>
      </c>
      <c r="D1418">
        <v>200.3999938964844</v>
      </c>
      <c r="E1418">
        <v>195.7400054931641</v>
      </c>
      <c r="F1418">
        <v>198.8699951171875</v>
      </c>
      <c r="G1418">
        <v>198.4164733886719</v>
      </c>
      <c r="H1418">
        <v>185338400</v>
      </c>
      <c r="I1418" t="s">
        <v>4284</v>
      </c>
      <c r="J1418" t="s">
        <v>4285</v>
      </c>
      <c r="K1418" t="s">
        <v>37</v>
      </c>
    </row>
    <row r="1419" spans="1:11" ht="20" customHeight="1">
      <c r="A1419" t="s">
        <v>22</v>
      </c>
      <c r="B1419" t="s">
        <v>4286</v>
      </c>
      <c r="C1419">
        <v>197.4299926757812</v>
      </c>
      <c r="D1419">
        <v>199.8500061035156</v>
      </c>
      <c r="E1419">
        <v>195.8099975585938</v>
      </c>
      <c r="F1419">
        <v>198.3500061035156</v>
      </c>
      <c r="G1419">
        <v>197.8976593017578</v>
      </c>
      <c r="H1419">
        <v>134012900</v>
      </c>
      <c r="I1419" t="s">
        <v>4287</v>
      </c>
      <c r="J1419" t="s">
        <v>4288</v>
      </c>
      <c r="K1419" t="s">
        <v>37</v>
      </c>
    </row>
    <row r="1420" spans="1:11" ht="20" customHeight="1">
      <c r="A1420" t="s">
        <v>22</v>
      </c>
      <c r="B1420" t="s">
        <v>4289</v>
      </c>
      <c r="C1420">
        <v>199.8999938964844</v>
      </c>
      <c r="D1420">
        <v>201.6999969482422</v>
      </c>
      <c r="E1420">
        <v>199.2700042724609</v>
      </c>
      <c r="F1420">
        <v>201.6799926757812</v>
      </c>
      <c r="G1420">
        <v>201.2200469970703</v>
      </c>
      <c r="H1420">
        <v>160324400</v>
      </c>
      <c r="I1420" t="s">
        <v>4290</v>
      </c>
      <c r="J1420" t="s">
        <v>4291</v>
      </c>
      <c r="K1420" t="s">
        <v>37</v>
      </c>
    </row>
    <row r="1421" spans="1:11" ht="20" customHeight="1">
      <c r="A1421" t="s">
        <v>22</v>
      </c>
      <c r="B1421" t="s">
        <v>4292</v>
      </c>
      <c r="C1421">
        <v>199.9799957275391</v>
      </c>
      <c r="D1421">
        <v>202.1699981689453</v>
      </c>
      <c r="E1421">
        <v>197.8399963378906</v>
      </c>
      <c r="F1421">
        <v>202.0599975585938</v>
      </c>
      <c r="G1421">
        <v>201.5991821289062</v>
      </c>
      <c r="H1421">
        <v>119381400</v>
      </c>
      <c r="I1421" t="s">
        <v>4293</v>
      </c>
      <c r="J1421" t="s">
        <v>4294</v>
      </c>
      <c r="K1421" t="s">
        <v>37</v>
      </c>
    </row>
    <row r="1422" spans="1:11" ht="20" customHeight="1">
      <c r="A1422" t="s">
        <v>22</v>
      </c>
      <c r="B1422" t="s">
        <v>4295</v>
      </c>
      <c r="C1422">
        <v>202.1300048828125</v>
      </c>
      <c r="D1422">
        <v>202.75</v>
      </c>
      <c r="E1422">
        <v>199</v>
      </c>
      <c r="F1422">
        <v>199.8800048828125</v>
      </c>
      <c r="G1422">
        <v>199.4241790771484</v>
      </c>
      <c r="H1422">
        <v>107945300</v>
      </c>
      <c r="I1422" t="s">
        <v>4296</v>
      </c>
      <c r="J1422" t="s">
        <v>4297</v>
      </c>
      <c r="K1422" t="s">
        <v>37</v>
      </c>
    </row>
    <row r="1423" spans="1:11" ht="20" customHeight="1">
      <c r="A1423" t="s">
        <v>22</v>
      </c>
      <c r="B1423" t="s">
        <v>4298</v>
      </c>
      <c r="C1423">
        <v>200.9900054931641</v>
      </c>
      <c r="D1423">
        <v>202.5</v>
      </c>
      <c r="E1423">
        <v>199</v>
      </c>
      <c r="F1423">
        <v>202.5</v>
      </c>
      <c r="G1423">
        <v>202.0381927490234</v>
      </c>
      <c r="H1423">
        <v>107501000</v>
      </c>
      <c r="I1423" t="s">
        <v>4299</v>
      </c>
      <c r="J1423" t="s">
        <v>4300</v>
      </c>
      <c r="K1423" t="s">
        <v>37</v>
      </c>
    </row>
    <row r="1424" spans="1:11" ht="20" customHeight="1">
      <c r="A1424" t="s">
        <v>22</v>
      </c>
      <c r="B1424" t="s">
        <v>4301</v>
      </c>
      <c r="C1424">
        <v>202.4600067138672</v>
      </c>
      <c r="D1424">
        <v>203.8300018310547</v>
      </c>
      <c r="E1424">
        <v>197.2200012207031</v>
      </c>
      <c r="F1424">
        <v>199.6399993896484</v>
      </c>
      <c r="G1424">
        <v>199.1847076416016</v>
      </c>
      <c r="H1424">
        <v>113561800</v>
      </c>
      <c r="I1424" t="s">
        <v>4302</v>
      </c>
      <c r="J1424" t="s">
        <v>4303</v>
      </c>
      <c r="K1424" t="s">
        <v>37</v>
      </c>
    </row>
    <row r="1425" spans="1:11" ht="20" customHeight="1">
      <c r="A1425" t="s">
        <v>22</v>
      </c>
      <c r="B1425" t="s">
        <v>4304</v>
      </c>
      <c r="C1425">
        <v>199.9600067138672</v>
      </c>
      <c r="D1425">
        <v>210.9499969482422</v>
      </c>
      <c r="E1425">
        <v>199.8099975585938</v>
      </c>
      <c r="F1425">
        <v>208.2700042724609</v>
      </c>
      <c r="G1425">
        <v>207.7950286865234</v>
      </c>
      <c r="H1425">
        <v>214134400</v>
      </c>
      <c r="I1425" t="s">
        <v>4305</v>
      </c>
      <c r="J1425" t="s">
        <v>4306</v>
      </c>
      <c r="K1425" t="s">
        <v>37</v>
      </c>
    </row>
    <row r="1426" spans="1:11" ht="20" customHeight="1">
      <c r="A1426" t="s">
        <v>22</v>
      </c>
      <c r="B1426" t="s">
        <v>4307</v>
      </c>
      <c r="C1426">
        <v>209.6499938964844</v>
      </c>
      <c r="D1426">
        <v>216.8300018310547</v>
      </c>
      <c r="E1426">
        <v>207.3800048828125</v>
      </c>
      <c r="F1426">
        <v>216.6100006103516</v>
      </c>
      <c r="G1426">
        <v>216.1160125732422</v>
      </c>
      <c r="H1426">
        <v>187172400</v>
      </c>
      <c r="I1426" t="s">
        <v>4308</v>
      </c>
      <c r="J1426" t="s">
        <v>4309</v>
      </c>
      <c r="K1426" t="s">
        <v>37</v>
      </c>
    </row>
    <row r="1427" spans="1:11" ht="20" customHeight="1">
      <c r="A1427" t="s">
        <v>22</v>
      </c>
      <c r="B1427" t="s">
        <v>4310</v>
      </c>
      <c r="C1427">
        <v>209.4900054931641</v>
      </c>
      <c r="D1427">
        <v>214.7299957275391</v>
      </c>
      <c r="E1427">
        <v>208.1999969482422</v>
      </c>
      <c r="F1427">
        <v>213.1699981689453</v>
      </c>
      <c r="G1427">
        <v>212.6838531494141</v>
      </c>
      <c r="H1427">
        <v>180275400</v>
      </c>
      <c r="I1427" t="s">
        <v>4311</v>
      </c>
      <c r="J1427" t="s">
        <v>4312</v>
      </c>
      <c r="K1427" t="s">
        <v>37</v>
      </c>
    </row>
    <row r="1428" spans="1:11" ht="20" customHeight="1">
      <c r="A1428" t="s">
        <v>22</v>
      </c>
      <c r="B1428" t="s">
        <v>4313</v>
      </c>
      <c r="C1428">
        <v>212.6999969482422</v>
      </c>
      <c r="D1428">
        <v>212.7200012207031</v>
      </c>
      <c r="E1428">
        <v>207.5800018310547</v>
      </c>
      <c r="F1428">
        <v>209.25</v>
      </c>
      <c r="G1428">
        <v>208.7727966308594</v>
      </c>
      <c r="H1428">
        <v>123711800</v>
      </c>
      <c r="I1428" t="s">
        <v>4314</v>
      </c>
      <c r="J1428" t="s">
        <v>4315</v>
      </c>
      <c r="K1428" t="s">
        <v>37</v>
      </c>
    </row>
    <row r="1429" spans="1:11" ht="20" customHeight="1">
      <c r="A1429" t="s">
        <v>22</v>
      </c>
      <c r="B1429" t="s">
        <v>4316</v>
      </c>
      <c r="C1429">
        <v>209.9299926757812</v>
      </c>
      <c r="D1429">
        <v>210.3000030517578</v>
      </c>
      <c r="E1429">
        <v>198.6999969482422</v>
      </c>
      <c r="F1429">
        <v>199.5700073242188</v>
      </c>
      <c r="G1429">
        <v>199.1148681640625</v>
      </c>
      <c r="H1429">
        <v>225239200</v>
      </c>
      <c r="I1429" t="s">
        <v>4317</v>
      </c>
      <c r="J1429" t="s">
        <v>4318</v>
      </c>
      <c r="K1429" t="s">
        <v>37</v>
      </c>
    </row>
    <row r="1430" spans="1:11" ht="20" customHeight="1">
      <c r="A1430" t="s">
        <v>22</v>
      </c>
      <c r="B1430" t="s">
        <v>4319</v>
      </c>
      <c r="C1430">
        <v>201.2799987792969</v>
      </c>
      <c r="D1430">
        <v>203</v>
      </c>
      <c r="E1430">
        <v>197.1199951171875</v>
      </c>
      <c r="F1430">
        <v>198.4499969482422</v>
      </c>
      <c r="G1430">
        <v>197.9974365234375</v>
      </c>
      <c r="H1430">
        <v>128647000</v>
      </c>
      <c r="I1430" t="s">
        <v>4320</v>
      </c>
      <c r="J1430" t="s">
        <v>4321</v>
      </c>
      <c r="K1430" t="s">
        <v>37</v>
      </c>
    </row>
    <row r="1431" spans="1:11" ht="20" customHeight="1">
      <c r="A1431" t="s">
        <v>22</v>
      </c>
      <c r="B1431" t="s">
        <v>4322</v>
      </c>
      <c r="C1431">
        <v>199.5</v>
      </c>
      <c r="D1431">
        <v>201.7299957275391</v>
      </c>
      <c r="E1431">
        <v>194.7400054931641</v>
      </c>
      <c r="F1431">
        <v>198.4799957275391</v>
      </c>
      <c r="G1431">
        <v>198.02734375</v>
      </c>
      <c r="H1431">
        <v>125368100</v>
      </c>
      <c r="I1431" t="s">
        <v>4323</v>
      </c>
      <c r="J1431" t="s">
        <v>4324</v>
      </c>
      <c r="K1431" t="s">
        <v>37</v>
      </c>
    </row>
    <row r="1432" spans="1:11" ht="20" customHeight="1">
      <c r="A1432" t="s">
        <v>22</v>
      </c>
      <c r="B1432" t="s">
        <v>4325</v>
      </c>
      <c r="C1432">
        <v>199.3000030517578</v>
      </c>
      <c r="D1432">
        <v>200.2400054931641</v>
      </c>
      <c r="E1432">
        <v>196.0299987792969</v>
      </c>
      <c r="F1432">
        <v>196.5</v>
      </c>
      <c r="G1432">
        <v>196.0518646240234</v>
      </c>
      <c r="H1432">
        <v>113406600</v>
      </c>
      <c r="I1432" t="s">
        <v>4326</v>
      </c>
      <c r="J1432" t="s">
        <v>4327</v>
      </c>
      <c r="K1432" t="s">
        <v>37</v>
      </c>
    </row>
    <row r="1433" spans="1:11" ht="20" customHeight="1">
      <c r="A1433" t="s">
        <v>22</v>
      </c>
      <c r="B1433" t="s">
        <v>4328</v>
      </c>
      <c r="C1433">
        <v>199.8899993896484</v>
      </c>
      <c r="D1433">
        <v>208.2700042724609</v>
      </c>
      <c r="E1433">
        <v>198.6100006103516</v>
      </c>
      <c r="F1433">
        <v>207.8300018310547</v>
      </c>
      <c r="G1433">
        <v>207.3560333251953</v>
      </c>
      <c r="H1433">
        <v>188362800</v>
      </c>
      <c r="I1433" t="s">
        <v>4329</v>
      </c>
      <c r="J1433" t="s">
        <v>4330</v>
      </c>
      <c r="K1433" t="s">
        <v>37</v>
      </c>
    </row>
    <row r="1434" spans="1:11" ht="20" customHeight="1">
      <c r="A1434" t="s">
        <v>22</v>
      </c>
      <c r="B1434" t="s">
        <v>4331</v>
      </c>
      <c r="C1434">
        <v>208.3399963378906</v>
      </c>
      <c r="D1434">
        <v>214.1999969482422</v>
      </c>
      <c r="E1434">
        <v>206.5</v>
      </c>
      <c r="F1434">
        <v>211.5</v>
      </c>
      <c r="G1434">
        <v>211.0176696777344</v>
      </c>
      <c r="H1434">
        <v>168307900</v>
      </c>
      <c r="I1434" t="s">
        <v>4332</v>
      </c>
      <c r="J1434" t="s">
        <v>4333</v>
      </c>
      <c r="K1434" t="s">
        <v>37</v>
      </c>
    </row>
    <row r="1435" spans="1:11" ht="20" customHeight="1">
      <c r="A1435" t="s">
        <v>22</v>
      </c>
      <c r="B1435" t="s">
        <v>4334</v>
      </c>
      <c r="C1435">
        <v>213.0299987792969</v>
      </c>
      <c r="D1435">
        <v>217.8000030517578</v>
      </c>
      <c r="E1435">
        <v>212.8899993896484</v>
      </c>
      <c r="F1435">
        <v>215.1999969482422</v>
      </c>
      <c r="G1435">
        <v>214.709228515625</v>
      </c>
      <c r="H1435">
        <v>136421400</v>
      </c>
      <c r="I1435" t="s">
        <v>4335</v>
      </c>
      <c r="J1435" t="s">
        <v>4336</v>
      </c>
      <c r="K1435" t="s">
        <v>37</v>
      </c>
    </row>
    <row r="1436" spans="1:11" ht="20" customHeight="1">
      <c r="A1436" t="s">
        <v>22</v>
      </c>
      <c r="B1436" t="s">
        <v>4337</v>
      </c>
      <c r="C1436">
        <v>214.0399932861328</v>
      </c>
      <c r="D1436">
        <v>222.3000030517578</v>
      </c>
      <c r="E1436">
        <v>213.8899993896484</v>
      </c>
      <c r="F1436">
        <v>219.4400024414062</v>
      </c>
      <c r="G1436">
        <v>218.9395599365234</v>
      </c>
      <c r="H1436">
        <v>160685800</v>
      </c>
      <c r="I1436" t="s">
        <v>4338</v>
      </c>
      <c r="J1436" t="s">
        <v>4339</v>
      </c>
      <c r="K1436" t="s">
        <v>37</v>
      </c>
    </row>
    <row r="1437" spans="1:11" ht="20" customHeight="1">
      <c r="A1437" t="s">
        <v>22</v>
      </c>
      <c r="B1437" t="s">
        <v>4340</v>
      </c>
      <c r="C1437">
        <v>218.5500030517578</v>
      </c>
      <c r="D1437">
        <v>223.75</v>
      </c>
      <c r="E1437">
        <v>214.9199981689453</v>
      </c>
      <c r="F1437">
        <v>220.7799987792969</v>
      </c>
      <c r="G1437">
        <v>220.2765045166016</v>
      </c>
      <c r="H1437">
        <v>159176600</v>
      </c>
      <c r="I1437" t="s">
        <v>4341</v>
      </c>
      <c r="J1437" t="s">
        <v>4342</v>
      </c>
      <c r="K1437" t="s">
        <v>37</v>
      </c>
    </row>
    <row r="1438" spans="1:11" ht="20" customHeight="1">
      <c r="A1438" t="s">
        <v>22</v>
      </c>
      <c r="B1438" t="s">
        <v>4343</v>
      </c>
      <c r="C1438">
        <v>224.9299926757812</v>
      </c>
      <c r="D1438">
        <v>227.8399963378906</v>
      </c>
      <c r="E1438">
        <v>221.5700073242188</v>
      </c>
      <c r="F1438">
        <v>225.8300018310547</v>
      </c>
      <c r="G1438">
        <v>225.3149871826172</v>
      </c>
      <c r="H1438">
        <v>150405400</v>
      </c>
      <c r="I1438" t="s">
        <v>4344</v>
      </c>
      <c r="J1438" t="s">
        <v>4345</v>
      </c>
      <c r="K1438" t="s">
        <v>37</v>
      </c>
    </row>
    <row r="1439" spans="1:11" ht="20" customHeight="1">
      <c r="A1439" t="s">
        <v>22</v>
      </c>
      <c r="B1439" t="s">
        <v>4346</v>
      </c>
      <c r="C1439">
        <v>229.8500061035156</v>
      </c>
      <c r="D1439">
        <v>236.5399932861328</v>
      </c>
      <c r="E1439">
        <v>229.3000030517578</v>
      </c>
      <c r="F1439">
        <v>235.7400054931641</v>
      </c>
      <c r="G1439">
        <v>235.202392578125</v>
      </c>
      <c r="H1439">
        <v>180782900</v>
      </c>
      <c r="I1439" t="s">
        <v>4347</v>
      </c>
      <c r="J1439" t="s">
        <v>4348</v>
      </c>
      <c r="K1439" t="s">
        <v>37</v>
      </c>
    </row>
    <row r="1440" spans="1:11" ht="20" customHeight="1">
      <c r="A1440" t="s">
        <v>22</v>
      </c>
      <c r="B1440" t="s">
        <v>4349</v>
      </c>
      <c r="C1440">
        <v>229.7599945068359</v>
      </c>
      <c r="D1440">
        <v>231.5</v>
      </c>
      <c r="E1440">
        <v>224.2400054931641</v>
      </c>
      <c r="F1440">
        <v>225.3200073242188</v>
      </c>
      <c r="G1440">
        <v>224.80615234375</v>
      </c>
      <c r="H1440">
        <v>180977600</v>
      </c>
      <c r="I1440" t="s">
        <v>4350</v>
      </c>
      <c r="J1440" t="s">
        <v>4351</v>
      </c>
      <c r="K1440" t="s">
        <v>37</v>
      </c>
    </row>
    <row r="1441" spans="1:11" ht="20" customHeight="1">
      <c r="A1441" t="s">
        <v>22</v>
      </c>
      <c r="B1441" t="s">
        <v>4352</v>
      </c>
      <c r="C1441">
        <v>229.8699951171875</v>
      </c>
      <c r="D1441">
        <v>230</v>
      </c>
      <c r="E1441">
        <v>218.3699951171875</v>
      </c>
      <c r="F1441">
        <v>222.3200073242188</v>
      </c>
      <c r="G1441">
        <v>221.8130035400391</v>
      </c>
      <c r="H1441">
        <v>146280900</v>
      </c>
      <c r="I1441" t="s">
        <v>4353</v>
      </c>
      <c r="J1441" t="s">
        <v>4354</v>
      </c>
      <c r="K1441" t="s">
        <v>37</v>
      </c>
    </row>
    <row r="1442" spans="1:11" ht="20" customHeight="1">
      <c r="A1442" t="s">
        <v>22</v>
      </c>
      <c r="B1442" t="s">
        <v>4355</v>
      </c>
      <c r="C1442">
        <v>219.6199951171875</v>
      </c>
      <c r="D1442">
        <v>224.4799957275391</v>
      </c>
      <c r="E1442">
        <v>217.9100036621094</v>
      </c>
      <c r="F1442">
        <v>220.6100006103516</v>
      </c>
      <c r="G1442">
        <v>220.1068878173828</v>
      </c>
      <c r="H1442">
        <v>140948200</v>
      </c>
      <c r="I1442" t="s">
        <v>4356</v>
      </c>
      <c r="J1442" t="s">
        <v>4357</v>
      </c>
      <c r="K1442" t="s">
        <v>37</v>
      </c>
    </row>
    <row r="1443" spans="1:11" ht="20" customHeight="1">
      <c r="A1443" t="s">
        <v>22</v>
      </c>
      <c r="B1443" t="s">
        <v>4358</v>
      </c>
      <c r="C1443">
        <v>223.1799926757812</v>
      </c>
      <c r="D1443">
        <v>226.1300048828125</v>
      </c>
      <c r="E1443">
        <v>220.5</v>
      </c>
      <c r="F1443">
        <v>223.4700012207031</v>
      </c>
      <c r="G1443">
        <v>222.9603729248047</v>
      </c>
      <c r="H1443">
        <v>184201600</v>
      </c>
      <c r="I1443" t="s">
        <v>4359</v>
      </c>
      <c r="J1443" t="s">
        <v>4360</v>
      </c>
      <c r="K1443" t="s">
        <v>37</v>
      </c>
    </row>
    <row r="1444" spans="1:11" ht="20" customHeight="1">
      <c r="A1444" t="s">
        <v>22</v>
      </c>
      <c r="B1444" t="s">
        <v>4361</v>
      </c>
      <c r="C1444">
        <v>222.2899932861328</v>
      </c>
      <c r="D1444">
        <v>227.3999938964844</v>
      </c>
      <c r="E1444">
        <v>217.9299926757812</v>
      </c>
      <c r="F1444">
        <v>219.5099945068359</v>
      </c>
      <c r="G1444">
        <v>219.0093994140625</v>
      </c>
      <c r="H1444">
        <v>203381800</v>
      </c>
      <c r="I1444" t="s">
        <v>4362</v>
      </c>
      <c r="J1444" t="s">
        <v>4363</v>
      </c>
      <c r="K1444" t="s">
        <v>37</v>
      </c>
    </row>
    <row r="1445" spans="1:11" ht="20" customHeight="1">
      <c r="A1445" t="s">
        <v>22</v>
      </c>
      <c r="B1445" t="s">
        <v>4364</v>
      </c>
      <c r="C1445">
        <v>220.8999938964844</v>
      </c>
      <c r="D1445">
        <v>221.0099945068359</v>
      </c>
      <c r="E1445">
        <v>214.8000030517578</v>
      </c>
      <c r="F1445">
        <v>215.3300018310547</v>
      </c>
      <c r="G1445">
        <v>214.8389282226562</v>
      </c>
      <c r="H1445">
        <v>169275700</v>
      </c>
      <c r="I1445" t="s">
        <v>4365</v>
      </c>
      <c r="J1445" t="s">
        <v>4366</v>
      </c>
      <c r="K1445" t="s">
        <v>37</v>
      </c>
    </row>
    <row r="1446" spans="1:11" ht="20" customHeight="1">
      <c r="A1446" t="s">
        <v>22</v>
      </c>
      <c r="B1446" t="s">
        <v>4367</v>
      </c>
      <c r="C1446">
        <v>216.5399932861328</v>
      </c>
      <c r="D1446">
        <v>218.1799926757812</v>
      </c>
      <c r="E1446">
        <v>212</v>
      </c>
      <c r="F1446">
        <v>214.8600006103516</v>
      </c>
      <c r="G1446">
        <v>214.3700103759766</v>
      </c>
      <c r="H1446">
        <v>187202600</v>
      </c>
      <c r="I1446" t="s">
        <v>4368</v>
      </c>
      <c r="J1446" t="s">
        <v>4369</v>
      </c>
      <c r="K1446" t="s">
        <v>37</v>
      </c>
    </row>
    <row r="1447" spans="1:11" ht="20" customHeight="1">
      <c r="A1447" t="s">
        <v>22</v>
      </c>
      <c r="B1447" t="s">
        <v>4370</v>
      </c>
      <c r="C1447">
        <v>214.1199951171875</v>
      </c>
      <c r="D1447">
        <v>214.1499938964844</v>
      </c>
      <c r="E1447">
        <v>208.7799987792969</v>
      </c>
      <c r="F1447">
        <v>212.6000061035156</v>
      </c>
      <c r="G1447">
        <v>212.1151580810547</v>
      </c>
      <c r="H1447">
        <v>167601200</v>
      </c>
      <c r="I1447" t="s">
        <v>4371</v>
      </c>
      <c r="J1447" t="s">
        <v>4372</v>
      </c>
      <c r="K1447" t="s">
        <v>37</v>
      </c>
    </row>
    <row r="1448" spans="1:11" ht="20" customHeight="1">
      <c r="A1448" t="s">
        <v>22</v>
      </c>
      <c r="B1448" t="s">
        <v>4373</v>
      </c>
      <c r="C1448">
        <v>211.2799987792969</v>
      </c>
      <c r="D1448">
        <v>215.5200042724609</v>
      </c>
      <c r="E1448">
        <v>211.2200012207031</v>
      </c>
      <c r="F1448">
        <v>214.25</v>
      </c>
      <c r="G1448">
        <v>213.7613983154297</v>
      </c>
      <c r="H1448">
        <v>143996000</v>
      </c>
      <c r="I1448" t="s">
        <v>4374</v>
      </c>
      <c r="J1448" t="s">
        <v>4375</v>
      </c>
      <c r="K1448" t="s">
        <v>37</v>
      </c>
    </row>
    <row r="1449" spans="1:11" ht="20" customHeight="1">
      <c r="A1449" t="s">
        <v>22</v>
      </c>
      <c r="B1449" t="s">
        <v>4376</v>
      </c>
      <c r="C1449">
        <v>214.5800018310547</v>
      </c>
      <c r="D1449">
        <v>217.8600006103516</v>
      </c>
      <c r="E1449">
        <v>211.1300048828125</v>
      </c>
      <c r="F1449">
        <v>211.1399993896484</v>
      </c>
      <c r="G1449">
        <v>210.6584930419922</v>
      </c>
      <c r="H1449">
        <v>289410600</v>
      </c>
      <c r="I1449" t="s">
        <v>4377</v>
      </c>
      <c r="J1449" t="s">
        <v>4378</v>
      </c>
      <c r="K1449" t="s">
        <v>37</v>
      </c>
    </row>
    <row r="1450" spans="1:11" ht="20" customHeight="1">
      <c r="A1450" t="s">
        <v>22</v>
      </c>
      <c r="B1450" t="s">
        <v>4379</v>
      </c>
      <c r="C1450">
        <v>215.7299957275391</v>
      </c>
      <c r="D1450">
        <v>224.8699951171875</v>
      </c>
      <c r="E1450">
        <v>215.6999969482422</v>
      </c>
      <c r="F1450">
        <v>224.3600006103516</v>
      </c>
      <c r="G1450">
        <v>223.8483428955078</v>
      </c>
      <c r="H1450">
        <v>212850700</v>
      </c>
      <c r="I1450" t="s">
        <v>4380</v>
      </c>
      <c r="J1450" t="s">
        <v>4381</v>
      </c>
      <c r="K1450" t="s">
        <v>37</v>
      </c>
    </row>
    <row r="1451" spans="1:11" ht="20" customHeight="1">
      <c r="A1451" t="s">
        <v>22</v>
      </c>
      <c r="B1451" t="s">
        <v>4382</v>
      </c>
      <c r="C1451">
        <v>227.1799926757812</v>
      </c>
      <c r="D1451">
        <v>232.2799987792969</v>
      </c>
      <c r="E1451">
        <v>221.3500061035156</v>
      </c>
      <c r="F1451">
        <v>222.8200073242188</v>
      </c>
      <c r="G1451">
        <v>222.3118438720703</v>
      </c>
      <c r="H1451">
        <v>193362900</v>
      </c>
      <c r="I1451" t="s">
        <v>4383</v>
      </c>
      <c r="J1451" t="s">
        <v>4384</v>
      </c>
      <c r="K1451" t="s">
        <v>37</v>
      </c>
    </row>
    <row r="1452" spans="1:11" ht="20" customHeight="1">
      <c r="A1452" t="s">
        <v>22</v>
      </c>
      <c r="B1452" t="s">
        <v>4385</v>
      </c>
      <c r="C1452">
        <v>221.7200012207031</v>
      </c>
      <c r="D1452">
        <v>222.8200073242188</v>
      </c>
      <c r="E1452">
        <v>214.5099945068359</v>
      </c>
      <c r="F1452">
        <v>214.75</v>
      </c>
      <c r="G1452">
        <v>214.26025390625</v>
      </c>
      <c r="H1452">
        <v>160907000</v>
      </c>
      <c r="I1452" t="s">
        <v>4386</v>
      </c>
      <c r="J1452" t="s">
        <v>4387</v>
      </c>
      <c r="K1452" t="s">
        <v>37</v>
      </c>
    </row>
    <row r="1453" spans="1:11" ht="20" customHeight="1">
      <c r="A1453" t="s">
        <v>22</v>
      </c>
      <c r="B1453" t="s">
        <v>4388</v>
      </c>
      <c r="C1453">
        <v>213.9100036621094</v>
      </c>
      <c r="D1453">
        <v>221.6000061035156</v>
      </c>
      <c r="E1453">
        <v>210.9700012207031</v>
      </c>
      <c r="F1453">
        <v>218.6600036621094</v>
      </c>
      <c r="G1453">
        <v>218.4156036376953</v>
      </c>
      <c r="H1453">
        <v>169022200</v>
      </c>
      <c r="I1453" t="s">
        <v>4389</v>
      </c>
      <c r="J1453" t="s">
        <v>4390</v>
      </c>
      <c r="K1453" t="s">
        <v>37</v>
      </c>
    </row>
    <row r="1454" spans="1:11" ht="20" customHeight="1">
      <c r="A1454" t="s">
        <v>22</v>
      </c>
      <c r="B1454" t="s">
        <v>4391</v>
      </c>
      <c r="C1454">
        <v>214.5299987792969</v>
      </c>
      <c r="D1454">
        <v>214.8699951171875</v>
      </c>
      <c r="E1454">
        <v>204.3300018310547</v>
      </c>
      <c r="F1454">
        <v>205.1000061035156</v>
      </c>
      <c r="G1454">
        <v>204.8707580566406</v>
      </c>
      <c r="H1454">
        <v>219655500</v>
      </c>
      <c r="I1454" t="s">
        <v>4392</v>
      </c>
      <c r="J1454" t="s">
        <v>4393</v>
      </c>
      <c r="K1454" t="s">
        <v>37</v>
      </c>
    </row>
    <row r="1455" spans="1:11" ht="20" customHeight="1">
      <c r="A1455" t="s">
        <v>22</v>
      </c>
      <c r="B1455" t="s">
        <v>4394</v>
      </c>
      <c r="C1455">
        <v>210.1799926757812</v>
      </c>
      <c r="D1455">
        <v>210.4700012207031</v>
      </c>
      <c r="E1455">
        <v>206</v>
      </c>
      <c r="F1455">
        <v>208.6399993896484</v>
      </c>
      <c r="G1455">
        <v>208.4067993164062</v>
      </c>
      <c r="H1455">
        <v>138372800</v>
      </c>
      <c r="I1455" t="s">
        <v>4395</v>
      </c>
      <c r="J1455" t="s">
        <v>4396</v>
      </c>
      <c r="K1455" t="s">
        <v>37</v>
      </c>
    </row>
    <row r="1456" spans="1:11" ht="20" customHeight="1">
      <c r="A1456" t="s">
        <v>22</v>
      </c>
      <c r="B1456" t="s">
        <v>4397</v>
      </c>
      <c r="C1456">
        <v>210.6199951171875</v>
      </c>
      <c r="D1456">
        <v>211.3999938964844</v>
      </c>
      <c r="E1456">
        <v>199.3399963378906</v>
      </c>
      <c r="F1456">
        <v>208.1900024414062</v>
      </c>
      <c r="G1456">
        <v>207.9573059082031</v>
      </c>
      <c r="H1456">
        <v>180962500</v>
      </c>
      <c r="I1456" t="s">
        <v>4398</v>
      </c>
      <c r="J1456" t="s">
        <v>4399</v>
      </c>
      <c r="K1456" t="s">
        <v>37</v>
      </c>
    </row>
    <row r="1457" spans="1:11" ht="20" customHeight="1">
      <c r="A1457" t="s">
        <v>22</v>
      </c>
      <c r="B1457" t="s">
        <v>4400</v>
      </c>
      <c r="C1457">
        <v>204.4299926757812</v>
      </c>
      <c r="D1457">
        <v>207.2200012207031</v>
      </c>
      <c r="E1457">
        <v>199.9199981689453</v>
      </c>
      <c r="F1457">
        <v>200.4199981689453</v>
      </c>
      <c r="G1457">
        <v>200.1959838867188</v>
      </c>
      <c r="H1457">
        <v>161746600</v>
      </c>
      <c r="I1457" t="s">
        <v>4401</v>
      </c>
      <c r="J1457" t="s">
        <v>4402</v>
      </c>
      <c r="K1457" t="s">
        <v>37</v>
      </c>
    </row>
    <row r="1458" spans="1:11" ht="20" customHeight="1">
      <c r="A1458" t="s">
        <v>22</v>
      </c>
      <c r="B1458" t="s">
        <v>4403</v>
      </c>
      <c r="C1458">
        <v>201.4900054931641</v>
      </c>
      <c r="D1458">
        <v>205.6600036621094</v>
      </c>
      <c r="E1458">
        <v>199.5399932861328</v>
      </c>
      <c r="F1458">
        <v>204.8699951171875</v>
      </c>
      <c r="G1458">
        <v>204.6410064697266</v>
      </c>
      <c r="H1458">
        <v>158643200</v>
      </c>
      <c r="I1458" t="s">
        <v>4404</v>
      </c>
      <c r="J1458" t="s">
        <v>4405</v>
      </c>
      <c r="K1458" t="s">
        <v>37</v>
      </c>
    </row>
    <row r="1459" spans="1:11" ht="20" customHeight="1">
      <c r="A1459" t="s">
        <v>22</v>
      </c>
      <c r="B1459" t="s">
        <v>4406</v>
      </c>
      <c r="C1459">
        <v>204.8600006103516</v>
      </c>
      <c r="D1459">
        <v>207.0700073242188</v>
      </c>
      <c r="E1459">
        <v>203.4400024414062</v>
      </c>
      <c r="F1459">
        <v>205.1900024414062</v>
      </c>
      <c r="G1459">
        <v>204.9606628417969</v>
      </c>
      <c r="H1459">
        <v>112001800</v>
      </c>
      <c r="I1459" t="s">
        <v>4407</v>
      </c>
      <c r="J1459" t="s">
        <v>4408</v>
      </c>
      <c r="K1459" t="s">
        <v>37</v>
      </c>
    </row>
    <row r="1460" spans="1:11" ht="20" customHeight="1">
      <c r="A1460" t="s">
        <v>22</v>
      </c>
      <c r="B1460" t="s">
        <v>4409</v>
      </c>
      <c r="C1460">
        <v>208.9199981689453</v>
      </c>
      <c r="D1460">
        <v>212.7100067138672</v>
      </c>
      <c r="E1460">
        <v>208.3399963378906</v>
      </c>
      <c r="F1460">
        <v>212.4499969482422</v>
      </c>
      <c r="G1460">
        <v>212.2125396728516</v>
      </c>
      <c r="H1460">
        <v>149936700</v>
      </c>
      <c r="I1460" t="s">
        <v>4410</v>
      </c>
      <c r="J1460" t="s">
        <v>4411</v>
      </c>
      <c r="K1460" t="s">
        <v>37</v>
      </c>
    </row>
    <row r="1461" spans="1:11" ht="20" customHeight="1">
      <c r="A1461" t="s">
        <v>22</v>
      </c>
      <c r="B1461" t="s">
        <v>4412</v>
      </c>
      <c r="C1461">
        <v>211.1799926757812</v>
      </c>
      <c r="D1461">
        <v>211.4900054931641</v>
      </c>
      <c r="E1461">
        <v>207.2899932861328</v>
      </c>
      <c r="F1461">
        <v>207.4100036621094</v>
      </c>
      <c r="G1461">
        <v>207.1781768798828</v>
      </c>
      <c r="H1461">
        <v>125694100</v>
      </c>
      <c r="I1461" t="s">
        <v>4413</v>
      </c>
      <c r="J1461" t="s">
        <v>4414</v>
      </c>
      <c r="K1461" t="s">
        <v>37</v>
      </c>
    </row>
    <row r="1462" spans="1:11" ht="20" customHeight="1">
      <c r="A1462" t="s">
        <v>22</v>
      </c>
      <c r="B1462" t="s">
        <v>4415</v>
      </c>
      <c r="C1462">
        <v>208.5299987792969</v>
      </c>
      <c r="D1462">
        <v>209.2100067138672</v>
      </c>
      <c r="E1462">
        <v>203.0800018310547</v>
      </c>
      <c r="F1462">
        <v>204.6499938964844</v>
      </c>
      <c r="G1462">
        <v>204.4212493896484</v>
      </c>
      <c r="H1462">
        <v>128363500</v>
      </c>
      <c r="I1462" t="s">
        <v>4416</v>
      </c>
      <c r="J1462" t="s">
        <v>4417</v>
      </c>
      <c r="K1462" t="s">
        <v>37</v>
      </c>
    </row>
    <row r="1463" spans="1:11" ht="20" customHeight="1">
      <c r="A1463" t="s">
        <v>22</v>
      </c>
      <c r="B1463" t="s">
        <v>4418</v>
      </c>
      <c r="C1463">
        <v>207.3300018310547</v>
      </c>
      <c r="D1463">
        <v>211.3899993896484</v>
      </c>
      <c r="E1463">
        <v>206.5</v>
      </c>
      <c r="F1463">
        <v>210.6900024414062</v>
      </c>
      <c r="G1463">
        <v>210.4545135498047</v>
      </c>
      <c r="H1463">
        <v>241272000</v>
      </c>
      <c r="I1463" t="s">
        <v>4419</v>
      </c>
      <c r="J1463" t="s">
        <v>4420</v>
      </c>
      <c r="K1463" t="s">
        <v>37</v>
      </c>
    </row>
    <row r="1464" spans="1:11" ht="20" customHeight="1">
      <c r="A1464" t="s">
        <v>22</v>
      </c>
      <c r="B1464" t="s">
        <v>4421</v>
      </c>
      <c r="C1464">
        <v>211.4400024414062</v>
      </c>
      <c r="D1464">
        <v>213.9900054931641</v>
      </c>
      <c r="E1464">
        <v>207.7200012207031</v>
      </c>
      <c r="F1464">
        <v>208.6499938964844</v>
      </c>
      <c r="G1464">
        <v>208.4167785644531</v>
      </c>
      <c r="H1464">
        <v>122041400</v>
      </c>
      <c r="I1464" t="s">
        <v>4422</v>
      </c>
      <c r="J1464" t="s">
        <v>4423</v>
      </c>
      <c r="K1464" t="s">
        <v>37</v>
      </c>
    </row>
    <row r="1465" spans="1:11" ht="20" customHeight="1">
      <c r="A1465" t="s">
        <v>22</v>
      </c>
      <c r="B1465" t="s">
        <v>4424</v>
      </c>
      <c r="C1465">
        <v>202.1699981689453</v>
      </c>
      <c r="D1465">
        <v>203.7700042724609</v>
      </c>
      <c r="E1465">
        <v>200</v>
      </c>
      <c r="F1465">
        <v>200.0399932861328</v>
      </c>
      <c r="G1465">
        <v>199.81640625</v>
      </c>
      <c r="H1465">
        <v>153496200</v>
      </c>
      <c r="I1465" t="s">
        <v>4425</v>
      </c>
      <c r="J1465" t="s">
        <v>4426</v>
      </c>
      <c r="K1465" t="s">
        <v>37</v>
      </c>
    </row>
    <row r="1466" spans="1:11" ht="20" customHeight="1">
      <c r="A1466" t="s">
        <v>22</v>
      </c>
      <c r="B1466" t="s">
        <v>4427</v>
      </c>
      <c r="C1466">
        <v>200.1199951171875</v>
      </c>
      <c r="D1466">
        <v>201.6699981689453</v>
      </c>
      <c r="E1466">
        <v>196.5800018310547</v>
      </c>
      <c r="F1466">
        <v>199</v>
      </c>
      <c r="G1466">
        <v>198.7775726318359</v>
      </c>
      <c r="H1466">
        <v>151810700</v>
      </c>
      <c r="I1466" t="s">
        <v>4428</v>
      </c>
      <c r="J1466" t="s">
        <v>4429</v>
      </c>
      <c r="K1466" t="s">
        <v>37</v>
      </c>
    </row>
    <row r="1467" spans="1:11" ht="20" customHeight="1">
      <c r="A1467" t="s">
        <v>22</v>
      </c>
      <c r="B1467" t="s">
        <v>4430</v>
      </c>
      <c r="C1467">
        <v>200.0800018310547</v>
      </c>
      <c r="D1467">
        <v>200.8000030517578</v>
      </c>
      <c r="E1467">
        <v>192.1300048828125</v>
      </c>
      <c r="F1467">
        <v>195.7400054931641</v>
      </c>
      <c r="G1467">
        <v>195.5212249755859</v>
      </c>
      <c r="H1467">
        <v>149550000</v>
      </c>
      <c r="I1467" t="s">
        <v>4431</v>
      </c>
      <c r="J1467" t="s">
        <v>4432</v>
      </c>
      <c r="K1467" t="s">
        <v>37</v>
      </c>
    </row>
    <row r="1468" spans="1:11" ht="20" customHeight="1">
      <c r="A1468" t="s">
        <v>22</v>
      </c>
      <c r="B1468" t="s">
        <v>4433</v>
      </c>
      <c r="C1468">
        <v>193.1199951171875</v>
      </c>
      <c r="D1468">
        <v>195.5500030517578</v>
      </c>
      <c r="E1468">
        <v>191.2200012207031</v>
      </c>
      <c r="F1468">
        <v>192.5299987792969</v>
      </c>
      <c r="G1468">
        <v>192.3148040771484</v>
      </c>
      <c r="H1468">
        <v>179304100</v>
      </c>
      <c r="I1468" t="s">
        <v>4434</v>
      </c>
      <c r="J1468" t="s">
        <v>4435</v>
      </c>
      <c r="K1468" t="s">
        <v>37</v>
      </c>
    </row>
    <row r="1469" spans="1:11" ht="20" customHeight="1">
      <c r="A1469" t="s">
        <v>22</v>
      </c>
      <c r="B1469" t="s">
        <v>4436</v>
      </c>
      <c r="C1469">
        <v>193.8500061035156</v>
      </c>
      <c r="D1469">
        <v>196.1799926757812</v>
      </c>
      <c r="E1469">
        <v>189.8000030517578</v>
      </c>
      <c r="F1469">
        <v>194.9700012207031</v>
      </c>
      <c r="G1469">
        <v>194.7520751953125</v>
      </c>
      <c r="H1469">
        <v>148835700</v>
      </c>
      <c r="I1469" t="s">
        <v>4437</v>
      </c>
      <c r="J1469" t="s">
        <v>4438</v>
      </c>
      <c r="K1469" t="s">
        <v>37</v>
      </c>
    </row>
    <row r="1470" spans="1:11" ht="20" customHeight="1">
      <c r="A1470" t="s">
        <v>22</v>
      </c>
      <c r="B1470" t="s">
        <v>4439</v>
      </c>
      <c r="C1470">
        <v>197.2400054931641</v>
      </c>
      <c r="D1470">
        <v>200.6300048828125</v>
      </c>
      <c r="E1470">
        <v>195.1100006103516</v>
      </c>
      <c r="F1470">
        <v>200.0899963378906</v>
      </c>
      <c r="G1470">
        <v>199.8663482666016</v>
      </c>
      <c r="H1470">
        <v>166476700</v>
      </c>
      <c r="I1470" t="s">
        <v>4440</v>
      </c>
      <c r="J1470" t="s">
        <v>4441</v>
      </c>
      <c r="K1470" t="s">
        <v>37</v>
      </c>
    </row>
    <row r="1471" spans="1:11" ht="20" customHeight="1">
      <c r="A1471" t="s">
        <v>22</v>
      </c>
      <c r="B1471" t="s">
        <v>4442</v>
      </c>
      <c r="C1471">
        <v>196.1999969482422</v>
      </c>
      <c r="D1471">
        <v>199.8500061035156</v>
      </c>
      <c r="E1471">
        <v>193.4499969482422</v>
      </c>
      <c r="F1471">
        <v>197.5800018310547</v>
      </c>
      <c r="G1471">
        <v>197.3591613769531</v>
      </c>
      <c r="H1471">
        <v>146147600</v>
      </c>
      <c r="I1471" t="s">
        <v>4443</v>
      </c>
      <c r="J1471" t="s">
        <v>4444</v>
      </c>
      <c r="K1471" t="s">
        <v>37</v>
      </c>
    </row>
    <row r="1472" spans="1:11" ht="20" customHeight="1">
      <c r="A1472" t="s">
        <v>22</v>
      </c>
      <c r="B1472" t="s">
        <v>4445</v>
      </c>
      <c r="C1472">
        <v>197.1399993896484</v>
      </c>
      <c r="D1472">
        <v>200.0599975585938</v>
      </c>
      <c r="E1472">
        <v>192.3500061035156</v>
      </c>
      <c r="F1472">
        <v>194.8300018310547</v>
      </c>
      <c r="G1472">
        <v>194.6122436523438</v>
      </c>
      <c r="H1472">
        <v>142068700</v>
      </c>
      <c r="I1472" t="s">
        <v>4446</v>
      </c>
      <c r="J1472" t="s">
        <v>4447</v>
      </c>
      <c r="K1472" t="s">
        <v>37</v>
      </c>
    </row>
    <row r="1473" spans="1:11" ht="20" customHeight="1">
      <c r="A1473" t="s">
        <v>22</v>
      </c>
      <c r="B1473" t="s">
        <v>4448</v>
      </c>
      <c r="C1473">
        <v>194.4199981689453</v>
      </c>
      <c r="D1473">
        <v>197.5500030517578</v>
      </c>
      <c r="E1473">
        <v>193.9900054931641</v>
      </c>
      <c r="F1473">
        <v>195.5500030517578</v>
      </c>
      <c r="G1473">
        <v>195.3314361572266</v>
      </c>
      <c r="H1473">
        <v>108999000</v>
      </c>
      <c r="I1473" t="s">
        <v>4449</v>
      </c>
      <c r="J1473" t="s">
        <v>4450</v>
      </c>
      <c r="K1473" t="s">
        <v>37</v>
      </c>
    </row>
    <row r="1474" spans="1:11" ht="20" customHeight="1">
      <c r="A1474" t="s">
        <v>22</v>
      </c>
      <c r="B1474" t="s">
        <v>4451</v>
      </c>
      <c r="C1474">
        <v>192.3699951171875</v>
      </c>
      <c r="D1474">
        <v>198.4100036621094</v>
      </c>
      <c r="E1474">
        <v>191.1399993896484</v>
      </c>
      <c r="F1474">
        <v>196.9299926757812</v>
      </c>
      <c r="G1474">
        <v>196.7098846435547</v>
      </c>
      <c r="H1474">
        <v>124154600</v>
      </c>
      <c r="I1474" t="s">
        <v>4452</v>
      </c>
      <c r="J1474" t="s">
        <v>4453</v>
      </c>
      <c r="K1474" t="s">
        <v>37</v>
      </c>
    </row>
    <row r="1475" spans="1:11" ht="20" customHeight="1">
      <c r="A1475" t="s">
        <v>22</v>
      </c>
      <c r="B1475" t="s">
        <v>4454</v>
      </c>
      <c r="C1475">
        <v>195.1799926757812</v>
      </c>
      <c r="D1475">
        <v>205.1600036621094</v>
      </c>
      <c r="E1475">
        <v>195.0599975585938</v>
      </c>
      <c r="F1475">
        <v>204.1199951171875</v>
      </c>
      <c r="G1475">
        <v>203.891845703125</v>
      </c>
      <c r="H1475">
        <v>147419100</v>
      </c>
      <c r="I1475" t="s">
        <v>4455</v>
      </c>
      <c r="J1475" t="s">
        <v>4456</v>
      </c>
      <c r="K1475" t="s">
        <v>37</v>
      </c>
    </row>
    <row r="1476" spans="1:11" ht="20" customHeight="1">
      <c r="A1476" t="s">
        <v>22</v>
      </c>
      <c r="B1476" t="s">
        <v>4457</v>
      </c>
      <c r="C1476">
        <v>204.4600067138672</v>
      </c>
      <c r="D1476">
        <v>204.5899963378906</v>
      </c>
      <c r="E1476">
        <v>198.9600067138672</v>
      </c>
      <c r="F1476">
        <v>202.7799987792969</v>
      </c>
      <c r="G1476">
        <v>202.5533447265625</v>
      </c>
      <c r="H1476">
        <v>132037400</v>
      </c>
      <c r="I1476" t="s">
        <v>4458</v>
      </c>
      <c r="J1476" t="s">
        <v>4459</v>
      </c>
      <c r="K1476" t="s">
        <v>37</v>
      </c>
    </row>
    <row r="1477" spans="1:11" ht="20" customHeight="1">
      <c r="A1477" t="s">
        <v>22</v>
      </c>
      <c r="B1477" t="s">
        <v>4460</v>
      </c>
      <c r="C1477">
        <v>202</v>
      </c>
      <c r="D1477">
        <v>211</v>
      </c>
      <c r="E1477">
        <v>201.9199981689453</v>
      </c>
      <c r="F1477">
        <v>210.9600067138672</v>
      </c>
      <c r="G1477">
        <v>210.7242126464844</v>
      </c>
      <c r="H1477">
        <v>148421000</v>
      </c>
      <c r="I1477" t="s">
        <v>4461</v>
      </c>
      <c r="J1477" t="s">
        <v>4462</v>
      </c>
      <c r="K1477" t="s">
        <v>37</v>
      </c>
    </row>
    <row r="1478" spans="1:11" ht="20" customHeight="1">
      <c r="A1478" t="s">
        <v>22</v>
      </c>
      <c r="B1478" t="s">
        <v>4463</v>
      </c>
      <c r="C1478">
        <v>208.5399932861328</v>
      </c>
      <c r="D1478">
        <v>210.5700073242188</v>
      </c>
      <c r="E1478">
        <v>203</v>
      </c>
      <c r="F1478">
        <v>203.5299987792969</v>
      </c>
      <c r="G1478">
        <v>203.3025054931641</v>
      </c>
      <c r="H1478">
        <v>121411000</v>
      </c>
      <c r="I1478" t="s">
        <v>4464</v>
      </c>
      <c r="J1478" t="s">
        <v>4465</v>
      </c>
      <c r="K1478" t="s">
        <v>37</v>
      </c>
    </row>
    <row r="1479" spans="1:11" ht="20" customHeight="1">
      <c r="A1479" t="s">
        <v>22</v>
      </c>
      <c r="B1479" t="s">
        <v>4466</v>
      </c>
      <c r="C1479">
        <v>208.1999969482422</v>
      </c>
      <c r="D1479">
        <v>212.5500030517578</v>
      </c>
      <c r="E1479">
        <v>203.8000030517578</v>
      </c>
      <c r="F1479">
        <v>211.8000030517578</v>
      </c>
      <c r="G1479">
        <v>211.5632781982422</v>
      </c>
      <c r="H1479">
        <v>124379600</v>
      </c>
      <c r="I1479" t="s">
        <v>4467</v>
      </c>
      <c r="J1479" t="s">
        <v>4468</v>
      </c>
      <c r="K1479" t="s">
        <v>37</v>
      </c>
    </row>
    <row r="1480" spans="1:11" ht="20" customHeight="1">
      <c r="A1480" t="s">
        <v>22</v>
      </c>
      <c r="B1480" t="s">
        <v>4469</v>
      </c>
      <c r="C1480">
        <v>211.9600067138672</v>
      </c>
      <c r="D1480">
        <v>213.8099975585938</v>
      </c>
      <c r="E1480">
        <v>206.0399932861328</v>
      </c>
      <c r="F1480">
        <v>212.5</v>
      </c>
      <c r="G1480">
        <v>212.2624816894531</v>
      </c>
      <c r="H1480">
        <v>124797200</v>
      </c>
      <c r="I1480" t="s">
        <v>4470</v>
      </c>
      <c r="J1480" t="s">
        <v>4471</v>
      </c>
      <c r="K1480" t="s">
        <v>37</v>
      </c>
    </row>
    <row r="1481" spans="1:11" ht="20" customHeight="1">
      <c r="A1481" t="s">
        <v>22</v>
      </c>
      <c r="B1481" t="s">
        <v>4472</v>
      </c>
      <c r="C1481">
        <v>210.1699981689453</v>
      </c>
      <c r="D1481">
        <v>211.0800018310547</v>
      </c>
      <c r="E1481">
        <v>205.8500061035156</v>
      </c>
      <c r="F1481">
        <v>207.3999938964844</v>
      </c>
      <c r="G1481">
        <v>207.1681823730469</v>
      </c>
      <c r="H1481">
        <v>122986100</v>
      </c>
      <c r="I1481" t="s">
        <v>4473</v>
      </c>
      <c r="J1481" t="s">
        <v>4474</v>
      </c>
      <c r="K1481" t="s">
        <v>37</v>
      </c>
    </row>
    <row r="1482" spans="1:11" ht="20" customHeight="1">
      <c r="A1482" t="s">
        <v>22</v>
      </c>
      <c r="B1482" t="s">
        <v>4475</v>
      </c>
      <c r="C1482">
        <v>202.6399993896484</v>
      </c>
      <c r="D1482">
        <v>206.6499938964844</v>
      </c>
      <c r="E1482">
        <v>197.9700012207031</v>
      </c>
      <c r="F1482">
        <v>202.8099975585938</v>
      </c>
      <c r="G1482">
        <v>202.5833129882812</v>
      </c>
      <c r="H1482">
        <v>144281900</v>
      </c>
      <c r="I1482" t="s">
        <v>4476</v>
      </c>
      <c r="J1482" t="s">
        <v>4477</v>
      </c>
      <c r="K1482" t="s">
        <v>37</v>
      </c>
    </row>
    <row r="1483" spans="1:11" ht="20" customHeight="1">
      <c r="A1483" t="s">
        <v>22</v>
      </c>
      <c r="B1483" t="s">
        <v>4478</v>
      </c>
      <c r="C1483">
        <v>205.8699951171875</v>
      </c>
      <c r="D1483">
        <v>207.7400054931641</v>
      </c>
      <c r="E1483">
        <v>202.2799987792969</v>
      </c>
      <c r="F1483">
        <v>203.2799987792969</v>
      </c>
      <c r="G1483">
        <v>203.0527954101562</v>
      </c>
      <c r="H1483">
        <v>88701500</v>
      </c>
      <c r="I1483" t="s">
        <v>4479</v>
      </c>
      <c r="J1483" t="s">
        <v>4480</v>
      </c>
      <c r="K1483" t="s">
        <v>37</v>
      </c>
    </row>
    <row r="1484" spans="1:11" ht="20" customHeight="1">
      <c r="A1484" t="s">
        <v>22</v>
      </c>
      <c r="B1484" t="s">
        <v>4481</v>
      </c>
      <c r="C1484">
        <v>207.5399932861328</v>
      </c>
      <c r="D1484">
        <v>208.6499938964844</v>
      </c>
      <c r="E1484">
        <v>204.0099945068359</v>
      </c>
      <c r="F1484">
        <v>207.2899932861328</v>
      </c>
      <c r="G1484">
        <v>207.0583038330078</v>
      </c>
      <c r="H1484">
        <v>108685600</v>
      </c>
      <c r="I1484" t="s">
        <v>4482</v>
      </c>
      <c r="J1484" t="s">
        <v>4483</v>
      </c>
      <c r="K1484" t="s">
        <v>37</v>
      </c>
    </row>
    <row r="1485" spans="1:11" ht="20" customHeight="1">
      <c r="A1485" t="s">
        <v>22</v>
      </c>
      <c r="B1485" t="s">
        <v>4484</v>
      </c>
      <c r="C1485">
        <v>205.8099975585938</v>
      </c>
      <c r="D1485">
        <v>214.3899993896484</v>
      </c>
      <c r="E1485">
        <v>204.9499969482422</v>
      </c>
      <c r="F1485">
        <v>212.0599975585938</v>
      </c>
      <c r="G1485">
        <v>211.8229827880859</v>
      </c>
      <c r="H1485">
        <v>137645600</v>
      </c>
      <c r="I1485" t="s">
        <v>4485</v>
      </c>
      <c r="J1485" t="s">
        <v>4486</v>
      </c>
      <c r="K1485" t="s">
        <v>37</v>
      </c>
    </row>
    <row r="1486" spans="1:11" ht="20" customHeight="1">
      <c r="A1486" t="s">
        <v>22</v>
      </c>
      <c r="B1486" t="s">
        <v>4487</v>
      </c>
      <c r="C1486">
        <v>209.4600067138672</v>
      </c>
      <c r="D1486">
        <v>210.8699951171875</v>
      </c>
      <c r="E1486">
        <v>205.9600067138672</v>
      </c>
      <c r="F1486">
        <v>208.7599945068359</v>
      </c>
      <c r="G1486">
        <v>208.5266571044922</v>
      </c>
      <c r="H1486">
        <v>110505300</v>
      </c>
      <c r="I1486" t="s">
        <v>4488</v>
      </c>
      <c r="J1486" t="s">
        <v>4489</v>
      </c>
      <c r="K1486" t="s">
        <v>37</v>
      </c>
    </row>
    <row r="1487" spans="1:11" ht="20" customHeight="1">
      <c r="A1487" t="s">
        <v>22</v>
      </c>
      <c r="B1487" t="s">
        <v>4490</v>
      </c>
      <c r="C1487">
        <v>207.4499969482422</v>
      </c>
      <c r="D1487">
        <v>211.9100036621094</v>
      </c>
      <c r="E1487">
        <v>204.8099975585938</v>
      </c>
      <c r="F1487">
        <v>206.8399963378906</v>
      </c>
      <c r="G1487">
        <v>206.6088104248047</v>
      </c>
      <c r="H1487">
        <v>114836800</v>
      </c>
      <c r="I1487" t="s">
        <v>4491</v>
      </c>
      <c r="J1487" t="s">
        <v>4492</v>
      </c>
      <c r="K1487" t="s">
        <v>37</v>
      </c>
    </row>
    <row r="1488" spans="1:11" ht="20" customHeight="1">
      <c r="A1488" t="s">
        <v>22</v>
      </c>
      <c r="B1488" t="s">
        <v>4493</v>
      </c>
      <c r="C1488">
        <v>208.1999969482422</v>
      </c>
      <c r="D1488">
        <v>208.75</v>
      </c>
      <c r="E1488">
        <v>195.4400024414062</v>
      </c>
      <c r="F1488">
        <v>196.5099945068359</v>
      </c>
      <c r="G1488">
        <v>196.2903594970703</v>
      </c>
      <c r="H1488">
        <v>154353700</v>
      </c>
      <c r="I1488" t="s">
        <v>4494</v>
      </c>
      <c r="J1488" t="s">
        <v>4495</v>
      </c>
      <c r="K1488" t="s">
        <v>37</v>
      </c>
    </row>
    <row r="1489" spans="1:11" ht="20" customHeight="1">
      <c r="A1489" t="s">
        <v>22</v>
      </c>
      <c r="B1489" t="s">
        <v>4496</v>
      </c>
      <c r="C1489">
        <v>195</v>
      </c>
      <c r="D1489">
        <v>198.6999969482422</v>
      </c>
      <c r="E1489">
        <v>192.7400054931641</v>
      </c>
      <c r="F1489">
        <v>197.0099945068359</v>
      </c>
      <c r="G1489">
        <v>196.789794921875</v>
      </c>
      <c r="H1489">
        <v>134111500</v>
      </c>
      <c r="I1489" t="s">
        <v>4497</v>
      </c>
      <c r="J1489" t="s">
        <v>4498</v>
      </c>
      <c r="K1489" t="s">
        <v>37</v>
      </c>
    </row>
    <row r="1490" spans="1:11" ht="20" customHeight="1">
      <c r="A1490" t="s">
        <v>22</v>
      </c>
      <c r="B1490" t="s">
        <v>4499</v>
      </c>
      <c r="C1490">
        <v>195.8500061035156</v>
      </c>
      <c r="D1490">
        <v>197.0700073242188</v>
      </c>
      <c r="E1490">
        <v>190.0099945068359</v>
      </c>
      <c r="F1490">
        <v>190.0099945068359</v>
      </c>
      <c r="G1490">
        <v>189.7976226806641</v>
      </c>
      <c r="H1490">
        <v>147680800</v>
      </c>
      <c r="I1490" t="s">
        <v>4500</v>
      </c>
      <c r="J1490" t="s">
        <v>4501</v>
      </c>
      <c r="K1490" t="s">
        <v>37</v>
      </c>
    </row>
    <row r="1491" spans="1:11" ht="20" customHeight="1">
      <c r="A1491" t="s">
        <v>22</v>
      </c>
      <c r="B1491" t="s">
        <v>4502</v>
      </c>
      <c r="C1491">
        <v>193.4499969482422</v>
      </c>
      <c r="D1491">
        <v>197.25</v>
      </c>
      <c r="E1491">
        <v>191.5200042724609</v>
      </c>
      <c r="F1491">
        <v>195.0399932861328</v>
      </c>
      <c r="G1491">
        <v>194.8219909667969</v>
      </c>
      <c r="H1491">
        <v>129010200</v>
      </c>
      <c r="I1491" t="s">
        <v>4503</v>
      </c>
      <c r="J1491" t="s">
        <v>4504</v>
      </c>
      <c r="K1491" t="s">
        <v>37</v>
      </c>
    </row>
    <row r="1492" spans="1:11" ht="20" customHeight="1">
      <c r="A1492" t="s">
        <v>22</v>
      </c>
      <c r="B1492" t="s">
        <v>4505</v>
      </c>
      <c r="C1492">
        <v>198.4400024414062</v>
      </c>
      <c r="D1492">
        <v>202</v>
      </c>
      <c r="E1492">
        <v>194.9499969482422</v>
      </c>
      <c r="F1492">
        <v>200.75</v>
      </c>
      <c r="G1492">
        <v>200.5256195068359</v>
      </c>
      <c r="H1492">
        <v>139961200</v>
      </c>
      <c r="I1492" t="s">
        <v>4506</v>
      </c>
      <c r="J1492" t="s">
        <v>4507</v>
      </c>
      <c r="K1492" t="s">
        <v>37</v>
      </c>
    </row>
    <row r="1493" spans="1:11" ht="20" customHeight="1">
      <c r="A1493" t="s">
        <v>22</v>
      </c>
      <c r="B1493" t="s">
        <v>4508</v>
      </c>
      <c r="C1493">
        <v>197.6900024414062</v>
      </c>
      <c r="D1493">
        <v>208.7400054931641</v>
      </c>
      <c r="E1493">
        <v>196.8500061035156</v>
      </c>
      <c r="F1493">
        <v>206.6399993896484</v>
      </c>
      <c r="G1493">
        <v>206.4090423583984</v>
      </c>
      <c r="H1493">
        <v>128406900</v>
      </c>
      <c r="I1493" t="s">
        <v>4509</v>
      </c>
      <c r="J1493" t="s">
        <v>4510</v>
      </c>
      <c r="K1493" t="s">
        <v>37</v>
      </c>
    </row>
    <row r="1494" spans="1:11" ht="20" customHeight="1">
      <c r="A1494" t="s">
        <v>22</v>
      </c>
      <c r="B1494" t="s">
        <v>4511</v>
      </c>
      <c r="C1494">
        <v>211.3000030517578</v>
      </c>
      <c r="D1494">
        <v>213.0599975585938</v>
      </c>
      <c r="E1494">
        <v>209.0500030517578</v>
      </c>
      <c r="F1494">
        <v>211.9400024414062</v>
      </c>
      <c r="G1494">
        <v>211.7031097412109</v>
      </c>
      <c r="H1494">
        <v>134922000</v>
      </c>
      <c r="I1494" t="s">
        <v>4512</v>
      </c>
      <c r="J1494" t="s">
        <v>4513</v>
      </c>
      <c r="K1494" t="s">
        <v>37</v>
      </c>
    </row>
    <row r="1495" spans="1:11" ht="20" customHeight="1">
      <c r="A1495" t="s">
        <v>22</v>
      </c>
      <c r="B1495" t="s">
        <v>4514</v>
      </c>
      <c r="C1495">
        <v>216.8600006103516</v>
      </c>
      <c r="D1495">
        <v>222.2200012207031</v>
      </c>
      <c r="E1495">
        <v>216.3999938964844</v>
      </c>
      <c r="F1495">
        <v>219.2200012207031</v>
      </c>
      <c r="G1495">
        <v>218.9749755859375</v>
      </c>
      <c r="H1495">
        <v>158187400</v>
      </c>
      <c r="I1495" t="s">
        <v>4515</v>
      </c>
      <c r="J1495" t="s">
        <v>4516</v>
      </c>
      <c r="K1495" t="s">
        <v>37</v>
      </c>
    </row>
    <row r="1496" spans="1:11" ht="20" customHeight="1">
      <c r="A1496" t="s">
        <v>22</v>
      </c>
      <c r="B1496" t="s">
        <v>4517</v>
      </c>
      <c r="C1496">
        <v>221.5299987792969</v>
      </c>
      <c r="D1496">
        <v>223.6300048828125</v>
      </c>
      <c r="E1496">
        <v>217</v>
      </c>
      <c r="F1496">
        <v>218.9900054931641</v>
      </c>
      <c r="G1496">
        <v>218.7452392578125</v>
      </c>
      <c r="H1496">
        <v>113940600</v>
      </c>
      <c r="I1496" t="s">
        <v>4518</v>
      </c>
      <c r="J1496" t="s">
        <v>4519</v>
      </c>
      <c r="K1496" t="s">
        <v>37</v>
      </c>
    </row>
    <row r="1497" spans="1:11" ht="20" customHeight="1">
      <c r="A1497" t="s">
        <v>22</v>
      </c>
      <c r="B1497" t="s">
        <v>4520</v>
      </c>
      <c r="C1497">
        <v>221.5399932861328</v>
      </c>
      <c r="D1497">
        <v>224.7599945068359</v>
      </c>
      <c r="E1497">
        <v>220.6600036621094</v>
      </c>
      <c r="F1497">
        <v>223.9600067138672</v>
      </c>
      <c r="G1497">
        <v>223.7096862792969</v>
      </c>
      <c r="H1497">
        <v>105669400</v>
      </c>
      <c r="I1497" t="s">
        <v>4521</v>
      </c>
      <c r="J1497" t="s">
        <v>4522</v>
      </c>
      <c r="K1497" t="s">
        <v>37</v>
      </c>
    </row>
    <row r="1498" spans="1:11" ht="20" customHeight="1">
      <c r="A1498" t="s">
        <v>22</v>
      </c>
      <c r="B1498" t="s">
        <v>4523</v>
      </c>
      <c r="C1498">
        <v>223.3999938964844</v>
      </c>
      <c r="D1498">
        <v>224.1399993896484</v>
      </c>
      <c r="E1498">
        <v>216.7700042724609</v>
      </c>
      <c r="F1498">
        <v>217.5500030517578</v>
      </c>
      <c r="G1498">
        <v>217.3068389892578</v>
      </c>
      <c r="H1498">
        <v>115846600</v>
      </c>
      <c r="I1498" t="s">
        <v>4524</v>
      </c>
      <c r="J1498" t="s">
        <v>4525</v>
      </c>
      <c r="K1498" t="s">
        <v>37</v>
      </c>
    </row>
    <row r="1499" spans="1:11" ht="20" customHeight="1">
      <c r="A1499" t="s">
        <v>22</v>
      </c>
      <c r="B1499" t="s">
        <v>4526</v>
      </c>
      <c r="C1499">
        <v>222.1699981689453</v>
      </c>
      <c r="D1499">
        <v>222.1999969482422</v>
      </c>
      <c r="E1499">
        <v>216.1999969482422</v>
      </c>
      <c r="F1499">
        <v>217.5</v>
      </c>
      <c r="G1499">
        <v>217.2568969726562</v>
      </c>
      <c r="H1499">
        <v>101273100</v>
      </c>
      <c r="I1499" t="s">
        <v>4527</v>
      </c>
      <c r="J1499" t="s">
        <v>4528</v>
      </c>
      <c r="K1499" t="s">
        <v>37</v>
      </c>
    </row>
    <row r="1500" spans="1:11" ht="20" customHeight="1">
      <c r="A1500" t="s">
        <v>22</v>
      </c>
      <c r="B1500" t="s">
        <v>4529</v>
      </c>
      <c r="C1500">
        <v>221.0399932861328</v>
      </c>
      <c r="D1500">
        <v>225.1000061035156</v>
      </c>
      <c r="E1500">
        <v>220.1999969482422</v>
      </c>
      <c r="F1500">
        <v>224.0899963378906</v>
      </c>
      <c r="G1500">
        <v>223.8395233154297</v>
      </c>
      <c r="H1500">
        <v>108783600</v>
      </c>
      <c r="I1500" t="s">
        <v>4530</v>
      </c>
      <c r="J1500" t="s">
        <v>4531</v>
      </c>
      <c r="K1500" t="s">
        <v>37</v>
      </c>
    </row>
    <row r="1501" spans="1:11" ht="20" customHeight="1">
      <c r="A1501" t="s">
        <v>22</v>
      </c>
      <c r="B1501" t="s">
        <v>4532</v>
      </c>
      <c r="C1501">
        <v>225.0599975585938</v>
      </c>
      <c r="D1501">
        <v>227.2299957275391</v>
      </c>
      <c r="E1501">
        <v>223.7100067138672</v>
      </c>
      <c r="F1501">
        <v>225.3000030517578</v>
      </c>
      <c r="G1501">
        <v>225.0481872558594</v>
      </c>
      <c r="H1501">
        <v>98867200</v>
      </c>
      <c r="I1501" t="s">
        <v>4533</v>
      </c>
      <c r="J1501" t="s">
        <v>4534</v>
      </c>
      <c r="K1501" t="s">
        <v>37</v>
      </c>
    </row>
    <row r="1502" spans="1:11" ht="20" customHeight="1">
      <c r="A1502" t="s">
        <v>22</v>
      </c>
      <c r="B1502" t="s">
        <v>4535</v>
      </c>
      <c r="C1502">
        <v>226.7700042724609</v>
      </c>
      <c r="D1502">
        <v>227.4900054931641</v>
      </c>
      <c r="E1502">
        <v>224.5</v>
      </c>
      <c r="F1502">
        <v>225.1600036621094</v>
      </c>
      <c r="G1502">
        <v>224.9083404541016</v>
      </c>
      <c r="H1502">
        <v>75680900</v>
      </c>
      <c r="I1502" t="s">
        <v>4536</v>
      </c>
      <c r="J1502" t="s">
        <v>4537</v>
      </c>
      <c r="K1502" t="s">
        <v>37</v>
      </c>
    </row>
    <row r="1503" spans="1:11" ht="20" customHeight="1">
      <c r="A1503" t="s">
        <v>22</v>
      </c>
      <c r="B1503" t="s">
        <v>4538</v>
      </c>
      <c r="C1503">
        <v>225.9799957275391</v>
      </c>
      <c r="D1503">
        <v>227.9199981689453</v>
      </c>
      <c r="E1503">
        <v>224.8600006103516</v>
      </c>
      <c r="F1503">
        <v>225.0099945068359</v>
      </c>
      <c r="G1503">
        <v>224.7584991455078</v>
      </c>
      <c r="H1503">
        <v>93678700</v>
      </c>
      <c r="I1503" t="s">
        <v>4539</v>
      </c>
      <c r="J1503" t="s">
        <v>4540</v>
      </c>
      <c r="K1503" t="s">
        <v>37</v>
      </c>
    </row>
    <row r="1504" spans="1:11" ht="20" customHeight="1">
      <c r="A1504" t="s">
        <v>22</v>
      </c>
      <c r="B1504" t="s">
        <v>4541</v>
      </c>
      <c r="C1504">
        <v>220.4499969482422</v>
      </c>
      <c r="D1504">
        <v>221.6399993896484</v>
      </c>
      <c r="E1504">
        <v>218.6900024414062</v>
      </c>
      <c r="F1504">
        <v>219.7400054931641</v>
      </c>
      <c r="G1504">
        <v>219.4944000244141</v>
      </c>
      <c r="H1504">
        <v>103128200</v>
      </c>
      <c r="I1504" t="s">
        <v>4542</v>
      </c>
      <c r="J1504" t="s">
        <v>4543</v>
      </c>
      <c r="K1504" t="s">
        <v>37</v>
      </c>
    </row>
    <row r="1505" spans="1:11" ht="20" customHeight="1">
      <c r="A1505" t="s">
        <v>22</v>
      </c>
      <c r="B1505" t="s">
        <v>4544</v>
      </c>
      <c r="C1505">
        <v>221.6699981689453</v>
      </c>
      <c r="D1505">
        <v>222.8699951171875</v>
      </c>
      <c r="E1505">
        <v>216.7599945068359</v>
      </c>
      <c r="F1505">
        <v>217.5599975585938</v>
      </c>
      <c r="G1505">
        <v>217.3168334960938</v>
      </c>
      <c r="H1505">
        <v>96797300</v>
      </c>
      <c r="I1505" t="s">
        <v>4545</v>
      </c>
      <c r="J1505" t="s">
        <v>4546</v>
      </c>
      <c r="K1505" t="s">
        <v>37</v>
      </c>
    </row>
    <row r="1506" spans="1:11" ht="20" customHeight="1">
      <c r="A1506" t="s">
        <v>22</v>
      </c>
      <c r="B1506" t="s">
        <v>4547</v>
      </c>
      <c r="C1506">
        <v>218.3600006103516</v>
      </c>
      <c r="D1506">
        <v>219.8600006103516</v>
      </c>
      <c r="E1506">
        <v>215.6600036621094</v>
      </c>
      <c r="F1506">
        <v>216.8500061035156</v>
      </c>
      <c r="G1506">
        <v>216.6076354980469</v>
      </c>
      <c r="H1506">
        <v>92457000</v>
      </c>
      <c r="I1506" t="s">
        <v>4548</v>
      </c>
      <c r="J1506" t="s">
        <v>4549</v>
      </c>
      <c r="K1506" t="s">
        <v>37</v>
      </c>
    </row>
    <row r="1507" spans="1:11" ht="20" customHeight="1">
      <c r="A1507" t="s">
        <v>22</v>
      </c>
      <c r="B1507" t="s">
        <v>4550</v>
      </c>
      <c r="C1507">
        <v>218.4199981689453</v>
      </c>
      <c r="D1507">
        <v>218.7400054931641</v>
      </c>
      <c r="E1507">
        <v>214.5</v>
      </c>
      <c r="F1507">
        <v>214.7200012207031</v>
      </c>
      <c r="G1507">
        <v>214.4800109863281</v>
      </c>
      <c r="H1507">
        <v>98869300</v>
      </c>
      <c r="I1507" t="s">
        <v>4551</v>
      </c>
      <c r="J1507" t="s">
        <v>4552</v>
      </c>
      <c r="K1507" t="s">
        <v>37</v>
      </c>
    </row>
    <row r="1508" spans="1:11" ht="20" customHeight="1">
      <c r="A1508" t="s">
        <v>22</v>
      </c>
      <c r="B1508" t="s">
        <v>4553</v>
      </c>
      <c r="C1508">
        <v>215.5299987792969</v>
      </c>
      <c r="D1508">
        <v>215.5899963378906</v>
      </c>
      <c r="E1508">
        <v>207.25</v>
      </c>
      <c r="F1508">
        <v>208.4799957275391</v>
      </c>
      <c r="G1508">
        <v>208.2469787597656</v>
      </c>
      <c r="H1508">
        <v>135187300</v>
      </c>
      <c r="I1508" t="s">
        <v>4554</v>
      </c>
      <c r="J1508" t="s">
        <v>4555</v>
      </c>
      <c r="K1508" t="s">
        <v>37</v>
      </c>
    </row>
    <row r="1509" spans="1:11" ht="20" customHeight="1">
      <c r="A1509" t="s">
        <v>22</v>
      </c>
      <c r="B1509" t="s">
        <v>4556</v>
      </c>
      <c r="C1509">
        <v>211.0299987792969</v>
      </c>
      <c r="D1509">
        <v>214.7299957275391</v>
      </c>
      <c r="E1509">
        <v>210.1100006103516</v>
      </c>
      <c r="F1509">
        <v>213.0500030517578</v>
      </c>
      <c r="G1509">
        <v>212.8118743896484</v>
      </c>
      <c r="H1509">
        <v>122309000</v>
      </c>
      <c r="I1509" t="s">
        <v>4557</v>
      </c>
      <c r="J1509" t="s">
        <v>4558</v>
      </c>
      <c r="K1509" t="s">
        <v>37</v>
      </c>
    </row>
    <row r="1510" spans="1:11" ht="20" customHeight="1">
      <c r="A1510" t="s">
        <v>22</v>
      </c>
      <c r="B1510" t="s">
        <v>4559</v>
      </c>
      <c r="C1510">
        <v>212.6399993896484</v>
      </c>
      <c r="D1510">
        <v>213.6000061035156</v>
      </c>
      <c r="E1510">
        <v>209.2299957275391</v>
      </c>
      <c r="F1510">
        <v>209.6600036621094</v>
      </c>
      <c r="G1510">
        <v>209.4256591796875</v>
      </c>
      <c r="H1510">
        <v>179900000</v>
      </c>
      <c r="I1510" t="s">
        <v>4560</v>
      </c>
      <c r="J1510" t="s">
        <v>4561</v>
      </c>
      <c r="K1510" t="s">
        <v>37</v>
      </c>
    </row>
    <row r="1511" spans="1:11" ht="20" customHeight="1">
      <c r="A1511" t="s">
        <v>22</v>
      </c>
      <c r="B1511" t="s">
        <v>4562</v>
      </c>
      <c r="C1511">
        <v>222.8600006103516</v>
      </c>
      <c r="D1511">
        <v>230.4700012207031</v>
      </c>
      <c r="E1511">
        <v>220.8999938964844</v>
      </c>
      <c r="F1511">
        <v>227.9799957275391</v>
      </c>
      <c r="G1511">
        <v>227.7251739501953</v>
      </c>
      <c r="H1511">
        <v>298909800</v>
      </c>
      <c r="I1511" t="s">
        <v>4563</v>
      </c>
      <c r="J1511" t="s">
        <v>4564</v>
      </c>
      <c r="K1511" t="s">
        <v>37</v>
      </c>
    </row>
    <row r="1512" spans="1:11" ht="20" customHeight="1">
      <c r="A1512" t="s">
        <v>22</v>
      </c>
      <c r="B1512" t="s">
        <v>4565</v>
      </c>
      <c r="C1512">
        <v>227.3600006103516</v>
      </c>
      <c r="D1512">
        <v>229.2599945068359</v>
      </c>
      <c r="E1512">
        <v>216.8099975585938</v>
      </c>
      <c r="F1512">
        <v>217.5500030517578</v>
      </c>
      <c r="G1512">
        <v>217.3068389892578</v>
      </c>
      <c r="H1512">
        <v>195116400</v>
      </c>
      <c r="I1512" t="s">
        <v>4566</v>
      </c>
      <c r="J1512" t="s">
        <v>4567</v>
      </c>
      <c r="K1512" t="s">
        <v>37</v>
      </c>
    </row>
    <row r="1513" spans="1:11" ht="20" customHeight="1">
      <c r="A1513" t="s">
        <v>22</v>
      </c>
      <c r="B1513" t="s">
        <v>4568</v>
      </c>
      <c r="C1513">
        <v>218.8699951171875</v>
      </c>
      <c r="D1513">
        <v>221.3000030517578</v>
      </c>
      <c r="E1513">
        <v>216.2100067138672</v>
      </c>
      <c r="F1513">
        <v>220.7799987792969</v>
      </c>
      <c r="G1513">
        <v>220.5332336425781</v>
      </c>
      <c r="H1513">
        <v>124702700</v>
      </c>
      <c r="I1513" t="s">
        <v>4569</v>
      </c>
      <c r="J1513" t="s">
        <v>4570</v>
      </c>
      <c r="K1513" t="s">
        <v>37</v>
      </c>
    </row>
    <row r="1514" spans="1:11" ht="20" customHeight="1">
      <c r="A1514" t="s">
        <v>22</v>
      </c>
      <c r="B1514" t="s">
        <v>4571</v>
      </c>
      <c r="C1514">
        <v>216.75</v>
      </c>
      <c r="D1514">
        <v>220.4100036621094</v>
      </c>
      <c r="E1514">
        <v>215.1000061035156</v>
      </c>
      <c r="F1514">
        <v>217.4400024414062</v>
      </c>
      <c r="G1514">
        <v>217.1969757080078</v>
      </c>
      <c r="H1514">
        <v>109756200</v>
      </c>
      <c r="I1514" t="s">
        <v>4572</v>
      </c>
      <c r="J1514" t="s">
        <v>4573</v>
      </c>
      <c r="K1514" t="s">
        <v>37</v>
      </c>
    </row>
    <row r="1515" spans="1:11" ht="20" customHeight="1">
      <c r="A1515" t="s">
        <v>22</v>
      </c>
      <c r="B1515" t="s">
        <v>4574</v>
      </c>
      <c r="C1515">
        <v>218.7899932861328</v>
      </c>
      <c r="D1515">
        <v>227.9499969482422</v>
      </c>
      <c r="E1515">
        <v>218.4799957275391</v>
      </c>
      <c r="F1515">
        <v>224.4100036621094</v>
      </c>
      <c r="G1515">
        <v>224.1591796875</v>
      </c>
      <c r="H1515">
        <v>157104700</v>
      </c>
      <c r="I1515" t="s">
        <v>4575</v>
      </c>
      <c r="J1515" t="s">
        <v>4576</v>
      </c>
      <c r="K1515" t="s">
        <v>37</v>
      </c>
    </row>
    <row r="1516" spans="1:11" ht="20" customHeight="1">
      <c r="A1516" t="s">
        <v>22</v>
      </c>
      <c r="B1516" t="s">
        <v>4577</v>
      </c>
      <c r="C1516">
        <v>226.0200042724609</v>
      </c>
      <c r="D1516">
        <v>230.3999938964844</v>
      </c>
      <c r="E1516">
        <v>224.75</v>
      </c>
      <c r="F1516">
        <v>228.4499969482422</v>
      </c>
      <c r="G1516">
        <v>228.1946563720703</v>
      </c>
      <c r="H1516">
        <v>134681600</v>
      </c>
      <c r="I1516" t="s">
        <v>4578</v>
      </c>
      <c r="J1516" t="s">
        <v>4579</v>
      </c>
      <c r="K1516" t="s">
        <v>37</v>
      </c>
    </row>
    <row r="1517" spans="1:11" ht="20" customHeight="1">
      <c r="A1517" t="s">
        <v>22</v>
      </c>
      <c r="B1517" t="s">
        <v>4580</v>
      </c>
      <c r="C1517">
        <v>231.0899963378906</v>
      </c>
      <c r="D1517">
        <v>234.7599945068359</v>
      </c>
      <c r="E1517">
        <v>229.6300048828125</v>
      </c>
      <c r="F1517">
        <v>230.3600006103516</v>
      </c>
      <c r="G1517">
        <v>230.1025238037109</v>
      </c>
      <c r="H1517">
        <v>135352400</v>
      </c>
      <c r="I1517" t="s">
        <v>4581</v>
      </c>
      <c r="J1517" t="s">
        <v>4582</v>
      </c>
      <c r="K1517" t="s">
        <v>37</v>
      </c>
    </row>
    <row r="1518" spans="1:11" ht="20" customHeight="1">
      <c r="A1518" t="s">
        <v>22</v>
      </c>
      <c r="B1518" t="s">
        <v>4583</v>
      </c>
      <c r="C1518">
        <v>233.1100006103516</v>
      </c>
      <c r="D1518">
        <v>233.7100067138672</v>
      </c>
      <c r="E1518">
        <v>224.8500061035156</v>
      </c>
      <c r="F1518">
        <v>225.7299957275391</v>
      </c>
      <c r="G1518">
        <v>225.4776916503906</v>
      </c>
      <c r="H1518">
        <v>122965600</v>
      </c>
      <c r="I1518" t="s">
        <v>4584</v>
      </c>
      <c r="J1518" t="s">
        <v>4585</v>
      </c>
      <c r="K1518" t="s">
        <v>37</v>
      </c>
    </row>
    <row r="1519" spans="1:11" ht="20" customHeight="1">
      <c r="A1519" t="s">
        <v>22</v>
      </c>
      <c r="B1519" t="s">
        <v>4586</v>
      </c>
      <c r="C1519">
        <v>225.2799987792969</v>
      </c>
      <c r="D1519">
        <v>226.1799926757812</v>
      </c>
      <c r="E1519">
        <v>223.4600067138672</v>
      </c>
      <c r="F1519">
        <v>223.6699981689453</v>
      </c>
      <c r="G1519">
        <v>223.4199981689453</v>
      </c>
      <c r="H1519">
        <v>82955500</v>
      </c>
      <c r="I1519" t="s">
        <v>4587</v>
      </c>
      <c r="J1519" t="s">
        <v>4588</v>
      </c>
      <c r="K1519" t="s">
        <v>37</v>
      </c>
    </row>
    <row r="1520" spans="1:11" ht="20" customHeight="1">
      <c r="A1520" t="s">
        <v>22</v>
      </c>
      <c r="B1520" t="s">
        <v>4589</v>
      </c>
      <c r="C1520">
        <v>220.5299987792969</v>
      </c>
      <c r="D1520">
        <v>220.9900054931641</v>
      </c>
      <c r="E1520">
        <v>217.1999969482422</v>
      </c>
      <c r="F1520">
        <v>218.3600006103516</v>
      </c>
      <c r="G1520">
        <v>218.3600006103516</v>
      </c>
      <c r="H1520">
        <v>105768000</v>
      </c>
      <c r="I1520" t="s">
        <v>4590</v>
      </c>
      <c r="J1520" t="s">
        <v>4591</v>
      </c>
      <c r="K1520" t="s">
        <v>37</v>
      </c>
    </row>
    <row r="1521" spans="1:11" ht="20" customHeight="1">
      <c r="A1521" t="s">
        <v>22</v>
      </c>
      <c r="B1521" t="s">
        <v>4592</v>
      </c>
      <c r="C1521">
        <v>221.2400054931641</v>
      </c>
      <c r="D1521">
        <v>222</v>
      </c>
      <c r="E1521">
        <v>218.1499938964844</v>
      </c>
      <c r="F1521">
        <v>218.2899932861328</v>
      </c>
      <c r="G1521">
        <v>218.2899932861328</v>
      </c>
      <c r="H1521">
        <v>89060100</v>
      </c>
      <c r="I1521" t="s">
        <v>4593</v>
      </c>
      <c r="J1521" t="s">
        <v>4594</v>
      </c>
      <c r="K1521" t="s">
        <v>37</v>
      </c>
    </row>
    <row r="1522" spans="1:11" ht="20" customHeight="1">
      <c r="A1522" t="s">
        <v>22</v>
      </c>
      <c r="B1522" t="s">
        <v>4595</v>
      </c>
      <c r="C1522">
        <v>211.2400054931641</v>
      </c>
      <c r="D1522">
        <v>212.7700042724609</v>
      </c>
      <c r="E1522">
        <v>208.9299926757812</v>
      </c>
      <c r="F1522">
        <v>210.9600067138672</v>
      </c>
      <c r="G1522">
        <v>210.9600067138672</v>
      </c>
      <c r="H1522">
        <v>132267200</v>
      </c>
      <c r="I1522" t="s">
        <v>4596</v>
      </c>
      <c r="J1522" t="s">
        <v>4597</v>
      </c>
      <c r="K1522" t="s">
        <v>37</v>
      </c>
    </row>
    <row r="1523" spans="1:11" ht="20" customHeight="1">
      <c r="A1523" t="s">
        <v>22</v>
      </c>
      <c r="B1523" t="s">
        <v>4598</v>
      </c>
      <c r="C1523">
        <v>213.3800048828125</v>
      </c>
      <c r="D1523">
        <v>213.9400024414062</v>
      </c>
      <c r="E1523">
        <v>211.1600036621094</v>
      </c>
      <c r="F1523">
        <v>212.1699981689453</v>
      </c>
      <c r="G1523">
        <v>212.1699981689453</v>
      </c>
      <c r="H1523">
        <v>88059700</v>
      </c>
      <c r="I1523" t="s">
        <v>4599</v>
      </c>
      <c r="J1523" t="s">
        <v>4600</v>
      </c>
      <c r="K1523" t="s">
        <v>37</v>
      </c>
    </row>
    <row r="1524" spans="1:11" ht="20" customHeight="1">
      <c r="A1524" t="s">
        <v>22</v>
      </c>
      <c r="B1524" t="s">
        <v>4601</v>
      </c>
      <c r="C1524">
        <v>214.1399993896484</v>
      </c>
      <c r="D1524">
        <v>216.7599945068359</v>
      </c>
      <c r="E1524">
        <v>212.5</v>
      </c>
      <c r="F1524">
        <v>213.8999938964844</v>
      </c>
      <c r="G1524">
        <v>213.8999938964844</v>
      </c>
      <c r="H1524">
        <v>96563600</v>
      </c>
      <c r="I1524" t="s">
        <v>4602</v>
      </c>
      <c r="J1524" t="s">
        <v>4603</v>
      </c>
      <c r="K1524" t="s">
        <v>37</v>
      </c>
    </row>
    <row r="1525" spans="1:11" ht="20" customHeight="1">
      <c r="A1525" t="s">
        <v>22</v>
      </c>
      <c r="B1525" t="s">
        <v>4604</v>
      </c>
      <c r="C1525">
        <v>218.3800048828125</v>
      </c>
      <c r="D1525">
        <v>219.9100036621094</v>
      </c>
      <c r="E1525">
        <v>217.1499938964844</v>
      </c>
      <c r="F1525">
        <v>219.3399963378906</v>
      </c>
      <c r="G1525">
        <v>219.3399963378906</v>
      </c>
      <c r="H1525">
        <v>94191300</v>
      </c>
      <c r="I1525" t="s">
        <v>4605</v>
      </c>
      <c r="J1525" t="s">
        <v>4606</v>
      </c>
      <c r="K1525" t="s">
        <v>37</v>
      </c>
    </row>
    <row r="1526" spans="1:11" ht="20" customHeight="1">
      <c r="A1526" t="s">
        <v>22</v>
      </c>
      <c r="B1526" t="s">
        <v>4607</v>
      </c>
      <c r="C1526">
        <v>219.3500061035156</v>
      </c>
      <c r="D1526">
        <v>222.7299957275391</v>
      </c>
      <c r="E1526">
        <v>218.0299987792969</v>
      </c>
      <c r="F1526">
        <v>222.2700042724609</v>
      </c>
      <c r="G1526">
        <v>222.2700042724609</v>
      </c>
      <c r="H1526">
        <v>190287400</v>
      </c>
      <c r="I1526" t="s">
        <v>4608</v>
      </c>
      <c r="J1526" t="s">
        <v>4609</v>
      </c>
      <c r="K1526" t="s">
        <v>37</v>
      </c>
    </row>
    <row r="1527" spans="1:11" ht="20" customHeight="1">
      <c r="A1527" t="s">
        <v>22</v>
      </c>
      <c r="B1527" t="s">
        <v>4610</v>
      </c>
      <c r="C1527">
        <v>222.9400024414062</v>
      </c>
      <c r="D1527">
        <v>228.5</v>
      </c>
      <c r="E1527">
        <v>221.5599975585938</v>
      </c>
      <c r="F1527">
        <v>227.3800048828125</v>
      </c>
      <c r="G1527">
        <v>227.3800048828125</v>
      </c>
      <c r="H1527">
        <v>109806100</v>
      </c>
      <c r="I1527" t="s">
        <v>4611</v>
      </c>
      <c r="J1527" t="s">
        <v>4612</v>
      </c>
      <c r="K1527" t="s">
        <v>37</v>
      </c>
    </row>
    <row r="1528" spans="1:11" ht="20" customHeight="1">
      <c r="A1528" t="s">
        <v>22</v>
      </c>
      <c r="B1528" t="s">
        <v>4613</v>
      </c>
      <c r="C1528">
        <v>226.8500061035156</v>
      </c>
      <c r="D1528">
        <v>229.9799957275391</v>
      </c>
      <c r="E1528">
        <v>226.5</v>
      </c>
      <c r="F1528">
        <v>228.8699951171875</v>
      </c>
      <c r="G1528">
        <v>228.8699951171875</v>
      </c>
      <c r="H1528">
        <v>95746700</v>
      </c>
      <c r="I1528" t="s">
        <v>4614</v>
      </c>
      <c r="J1528" t="s">
        <v>4615</v>
      </c>
      <c r="K1528" t="s">
        <v>37</v>
      </c>
    </row>
    <row r="1529" spans="1:11" ht="20" customHeight="1">
      <c r="A1529" t="s">
        <v>22</v>
      </c>
      <c r="B1529" t="s">
        <v>4616</v>
      </c>
      <c r="C1529">
        <v>228.0299987792969</v>
      </c>
      <c r="D1529">
        <v>228.9499969482422</v>
      </c>
      <c r="E1529">
        <v>224.0200042724609</v>
      </c>
      <c r="F1529">
        <v>225.5099945068359</v>
      </c>
      <c r="G1529">
        <v>225.5099945068359</v>
      </c>
      <c r="H1529">
        <v>89547300</v>
      </c>
      <c r="I1529" t="s">
        <v>4617</v>
      </c>
      <c r="J1529" t="s">
        <v>4618</v>
      </c>
      <c r="K1529" t="s">
        <v>37</v>
      </c>
    </row>
    <row r="1530" spans="1:11" ht="20" customHeight="1">
      <c r="A1530" t="s">
        <v>22</v>
      </c>
      <c r="B1530" t="s">
        <v>4619</v>
      </c>
      <c r="C1530">
        <v>222.0800018310547</v>
      </c>
      <c r="D1530">
        <v>224.9400024414062</v>
      </c>
      <c r="E1530">
        <v>221.0899963378906</v>
      </c>
      <c r="F1530">
        <v>224.5800018310547</v>
      </c>
      <c r="G1530">
        <v>224.5800018310547</v>
      </c>
      <c r="H1530">
        <v>77469900</v>
      </c>
      <c r="I1530" t="s">
        <v>4620</v>
      </c>
      <c r="J1530" t="s">
        <v>4621</v>
      </c>
      <c r="K1530" t="s">
        <v>37</v>
      </c>
    </row>
    <row r="1531" spans="1:11" ht="20" customHeight="1">
      <c r="A1531" t="s">
        <v>22</v>
      </c>
      <c r="B1531" t="s">
        <v>4622</v>
      </c>
      <c r="C1531">
        <v>225.1300048828125</v>
      </c>
      <c r="D1531">
        <v>226.9400024414062</v>
      </c>
      <c r="E1531">
        <v>223.1300048828125</v>
      </c>
      <c r="F1531">
        <v>225.0700073242188</v>
      </c>
      <c r="G1531">
        <v>225.0700073242188</v>
      </c>
      <c r="H1531">
        <v>89947700</v>
      </c>
      <c r="I1531" t="s">
        <v>4623</v>
      </c>
      <c r="J1531" t="s">
        <v>4624</v>
      </c>
      <c r="K1531" t="s">
        <v>37</v>
      </c>
    </row>
    <row r="1532" spans="1:11" ht="20" customHeight="1">
      <c r="A1532" t="s">
        <v>22</v>
      </c>
      <c r="B1532" t="s">
        <v>4625</v>
      </c>
      <c r="C1532">
        <v>229.75</v>
      </c>
      <c r="D1532">
        <v>233.2100067138672</v>
      </c>
      <c r="E1532">
        <v>228.0399932861328</v>
      </c>
      <c r="F1532">
        <v>228.8600006103516</v>
      </c>
      <c r="G1532">
        <v>228.8600006103516</v>
      </c>
      <c r="H1532">
        <v>141544300</v>
      </c>
      <c r="I1532" t="s">
        <v>4626</v>
      </c>
      <c r="J1532" t="s">
        <v>4627</v>
      </c>
      <c r="K1532" t="s">
        <v>37</v>
      </c>
    </row>
    <row r="1533" spans="1:11" ht="20" customHeight="1">
      <c r="A1533" t="s">
        <v>4628</v>
      </c>
      <c r="B1533" t="s">
        <v>34</v>
      </c>
      <c r="C1533">
        <v>342.1199951171875</v>
      </c>
      <c r="D1533">
        <v>343</v>
      </c>
      <c r="E1533">
        <v>339.4500122070312</v>
      </c>
      <c r="F1533">
        <v>342.9200134277344</v>
      </c>
      <c r="G1533">
        <v>315.0177001953125</v>
      </c>
      <c r="H1533">
        <v>48588700</v>
      </c>
      <c r="I1533" t="s">
        <v>35</v>
      </c>
      <c r="J1533" t="s">
        <v>36</v>
      </c>
      <c r="K1533" t="s">
        <v>4629</v>
      </c>
    </row>
    <row r="1534" spans="1:11" ht="20" customHeight="1">
      <c r="A1534" t="s">
        <v>4628</v>
      </c>
      <c r="B1534" t="s">
        <v>38</v>
      </c>
      <c r="C1534">
        <v>343.5299987792969</v>
      </c>
      <c r="D1534">
        <v>344.2099914550781</v>
      </c>
      <c r="E1534">
        <v>342.2699890136719</v>
      </c>
      <c r="F1534">
        <v>344.1199951171875</v>
      </c>
      <c r="G1534">
        <v>316.1199340820312</v>
      </c>
      <c r="H1534">
        <v>38463400</v>
      </c>
      <c r="I1534" t="s">
        <v>39</v>
      </c>
      <c r="J1534" t="s">
        <v>40</v>
      </c>
      <c r="K1534" t="s">
        <v>4629</v>
      </c>
    </row>
    <row r="1535" spans="1:11" ht="20" customHeight="1">
      <c r="A1535" t="s">
        <v>4628</v>
      </c>
      <c r="B1535" t="s">
        <v>41</v>
      </c>
      <c r="C1535">
        <v>344.760009765625</v>
      </c>
      <c r="D1535">
        <v>347.8599853515625</v>
      </c>
      <c r="E1535">
        <v>344.1700134277344</v>
      </c>
      <c r="F1535">
        <v>347.5700073242188</v>
      </c>
      <c r="G1535">
        <v>319.2892150878906</v>
      </c>
      <c r="H1535">
        <v>50790200</v>
      </c>
      <c r="I1535" t="s">
        <v>42</v>
      </c>
      <c r="J1535" t="s">
        <v>43</v>
      </c>
      <c r="K1535" t="s">
        <v>4629</v>
      </c>
    </row>
    <row r="1536" spans="1:11" ht="20" customHeight="1">
      <c r="A1536" t="s">
        <v>4628</v>
      </c>
      <c r="B1536" t="s">
        <v>44</v>
      </c>
      <c r="C1536">
        <v>348.510009765625</v>
      </c>
      <c r="D1536">
        <v>349.8999938964844</v>
      </c>
      <c r="E1536">
        <v>346.5299987792969</v>
      </c>
      <c r="F1536">
        <v>348.3299865722656</v>
      </c>
      <c r="G1536">
        <v>319.9873962402344</v>
      </c>
      <c r="H1536">
        <v>58034100</v>
      </c>
      <c r="I1536" t="s">
        <v>45</v>
      </c>
      <c r="J1536" t="s">
        <v>46</v>
      </c>
      <c r="K1536" t="s">
        <v>4629</v>
      </c>
    </row>
    <row r="1537" spans="1:11" ht="20" customHeight="1">
      <c r="A1537" t="s">
        <v>4628</v>
      </c>
      <c r="B1537" t="s">
        <v>47</v>
      </c>
      <c r="C1537">
        <v>349.4400024414062</v>
      </c>
      <c r="D1537">
        <v>350.7200012207031</v>
      </c>
      <c r="E1537">
        <v>348.1499938964844</v>
      </c>
      <c r="F1537">
        <v>350.5799865722656</v>
      </c>
      <c r="G1537">
        <v>322.0542907714844</v>
      </c>
      <c r="H1537">
        <v>48588900</v>
      </c>
      <c r="I1537" t="s">
        <v>48</v>
      </c>
      <c r="J1537" t="s">
        <v>49</v>
      </c>
      <c r="K1537" t="s">
        <v>4629</v>
      </c>
    </row>
    <row r="1538" spans="1:11" ht="20" customHeight="1">
      <c r="A1538" t="s">
        <v>4628</v>
      </c>
      <c r="B1538" t="s">
        <v>50</v>
      </c>
      <c r="C1538">
        <v>350.3500061035156</v>
      </c>
      <c r="D1538">
        <v>351.2999877929688</v>
      </c>
      <c r="E1538">
        <v>349.0599975585938</v>
      </c>
      <c r="F1538">
        <v>349.3099975585938</v>
      </c>
      <c r="G1538">
        <v>320.8876953125</v>
      </c>
      <c r="H1538">
        <v>66099200</v>
      </c>
      <c r="I1538" t="s">
        <v>51</v>
      </c>
      <c r="J1538" t="s">
        <v>52</v>
      </c>
      <c r="K1538" t="s">
        <v>4629</v>
      </c>
    </row>
    <row r="1539" spans="1:11" ht="20" customHeight="1">
      <c r="A1539" t="s">
        <v>4628</v>
      </c>
      <c r="B1539" t="s">
        <v>53</v>
      </c>
      <c r="C1539">
        <v>350.2099914550781</v>
      </c>
      <c r="D1539">
        <v>352.7099914550781</v>
      </c>
      <c r="E1539">
        <v>349.239990234375</v>
      </c>
      <c r="F1539">
        <v>352.6000061035156</v>
      </c>
      <c r="G1539">
        <v>323.9099731445312</v>
      </c>
      <c r="H1539">
        <v>54908700</v>
      </c>
      <c r="I1539" t="s">
        <v>54</v>
      </c>
      <c r="J1539" t="s">
        <v>55</v>
      </c>
      <c r="K1539" t="s">
        <v>4629</v>
      </c>
    </row>
    <row r="1540" spans="1:11" ht="20" customHeight="1">
      <c r="A1540" t="s">
        <v>4628</v>
      </c>
      <c r="B1540" t="s">
        <v>56</v>
      </c>
      <c r="C1540">
        <v>354.6700134277344</v>
      </c>
      <c r="D1540">
        <v>358.75</v>
      </c>
      <c r="E1540">
        <v>353.4299926757812</v>
      </c>
      <c r="F1540">
        <v>357.7000122070312</v>
      </c>
      <c r="G1540">
        <v>328.5950317382812</v>
      </c>
      <c r="H1540">
        <v>69540000</v>
      </c>
      <c r="I1540" t="s">
        <v>57</v>
      </c>
      <c r="J1540" t="s">
        <v>58</v>
      </c>
      <c r="K1540" t="s">
        <v>4629</v>
      </c>
    </row>
    <row r="1541" spans="1:11" ht="20" customHeight="1">
      <c r="A1541" t="s">
        <v>4628</v>
      </c>
      <c r="B1541" t="s">
        <v>59</v>
      </c>
      <c r="C1541">
        <v>355.8699951171875</v>
      </c>
      <c r="D1541">
        <v>356.3800048828125</v>
      </c>
      <c r="E1541">
        <v>342.5899963378906</v>
      </c>
      <c r="F1541">
        <v>345.3900146484375</v>
      </c>
      <c r="G1541">
        <v>317.2867126464844</v>
      </c>
      <c r="H1541">
        <v>148011100</v>
      </c>
      <c r="I1541" t="s">
        <v>60</v>
      </c>
      <c r="J1541" t="s">
        <v>61</v>
      </c>
      <c r="K1541" t="s">
        <v>4629</v>
      </c>
    </row>
    <row r="1542" spans="1:11" ht="20" customHeight="1">
      <c r="A1542" t="s">
        <v>4628</v>
      </c>
      <c r="B1542" t="s">
        <v>62</v>
      </c>
      <c r="C1542">
        <v>346.1300048828125</v>
      </c>
      <c r="D1542">
        <v>347.8299865722656</v>
      </c>
      <c r="E1542">
        <v>334.8699951171875</v>
      </c>
      <c r="F1542">
        <v>342.5700073242188</v>
      </c>
      <c r="G1542">
        <v>314.6961364746094</v>
      </c>
      <c r="H1542">
        <v>139156300</v>
      </c>
      <c r="I1542" t="s">
        <v>63</v>
      </c>
      <c r="J1542" t="s">
        <v>64</v>
      </c>
      <c r="K1542" t="s">
        <v>4629</v>
      </c>
    </row>
    <row r="1543" spans="1:11" ht="20" customHeight="1">
      <c r="A1543" t="s">
        <v>4628</v>
      </c>
      <c r="B1543" t="s">
        <v>65</v>
      </c>
      <c r="C1543">
        <v>336.7099914550781</v>
      </c>
      <c r="D1543">
        <v>342.6400146484375</v>
      </c>
      <c r="E1543">
        <v>332.8800048828125</v>
      </c>
      <c r="F1543">
        <v>333.2099914550781</v>
      </c>
      <c r="G1543">
        <v>306.09765625</v>
      </c>
      <c r="H1543">
        <v>114465300</v>
      </c>
      <c r="I1543" t="s">
        <v>66</v>
      </c>
      <c r="J1543" t="s">
        <v>67</v>
      </c>
      <c r="K1543" t="s">
        <v>4629</v>
      </c>
    </row>
    <row r="1544" spans="1:11" ht="20" customHeight="1">
      <c r="A1544" t="s">
        <v>4628</v>
      </c>
      <c r="B1544" t="s">
        <v>68</v>
      </c>
      <c r="C1544">
        <v>337.5499877929688</v>
      </c>
      <c r="D1544">
        <v>342.4599914550781</v>
      </c>
      <c r="E1544">
        <v>336.6099853515625</v>
      </c>
      <c r="F1544">
        <v>339.7900085449219</v>
      </c>
      <c r="G1544">
        <v>312.1423645019531</v>
      </c>
      <c r="H1544">
        <v>91462300</v>
      </c>
      <c r="I1544" t="s">
        <v>69</v>
      </c>
      <c r="J1544" t="s">
        <v>70</v>
      </c>
      <c r="K1544" t="s">
        <v>4629</v>
      </c>
    </row>
    <row r="1545" spans="1:11" ht="20" customHeight="1">
      <c r="A1545" t="s">
        <v>4628</v>
      </c>
      <c r="B1545" t="s">
        <v>71</v>
      </c>
      <c r="C1545">
        <v>341.8200073242188</v>
      </c>
      <c r="D1545">
        <v>342.5299987792969</v>
      </c>
      <c r="E1545">
        <v>332.8500061035156</v>
      </c>
      <c r="F1545">
        <v>333.8900146484375</v>
      </c>
      <c r="G1545">
        <v>306.7223205566406</v>
      </c>
      <c r="H1545">
        <v>90569500</v>
      </c>
      <c r="I1545" t="s">
        <v>72</v>
      </c>
      <c r="J1545" t="s">
        <v>73</v>
      </c>
      <c r="K1545" t="s">
        <v>4629</v>
      </c>
    </row>
    <row r="1546" spans="1:11" ht="20" customHeight="1">
      <c r="A1546" t="s">
        <v>4628</v>
      </c>
      <c r="B1546" t="s">
        <v>74</v>
      </c>
      <c r="C1546">
        <v>335.8200073242188</v>
      </c>
      <c r="D1546">
        <v>336.9700012207031</v>
      </c>
      <c r="E1546">
        <v>331</v>
      </c>
      <c r="F1546">
        <v>334.0599975585938</v>
      </c>
      <c r="G1546">
        <v>306.8785400390625</v>
      </c>
      <c r="H1546">
        <v>84680200</v>
      </c>
      <c r="I1546" t="s">
        <v>75</v>
      </c>
      <c r="J1546" t="s">
        <v>76</v>
      </c>
      <c r="K1546" t="s">
        <v>4629</v>
      </c>
    </row>
    <row r="1547" spans="1:11" ht="20" customHeight="1">
      <c r="A1547" t="s">
        <v>4628</v>
      </c>
      <c r="B1547" t="s">
        <v>77</v>
      </c>
      <c r="C1547">
        <v>337.489990234375</v>
      </c>
      <c r="D1547">
        <v>340.3800048828125</v>
      </c>
      <c r="E1547">
        <v>334.2200012207031</v>
      </c>
      <c r="F1547">
        <v>338.4599914550781</v>
      </c>
      <c r="G1547">
        <v>310.92041015625</v>
      </c>
      <c r="H1547">
        <v>65605700</v>
      </c>
      <c r="I1547" t="s">
        <v>78</v>
      </c>
      <c r="J1547" t="s">
        <v>79</v>
      </c>
      <c r="K1547" t="s">
        <v>4629</v>
      </c>
    </row>
    <row r="1548" spans="1:11" ht="20" customHeight="1">
      <c r="A1548" t="s">
        <v>4628</v>
      </c>
      <c r="B1548" t="s">
        <v>80</v>
      </c>
      <c r="C1548">
        <v>341.1199951171875</v>
      </c>
      <c r="D1548">
        <v>342.0199890136719</v>
      </c>
      <c r="E1548">
        <v>338.4700012207031</v>
      </c>
      <c r="F1548">
        <v>340.1700134277344</v>
      </c>
      <c r="G1548">
        <v>312.4913635253906</v>
      </c>
      <c r="H1548">
        <v>52920900</v>
      </c>
      <c r="I1548" t="s">
        <v>81</v>
      </c>
      <c r="J1548" t="s">
        <v>82</v>
      </c>
      <c r="K1548" t="s">
        <v>4629</v>
      </c>
    </row>
    <row r="1549" spans="1:11" ht="20" customHeight="1">
      <c r="A1549" t="s">
        <v>4628</v>
      </c>
      <c r="B1549" t="s">
        <v>83</v>
      </c>
      <c r="C1549">
        <v>341.510009765625</v>
      </c>
      <c r="D1549">
        <v>343.0599975585938</v>
      </c>
      <c r="E1549">
        <v>338.5199890136719</v>
      </c>
      <c r="F1549">
        <v>338.8200073242188</v>
      </c>
      <c r="G1549">
        <v>311.2511596679688</v>
      </c>
      <c r="H1549">
        <v>82096000</v>
      </c>
      <c r="I1549" t="s">
        <v>84</v>
      </c>
      <c r="J1549" t="s">
        <v>85</v>
      </c>
      <c r="K1549" t="s">
        <v>4629</v>
      </c>
    </row>
    <row r="1550" spans="1:11" ht="20" customHeight="1">
      <c r="A1550" t="s">
        <v>4628</v>
      </c>
      <c r="B1550" t="s">
        <v>86</v>
      </c>
      <c r="C1550">
        <v>333.5599975585938</v>
      </c>
      <c r="D1550">
        <v>337.7000122070312</v>
      </c>
      <c r="E1550">
        <v>332.989990234375</v>
      </c>
      <c r="F1550">
        <v>335.8399963378906</v>
      </c>
      <c r="G1550">
        <v>308.5137329101562</v>
      </c>
      <c r="H1550">
        <v>91523300</v>
      </c>
      <c r="I1550" t="s">
        <v>87</v>
      </c>
      <c r="J1550" t="s">
        <v>88</v>
      </c>
      <c r="K1550" t="s">
        <v>4629</v>
      </c>
    </row>
    <row r="1551" spans="1:11" ht="20" customHeight="1">
      <c r="A1551" t="s">
        <v>4628</v>
      </c>
      <c r="B1551" t="s">
        <v>89</v>
      </c>
      <c r="C1551">
        <v>335.3699951171875</v>
      </c>
      <c r="D1551">
        <v>335.489990234375</v>
      </c>
      <c r="E1551">
        <v>327.9700012207031</v>
      </c>
      <c r="F1551">
        <v>330.6499938964844</v>
      </c>
      <c r="G1551">
        <v>304.9619140625</v>
      </c>
      <c r="H1551">
        <v>105877900</v>
      </c>
      <c r="I1551" t="s">
        <v>90</v>
      </c>
      <c r="J1551" t="s">
        <v>91</v>
      </c>
      <c r="K1551" t="s">
        <v>4629</v>
      </c>
    </row>
    <row r="1552" spans="1:11" ht="20" customHeight="1">
      <c r="A1552" t="s">
        <v>4628</v>
      </c>
      <c r="B1552" t="s">
        <v>92</v>
      </c>
      <c r="C1552">
        <v>325.7000122070312</v>
      </c>
      <c r="D1552">
        <v>327.1300048828125</v>
      </c>
      <c r="E1552">
        <v>321.7300109863281</v>
      </c>
      <c r="F1552">
        <v>326.9700012207031</v>
      </c>
      <c r="G1552">
        <v>301.5677795410156</v>
      </c>
      <c r="H1552">
        <v>99450800</v>
      </c>
      <c r="I1552" t="s">
        <v>93</v>
      </c>
      <c r="J1552" t="s">
        <v>94</v>
      </c>
      <c r="K1552" t="s">
        <v>4629</v>
      </c>
    </row>
    <row r="1553" spans="1:11" ht="20" customHeight="1">
      <c r="A1553" t="s">
        <v>4628</v>
      </c>
      <c r="B1553" t="s">
        <v>95</v>
      </c>
      <c r="C1553">
        <v>328.5700073242188</v>
      </c>
      <c r="D1553">
        <v>330.8999938964844</v>
      </c>
      <c r="E1553">
        <v>325.8599853515625</v>
      </c>
      <c r="F1553">
        <v>330.2999877929688</v>
      </c>
      <c r="G1553">
        <v>304.6390991210938</v>
      </c>
      <c r="H1553">
        <v>63612100</v>
      </c>
      <c r="I1553" t="s">
        <v>96</v>
      </c>
      <c r="J1553" t="s">
        <v>97</v>
      </c>
      <c r="K1553" t="s">
        <v>4629</v>
      </c>
    </row>
    <row r="1554" spans="1:11" ht="20" customHeight="1">
      <c r="A1554" t="s">
        <v>4628</v>
      </c>
      <c r="B1554" t="s">
        <v>98</v>
      </c>
      <c r="C1554">
        <v>330.8999938964844</v>
      </c>
      <c r="D1554">
        <v>331.2000122070312</v>
      </c>
      <c r="E1554">
        <v>322.1000061035156</v>
      </c>
      <c r="F1554">
        <v>322.6400146484375</v>
      </c>
      <c r="G1554">
        <v>297.57421875</v>
      </c>
      <c r="H1554">
        <v>93112200</v>
      </c>
      <c r="I1554" t="s">
        <v>99</v>
      </c>
      <c r="J1554" t="s">
        <v>100</v>
      </c>
      <c r="K1554" t="s">
        <v>4629</v>
      </c>
    </row>
    <row r="1555" spans="1:11" ht="20" customHeight="1">
      <c r="A1555" t="s">
        <v>4628</v>
      </c>
      <c r="B1555" t="s">
        <v>101</v>
      </c>
      <c r="C1555">
        <v>321.2200012207031</v>
      </c>
      <c r="D1555">
        <v>326.7999877929688</v>
      </c>
      <c r="E1555">
        <v>319.7999877929688</v>
      </c>
      <c r="F1555">
        <v>323.5</v>
      </c>
      <c r="G1555">
        <v>298.367431640625</v>
      </c>
      <c r="H1555">
        <v>76681300</v>
      </c>
      <c r="I1555" t="s">
        <v>102</v>
      </c>
      <c r="J1555" t="s">
        <v>103</v>
      </c>
      <c r="K1555" t="s">
        <v>4629</v>
      </c>
    </row>
    <row r="1556" spans="1:11" ht="20" customHeight="1">
      <c r="A1556" t="s">
        <v>4628</v>
      </c>
      <c r="B1556" t="s">
        <v>104</v>
      </c>
      <c r="C1556">
        <v>322.5799865722656</v>
      </c>
      <c r="D1556">
        <v>329.5799865722656</v>
      </c>
      <c r="E1556">
        <v>321.6400146484375</v>
      </c>
      <c r="F1556">
        <v>328.7300109863281</v>
      </c>
      <c r="G1556">
        <v>303.1910095214844</v>
      </c>
      <c r="H1556">
        <v>71069400</v>
      </c>
      <c r="I1556" t="s">
        <v>105</v>
      </c>
      <c r="J1556" t="s">
        <v>106</v>
      </c>
      <c r="K1556" t="s">
        <v>4629</v>
      </c>
    </row>
    <row r="1557" spans="1:11" ht="20" customHeight="1">
      <c r="A1557" t="s">
        <v>4628</v>
      </c>
      <c r="B1557" t="s">
        <v>107</v>
      </c>
      <c r="C1557">
        <v>333.2200012207031</v>
      </c>
      <c r="D1557">
        <v>334.9599914550781</v>
      </c>
      <c r="E1557">
        <v>332.1499938964844</v>
      </c>
      <c r="F1557">
        <v>334.1900024414062</v>
      </c>
      <c r="G1557">
        <v>308.2268371582031</v>
      </c>
      <c r="H1557">
        <v>64584600</v>
      </c>
      <c r="I1557" t="s">
        <v>108</v>
      </c>
      <c r="J1557" t="s">
        <v>109</v>
      </c>
      <c r="K1557" t="s">
        <v>4629</v>
      </c>
    </row>
    <row r="1558" spans="1:11" ht="20" customHeight="1">
      <c r="A1558" t="s">
        <v>4628</v>
      </c>
      <c r="B1558" t="s">
        <v>110</v>
      </c>
      <c r="C1558">
        <v>333.9700012207031</v>
      </c>
      <c r="D1558">
        <v>334.7699890136719</v>
      </c>
      <c r="E1558">
        <v>331.6199951171875</v>
      </c>
      <c r="F1558">
        <v>332.3699951171875</v>
      </c>
      <c r="G1558">
        <v>306.5482788085938</v>
      </c>
      <c r="H1558">
        <v>51304000</v>
      </c>
      <c r="I1558" t="s">
        <v>111</v>
      </c>
      <c r="J1558" t="s">
        <v>112</v>
      </c>
      <c r="K1558" t="s">
        <v>4629</v>
      </c>
    </row>
    <row r="1559" spans="1:11" ht="20" customHeight="1">
      <c r="A1559" t="s">
        <v>4628</v>
      </c>
      <c r="B1559" t="s">
        <v>113</v>
      </c>
      <c r="C1559">
        <v>333.0899963378906</v>
      </c>
      <c r="D1559">
        <v>338.2900085449219</v>
      </c>
      <c r="E1559">
        <v>332.8800048828125</v>
      </c>
      <c r="F1559">
        <v>334.8900146484375</v>
      </c>
      <c r="G1559">
        <v>308.8724975585938</v>
      </c>
      <c r="H1559">
        <v>104081100</v>
      </c>
      <c r="I1559" t="s">
        <v>114</v>
      </c>
      <c r="J1559" t="s">
        <v>115</v>
      </c>
      <c r="K1559" t="s">
        <v>4629</v>
      </c>
    </row>
    <row r="1560" spans="1:11" ht="20" customHeight="1">
      <c r="A1560" t="s">
        <v>4628</v>
      </c>
      <c r="B1560" t="s">
        <v>116</v>
      </c>
      <c r="C1560">
        <v>337.6900024414062</v>
      </c>
      <c r="D1560">
        <v>338.739990234375</v>
      </c>
      <c r="E1560">
        <v>335.010009765625</v>
      </c>
      <c r="F1560">
        <v>337.0400085449219</v>
      </c>
      <c r="G1560">
        <v>310.85546875</v>
      </c>
      <c r="H1560">
        <v>88698700</v>
      </c>
      <c r="I1560" t="s">
        <v>117</v>
      </c>
      <c r="J1560" t="s">
        <v>118</v>
      </c>
      <c r="K1560" t="s">
        <v>4629</v>
      </c>
    </row>
    <row r="1561" spans="1:11" ht="20" customHeight="1">
      <c r="A1561" t="s">
        <v>4628</v>
      </c>
      <c r="B1561" t="s">
        <v>119</v>
      </c>
      <c r="C1561">
        <v>331.7000122070312</v>
      </c>
      <c r="D1561">
        <v>337.010009765625</v>
      </c>
      <c r="E1561">
        <v>331.1900024414062</v>
      </c>
      <c r="F1561">
        <v>333.8399963378906</v>
      </c>
      <c r="G1561">
        <v>307.904052734375</v>
      </c>
      <c r="H1561">
        <v>89431100</v>
      </c>
      <c r="I1561" t="s">
        <v>120</v>
      </c>
      <c r="J1561" t="s">
        <v>121</v>
      </c>
      <c r="K1561" t="s">
        <v>4629</v>
      </c>
    </row>
    <row r="1562" spans="1:11" ht="20" customHeight="1">
      <c r="A1562" t="s">
        <v>4628</v>
      </c>
      <c r="B1562" t="s">
        <v>122</v>
      </c>
      <c r="C1562">
        <v>336.0599975585938</v>
      </c>
      <c r="D1562">
        <v>339.9599914550781</v>
      </c>
      <c r="E1562">
        <v>336.010009765625</v>
      </c>
      <c r="F1562">
        <v>339.760009765625</v>
      </c>
      <c r="G1562">
        <v>313.3641357421875</v>
      </c>
      <c r="H1562">
        <v>45713100</v>
      </c>
      <c r="I1562" t="s">
        <v>123</v>
      </c>
      <c r="J1562" t="s">
        <v>124</v>
      </c>
      <c r="K1562" t="s">
        <v>4629</v>
      </c>
    </row>
    <row r="1563" spans="1:11" ht="20" customHeight="1">
      <c r="A1563" t="s">
        <v>4628</v>
      </c>
      <c r="B1563" t="s">
        <v>125</v>
      </c>
      <c r="C1563">
        <v>339.9100036621094</v>
      </c>
      <c r="D1563">
        <v>342.1700134277344</v>
      </c>
      <c r="E1563">
        <v>334.3800048828125</v>
      </c>
      <c r="F1563">
        <v>334.9299926757812</v>
      </c>
      <c r="G1563">
        <v>308.9093933105469</v>
      </c>
      <c r="H1563">
        <v>90128900</v>
      </c>
      <c r="I1563" t="s">
        <v>126</v>
      </c>
      <c r="J1563" t="s">
        <v>127</v>
      </c>
      <c r="K1563" t="s">
        <v>4629</v>
      </c>
    </row>
    <row r="1564" spans="1:11" ht="20" customHeight="1">
      <c r="A1564" t="s">
        <v>4628</v>
      </c>
      <c r="B1564" t="s">
        <v>128</v>
      </c>
      <c r="C1564">
        <v>338.1199951171875</v>
      </c>
      <c r="D1564">
        <v>341.6300048828125</v>
      </c>
      <c r="E1564">
        <v>338.0899963378906</v>
      </c>
      <c r="F1564">
        <v>340.760009765625</v>
      </c>
      <c r="G1564">
        <v>314.2864685058594</v>
      </c>
      <c r="H1564">
        <v>56999600</v>
      </c>
      <c r="I1564" t="s">
        <v>129</v>
      </c>
      <c r="J1564" t="s">
        <v>130</v>
      </c>
      <c r="K1564" t="s">
        <v>4629</v>
      </c>
    </row>
    <row r="1565" spans="1:11" ht="20" customHeight="1">
      <c r="A1565" t="s">
        <v>4628</v>
      </c>
      <c r="B1565" t="s">
        <v>131</v>
      </c>
      <c r="C1565">
        <v>342.8500061035156</v>
      </c>
      <c r="D1565">
        <v>343.8500061035156</v>
      </c>
      <c r="E1565">
        <v>341.8599853515625</v>
      </c>
      <c r="F1565">
        <v>343.7799987792969</v>
      </c>
      <c r="G1565">
        <v>317.07177734375</v>
      </c>
      <c r="H1565">
        <v>45242500</v>
      </c>
      <c r="I1565" t="s">
        <v>132</v>
      </c>
      <c r="J1565" t="s">
        <v>133</v>
      </c>
      <c r="K1565" t="s">
        <v>4629</v>
      </c>
    </row>
    <row r="1566" spans="1:11" ht="20" customHeight="1">
      <c r="A1566" t="s">
        <v>4628</v>
      </c>
      <c r="B1566" t="s">
        <v>134</v>
      </c>
      <c r="C1566">
        <v>345.5599975585938</v>
      </c>
      <c r="D1566">
        <v>347.3500061035156</v>
      </c>
      <c r="E1566">
        <v>344.8900146484375</v>
      </c>
      <c r="F1566">
        <v>346.8500061035156</v>
      </c>
      <c r="G1566">
        <v>319.9033203125</v>
      </c>
      <c r="H1566">
        <v>59528600</v>
      </c>
      <c r="I1566" t="s">
        <v>135</v>
      </c>
      <c r="J1566" t="s">
        <v>136</v>
      </c>
      <c r="K1566" t="s">
        <v>4629</v>
      </c>
    </row>
    <row r="1567" spans="1:11" ht="20" customHeight="1">
      <c r="A1567" t="s">
        <v>4628</v>
      </c>
      <c r="B1567" t="s">
        <v>137</v>
      </c>
      <c r="C1567">
        <v>349.5899963378906</v>
      </c>
      <c r="D1567">
        <v>354.0199890136719</v>
      </c>
      <c r="E1567">
        <v>349.0599975585938</v>
      </c>
      <c r="F1567">
        <v>352.4299926757812</v>
      </c>
      <c r="G1567">
        <v>325.0498657226562</v>
      </c>
      <c r="H1567">
        <v>80388500</v>
      </c>
      <c r="I1567" t="s">
        <v>138</v>
      </c>
      <c r="J1567" t="s">
        <v>139</v>
      </c>
      <c r="K1567" t="s">
        <v>4629</v>
      </c>
    </row>
    <row r="1568" spans="1:11" ht="20" customHeight="1">
      <c r="A1568" t="s">
        <v>4628</v>
      </c>
      <c r="B1568" t="s">
        <v>140</v>
      </c>
      <c r="C1568">
        <v>352.2799987792969</v>
      </c>
      <c r="D1568">
        <v>352.4700012207031</v>
      </c>
      <c r="E1568">
        <v>349.0899963378906</v>
      </c>
      <c r="F1568">
        <v>350.1300048828125</v>
      </c>
      <c r="G1568">
        <v>322.928466796875</v>
      </c>
      <c r="H1568">
        <v>73255500</v>
      </c>
      <c r="I1568" t="s">
        <v>141</v>
      </c>
      <c r="J1568" t="s">
        <v>142</v>
      </c>
      <c r="K1568" t="s">
        <v>4629</v>
      </c>
    </row>
    <row r="1569" spans="1:11" ht="20" customHeight="1">
      <c r="A1569" t="s">
        <v>4628</v>
      </c>
      <c r="B1569" t="s">
        <v>143</v>
      </c>
      <c r="C1569">
        <v>350.75</v>
      </c>
      <c r="D1569">
        <v>351.9299926757812</v>
      </c>
      <c r="E1569">
        <v>347.1400146484375</v>
      </c>
      <c r="F1569">
        <v>347.9299926757812</v>
      </c>
      <c r="G1569">
        <v>320.8994445800781</v>
      </c>
      <c r="H1569">
        <v>57727900</v>
      </c>
      <c r="I1569" t="s">
        <v>144</v>
      </c>
      <c r="J1569" t="s">
        <v>145</v>
      </c>
      <c r="K1569" t="s">
        <v>4629</v>
      </c>
    </row>
    <row r="1570" spans="1:11" ht="20" customHeight="1">
      <c r="A1570" t="s">
        <v>4628</v>
      </c>
      <c r="B1570" t="s">
        <v>146</v>
      </c>
      <c r="C1570">
        <v>343.7099914550781</v>
      </c>
      <c r="D1570">
        <v>348.0199890136719</v>
      </c>
      <c r="E1570">
        <v>343.1300048828125</v>
      </c>
      <c r="F1570">
        <v>347.5</v>
      </c>
      <c r="G1570">
        <v>320.5028076171875</v>
      </c>
      <c r="H1570">
        <v>60357700</v>
      </c>
      <c r="I1570" t="s">
        <v>147</v>
      </c>
      <c r="J1570" t="s">
        <v>148</v>
      </c>
      <c r="K1570" t="s">
        <v>4629</v>
      </c>
    </row>
    <row r="1571" spans="1:11" ht="20" customHeight="1">
      <c r="A1571" t="s">
        <v>4628</v>
      </c>
      <c r="B1571" t="s">
        <v>149</v>
      </c>
      <c r="C1571">
        <v>348.9599914550781</v>
      </c>
      <c r="D1571">
        <v>350.75</v>
      </c>
      <c r="E1571">
        <v>347.1000061035156</v>
      </c>
      <c r="F1571">
        <v>347.2900085449219</v>
      </c>
      <c r="G1571">
        <v>320.3092041015625</v>
      </c>
      <c r="H1571">
        <v>89501900</v>
      </c>
      <c r="I1571" t="s">
        <v>150</v>
      </c>
      <c r="J1571" t="s">
        <v>151</v>
      </c>
      <c r="K1571" t="s">
        <v>4629</v>
      </c>
    </row>
    <row r="1572" spans="1:11" ht="20" customHeight="1">
      <c r="A1572" t="s">
        <v>4628</v>
      </c>
      <c r="B1572" t="s">
        <v>152</v>
      </c>
      <c r="C1572">
        <v>348.6499938964844</v>
      </c>
      <c r="D1572">
        <v>349.3299865722656</v>
      </c>
      <c r="E1572">
        <v>341.0400085449219</v>
      </c>
      <c r="F1572">
        <v>342.010009765625</v>
      </c>
      <c r="G1572">
        <v>315.4393005371094</v>
      </c>
      <c r="H1572">
        <v>68425600</v>
      </c>
      <c r="I1572" t="s">
        <v>153</v>
      </c>
      <c r="J1572" t="s">
        <v>154</v>
      </c>
      <c r="K1572" t="s">
        <v>4629</v>
      </c>
    </row>
    <row r="1573" spans="1:11" ht="20" customHeight="1">
      <c r="A1573" t="s">
        <v>4628</v>
      </c>
      <c r="B1573" t="s">
        <v>155</v>
      </c>
      <c r="C1573">
        <v>343.4599914550781</v>
      </c>
      <c r="D1573">
        <v>346.8800048828125</v>
      </c>
      <c r="E1573">
        <v>342.6400146484375</v>
      </c>
      <c r="F1573">
        <v>343.3800048828125</v>
      </c>
      <c r="G1573">
        <v>316.7029418945312</v>
      </c>
      <c r="H1573">
        <v>60051900</v>
      </c>
      <c r="I1573" t="s">
        <v>156</v>
      </c>
      <c r="J1573" t="s">
        <v>157</v>
      </c>
      <c r="K1573" t="s">
        <v>4629</v>
      </c>
    </row>
    <row r="1574" spans="1:11" ht="20" customHeight="1">
      <c r="A1574" t="s">
        <v>4628</v>
      </c>
      <c r="B1574" t="s">
        <v>158</v>
      </c>
      <c r="C1574">
        <v>343.3299865722656</v>
      </c>
      <c r="D1574">
        <v>345.6700134277344</v>
      </c>
      <c r="E1574">
        <v>342.3999938964844</v>
      </c>
      <c r="F1574">
        <v>342.7300109863281</v>
      </c>
      <c r="G1574">
        <v>316.1033935546875</v>
      </c>
      <c r="H1574">
        <v>63575000</v>
      </c>
      <c r="I1574" t="s">
        <v>159</v>
      </c>
      <c r="J1574" t="s">
        <v>160</v>
      </c>
      <c r="K1574" t="s">
        <v>4629</v>
      </c>
    </row>
    <row r="1575" spans="1:11" ht="20" customHeight="1">
      <c r="A1575" t="s">
        <v>4628</v>
      </c>
      <c r="B1575" t="s">
        <v>161</v>
      </c>
      <c r="C1575">
        <v>342.9599914550781</v>
      </c>
      <c r="D1575">
        <v>345.239990234375</v>
      </c>
      <c r="E1575">
        <v>340.6499938964844</v>
      </c>
      <c r="F1575">
        <v>344.6099853515625</v>
      </c>
      <c r="G1575">
        <v>317.8373718261719</v>
      </c>
      <c r="H1575">
        <v>55399300</v>
      </c>
      <c r="I1575" t="s">
        <v>162</v>
      </c>
      <c r="J1575" t="s">
        <v>163</v>
      </c>
      <c r="K1575" t="s">
        <v>4629</v>
      </c>
    </row>
    <row r="1576" spans="1:11" ht="20" customHeight="1">
      <c r="A1576" t="s">
        <v>4628</v>
      </c>
      <c r="B1576" t="s">
        <v>164</v>
      </c>
      <c r="C1576">
        <v>345.9299926757812</v>
      </c>
      <c r="D1576">
        <v>345.989990234375</v>
      </c>
      <c r="E1576">
        <v>343.1300048828125</v>
      </c>
      <c r="F1576">
        <v>345.7799987792969</v>
      </c>
      <c r="G1576">
        <v>318.9164123535156</v>
      </c>
      <c r="H1576">
        <v>49143900</v>
      </c>
      <c r="I1576" t="s">
        <v>165</v>
      </c>
      <c r="J1576" t="s">
        <v>166</v>
      </c>
      <c r="K1576" t="s">
        <v>4629</v>
      </c>
    </row>
    <row r="1577" spans="1:11" ht="20" customHeight="1">
      <c r="A1577" t="s">
        <v>4628</v>
      </c>
      <c r="B1577" t="s">
        <v>167</v>
      </c>
      <c r="C1577">
        <v>342.1300048828125</v>
      </c>
      <c r="D1577">
        <v>342.9800109863281</v>
      </c>
      <c r="E1577">
        <v>335.6199951171875</v>
      </c>
      <c r="F1577">
        <v>339.3900146484375</v>
      </c>
      <c r="G1577">
        <v>313.0228576660156</v>
      </c>
      <c r="H1577">
        <v>91473000</v>
      </c>
      <c r="I1577" t="s">
        <v>168</v>
      </c>
      <c r="J1577" t="s">
        <v>169</v>
      </c>
      <c r="K1577" t="s">
        <v>4629</v>
      </c>
    </row>
    <row r="1578" spans="1:11" ht="20" customHeight="1">
      <c r="A1578" t="s">
        <v>4628</v>
      </c>
      <c r="B1578" t="s">
        <v>170</v>
      </c>
      <c r="C1578">
        <v>339.760009765625</v>
      </c>
      <c r="D1578">
        <v>340.1199951171875</v>
      </c>
      <c r="E1578">
        <v>337.989990234375</v>
      </c>
      <c r="F1578">
        <v>338.2200012207031</v>
      </c>
      <c r="G1578">
        <v>311.9438171386719</v>
      </c>
      <c r="H1578">
        <v>65994100</v>
      </c>
      <c r="I1578" t="s">
        <v>171</v>
      </c>
      <c r="J1578" t="s">
        <v>172</v>
      </c>
      <c r="K1578" t="s">
        <v>4629</v>
      </c>
    </row>
    <row r="1579" spans="1:11" ht="20" customHeight="1">
      <c r="A1579" t="s">
        <v>4628</v>
      </c>
      <c r="B1579" t="s">
        <v>173</v>
      </c>
      <c r="C1579">
        <v>332.1000061035156</v>
      </c>
      <c r="D1579">
        <v>338.25</v>
      </c>
      <c r="E1579">
        <v>326.1300048828125</v>
      </c>
      <c r="F1579">
        <v>326.6600036621094</v>
      </c>
      <c r="G1579">
        <v>301.2818603515625</v>
      </c>
      <c r="H1579">
        <v>127094300</v>
      </c>
      <c r="I1579" t="s">
        <v>174</v>
      </c>
      <c r="J1579" t="s">
        <v>175</v>
      </c>
      <c r="K1579" t="s">
        <v>4629</v>
      </c>
    </row>
    <row r="1580" spans="1:11" ht="20" customHeight="1">
      <c r="A1580" t="s">
        <v>4628</v>
      </c>
      <c r="B1580" t="s">
        <v>176</v>
      </c>
      <c r="C1580">
        <v>326.9100036621094</v>
      </c>
      <c r="D1580">
        <v>333.3999938964844</v>
      </c>
      <c r="E1580">
        <v>325.0899963378906</v>
      </c>
      <c r="F1580">
        <v>329.9800109863281</v>
      </c>
      <c r="G1580">
        <v>304.3439025878906</v>
      </c>
      <c r="H1580">
        <v>90597700</v>
      </c>
      <c r="I1580" t="s">
        <v>177</v>
      </c>
      <c r="J1580" t="s">
        <v>178</v>
      </c>
      <c r="K1580" t="s">
        <v>4629</v>
      </c>
    </row>
    <row r="1581" spans="1:11" ht="20" customHeight="1">
      <c r="A1581" t="s">
        <v>4628</v>
      </c>
      <c r="B1581" t="s">
        <v>179</v>
      </c>
      <c r="C1581">
        <v>328.2799987792969</v>
      </c>
      <c r="D1581">
        <v>329.6900024414062</v>
      </c>
      <c r="E1581">
        <v>322.6000061035156</v>
      </c>
      <c r="F1581">
        <v>326.5400085449219</v>
      </c>
      <c r="G1581">
        <v>301.1712341308594</v>
      </c>
      <c r="H1581">
        <v>120287300</v>
      </c>
      <c r="I1581" t="s">
        <v>180</v>
      </c>
      <c r="J1581" t="s">
        <v>181</v>
      </c>
      <c r="K1581" t="s">
        <v>4629</v>
      </c>
    </row>
    <row r="1582" spans="1:11" ht="20" customHeight="1">
      <c r="A1582" t="s">
        <v>4628</v>
      </c>
      <c r="B1582" t="s">
        <v>182</v>
      </c>
      <c r="C1582">
        <v>330.2000122070312</v>
      </c>
      <c r="D1582">
        <v>332.3599853515625</v>
      </c>
      <c r="E1582">
        <v>327.239990234375</v>
      </c>
      <c r="F1582">
        <v>330.2000122070312</v>
      </c>
      <c r="G1582">
        <v>304.5469055175781</v>
      </c>
      <c r="H1582">
        <v>86068300</v>
      </c>
      <c r="I1582" t="s">
        <v>183</v>
      </c>
      <c r="J1582" t="s">
        <v>184</v>
      </c>
      <c r="K1582" t="s">
        <v>4629</v>
      </c>
    </row>
    <row r="1583" spans="1:11" ht="20" customHeight="1">
      <c r="A1583" t="s">
        <v>4628</v>
      </c>
      <c r="B1583" t="s">
        <v>185</v>
      </c>
      <c r="C1583">
        <v>333.6900024414062</v>
      </c>
      <c r="D1583">
        <v>338.25</v>
      </c>
      <c r="E1583">
        <v>330.2900085449219</v>
      </c>
      <c r="F1583">
        <v>336.0299987792969</v>
      </c>
      <c r="G1583">
        <v>309.9239501953125</v>
      </c>
      <c r="H1583">
        <v>93294200</v>
      </c>
      <c r="I1583" t="s">
        <v>186</v>
      </c>
      <c r="J1583" t="s">
        <v>187</v>
      </c>
      <c r="K1583" t="s">
        <v>4629</v>
      </c>
    </row>
    <row r="1584" spans="1:11" ht="20" customHeight="1">
      <c r="A1584" t="s">
        <v>4628</v>
      </c>
      <c r="B1584" t="s">
        <v>188</v>
      </c>
      <c r="C1584">
        <v>340.8599853515625</v>
      </c>
      <c r="D1584">
        <v>347.9400024414062</v>
      </c>
      <c r="E1584">
        <v>339.5899963378906</v>
      </c>
      <c r="F1584">
        <v>343.5400085449219</v>
      </c>
      <c r="G1584">
        <v>316.8504333496094</v>
      </c>
      <c r="H1584">
        <v>126959700</v>
      </c>
      <c r="I1584" t="s">
        <v>189</v>
      </c>
      <c r="J1584" t="s">
        <v>190</v>
      </c>
      <c r="K1584" t="s">
        <v>4629</v>
      </c>
    </row>
    <row r="1585" spans="1:11" ht="20" customHeight="1">
      <c r="A1585" t="s">
        <v>4628</v>
      </c>
      <c r="B1585" t="s">
        <v>191</v>
      </c>
      <c r="C1585">
        <v>349.239990234375</v>
      </c>
      <c r="D1585">
        <v>352.1900024414062</v>
      </c>
      <c r="E1585">
        <v>348.8599853515625</v>
      </c>
      <c r="F1585">
        <v>350.239990234375</v>
      </c>
      <c r="G1585">
        <v>323.0299072265625</v>
      </c>
      <c r="H1585">
        <v>82039700</v>
      </c>
      <c r="I1585" t="s">
        <v>192</v>
      </c>
      <c r="J1585" t="s">
        <v>193</v>
      </c>
      <c r="K1585" t="s">
        <v>4629</v>
      </c>
    </row>
    <row r="1586" spans="1:11" ht="20" customHeight="1">
      <c r="A1586" t="s">
        <v>4628</v>
      </c>
      <c r="B1586" t="s">
        <v>194</v>
      </c>
      <c r="C1586">
        <v>349.9299926757812</v>
      </c>
      <c r="D1586">
        <v>351.510009765625</v>
      </c>
      <c r="E1586">
        <v>347.6499938964844</v>
      </c>
      <c r="F1586">
        <v>350.1600036621094</v>
      </c>
      <c r="G1586">
        <v>322.9561157226562</v>
      </c>
      <c r="H1586">
        <v>74973000</v>
      </c>
      <c r="I1586" t="s">
        <v>195</v>
      </c>
      <c r="J1586" t="s">
        <v>196</v>
      </c>
      <c r="K1586" t="s">
        <v>4629</v>
      </c>
    </row>
    <row r="1587" spans="1:11" ht="20" customHeight="1">
      <c r="A1587" t="s">
        <v>4628</v>
      </c>
      <c r="B1587" t="s">
        <v>197</v>
      </c>
      <c r="C1587">
        <v>363.9700012207031</v>
      </c>
      <c r="D1587">
        <v>364.3800048828125</v>
      </c>
      <c r="E1587">
        <v>354.0599975585938</v>
      </c>
      <c r="F1587">
        <v>354.5599975585938</v>
      </c>
      <c r="G1587">
        <v>327.014404296875</v>
      </c>
      <c r="H1587">
        <v>172304200</v>
      </c>
      <c r="I1587" t="s">
        <v>198</v>
      </c>
      <c r="J1587" t="s">
        <v>199</v>
      </c>
      <c r="K1587" t="s">
        <v>4629</v>
      </c>
    </row>
    <row r="1588" spans="1:11" ht="20" customHeight="1">
      <c r="A1588" t="s">
        <v>4628</v>
      </c>
      <c r="B1588" t="s">
        <v>200</v>
      </c>
      <c r="C1588">
        <v>353.489990234375</v>
      </c>
      <c r="D1588">
        <v>355.1799926757812</v>
      </c>
      <c r="E1588">
        <v>350.510009765625</v>
      </c>
      <c r="F1588">
        <v>354.0400085449219</v>
      </c>
      <c r="G1588">
        <v>326.5347290039062</v>
      </c>
      <c r="H1588">
        <v>85552000</v>
      </c>
      <c r="I1588" t="s">
        <v>201</v>
      </c>
      <c r="J1588" t="s">
        <v>202</v>
      </c>
      <c r="K1588" t="s">
        <v>4629</v>
      </c>
    </row>
    <row r="1589" spans="1:11" ht="20" customHeight="1">
      <c r="A1589" t="s">
        <v>4628</v>
      </c>
      <c r="B1589" t="s">
        <v>203</v>
      </c>
      <c r="C1589">
        <v>356.3999938964844</v>
      </c>
      <c r="D1589">
        <v>357.5599975585938</v>
      </c>
      <c r="E1589">
        <v>355.0599975585938</v>
      </c>
      <c r="F1589">
        <v>356.6700134277344</v>
      </c>
      <c r="G1589">
        <v>328.96044921875</v>
      </c>
      <c r="H1589">
        <v>58649000</v>
      </c>
      <c r="I1589" t="s">
        <v>204</v>
      </c>
      <c r="J1589" t="s">
        <v>205</v>
      </c>
      <c r="K1589" t="s">
        <v>4629</v>
      </c>
    </row>
    <row r="1590" spans="1:11" ht="20" customHeight="1">
      <c r="A1590" t="s">
        <v>4628</v>
      </c>
      <c r="B1590" t="s">
        <v>206</v>
      </c>
      <c r="C1590">
        <v>355.5799865722656</v>
      </c>
      <c r="D1590">
        <v>356.7200012207031</v>
      </c>
      <c r="E1590">
        <v>351.260009765625</v>
      </c>
      <c r="F1590">
        <v>353.2099914550781</v>
      </c>
      <c r="G1590">
        <v>325.7692260742188</v>
      </c>
      <c r="H1590">
        <v>67546200</v>
      </c>
      <c r="I1590" t="s">
        <v>207</v>
      </c>
      <c r="J1590" t="s">
        <v>208</v>
      </c>
      <c r="K1590" t="s">
        <v>4629</v>
      </c>
    </row>
    <row r="1591" spans="1:11" ht="20" customHeight="1">
      <c r="A1591" t="s">
        <v>4628</v>
      </c>
      <c r="B1591" t="s">
        <v>209</v>
      </c>
      <c r="C1591">
        <v>355.2699890136719</v>
      </c>
      <c r="D1591">
        <v>358.8999938964844</v>
      </c>
      <c r="E1591">
        <v>354.7099914550781</v>
      </c>
      <c r="F1591">
        <v>358.1000061035156</v>
      </c>
      <c r="G1591">
        <v>330.2793273925781</v>
      </c>
      <c r="H1591">
        <v>62892200</v>
      </c>
      <c r="I1591" t="s">
        <v>210</v>
      </c>
      <c r="J1591" t="s">
        <v>211</v>
      </c>
      <c r="K1591" t="s">
        <v>4629</v>
      </c>
    </row>
    <row r="1592" spans="1:11" ht="20" customHeight="1">
      <c r="A1592" t="s">
        <v>4628</v>
      </c>
      <c r="B1592" t="s">
        <v>212</v>
      </c>
      <c r="C1592">
        <v>360.9800109863281</v>
      </c>
      <c r="D1592">
        <v>362.7799987792969</v>
      </c>
      <c r="E1592">
        <v>359.5899963378906</v>
      </c>
      <c r="F1592">
        <v>362.5700073242188</v>
      </c>
      <c r="G1592">
        <v>334.4019470214844</v>
      </c>
      <c r="H1592">
        <v>74541100</v>
      </c>
      <c r="I1592" t="s">
        <v>213</v>
      </c>
      <c r="J1592" t="s">
        <v>214</v>
      </c>
      <c r="K1592" t="s">
        <v>4629</v>
      </c>
    </row>
    <row r="1593" spans="1:11" ht="20" customHeight="1">
      <c r="A1593" t="s">
        <v>4628</v>
      </c>
      <c r="B1593" t="s">
        <v>215</v>
      </c>
      <c r="C1593">
        <v>359.9700012207031</v>
      </c>
      <c r="D1593">
        <v>361.9200134277344</v>
      </c>
      <c r="E1593">
        <v>358.3399963378906</v>
      </c>
      <c r="F1593">
        <v>360.6199951171875</v>
      </c>
      <c r="G1593">
        <v>332.6035461425781</v>
      </c>
      <c r="H1593">
        <v>66111000</v>
      </c>
      <c r="I1593" t="s">
        <v>216</v>
      </c>
      <c r="J1593" t="s">
        <v>217</v>
      </c>
      <c r="K1593" t="s">
        <v>4629</v>
      </c>
    </row>
    <row r="1594" spans="1:11" ht="20" customHeight="1">
      <c r="A1594" t="s">
        <v>4628</v>
      </c>
      <c r="B1594" t="s">
        <v>218</v>
      </c>
      <c r="C1594">
        <v>360.9100036621094</v>
      </c>
      <c r="D1594">
        <v>361.5</v>
      </c>
      <c r="E1594">
        <v>356.239990234375</v>
      </c>
      <c r="F1594">
        <v>356.2799987792969</v>
      </c>
      <c r="G1594">
        <v>328.6007690429688</v>
      </c>
      <c r="H1594">
        <v>70591300</v>
      </c>
      <c r="I1594" t="s">
        <v>219</v>
      </c>
      <c r="J1594" t="s">
        <v>220</v>
      </c>
      <c r="K1594" t="s">
        <v>4629</v>
      </c>
    </row>
    <row r="1595" spans="1:11" ht="20" customHeight="1">
      <c r="A1595" t="s">
        <v>4628</v>
      </c>
      <c r="B1595" t="s">
        <v>221</v>
      </c>
      <c r="C1595">
        <v>355.6000061035156</v>
      </c>
      <c r="D1595">
        <v>358.1799926757812</v>
      </c>
      <c r="E1595">
        <v>354.1499938964844</v>
      </c>
      <c r="F1595">
        <v>357.7799987792969</v>
      </c>
      <c r="G1595">
        <v>329.9841918945312</v>
      </c>
      <c r="H1595">
        <v>59940900</v>
      </c>
      <c r="I1595" t="s">
        <v>222</v>
      </c>
      <c r="J1595" t="s">
        <v>223</v>
      </c>
      <c r="K1595" t="s">
        <v>4629</v>
      </c>
    </row>
    <row r="1596" spans="1:11" ht="20" customHeight="1">
      <c r="A1596" t="s">
        <v>4628</v>
      </c>
      <c r="B1596" t="s">
        <v>224</v>
      </c>
      <c r="C1596">
        <v>357.5</v>
      </c>
      <c r="D1596">
        <v>357.7200012207031</v>
      </c>
      <c r="E1596">
        <v>355.25</v>
      </c>
      <c r="F1596">
        <v>355.3299865722656</v>
      </c>
      <c r="G1596">
        <v>327.7244873046875</v>
      </c>
      <c r="H1596">
        <v>70417300</v>
      </c>
      <c r="I1596" t="s">
        <v>225</v>
      </c>
      <c r="J1596" t="s">
        <v>226</v>
      </c>
      <c r="K1596" t="s">
        <v>4629</v>
      </c>
    </row>
    <row r="1597" spans="1:11" ht="20" customHeight="1">
      <c r="A1597" t="s">
        <v>4628</v>
      </c>
      <c r="B1597" t="s">
        <v>227</v>
      </c>
      <c r="C1597">
        <v>357.2799987792969</v>
      </c>
      <c r="D1597">
        <v>358.8200073242188</v>
      </c>
      <c r="E1597">
        <v>354.8699951171875</v>
      </c>
      <c r="F1597">
        <v>357.4599914550781</v>
      </c>
      <c r="G1597">
        <v>329.6889953613281</v>
      </c>
      <c r="H1597">
        <v>63230600</v>
      </c>
      <c r="I1597" t="s">
        <v>228</v>
      </c>
      <c r="J1597" t="s">
        <v>229</v>
      </c>
      <c r="K1597" t="s">
        <v>4629</v>
      </c>
    </row>
    <row r="1598" spans="1:11" ht="20" customHeight="1">
      <c r="A1598" t="s">
        <v>4628</v>
      </c>
      <c r="B1598" t="s">
        <v>230</v>
      </c>
      <c r="C1598">
        <v>360.2099914550781</v>
      </c>
      <c r="D1598">
        <v>363.8099975585938</v>
      </c>
      <c r="E1598">
        <v>359.2900085449219</v>
      </c>
      <c r="F1598">
        <v>363.2200012207031</v>
      </c>
      <c r="G1598">
        <v>335.0015258789062</v>
      </c>
      <c r="H1598">
        <v>62415900</v>
      </c>
      <c r="I1598" t="s">
        <v>231</v>
      </c>
      <c r="J1598" t="s">
        <v>232</v>
      </c>
      <c r="K1598" t="s">
        <v>4629</v>
      </c>
    </row>
    <row r="1599" spans="1:11" ht="20" customHeight="1">
      <c r="A1599" t="s">
        <v>4628</v>
      </c>
      <c r="B1599" t="s">
        <v>233</v>
      </c>
      <c r="C1599">
        <v>363.1300048828125</v>
      </c>
      <c r="D1599">
        <v>363.1600036621094</v>
      </c>
      <c r="E1599">
        <v>361.4800109863281</v>
      </c>
      <c r="F1599">
        <v>362.6600036621094</v>
      </c>
      <c r="G1599">
        <v>334.4850769042969</v>
      </c>
      <c r="H1599">
        <v>45330900</v>
      </c>
      <c r="I1599" t="s">
        <v>234</v>
      </c>
      <c r="J1599" t="s">
        <v>235</v>
      </c>
      <c r="K1599" t="s">
        <v>4629</v>
      </c>
    </row>
    <row r="1600" spans="1:11" ht="20" customHeight="1">
      <c r="A1600" t="s">
        <v>4628</v>
      </c>
      <c r="B1600" t="s">
        <v>236</v>
      </c>
      <c r="C1600">
        <v>363.8399963378906</v>
      </c>
      <c r="D1600">
        <v>364.1799926757812</v>
      </c>
      <c r="E1600">
        <v>362.5799865722656</v>
      </c>
      <c r="F1600">
        <v>363.6700134277344</v>
      </c>
      <c r="G1600">
        <v>335.4165954589844</v>
      </c>
      <c r="H1600">
        <v>28514100</v>
      </c>
      <c r="I1600" t="s">
        <v>237</v>
      </c>
      <c r="J1600" t="s">
        <v>238</v>
      </c>
      <c r="K1600" t="s">
        <v>4629</v>
      </c>
    </row>
    <row r="1601" spans="1:11" ht="20" customHeight="1">
      <c r="A1601" t="s">
        <v>4628</v>
      </c>
      <c r="B1601" t="s">
        <v>239</v>
      </c>
      <c r="C1601">
        <v>362.8299865722656</v>
      </c>
      <c r="D1601">
        <v>363.1199951171875</v>
      </c>
      <c r="E1601">
        <v>359.1700134277344</v>
      </c>
      <c r="F1601">
        <v>362.0599975585938</v>
      </c>
      <c r="G1601">
        <v>333.931640625</v>
      </c>
      <c r="H1601">
        <v>83872700</v>
      </c>
      <c r="I1601" t="s">
        <v>240</v>
      </c>
      <c r="J1601" t="s">
        <v>241</v>
      </c>
      <c r="K1601" t="s">
        <v>4629</v>
      </c>
    </row>
    <row r="1602" spans="1:11" ht="20" customHeight="1">
      <c r="A1602" t="s">
        <v>4628</v>
      </c>
      <c r="B1602" t="s">
        <v>242</v>
      </c>
      <c r="C1602">
        <v>365.5700073242188</v>
      </c>
      <c r="D1602">
        <v>367.6799926757812</v>
      </c>
      <c r="E1602">
        <v>364.9299926757812</v>
      </c>
      <c r="F1602">
        <v>366.0199890136719</v>
      </c>
      <c r="G1602">
        <v>337.5840759277344</v>
      </c>
      <c r="H1602">
        <v>74231400</v>
      </c>
      <c r="I1602" t="s">
        <v>243</v>
      </c>
      <c r="J1602" t="s">
        <v>244</v>
      </c>
      <c r="K1602" t="s">
        <v>4629</v>
      </c>
    </row>
    <row r="1603" spans="1:11" ht="20" customHeight="1">
      <c r="A1603" t="s">
        <v>4628</v>
      </c>
      <c r="B1603" t="s">
        <v>245</v>
      </c>
      <c r="C1603">
        <v>364.8200073242188</v>
      </c>
      <c r="D1603">
        <v>366.9599914550781</v>
      </c>
      <c r="E1603">
        <v>364.2000122070312</v>
      </c>
      <c r="F1603">
        <v>366.7900085449219</v>
      </c>
      <c r="G1603">
        <v>338.2942504882812</v>
      </c>
      <c r="H1603">
        <v>45927000</v>
      </c>
      <c r="I1603" t="s">
        <v>246</v>
      </c>
      <c r="J1603" t="s">
        <v>247</v>
      </c>
      <c r="K1603" t="s">
        <v>4629</v>
      </c>
    </row>
    <row r="1604" spans="1:11" ht="20" customHeight="1">
      <c r="A1604" t="s">
        <v>4628</v>
      </c>
      <c r="B1604" t="s">
        <v>248</v>
      </c>
      <c r="C1604">
        <v>366.6799926757812</v>
      </c>
      <c r="D1604">
        <v>368.1900024414062</v>
      </c>
      <c r="E1604">
        <v>365.5</v>
      </c>
      <c r="F1604">
        <v>366.6900024414062</v>
      </c>
      <c r="G1604">
        <v>338.2019348144531</v>
      </c>
      <c r="H1604">
        <v>62882000</v>
      </c>
      <c r="I1604" t="s">
        <v>249</v>
      </c>
      <c r="J1604" t="s">
        <v>250</v>
      </c>
      <c r="K1604" t="s">
        <v>4629</v>
      </c>
    </row>
    <row r="1605" spans="1:11" ht="20" customHeight="1">
      <c r="A1605" t="s">
        <v>4628</v>
      </c>
      <c r="B1605" t="s">
        <v>251</v>
      </c>
      <c r="C1605">
        <v>367.3200073242188</v>
      </c>
      <c r="D1605">
        <v>369.8500061035156</v>
      </c>
      <c r="E1605">
        <v>367.2200012207031</v>
      </c>
      <c r="F1605">
        <v>369.8500061035156</v>
      </c>
      <c r="G1605">
        <v>341.116455078125</v>
      </c>
      <c r="H1605">
        <v>50749900</v>
      </c>
      <c r="I1605" t="s">
        <v>252</v>
      </c>
      <c r="J1605" t="s">
        <v>253</v>
      </c>
      <c r="K1605" t="s">
        <v>4629</v>
      </c>
    </row>
    <row r="1606" spans="1:11" ht="20" customHeight="1">
      <c r="A1606" t="s">
        <v>4628</v>
      </c>
      <c r="B1606" t="s">
        <v>254</v>
      </c>
      <c r="C1606">
        <v>369.0199890136719</v>
      </c>
      <c r="D1606">
        <v>369.6199951171875</v>
      </c>
      <c r="E1606">
        <v>367.7200012207031</v>
      </c>
      <c r="F1606">
        <v>369.0899963378906</v>
      </c>
      <c r="G1606">
        <v>340.4154357910156</v>
      </c>
      <c r="H1606">
        <v>48944300</v>
      </c>
      <c r="I1606" t="s">
        <v>255</v>
      </c>
      <c r="J1606" t="s">
        <v>256</v>
      </c>
      <c r="K1606" t="s">
        <v>4629</v>
      </c>
    </row>
    <row r="1607" spans="1:11" ht="20" customHeight="1">
      <c r="A1607" t="s">
        <v>4628</v>
      </c>
      <c r="B1607" t="s">
        <v>257</v>
      </c>
      <c r="C1607">
        <v>367.7200012207031</v>
      </c>
      <c r="D1607">
        <v>370.7799987792969</v>
      </c>
      <c r="E1607">
        <v>367.6700134277344</v>
      </c>
      <c r="F1607">
        <v>370.1700134277344</v>
      </c>
      <c r="G1607">
        <v>341.41162109375</v>
      </c>
      <c r="H1607">
        <v>42458900</v>
      </c>
      <c r="I1607" t="s">
        <v>258</v>
      </c>
      <c r="J1607" t="s">
        <v>259</v>
      </c>
      <c r="K1607" t="s">
        <v>4629</v>
      </c>
    </row>
    <row r="1608" spans="1:11" ht="20" customHeight="1">
      <c r="A1608" t="s">
        <v>4628</v>
      </c>
      <c r="B1608" t="s">
        <v>260</v>
      </c>
      <c r="C1608">
        <v>370.8800048828125</v>
      </c>
      <c r="D1608">
        <v>371.0499877929688</v>
      </c>
      <c r="E1608">
        <v>365.9500122070312</v>
      </c>
      <c r="F1608">
        <v>366.8500061035156</v>
      </c>
      <c r="G1608">
        <v>338.3495788574219</v>
      </c>
      <c r="H1608">
        <v>74098300</v>
      </c>
      <c r="I1608" t="s">
        <v>261</v>
      </c>
      <c r="J1608" t="s">
        <v>262</v>
      </c>
      <c r="K1608" t="s">
        <v>4629</v>
      </c>
    </row>
    <row r="1609" spans="1:11" ht="20" customHeight="1">
      <c r="A1609" t="s">
        <v>4628</v>
      </c>
      <c r="B1609" t="s">
        <v>263</v>
      </c>
      <c r="C1609">
        <v>365.3699951171875</v>
      </c>
      <c r="D1609">
        <v>367.8599853515625</v>
      </c>
      <c r="E1609">
        <v>364.4299926757812</v>
      </c>
      <c r="F1609">
        <v>366.7300109863281</v>
      </c>
      <c r="G1609">
        <v>338.2388305664062</v>
      </c>
      <c r="H1609">
        <v>57735400</v>
      </c>
      <c r="I1609" t="s">
        <v>264</v>
      </c>
      <c r="J1609" t="s">
        <v>265</v>
      </c>
      <c r="K1609" t="s">
        <v>4629</v>
      </c>
    </row>
    <row r="1610" spans="1:11" ht="20" customHeight="1">
      <c r="A1610" t="s">
        <v>4628</v>
      </c>
      <c r="B1610" t="s">
        <v>266</v>
      </c>
      <c r="C1610">
        <v>364.8999938964844</v>
      </c>
      <c r="D1610">
        <v>366.739990234375</v>
      </c>
      <c r="E1610">
        <v>363.260009765625</v>
      </c>
      <c r="F1610">
        <v>366.2999877929688</v>
      </c>
      <c r="G1610">
        <v>337.8423156738281</v>
      </c>
      <c r="H1610">
        <v>57698600</v>
      </c>
      <c r="I1610" t="s">
        <v>267</v>
      </c>
      <c r="J1610" t="s">
        <v>268</v>
      </c>
      <c r="K1610" t="s">
        <v>4629</v>
      </c>
    </row>
    <row r="1611" spans="1:11" ht="20" customHeight="1">
      <c r="A1611" t="s">
        <v>4628</v>
      </c>
      <c r="B1611" t="s">
        <v>269</v>
      </c>
      <c r="C1611">
        <v>368.6400146484375</v>
      </c>
      <c r="D1611">
        <v>369.7999877929688</v>
      </c>
      <c r="E1611">
        <v>364.4700012207031</v>
      </c>
      <c r="F1611">
        <v>364.6600036621094</v>
      </c>
      <c r="G1611">
        <v>336.3296813964844</v>
      </c>
      <c r="H1611">
        <v>69216200</v>
      </c>
      <c r="I1611" t="s">
        <v>270</v>
      </c>
      <c r="J1611" t="s">
        <v>271</v>
      </c>
      <c r="K1611" t="s">
        <v>4629</v>
      </c>
    </row>
    <row r="1612" spans="1:11" ht="20" customHeight="1">
      <c r="A1612" t="s">
        <v>4628</v>
      </c>
      <c r="B1612" t="s">
        <v>272</v>
      </c>
      <c r="C1612">
        <v>367.3999938964844</v>
      </c>
      <c r="D1612">
        <v>369.5899963378906</v>
      </c>
      <c r="E1612">
        <v>365.9200134277344</v>
      </c>
      <c r="F1612">
        <v>369.5899963378906</v>
      </c>
      <c r="G1612">
        <v>340.8766784667969</v>
      </c>
      <c r="H1612">
        <v>63865300</v>
      </c>
      <c r="I1612" t="s">
        <v>273</v>
      </c>
      <c r="J1612" t="s">
        <v>274</v>
      </c>
      <c r="K1612" t="s">
        <v>4629</v>
      </c>
    </row>
    <row r="1613" spans="1:11" ht="20" customHeight="1">
      <c r="A1613" t="s">
        <v>4628</v>
      </c>
      <c r="B1613" t="s">
        <v>275</v>
      </c>
      <c r="C1613">
        <v>369.8200073242188</v>
      </c>
      <c r="D1613">
        <v>371.1600036621094</v>
      </c>
      <c r="E1613">
        <v>368.8699951171875</v>
      </c>
      <c r="F1613">
        <v>370.1700134277344</v>
      </c>
      <c r="G1613">
        <v>341.41162109375</v>
      </c>
      <c r="H1613">
        <v>58420500</v>
      </c>
      <c r="I1613" t="s">
        <v>276</v>
      </c>
      <c r="J1613" t="s">
        <v>277</v>
      </c>
      <c r="K1613" t="s">
        <v>4629</v>
      </c>
    </row>
    <row r="1614" spans="1:11" ht="20" customHeight="1">
      <c r="A1614" t="s">
        <v>4628</v>
      </c>
      <c r="B1614" t="s">
        <v>278</v>
      </c>
      <c r="C1614">
        <v>371.9400024414062</v>
      </c>
      <c r="D1614">
        <v>372.4599914550781</v>
      </c>
      <c r="E1614">
        <v>371.0499877929688</v>
      </c>
      <c r="F1614">
        <v>372.239990234375</v>
      </c>
      <c r="G1614">
        <v>343.3208312988281</v>
      </c>
      <c r="H1614">
        <v>64119500</v>
      </c>
      <c r="I1614" t="s">
        <v>279</v>
      </c>
      <c r="J1614" t="s">
        <v>280</v>
      </c>
      <c r="K1614" t="s">
        <v>4629</v>
      </c>
    </row>
    <row r="1615" spans="1:11" ht="20" customHeight="1">
      <c r="A1615" t="s">
        <v>4628</v>
      </c>
      <c r="B1615" t="s">
        <v>281</v>
      </c>
      <c r="C1615">
        <v>370.9700012207031</v>
      </c>
      <c r="D1615">
        <v>371.1499938964844</v>
      </c>
      <c r="E1615">
        <v>367.0199890136719</v>
      </c>
      <c r="F1615">
        <v>369.1799926757812</v>
      </c>
      <c r="G1615">
        <v>341.9499206542969</v>
      </c>
      <c r="H1615">
        <v>136542300</v>
      </c>
      <c r="I1615" t="s">
        <v>282</v>
      </c>
      <c r="J1615" t="s">
        <v>283</v>
      </c>
      <c r="K1615" t="s">
        <v>4629</v>
      </c>
    </row>
    <row r="1616" spans="1:11" ht="20" customHeight="1">
      <c r="A1616" t="s">
        <v>4628</v>
      </c>
      <c r="B1616" t="s">
        <v>284</v>
      </c>
      <c r="C1616">
        <v>364.9700012207031</v>
      </c>
      <c r="D1616">
        <v>378.4599914550781</v>
      </c>
      <c r="E1616">
        <v>362.0299987792969</v>
      </c>
      <c r="F1616">
        <v>367.8599853515625</v>
      </c>
      <c r="G1616">
        <v>340.7273254394531</v>
      </c>
      <c r="H1616">
        <v>96386700</v>
      </c>
      <c r="I1616" t="s">
        <v>285</v>
      </c>
      <c r="J1616" t="s">
        <v>286</v>
      </c>
      <c r="K1616" t="s">
        <v>4629</v>
      </c>
    </row>
    <row r="1617" spans="1:11" ht="20" customHeight="1">
      <c r="A1617" t="s">
        <v>4628</v>
      </c>
      <c r="B1617" t="s">
        <v>287</v>
      </c>
      <c r="C1617">
        <v>368.2099914550781</v>
      </c>
      <c r="D1617">
        <v>368.3299865722656</v>
      </c>
      <c r="E1617">
        <v>366.0299987792969</v>
      </c>
      <c r="F1617">
        <v>367.239990234375</v>
      </c>
      <c r="G1617">
        <v>340.1529235839844</v>
      </c>
      <c r="H1617">
        <v>47949000</v>
      </c>
      <c r="I1617" t="s">
        <v>288</v>
      </c>
      <c r="J1617" t="s">
        <v>289</v>
      </c>
      <c r="K1617" t="s">
        <v>4629</v>
      </c>
    </row>
    <row r="1618" spans="1:11" ht="20" customHeight="1">
      <c r="A1618" t="s">
        <v>4628</v>
      </c>
      <c r="B1618" t="s">
        <v>290</v>
      </c>
      <c r="C1618">
        <v>368.2799987792969</v>
      </c>
      <c r="D1618">
        <v>369.6199951171875</v>
      </c>
      <c r="E1618">
        <v>367.2200012207031</v>
      </c>
      <c r="F1618">
        <v>367.5700073242188</v>
      </c>
      <c r="G1618">
        <v>340.4585876464844</v>
      </c>
      <c r="H1618">
        <v>46201400</v>
      </c>
      <c r="I1618" t="s">
        <v>291</v>
      </c>
      <c r="J1618" t="s">
        <v>292</v>
      </c>
      <c r="K1618" t="s">
        <v>4629</v>
      </c>
    </row>
    <row r="1619" spans="1:11" ht="20" customHeight="1">
      <c r="A1619" t="s">
        <v>4628</v>
      </c>
      <c r="B1619" t="s">
        <v>293</v>
      </c>
      <c r="C1619">
        <v>368.0799865722656</v>
      </c>
      <c r="D1619">
        <v>369.0299987792969</v>
      </c>
      <c r="E1619">
        <v>367.4500122070312</v>
      </c>
      <c r="F1619">
        <v>369</v>
      </c>
      <c r="G1619">
        <v>341.7832641601562</v>
      </c>
      <c r="H1619">
        <v>26457900</v>
      </c>
      <c r="I1619" t="s">
        <v>294</v>
      </c>
      <c r="J1619" t="s">
        <v>295</v>
      </c>
      <c r="K1619" t="s">
        <v>4629</v>
      </c>
    </row>
    <row r="1620" spans="1:11" ht="20" customHeight="1">
      <c r="A1620" t="s">
        <v>4628</v>
      </c>
      <c r="B1620" t="s">
        <v>296</v>
      </c>
      <c r="C1620">
        <v>371.739990234375</v>
      </c>
      <c r="D1620">
        <v>372.5899963378906</v>
      </c>
      <c r="E1620">
        <v>371.0700073242188</v>
      </c>
      <c r="F1620">
        <v>372.1700134277344</v>
      </c>
      <c r="G1620">
        <v>344.7193603515625</v>
      </c>
      <c r="H1620">
        <v>39000400</v>
      </c>
      <c r="I1620" t="s">
        <v>297</v>
      </c>
      <c r="J1620" t="s">
        <v>298</v>
      </c>
      <c r="K1620" t="s">
        <v>4629</v>
      </c>
    </row>
    <row r="1621" spans="1:11" ht="20" customHeight="1">
      <c r="A1621" t="s">
        <v>4628</v>
      </c>
      <c r="B1621" t="s">
        <v>299</v>
      </c>
      <c r="C1621">
        <v>373.8099975585938</v>
      </c>
      <c r="D1621">
        <v>374</v>
      </c>
      <c r="E1621">
        <v>370.8299865722656</v>
      </c>
      <c r="F1621">
        <v>371.4599914550781</v>
      </c>
      <c r="G1621">
        <v>344.0618286132812</v>
      </c>
      <c r="H1621">
        <v>53680500</v>
      </c>
      <c r="I1621" t="s">
        <v>300</v>
      </c>
      <c r="J1621" t="s">
        <v>301</v>
      </c>
      <c r="K1621" t="s">
        <v>4629</v>
      </c>
    </row>
    <row r="1622" spans="1:11" ht="20" customHeight="1">
      <c r="A1622" t="s">
        <v>4628</v>
      </c>
      <c r="B1622" t="s">
        <v>302</v>
      </c>
      <c r="C1622">
        <v>372.3399963378906</v>
      </c>
      <c r="D1622">
        <v>373.1000061035156</v>
      </c>
      <c r="E1622">
        <v>371.5700073242188</v>
      </c>
      <c r="F1622">
        <v>371.989990234375</v>
      </c>
      <c r="G1622">
        <v>344.5527038574219</v>
      </c>
      <c r="H1622">
        <v>49455300</v>
      </c>
      <c r="I1622" t="s">
        <v>303</v>
      </c>
      <c r="J1622" t="s">
        <v>304</v>
      </c>
      <c r="K1622" t="s">
        <v>4629</v>
      </c>
    </row>
    <row r="1623" spans="1:11" ht="20" customHeight="1">
      <c r="A1623" t="s">
        <v>4628</v>
      </c>
      <c r="B1623" t="s">
        <v>305</v>
      </c>
      <c r="C1623">
        <v>371.7799987792969</v>
      </c>
      <c r="D1623">
        <v>374.6600036621094</v>
      </c>
      <c r="E1623">
        <v>371.2300109863281</v>
      </c>
      <c r="F1623">
        <v>373.8800048828125</v>
      </c>
      <c r="G1623">
        <v>346.3033142089844</v>
      </c>
      <c r="H1623">
        <v>78520700</v>
      </c>
      <c r="I1623" t="s">
        <v>306</v>
      </c>
      <c r="J1623" t="s">
        <v>307</v>
      </c>
      <c r="K1623" t="s">
        <v>4629</v>
      </c>
    </row>
    <row r="1624" spans="1:11" ht="20" customHeight="1">
      <c r="A1624" t="s">
        <v>4628</v>
      </c>
      <c r="B1624" t="s">
        <v>308</v>
      </c>
      <c r="C1624">
        <v>375.3099975585938</v>
      </c>
      <c r="D1624">
        <v>375.4500122070312</v>
      </c>
      <c r="E1624">
        <v>364.8200073242188</v>
      </c>
      <c r="F1624">
        <v>368.7900085449219</v>
      </c>
      <c r="G1624">
        <v>341.5887451171875</v>
      </c>
      <c r="H1624">
        <v>110210800</v>
      </c>
      <c r="I1624" t="s">
        <v>309</v>
      </c>
      <c r="J1624" t="s">
        <v>310</v>
      </c>
      <c r="K1624" t="s">
        <v>4629</v>
      </c>
    </row>
    <row r="1625" spans="1:11" ht="20" customHeight="1">
      <c r="A1625" t="s">
        <v>4628</v>
      </c>
      <c r="B1625" t="s">
        <v>311</v>
      </c>
      <c r="C1625">
        <v>368.1000061035156</v>
      </c>
      <c r="D1625">
        <v>372.5</v>
      </c>
      <c r="E1625">
        <v>368.0499877929688</v>
      </c>
      <c r="F1625">
        <v>371.3299865722656</v>
      </c>
      <c r="G1625">
        <v>343.9412841796875</v>
      </c>
      <c r="H1625">
        <v>66426200</v>
      </c>
      <c r="I1625" t="s">
        <v>312</v>
      </c>
      <c r="J1625" t="s">
        <v>313</v>
      </c>
      <c r="K1625" t="s">
        <v>4629</v>
      </c>
    </row>
    <row r="1626" spans="1:11" ht="20" customHeight="1">
      <c r="A1626" t="s">
        <v>4628</v>
      </c>
      <c r="B1626" t="s">
        <v>314</v>
      </c>
      <c r="C1626">
        <v>369.7099914550781</v>
      </c>
      <c r="D1626">
        <v>376.9800109863281</v>
      </c>
      <c r="E1626">
        <v>369.1199951171875</v>
      </c>
      <c r="F1626">
        <v>373.5499877929688</v>
      </c>
      <c r="G1626">
        <v>345.9976806640625</v>
      </c>
      <c r="H1626">
        <v>107997700</v>
      </c>
      <c r="I1626" t="s">
        <v>315</v>
      </c>
      <c r="J1626" t="s">
        <v>316</v>
      </c>
      <c r="K1626" t="s">
        <v>4629</v>
      </c>
    </row>
    <row r="1627" spans="1:11" ht="20" customHeight="1">
      <c r="A1627" t="s">
        <v>4628</v>
      </c>
      <c r="B1627" t="s">
        <v>317</v>
      </c>
      <c r="C1627">
        <v>376.1000061035156</v>
      </c>
      <c r="D1627">
        <v>379.8999938964844</v>
      </c>
      <c r="E1627">
        <v>375.9100036621094</v>
      </c>
      <c r="F1627">
        <v>379.1000061035156</v>
      </c>
      <c r="G1627">
        <v>351.1382446289062</v>
      </c>
      <c r="H1627">
        <v>68766800</v>
      </c>
      <c r="I1627" t="s">
        <v>318</v>
      </c>
      <c r="J1627" t="s">
        <v>319</v>
      </c>
      <c r="K1627" t="s">
        <v>4629</v>
      </c>
    </row>
    <row r="1628" spans="1:11" ht="20" customHeight="1">
      <c r="A1628" t="s">
        <v>4628</v>
      </c>
      <c r="B1628" t="s">
        <v>320</v>
      </c>
      <c r="C1628">
        <v>380.5899963378906</v>
      </c>
      <c r="D1628">
        <v>381.489990234375</v>
      </c>
      <c r="E1628">
        <v>377.1000061035156</v>
      </c>
      <c r="F1628">
        <v>381.260009765625</v>
      </c>
      <c r="G1628">
        <v>353.138916015625</v>
      </c>
      <c r="H1628">
        <v>71677200</v>
      </c>
      <c r="I1628" t="s">
        <v>321</v>
      </c>
      <c r="J1628" t="s">
        <v>322</v>
      </c>
      <c r="K1628" t="s">
        <v>4629</v>
      </c>
    </row>
    <row r="1629" spans="1:11" ht="20" customHeight="1">
      <c r="A1629" t="s">
        <v>4628</v>
      </c>
      <c r="B1629" t="s">
        <v>323</v>
      </c>
      <c r="C1629">
        <v>377.8500061035156</v>
      </c>
      <c r="D1629">
        <v>380.5799865722656</v>
      </c>
      <c r="E1629">
        <v>377.7200012207031</v>
      </c>
      <c r="F1629">
        <v>378.6900024414062</v>
      </c>
      <c r="G1629">
        <v>350.7584533691406</v>
      </c>
      <c r="H1629">
        <v>51034700</v>
      </c>
      <c r="I1629" t="s">
        <v>324</v>
      </c>
      <c r="J1629" t="s">
        <v>325</v>
      </c>
      <c r="K1629" t="s">
        <v>4629</v>
      </c>
    </row>
    <row r="1630" spans="1:11" ht="20" customHeight="1">
      <c r="A1630" t="s">
        <v>4628</v>
      </c>
      <c r="B1630" t="s">
        <v>326</v>
      </c>
      <c r="C1630">
        <v>378.8900146484375</v>
      </c>
      <c r="D1630">
        <v>379.8599853515625</v>
      </c>
      <c r="E1630">
        <v>376.3599853515625</v>
      </c>
      <c r="F1630">
        <v>378.7699890136719</v>
      </c>
      <c r="G1630">
        <v>350.8325805664062</v>
      </c>
      <c r="H1630">
        <v>52547700</v>
      </c>
      <c r="I1630" t="s">
        <v>327</v>
      </c>
      <c r="J1630" t="s">
        <v>328</v>
      </c>
      <c r="K1630" t="s">
        <v>4629</v>
      </c>
    </row>
    <row r="1631" spans="1:11" ht="20" customHeight="1">
      <c r="A1631" t="s">
        <v>4628</v>
      </c>
      <c r="B1631" t="s">
        <v>329</v>
      </c>
      <c r="C1631">
        <v>378.6900024414062</v>
      </c>
      <c r="D1631">
        <v>380.8599853515625</v>
      </c>
      <c r="E1631">
        <v>377.8500061035156</v>
      </c>
      <c r="F1631">
        <v>379.7900085449219</v>
      </c>
      <c r="G1631">
        <v>351.7774353027344</v>
      </c>
      <c r="H1631">
        <v>45303600</v>
      </c>
      <c r="I1631" t="s">
        <v>330</v>
      </c>
      <c r="J1631" t="s">
        <v>331</v>
      </c>
      <c r="K1631" t="s">
        <v>4629</v>
      </c>
    </row>
    <row r="1632" spans="1:11" ht="20" customHeight="1">
      <c r="A1632" t="s">
        <v>4628</v>
      </c>
      <c r="B1632" t="s">
        <v>332</v>
      </c>
      <c r="C1632">
        <v>380.5899963378906</v>
      </c>
      <c r="D1632">
        <v>381.1300048828125</v>
      </c>
      <c r="E1632">
        <v>378.1000061035156</v>
      </c>
      <c r="F1632">
        <v>378.4599914550781</v>
      </c>
      <c r="G1632">
        <v>350.54541015625</v>
      </c>
      <c r="H1632">
        <v>49989100</v>
      </c>
      <c r="I1632" t="s">
        <v>333</v>
      </c>
      <c r="J1632" t="s">
        <v>334</v>
      </c>
      <c r="K1632" t="s">
        <v>4629</v>
      </c>
    </row>
    <row r="1633" spans="1:11" ht="20" customHeight="1">
      <c r="A1633" t="s">
        <v>4628</v>
      </c>
      <c r="B1633" t="s">
        <v>335</v>
      </c>
      <c r="C1633">
        <v>376.7200012207031</v>
      </c>
      <c r="D1633">
        <v>377.5799865722656</v>
      </c>
      <c r="E1633">
        <v>373.7000122070312</v>
      </c>
      <c r="F1633">
        <v>375.7000122070312</v>
      </c>
      <c r="G1633">
        <v>347.989013671875</v>
      </c>
      <c r="H1633">
        <v>107160000</v>
      </c>
      <c r="I1633" t="s">
        <v>336</v>
      </c>
      <c r="J1633" t="s">
        <v>337</v>
      </c>
      <c r="K1633" t="s">
        <v>4629</v>
      </c>
    </row>
    <row r="1634" spans="1:11" ht="20" customHeight="1">
      <c r="A1634" t="s">
        <v>4628</v>
      </c>
      <c r="B1634" t="s">
        <v>338</v>
      </c>
      <c r="C1634">
        <v>378.3399963378906</v>
      </c>
      <c r="D1634">
        <v>379.2300109863281</v>
      </c>
      <c r="E1634">
        <v>376.75</v>
      </c>
      <c r="F1634">
        <v>378.6499938964844</v>
      </c>
      <c r="G1634">
        <v>350.7213745117188</v>
      </c>
      <c r="H1634">
        <v>51233300</v>
      </c>
      <c r="I1634" t="s">
        <v>339</v>
      </c>
      <c r="J1634" t="s">
        <v>340</v>
      </c>
      <c r="K1634" t="s">
        <v>4629</v>
      </c>
    </row>
    <row r="1635" spans="1:11" ht="20" customHeight="1">
      <c r="A1635" t="s">
        <v>4628</v>
      </c>
      <c r="B1635" t="s">
        <v>341</v>
      </c>
      <c r="C1635">
        <v>381.1099853515625</v>
      </c>
      <c r="D1635">
        <v>384.7900085449219</v>
      </c>
      <c r="E1635">
        <v>380.6900024414062</v>
      </c>
      <c r="F1635">
        <v>383.8900146484375</v>
      </c>
      <c r="G1635">
        <v>355.5749206542969</v>
      </c>
      <c r="H1635">
        <v>61836100</v>
      </c>
      <c r="I1635" t="s">
        <v>342</v>
      </c>
      <c r="J1635" t="s">
        <v>343</v>
      </c>
      <c r="K1635" t="s">
        <v>4629</v>
      </c>
    </row>
    <row r="1636" spans="1:11" ht="20" customHeight="1">
      <c r="A1636" t="s">
        <v>4628</v>
      </c>
      <c r="B1636" t="s">
        <v>344</v>
      </c>
      <c r="C1636">
        <v>384.489990234375</v>
      </c>
      <c r="D1636">
        <v>384.9500122070312</v>
      </c>
      <c r="E1636">
        <v>383.25</v>
      </c>
      <c r="F1636">
        <v>384.239990234375</v>
      </c>
      <c r="G1636">
        <v>355.899169921875</v>
      </c>
      <c r="H1636">
        <v>47840100</v>
      </c>
      <c r="I1636" t="s">
        <v>345</v>
      </c>
      <c r="J1636" t="s">
        <v>346</v>
      </c>
      <c r="K1636" t="s">
        <v>4629</v>
      </c>
    </row>
    <row r="1637" spans="1:11" ht="20" customHeight="1">
      <c r="A1637" t="s">
        <v>4628</v>
      </c>
      <c r="B1637" t="s">
        <v>347</v>
      </c>
      <c r="C1637">
        <v>382.25</v>
      </c>
      <c r="D1637">
        <v>384.1300048828125</v>
      </c>
      <c r="E1637">
        <v>381.8399963378906</v>
      </c>
      <c r="F1637">
        <v>382.8800048828125</v>
      </c>
      <c r="G1637">
        <v>354.6394653320312</v>
      </c>
      <c r="H1637">
        <v>52860500</v>
      </c>
      <c r="I1637" t="s">
        <v>348</v>
      </c>
      <c r="J1637" t="s">
        <v>349</v>
      </c>
      <c r="K1637" t="s">
        <v>4629</v>
      </c>
    </row>
    <row r="1638" spans="1:11" ht="20" customHeight="1">
      <c r="A1638" t="s">
        <v>4628</v>
      </c>
      <c r="B1638" t="s">
        <v>350</v>
      </c>
      <c r="C1638">
        <v>383.6700134277344</v>
      </c>
      <c r="D1638">
        <v>384.7699890136719</v>
      </c>
      <c r="E1638">
        <v>378.4599914550781</v>
      </c>
      <c r="F1638">
        <v>384.3900146484375</v>
      </c>
      <c r="G1638">
        <v>356.0381469726562</v>
      </c>
      <c r="H1638">
        <v>70402000</v>
      </c>
      <c r="I1638" t="s">
        <v>351</v>
      </c>
      <c r="J1638" t="s">
        <v>352</v>
      </c>
      <c r="K1638" t="s">
        <v>4629</v>
      </c>
    </row>
    <row r="1639" spans="1:11" ht="20" customHeight="1">
      <c r="A1639" t="s">
        <v>4628</v>
      </c>
      <c r="B1639" t="s">
        <v>353</v>
      </c>
      <c r="C1639">
        <v>385.4100036621094</v>
      </c>
      <c r="D1639">
        <v>385.8500061035156</v>
      </c>
      <c r="E1639">
        <v>383.5400085449219</v>
      </c>
      <c r="F1639">
        <v>383.7900085449219</v>
      </c>
      <c r="G1639">
        <v>355.4823608398438</v>
      </c>
      <c r="H1639">
        <v>42665300</v>
      </c>
      <c r="I1639" t="s">
        <v>354</v>
      </c>
      <c r="J1639" t="s">
        <v>355</v>
      </c>
      <c r="K1639" t="s">
        <v>4629</v>
      </c>
    </row>
    <row r="1640" spans="1:11" ht="20" customHeight="1">
      <c r="A1640" t="s">
        <v>4628</v>
      </c>
      <c r="B1640" t="s">
        <v>356</v>
      </c>
      <c r="C1640">
        <v>380.2200012207031</v>
      </c>
      <c r="D1640">
        <v>380.3200073242188</v>
      </c>
      <c r="E1640">
        <v>372.010009765625</v>
      </c>
      <c r="F1640">
        <v>374.4100036621094</v>
      </c>
      <c r="G1640">
        <v>346.7941589355469</v>
      </c>
      <c r="H1640">
        <v>123351100</v>
      </c>
      <c r="I1640" t="s">
        <v>357</v>
      </c>
      <c r="J1640" t="s">
        <v>358</v>
      </c>
      <c r="K1640" t="s">
        <v>4629</v>
      </c>
    </row>
    <row r="1641" spans="1:11" ht="20" customHeight="1">
      <c r="A1641" t="s">
        <v>4628</v>
      </c>
      <c r="B1641" t="s">
        <v>359</v>
      </c>
      <c r="C1641">
        <v>376.3599853515625</v>
      </c>
      <c r="D1641">
        <v>381.9299926757812</v>
      </c>
      <c r="E1641">
        <v>375.8900146484375</v>
      </c>
      <c r="F1641">
        <v>377.6300048828125</v>
      </c>
      <c r="G1641">
        <v>349.7766723632812</v>
      </c>
      <c r="H1641">
        <v>94198100</v>
      </c>
      <c r="I1641" t="s">
        <v>360</v>
      </c>
      <c r="J1641" t="s">
        <v>361</v>
      </c>
      <c r="K1641" t="s">
        <v>4629</v>
      </c>
    </row>
    <row r="1642" spans="1:11" ht="20" customHeight="1">
      <c r="A1642" t="s">
        <v>4628</v>
      </c>
      <c r="B1642" t="s">
        <v>362</v>
      </c>
      <c r="C1642">
        <v>375.6300048828125</v>
      </c>
      <c r="D1642">
        <v>376.6700134277344</v>
      </c>
      <c r="E1642">
        <v>368.2699890136719</v>
      </c>
      <c r="F1642">
        <v>370.0700073242188</v>
      </c>
      <c r="G1642">
        <v>342.7742919921875</v>
      </c>
      <c r="H1642">
        <v>126765100</v>
      </c>
      <c r="I1642" t="s">
        <v>363</v>
      </c>
      <c r="J1642" t="s">
        <v>364</v>
      </c>
      <c r="K1642" t="s">
        <v>4629</v>
      </c>
    </row>
    <row r="1643" spans="1:11" ht="20" customHeight="1">
      <c r="A1643" t="s">
        <v>4628</v>
      </c>
      <c r="B1643" t="s">
        <v>365</v>
      </c>
      <c r="C1643">
        <v>373.7200012207031</v>
      </c>
      <c r="D1643">
        <v>377.3399963378906</v>
      </c>
      <c r="E1643">
        <v>370.3800048828125</v>
      </c>
      <c r="F1643">
        <v>376.2300109863281</v>
      </c>
      <c r="G1643">
        <v>348.47998046875</v>
      </c>
      <c r="H1643">
        <v>75817600</v>
      </c>
      <c r="I1643" t="s">
        <v>366</v>
      </c>
      <c r="J1643" t="s">
        <v>367</v>
      </c>
      <c r="K1643" t="s">
        <v>4629</v>
      </c>
    </row>
    <row r="1644" spans="1:11" ht="20" customHeight="1">
      <c r="A1644" t="s">
        <v>4628</v>
      </c>
      <c r="B1644" t="s">
        <v>368</v>
      </c>
      <c r="C1644">
        <v>379.6499938964844</v>
      </c>
      <c r="D1644">
        <v>383.2200012207031</v>
      </c>
      <c r="E1644">
        <v>376.3200073242188</v>
      </c>
      <c r="F1644">
        <v>381.5499877929688</v>
      </c>
      <c r="G1644">
        <v>353.4075622558594</v>
      </c>
      <c r="H1644">
        <v>64450700</v>
      </c>
      <c r="I1644" t="s">
        <v>369</v>
      </c>
      <c r="J1644" t="s">
        <v>370</v>
      </c>
      <c r="K1644" t="s">
        <v>4629</v>
      </c>
    </row>
    <row r="1645" spans="1:11" ht="20" customHeight="1">
      <c r="A1645" t="s">
        <v>4628</v>
      </c>
      <c r="B1645" t="s">
        <v>371</v>
      </c>
      <c r="C1645">
        <v>382.4400024414062</v>
      </c>
      <c r="D1645">
        <v>383.7000122070312</v>
      </c>
      <c r="E1645">
        <v>380.4800109863281</v>
      </c>
      <c r="F1645">
        <v>381.8500061035156</v>
      </c>
      <c r="G1645">
        <v>353.6853637695312</v>
      </c>
      <c r="H1645">
        <v>52427100</v>
      </c>
      <c r="I1645" t="s">
        <v>372</v>
      </c>
      <c r="J1645" t="s">
        <v>373</v>
      </c>
      <c r="K1645" t="s">
        <v>4629</v>
      </c>
    </row>
    <row r="1646" spans="1:11" ht="20" customHeight="1">
      <c r="A1646" t="s">
        <v>4628</v>
      </c>
      <c r="B1646" t="s">
        <v>374</v>
      </c>
      <c r="C1646">
        <v>382.9599914550781</v>
      </c>
      <c r="D1646">
        <v>386.239990234375</v>
      </c>
      <c r="E1646">
        <v>381.9700012207031</v>
      </c>
      <c r="F1646">
        <v>386.1900024414062</v>
      </c>
      <c r="G1646">
        <v>357.705322265625</v>
      </c>
      <c r="H1646">
        <v>47142600</v>
      </c>
      <c r="I1646" t="s">
        <v>375</v>
      </c>
      <c r="J1646" t="s">
        <v>376</v>
      </c>
      <c r="K1646" t="s">
        <v>4629</v>
      </c>
    </row>
    <row r="1647" spans="1:11" ht="20" customHeight="1">
      <c r="A1647" t="s">
        <v>4628</v>
      </c>
      <c r="B1647" t="s">
        <v>377</v>
      </c>
      <c r="C1647">
        <v>388.2000122070312</v>
      </c>
      <c r="D1647">
        <v>388.4700012207031</v>
      </c>
      <c r="E1647">
        <v>386.1400146484375</v>
      </c>
      <c r="F1647">
        <v>387.7099914550781</v>
      </c>
      <c r="G1647">
        <v>359.1132202148438</v>
      </c>
      <c r="H1647">
        <v>48669800</v>
      </c>
      <c r="I1647" t="s">
        <v>378</v>
      </c>
      <c r="J1647" t="s">
        <v>379</v>
      </c>
      <c r="K1647" t="s">
        <v>4629</v>
      </c>
    </row>
    <row r="1648" spans="1:11" ht="20" customHeight="1">
      <c r="A1648" t="s">
        <v>4628</v>
      </c>
      <c r="B1648" t="s">
        <v>380</v>
      </c>
      <c r="C1648">
        <v>389.2699890136719</v>
      </c>
      <c r="D1648">
        <v>390.5599975585938</v>
      </c>
      <c r="E1648">
        <v>388.3500061035156</v>
      </c>
      <c r="F1648">
        <v>390.510009765625</v>
      </c>
      <c r="G1648">
        <v>361.7067260742188</v>
      </c>
      <c r="H1648">
        <v>38365200</v>
      </c>
      <c r="I1648" t="s">
        <v>381</v>
      </c>
      <c r="J1648" t="s">
        <v>382</v>
      </c>
      <c r="K1648" t="s">
        <v>4629</v>
      </c>
    </row>
    <row r="1649" spans="1:11" ht="20" customHeight="1">
      <c r="A1649" t="s">
        <v>4628</v>
      </c>
      <c r="B1649" t="s">
        <v>383</v>
      </c>
      <c r="C1649">
        <v>389.6099853515625</v>
      </c>
      <c r="D1649">
        <v>390.8900146484375</v>
      </c>
      <c r="E1649">
        <v>389.1700134277344</v>
      </c>
      <c r="F1649">
        <v>390.25</v>
      </c>
      <c r="G1649">
        <v>361.4657897949219</v>
      </c>
      <c r="H1649">
        <v>35551100</v>
      </c>
      <c r="I1649" t="s">
        <v>384</v>
      </c>
      <c r="J1649" t="s">
        <v>385</v>
      </c>
      <c r="K1649" t="s">
        <v>4629</v>
      </c>
    </row>
    <row r="1650" spans="1:11" ht="20" customHeight="1">
      <c r="A1650" t="s">
        <v>4628</v>
      </c>
      <c r="B1650" t="s">
        <v>386</v>
      </c>
      <c r="C1650">
        <v>392.1199951171875</v>
      </c>
      <c r="D1650">
        <v>392.2799987792969</v>
      </c>
      <c r="E1650">
        <v>387.5</v>
      </c>
      <c r="F1650">
        <v>390.0799865722656</v>
      </c>
      <c r="G1650">
        <v>361.3083801269531</v>
      </c>
      <c r="H1650">
        <v>59154400</v>
      </c>
      <c r="I1650" t="s">
        <v>387</v>
      </c>
      <c r="J1650" t="s">
        <v>388</v>
      </c>
      <c r="K1650" t="s">
        <v>4629</v>
      </c>
    </row>
    <row r="1651" spans="1:11" ht="20" customHeight="1">
      <c r="A1651" t="s">
        <v>4628</v>
      </c>
      <c r="B1651" t="s">
        <v>389</v>
      </c>
      <c r="C1651">
        <v>391.239990234375</v>
      </c>
      <c r="D1651">
        <v>391.6900024414062</v>
      </c>
      <c r="E1651">
        <v>388.1000061035156</v>
      </c>
      <c r="F1651">
        <v>390.7099914550781</v>
      </c>
      <c r="G1651">
        <v>361.8918762207031</v>
      </c>
      <c r="H1651">
        <v>42913300</v>
      </c>
      <c r="I1651" t="s">
        <v>390</v>
      </c>
      <c r="J1651" t="s">
        <v>391</v>
      </c>
      <c r="K1651" t="s">
        <v>4629</v>
      </c>
    </row>
    <row r="1652" spans="1:11" ht="20" customHeight="1">
      <c r="A1652" t="s">
        <v>4628</v>
      </c>
      <c r="B1652" t="s">
        <v>392</v>
      </c>
      <c r="C1652">
        <v>389.8500061035156</v>
      </c>
      <c r="D1652">
        <v>392.8999938964844</v>
      </c>
      <c r="E1652">
        <v>389.7699890136719</v>
      </c>
      <c r="F1652">
        <v>392.6400146484375</v>
      </c>
      <c r="G1652">
        <v>363.6795959472656</v>
      </c>
      <c r="H1652">
        <v>50593300</v>
      </c>
      <c r="I1652" t="s">
        <v>393</v>
      </c>
      <c r="J1652" t="s">
        <v>394</v>
      </c>
      <c r="K1652" t="s">
        <v>4629</v>
      </c>
    </row>
    <row r="1653" spans="1:11" ht="20" customHeight="1">
      <c r="A1653" t="s">
        <v>4628</v>
      </c>
      <c r="B1653" t="s">
        <v>395</v>
      </c>
      <c r="C1653">
        <v>393.9599914550781</v>
      </c>
      <c r="D1653">
        <v>394.1700134277344</v>
      </c>
      <c r="E1653">
        <v>391.5299987792969</v>
      </c>
      <c r="F1653">
        <v>392.2999877929688</v>
      </c>
      <c r="G1653">
        <v>363.3646240234375</v>
      </c>
      <c r="H1653">
        <v>50972400</v>
      </c>
      <c r="I1653" t="s">
        <v>396</v>
      </c>
      <c r="J1653" t="s">
        <v>397</v>
      </c>
      <c r="K1653" t="s">
        <v>4629</v>
      </c>
    </row>
    <row r="1654" spans="1:11" ht="20" customHeight="1">
      <c r="A1654" t="s">
        <v>4628</v>
      </c>
      <c r="B1654" t="s">
        <v>398</v>
      </c>
      <c r="C1654">
        <v>390.4200134277344</v>
      </c>
      <c r="D1654">
        <v>392.6600036621094</v>
      </c>
      <c r="E1654">
        <v>389.3299865722656</v>
      </c>
      <c r="F1654">
        <v>392.3900146484375</v>
      </c>
      <c r="G1654">
        <v>363.4480590820312</v>
      </c>
      <c r="H1654">
        <v>52290600</v>
      </c>
      <c r="I1654" t="s">
        <v>399</v>
      </c>
      <c r="J1654" t="s">
        <v>400</v>
      </c>
      <c r="K1654" t="s">
        <v>4629</v>
      </c>
    </row>
    <row r="1655" spans="1:11" ht="20" customHeight="1">
      <c r="A1655" t="s">
        <v>4628</v>
      </c>
      <c r="B1655" t="s">
        <v>401</v>
      </c>
      <c r="C1655">
        <v>389.5899963378906</v>
      </c>
      <c r="D1655">
        <v>391.5199890136719</v>
      </c>
      <c r="E1655">
        <v>387.739990234375</v>
      </c>
      <c r="F1655">
        <v>390.7200012207031</v>
      </c>
      <c r="G1655">
        <v>361.901123046875</v>
      </c>
      <c r="H1655">
        <v>59712800</v>
      </c>
      <c r="I1655" t="s">
        <v>402</v>
      </c>
      <c r="J1655" t="s">
        <v>403</v>
      </c>
      <c r="K1655" t="s">
        <v>4629</v>
      </c>
    </row>
    <row r="1656" spans="1:11" ht="20" customHeight="1">
      <c r="A1656" t="s">
        <v>4628</v>
      </c>
      <c r="B1656" t="s">
        <v>404</v>
      </c>
      <c r="C1656">
        <v>392.0700073242188</v>
      </c>
      <c r="D1656">
        <v>392.3800048828125</v>
      </c>
      <c r="E1656">
        <v>389.5499877929688</v>
      </c>
      <c r="F1656">
        <v>390.0299987792969</v>
      </c>
      <c r="G1656">
        <v>361.2620239257812</v>
      </c>
      <c r="H1656">
        <v>83241000</v>
      </c>
      <c r="I1656" t="s">
        <v>405</v>
      </c>
      <c r="J1656" t="s">
        <v>406</v>
      </c>
      <c r="K1656" t="s">
        <v>4629</v>
      </c>
    </row>
    <row r="1657" spans="1:11" ht="20" customHeight="1">
      <c r="A1657" t="s">
        <v>4628</v>
      </c>
      <c r="B1657" t="s">
        <v>407</v>
      </c>
      <c r="C1657">
        <v>387.0599975585938</v>
      </c>
      <c r="D1657">
        <v>389.6199951171875</v>
      </c>
      <c r="E1657">
        <v>386.739990234375</v>
      </c>
      <c r="F1657">
        <v>387.0299987792969</v>
      </c>
      <c r="G1657">
        <v>358.4833068847656</v>
      </c>
      <c r="H1657">
        <v>67414200</v>
      </c>
      <c r="I1657" t="s">
        <v>408</v>
      </c>
      <c r="J1657" t="s">
        <v>409</v>
      </c>
      <c r="K1657" t="s">
        <v>4629</v>
      </c>
    </row>
    <row r="1658" spans="1:11" ht="20" customHeight="1">
      <c r="A1658" t="s">
        <v>4628</v>
      </c>
      <c r="B1658" t="s">
        <v>410</v>
      </c>
      <c r="C1658">
        <v>384.6600036621094</v>
      </c>
      <c r="D1658">
        <v>388.9500122070312</v>
      </c>
      <c r="E1658">
        <v>380.2000122070312</v>
      </c>
      <c r="F1658">
        <v>387.5</v>
      </c>
      <c r="G1658">
        <v>358.9186401367188</v>
      </c>
      <c r="H1658">
        <v>107284100</v>
      </c>
      <c r="I1658" t="s">
        <v>411</v>
      </c>
      <c r="J1658" t="s">
        <v>412</v>
      </c>
      <c r="K1658" t="s">
        <v>4629</v>
      </c>
    </row>
    <row r="1659" spans="1:11" ht="20" customHeight="1">
      <c r="A1659" t="s">
        <v>4628</v>
      </c>
      <c r="B1659" t="s">
        <v>413</v>
      </c>
      <c r="C1659">
        <v>386.3299865722656</v>
      </c>
      <c r="D1659">
        <v>392.2300109863281</v>
      </c>
      <c r="E1659">
        <v>385.2699890136719</v>
      </c>
      <c r="F1659">
        <v>391.7699890136719</v>
      </c>
      <c r="G1659">
        <v>362.8736267089844</v>
      </c>
      <c r="H1659">
        <v>72433900</v>
      </c>
      <c r="I1659" t="s">
        <v>414</v>
      </c>
      <c r="J1659" t="s">
        <v>415</v>
      </c>
      <c r="K1659" t="s">
        <v>4629</v>
      </c>
    </row>
    <row r="1660" spans="1:11" ht="20" customHeight="1">
      <c r="A1660" t="s">
        <v>4628</v>
      </c>
      <c r="B1660" t="s">
        <v>416</v>
      </c>
      <c r="C1660">
        <v>390.4100036621094</v>
      </c>
      <c r="D1660">
        <v>391.8800048828125</v>
      </c>
      <c r="E1660">
        <v>380.7799987792969</v>
      </c>
      <c r="F1660">
        <v>382.3299865722656</v>
      </c>
      <c r="G1660">
        <v>354.1300048828125</v>
      </c>
      <c r="H1660">
        <v>146670500</v>
      </c>
      <c r="I1660" t="s">
        <v>417</v>
      </c>
      <c r="J1660" t="s">
        <v>418</v>
      </c>
      <c r="K1660" t="s">
        <v>4629</v>
      </c>
    </row>
    <row r="1661" spans="1:11" ht="20" customHeight="1">
      <c r="A1661" t="s">
        <v>4628</v>
      </c>
      <c r="B1661" t="s">
        <v>419</v>
      </c>
      <c r="C1661">
        <v>384.3500061035156</v>
      </c>
      <c r="D1661">
        <v>385.5799865722656</v>
      </c>
      <c r="E1661">
        <v>378.2300109863281</v>
      </c>
      <c r="F1661">
        <v>380.3599853515625</v>
      </c>
      <c r="G1661">
        <v>352.3053283691406</v>
      </c>
      <c r="H1661">
        <v>152701600</v>
      </c>
      <c r="I1661" t="s">
        <v>420</v>
      </c>
      <c r="J1661" t="s">
        <v>421</v>
      </c>
      <c r="K1661" t="s">
        <v>4629</v>
      </c>
    </row>
    <row r="1662" spans="1:11" ht="20" customHeight="1">
      <c r="A1662" t="s">
        <v>4628</v>
      </c>
      <c r="B1662" t="s">
        <v>422</v>
      </c>
      <c r="C1662">
        <v>385.5899963378906</v>
      </c>
      <c r="D1662">
        <v>390.9200134277344</v>
      </c>
      <c r="E1662">
        <v>380.5700073242188</v>
      </c>
      <c r="F1662">
        <v>389.5799865722656</v>
      </c>
      <c r="G1662">
        <v>360.8452758789062</v>
      </c>
      <c r="H1662">
        <v>105348800</v>
      </c>
      <c r="I1662" t="s">
        <v>423</v>
      </c>
      <c r="J1662" t="s">
        <v>424</v>
      </c>
      <c r="K1662" t="s">
        <v>4629</v>
      </c>
    </row>
    <row r="1663" spans="1:11" ht="20" customHeight="1">
      <c r="A1663" t="s">
        <v>4628</v>
      </c>
      <c r="B1663" t="s">
        <v>425</v>
      </c>
      <c r="C1663">
        <v>389.8200073242188</v>
      </c>
      <c r="D1663">
        <v>390.0700073242188</v>
      </c>
      <c r="E1663">
        <v>386</v>
      </c>
      <c r="F1663">
        <v>386.5400085449219</v>
      </c>
      <c r="G1663">
        <v>358.0294799804688</v>
      </c>
      <c r="H1663">
        <v>79595300</v>
      </c>
      <c r="I1663" t="s">
        <v>426</v>
      </c>
      <c r="J1663" t="s">
        <v>427</v>
      </c>
      <c r="K1663" t="s">
        <v>4629</v>
      </c>
    </row>
    <row r="1664" spans="1:11" ht="20" customHeight="1">
      <c r="A1664" t="s">
        <v>4628</v>
      </c>
      <c r="B1664" t="s">
        <v>428</v>
      </c>
      <c r="C1664">
        <v>385.7900085449219</v>
      </c>
      <c r="D1664">
        <v>386.8299865722656</v>
      </c>
      <c r="E1664">
        <v>381.3099975585938</v>
      </c>
      <c r="F1664">
        <v>381.4200134277344</v>
      </c>
      <c r="G1664">
        <v>353.287109375</v>
      </c>
      <c r="H1664">
        <v>119940200</v>
      </c>
      <c r="I1664" t="s">
        <v>429</v>
      </c>
      <c r="J1664" t="s">
        <v>430</v>
      </c>
      <c r="K1664" t="s">
        <v>4629</v>
      </c>
    </row>
    <row r="1665" spans="1:11" ht="20" customHeight="1">
      <c r="A1665" t="s">
        <v>4628</v>
      </c>
      <c r="B1665" t="s">
        <v>431</v>
      </c>
      <c r="C1665">
        <v>381.2200012207031</v>
      </c>
      <c r="D1665">
        <v>384</v>
      </c>
      <c r="E1665">
        <v>371.8800048828125</v>
      </c>
      <c r="F1665">
        <v>376.7000122070312</v>
      </c>
      <c r="G1665">
        <v>348.9153137207031</v>
      </c>
      <c r="H1665">
        <v>183433000</v>
      </c>
      <c r="I1665" t="s">
        <v>432</v>
      </c>
      <c r="J1665" t="s">
        <v>433</v>
      </c>
      <c r="K1665" t="s">
        <v>4629</v>
      </c>
    </row>
    <row r="1666" spans="1:11" ht="20" customHeight="1">
      <c r="A1666" t="s">
        <v>4628</v>
      </c>
      <c r="B1666" t="s">
        <v>434</v>
      </c>
      <c r="C1666">
        <v>380.4599914550781</v>
      </c>
      <c r="D1666">
        <v>384.760009765625</v>
      </c>
      <c r="E1666">
        <v>372.6400146484375</v>
      </c>
      <c r="F1666">
        <v>383.6300048828125</v>
      </c>
      <c r="G1666">
        <v>355.3340454101562</v>
      </c>
      <c r="H1666">
        <v>152039600</v>
      </c>
      <c r="I1666" t="s">
        <v>435</v>
      </c>
      <c r="J1666" t="s">
        <v>436</v>
      </c>
      <c r="K1666" t="s">
        <v>4629</v>
      </c>
    </row>
    <row r="1667" spans="1:11" ht="20" customHeight="1">
      <c r="A1667" t="s">
        <v>4628</v>
      </c>
      <c r="B1667" t="s">
        <v>437</v>
      </c>
      <c r="C1667">
        <v>384.6600036621094</v>
      </c>
      <c r="D1667">
        <v>387.6799926757812</v>
      </c>
      <c r="E1667">
        <v>381.4200134277344</v>
      </c>
      <c r="F1667">
        <v>381.7200012207031</v>
      </c>
      <c r="G1667">
        <v>353.5649108886719</v>
      </c>
      <c r="H1667">
        <v>123149200</v>
      </c>
      <c r="I1667" t="s">
        <v>438</v>
      </c>
      <c r="J1667" t="s">
        <v>439</v>
      </c>
      <c r="K1667" t="s">
        <v>4629</v>
      </c>
    </row>
    <row r="1668" spans="1:11" ht="20" customHeight="1">
      <c r="A1668" t="s">
        <v>4628</v>
      </c>
      <c r="B1668" t="s">
        <v>440</v>
      </c>
      <c r="C1668">
        <v>385.8500061035156</v>
      </c>
      <c r="D1668">
        <v>389.9100036621094</v>
      </c>
      <c r="E1668">
        <v>385.3099975585938</v>
      </c>
      <c r="F1668">
        <v>387.1700134277344</v>
      </c>
      <c r="G1668">
        <v>358.6130676269531</v>
      </c>
      <c r="H1668">
        <v>113633600</v>
      </c>
      <c r="I1668" t="s">
        <v>441</v>
      </c>
      <c r="J1668" t="s">
        <v>442</v>
      </c>
      <c r="K1668" t="s">
        <v>4629</v>
      </c>
    </row>
    <row r="1669" spans="1:11" ht="20" customHeight="1">
      <c r="A1669" t="s">
        <v>4628</v>
      </c>
      <c r="B1669" t="s">
        <v>443</v>
      </c>
      <c r="C1669">
        <v>389.6900024414062</v>
      </c>
      <c r="D1669">
        <v>391.3999938964844</v>
      </c>
      <c r="E1669">
        <v>388.1700134277344</v>
      </c>
      <c r="F1669">
        <v>389.5799865722656</v>
      </c>
      <c r="G1669">
        <v>360.8452758789062</v>
      </c>
      <c r="H1669">
        <v>109899400</v>
      </c>
      <c r="I1669" t="s">
        <v>444</v>
      </c>
      <c r="J1669" t="s">
        <v>445</v>
      </c>
      <c r="K1669" t="s">
        <v>4629</v>
      </c>
    </row>
    <row r="1670" spans="1:11" ht="20" customHeight="1">
      <c r="A1670" t="s">
        <v>4628</v>
      </c>
      <c r="B1670" t="s">
        <v>446</v>
      </c>
      <c r="C1670">
        <v>392.2300109863281</v>
      </c>
      <c r="D1670">
        <v>395.6499938964844</v>
      </c>
      <c r="E1670">
        <v>391.739990234375</v>
      </c>
      <c r="F1670">
        <v>393.5299987792969</v>
      </c>
      <c r="G1670">
        <v>364.5038757324219</v>
      </c>
      <c r="H1670">
        <v>86245000</v>
      </c>
      <c r="I1670" t="s">
        <v>447</v>
      </c>
      <c r="J1670" t="s">
        <v>448</v>
      </c>
      <c r="K1670" t="s">
        <v>4629</v>
      </c>
    </row>
    <row r="1671" spans="1:11" ht="20" customHeight="1">
      <c r="A1671" t="s">
        <v>4628</v>
      </c>
      <c r="B1671" t="s">
        <v>449</v>
      </c>
      <c r="C1671">
        <v>392.0700073242188</v>
      </c>
      <c r="D1671">
        <v>394.2099914550781</v>
      </c>
      <c r="E1671">
        <v>391.2000122070312</v>
      </c>
      <c r="F1671">
        <v>394.0599975585938</v>
      </c>
      <c r="G1671">
        <v>364.9948425292969</v>
      </c>
      <c r="H1671">
        <v>64653600</v>
      </c>
      <c r="I1671" t="s">
        <v>450</v>
      </c>
      <c r="J1671" t="s">
        <v>451</v>
      </c>
      <c r="K1671" t="s">
        <v>4629</v>
      </c>
    </row>
    <row r="1672" spans="1:11" ht="20" customHeight="1">
      <c r="A1672" t="s">
        <v>4628</v>
      </c>
      <c r="B1672" t="s">
        <v>452</v>
      </c>
      <c r="C1672">
        <v>394.3299865722656</v>
      </c>
      <c r="D1672">
        <v>396.6900024414062</v>
      </c>
      <c r="E1672">
        <v>392.0299987792969</v>
      </c>
      <c r="F1672">
        <v>396.4100036621094</v>
      </c>
      <c r="G1672">
        <v>367.1715087890625</v>
      </c>
      <c r="H1672">
        <v>73427200</v>
      </c>
      <c r="I1672" t="s">
        <v>453</v>
      </c>
      <c r="J1672" t="s">
        <v>454</v>
      </c>
      <c r="K1672" t="s">
        <v>4629</v>
      </c>
    </row>
    <row r="1673" spans="1:11" ht="20" customHeight="1">
      <c r="A1673" t="s">
        <v>4628</v>
      </c>
      <c r="B1673" t="s">
        <v>455</v>
      </c>
      <c r="C1673">
        <v>397.0700073242188</v>
      </c>
      <c r="D1673">
        <v>397.8299865722656</v>
      </c>
      <c r="E1673">
        <v>395.0799865722656</v>
      </c>
      <c r="F1673">
        <v>395.9100036621094</v>
      </c>
      <c r="G1673">
        <v>366.7082824707031</v>
      </c>
      <c r="H1673">
        <v>73722500</v>
      </c>
      <c r="I1673" t="s">
        <v>456</v>
      </c>
      <c r="J1673" t="s">
        <v>457</v>
      </c>
      <c r="K1673" t="s">
        <v>4629</v>
      </c>
    </row>
    <row r="1674" spans="1:11" ht="20" customHeight="1">
      <c r="A1674" t="s">
        <v>4628</v>
      </c>
      <c r="B1674" t="s">
        <v>458</v>
      </c>
      <c r="C1674">
        <v>394.5299987792969</v>
      </c>
      <c r="D1674">
        <v>398.1199951171875</v>
      </c>
      <c r="E1674">
        <v>393.2999877929688</v>
      </c>
      <c r="F1674">
        <v>397.260009765625</v>
      </c>
      <c r="G1674">
        <v>367.9588012695312</v>
      </c>
      <c r="H1674">
        <v>97959300</v>
      </c>
      <c r="I1674" t="s">
        <v>459</v>
      </c>
      <c r="J1674" t="s">
        <v>460</v>
      </c>
      <c r="K1674" t="s">
        <v>4629</v>
      </c>
    </row>
    <row r="1675" spans="1:11" ht="20" customHeight="1">
      <c r="A1675" t="s">
        <v>4628</v>
      </c>
      <c r="B1675" t="s">
        <v>461</v>
      </c>
      <c r="C1675">
        <v>394.4800109863281</v>
      </c>
      <c r="D1675">
        <v>396.7200012207031</v>
      </c>
      <c r="E1675">
        <v>390.75</v>
      </c>
      <c r="F1675">
        <v>391.4800109863281</v>
      </c>
      <c r="G1675">
        <v>362.6051025390625</v>
      </c>
      <c r="H1675">
        <v>115349100</v>
      </c>
      <c r="I1675" t="s">
        <v>462</v>
      </c>
      <c r="J1675" t="s">
        <v>463</v>
      </c>
      <c r="K1675" t="s">
        <v>4629</v>
      </c>
    </row>
    <row r="1676" spans="1:11" ht="20" customHeight="1">
      <c r="A1676" t="s">
        <v>4628</v>
      </c>
      <c r="B1676" t="s">
        <v>464</v>
      </c>
      <c r="C1676">
        <v>389.8800048828125</v>
      </c>
      <c r="D1676">
        <v>391.5700073242188</v>
      </c>
      <c r="E1676">
        <v>387.1499938964844</v>
      </c>
      <c r="F1676">
        <v>389.4800109863281</v>
      </c>
      <c r="G1676">
        <v>361.9342041015625</v>
      </c>
      <c r="H1676">
        <v>113624500</v>
      </c>
      <c r="I1676" t="s">
        <v>465</v>
      </c>
      <c r="J1676" t="s">
        <v>466</v>
      </c>
      <c r="K1676" t="s">
        <v>4629</v>
      </c>
    </row>
    <row r="1677" spans="1:11" ht="20" customHeight="1">
      <c r="A1677" t="s">
        <v>4628</v>
      </c>
      <c r="B1677" t="s">
        <v>467</v>
      </c>
      <c r="C1677">
        <v>390.0299987792969</v>
      </c>
      <c r="D1677">
        <v>394.0700073242188</v>
      </c>
      <c r="E1677">
        <v>389.9700012207031</v>
      </c>
      <c r="F1677">
        <v>392.5899963378906</v>
      </c>
      <c r="G1677">
        <v>364.8242797851562</v>
      </c>
      <c r="H1677">
        <v>73778600</v>
      </c>
      <c r="I1677" t="s">
        <v>468</v>
      </c>
      <c r="J1677" t="s">
        <v>469</v>
      </c>
      <c r="K1677" t="s">
        <v>4629</v>
      </c>
    </row>
    <row r="1678" spans="1:11" ht="20" customHeight="1">
      <c r="A1678" t="s">
        <v>4628</v>
      </c>
      <c r="B1678" t="s">
        <v>470</v>
      </c>
      <c r="C1678">
        <v>391.9100036621094</v>
      </c>
      <c r="D1678">
        <v>393.4599914550781</v>
      </c>
      <c r="E1678">
        <v>388.6600036621094</v>
      </c>
      <c r="F1678">
        <v>389.5</v>
      </c>
      <c r="G1678">
        <v>361.9528503417969</v>
      </c>
      <c r="H1678">
        <v>90686600</v>
      </c>
      <c r="I1678" t="s">
        <v>471</v>
      </c>
      <c r="J1678" t="s">
        <v>472</v>
      </c>
      <c r="K1678" t="s">
        <v>4629</v>
      </c>
    </row>
    <row r="1679" spans="1:11" ht="20" customHeight="1">
      <c r="A1679" t="s">
        <v>4628</v>
      </c>
      <c r="B1679" t="s">
        <v>473</v>
      </c>
      <c r="C1679">
        <v>391</v>
      </c>
      <c r="D1679">
        <v>392.75</v>
      </c>
      <c r="E1679">
        <v>387.4700012207031</v>
      </c>
      <c r="F1679">
        <v>387.5199890136719</v>
      </c>
      <c r="G1679">
        <v>360.1127624511719</v>
      </c>
      <c r="H1679">
        <v>97588600</v>
      </c>
      <c r="I1679" t="s">
        <v>474</v>
      </c>
      <c r="J1679" t="s">
        <v>475</v>
      </c>
      <c r="K1679" t="s">
        <v>4629</v>
      </c>
    </row>
    <row r="1680" spans="1:11" ht="20" customHeight="1">
      <c r="A1680" t="s">
        <v>4628</v>
      </c>
      <c r="B1680" t="s">
        <v>476</v>
      </c>
      <c r="C1680">
        <v>385.9800109863281</v>
      </c>
      <c r="D1680">
        <v>390.5499877929688</v>
      </c>
      <c r="E1680">
        <v>383.8999938964844</v>
      </c>
      <c r="F1680">
        <v>389.7000122070312</v>
      </c>
      <c r="G1680">
        <v>362.138671875</v>
      </c>
      <c r="H1680">
        <v>116128600</v>
      </c>
      <c r="I1680" t="s">
        <v>477</v>
      </c>
      <c r="J1680" t="s">
        <v>478</v>
      </c>
      <c r="K1680" t="s">
        <v>4629</v>
      </c>
    </row>
    <row r="1681" spans="1:11" ht="20" customHeight="1">
      <c r="A1681" t="s">
        <v>4628</v>
      </c>
      <c r="B1681" t="s">
        <v>479</v>
      </c>
      <c r="C1681">
        <v>390.9299926757812</v>
      </c>
      <c r="D1681">
        <v>396.4100036621094</v>
      </c>
      <c r="E1681">
        <v>390.2900085449219</v>
      </c>
      <c r="F1681">
        <v>395.9800109863281</v>
      </c>
      <c r="G1681">
        <v>367.9745483398438</v>
      </c>
      <c r="H1681">
        <v>114409100</v>
      </c>
      <c r="I1681" t="s">
        <v>480</v>
      </c>
      <c r="J1681" t="s">
        <v>481</v>
      </c>
      <c r="K1681" t="s">
        <v>4629</v>
      </c>
    </row>
    <row r="1682" spans="1:11" ht="20" customHeight="1">
      <c r="A1682" t="s">
        <v>4628</v>
      </c>
      <c r="B1682" t="s">
        <v>482</v>
      </c>
      <c r="C1682">
        <v>394.3999938964844</v>
      </c>
      <c r="D1682">
        <v>396.75</v>
      </c>
      <c r="E1682">
        <v>392.8099975585938</v>
      </c>
      <c r="F1682">
        <v>395.7799987792969</v>
      </c>
      <c r="G1682">
        <v>367.7886352539062</v>
      </c>
      <c r="H1682">
        <v>108107600</v>
      </c>
      <c r="I1682" t="s">
        <v>483</v>
      </c>
      <c r="J1682" t="s">
        <v>484</v>
      </c>
      <c r="K1682" t="s">
        <v>4629</v>
      </c>
    </row>
    <row r="1683" spans="1:11" ht="20" customHeight="1">
      <c r="A1683" t="s">
        <v>4628</v>
      </c>
      <c r="B1683" t="s">
        <v>485</v>
      </c>
      <c r="C1683">
        <v>394.4200134277344</v>
      </c>
      <c r="D1683">
        <v>395.4500122070312</v>
      </c>
      <c r="E1683">
        <v>393.0199890136719</v>
      </c>
      <c r="F1683">
        <v>394.7300109863281</v>
      </c>
      <c r="G1683">
        <v>366.8128356933594</v>
      </c>
      <c r="H1683">
        <v>76262200</v>
      </c>
      <c r="I1683" t="s">
        <v>486</v>
      </c>
      <c r="J1683" t="s">
        <v>487</v>
      </c>
      <c r="K1683" t="s">
        <v>4629</v>
      </c>
    </row>
    <row r="1684" spans="1:11" ht="20" customHeight="1">
      <c r="A1684" t="s">
        <v>4628</v>
      </c>
      <c r="B1684" t="s">
        <v>488</v>
      </c>
      <c r="C1684">
        <v>395.3399963378906</v>
      </c>
      <c r="D1684">
        <v>398</v>
      </c>
      <c r="E1684">
        <v>395.3099975585938</v>
      </c>
      <c r="F1684">
        <v>396.3299865722656</v>
      </c>
      <c r="G1684">
        <v>368.2996826171875</v>
      </c>
      <c r="H1684">
        <v>112734200</v>
      </c>
      <c r="I1684" t="s">
        <v>489</v>
      </c>
      <c r="J1684" t="s">
        <v>490</v>
      </c>
      <c r="K1684" t="s">
        <v>4629</v>
      </c>
    </row>
    <row r="1685" spans="1:11" ht="20" customHeight="1">
      <c r="A1685" t="s">
        <v>4628</v>
      </c>
      <c r="B1685" t="s">
        <v>491</v>
      </c>
      <c r="C1685">
        <v>398.3999938964844</v>
      </c>
      <c r="D1685">
        <v>400.6700134277344</v>
      </c>
      <c r="E1685">
        <v>398.1799926757812</v>
      </c>
      <c r="F1685">
        <v>400.6099853515625</v>
      </c>
      <c r="G1685">
        <v>372.2770080566406</v>
      </c>
      <c r="H1685">
        <v>99682900</v>
      </c>
      <c r="I1685" t="s">
        <v>492</v>
      </c>
      <c r="J1685" t="s">
        <v>493</v>
      </c>
      <c r="K1685" t="s">
        <v>4629</v>
      </c>
    </row>
    <row r="1686" spans="1:11" ht="20" customHeight="1">
      <c r="A1686" t="s">
        <v>4628</v>
      </c>
      <c r="B1686" t="s">
        <v>494</v>
      </c>
      <c r="C1686">
        <v>403.4599914550781</v>
      </c>
      <c r="D1686">
        <v>406.9400024414062</v>
      </c>
      <c r="E1686">
        <v>403.3800048828125</v>
      </c>
      <c r="F1686">
        <v>406.3599853515625</v>
      </c>
      <c r="G1686">
        <v>377.6203308105469</v>
      </c>
      <c r="H1686">
        <v>91684800</v>
      </c>
      <c r="I1686" t="s">
        <v>495</v>
      </c>
      <c r="J1686" t="s">
        <v>496</v>
      </c>
      <c r="K1686" t="s">
        <v>4629</v>
      </c>
    </row>
    <row r="1687" spans="1:11" ht="20" customHeight="1">
      <c r="A1687" t="s">
        <v>4628</v>
      </c>
      <c r="B1687" t="s">
        <v>497</v>
      </c>
      <c r="C1687">
        <v>405.760009765625</v>
      </c>
      <c r="D1687">
        <v>407.239990234375</v>
      </c>
      <c r="E1687">
        <v>405.3999938964844</v>
      </c>
      <c r="F1687">
        <v>406.1199951171875</v>
      </c>
      <c r="G1687">
        <v>377.3973693847656</v>
      </c>
      <c r="H1687">
        <v>62021000</v>
      </c>
      <c r="I1687" t="s">
        <v>498</v>
      </c>
      <c r="J1687" t="s">
        <v>499</v>
      </c>
      <c r="K1687" t="s">
        <v>4629</v>
      </c>
    </row>
    <row r="1688" spans="1:11" ht="20" customHeight="1">
      <c r="A1688" t="s">
        <v>4628</v>
      </c>
      <c r="B1688" t="s">
        <v>500</v>
      </c>
      <c r="C1688">
        <v>405.9400024414062</v>
      </c>
      <c r="D1688">
        <v>406.9599914550781</v>
      </c>
      <c r="E1688">
        <v>405.4500122070312</v>
      </c>
      <c r="F1688">
        <v>406.5899963378906</v>
      </c>
      <c r="G1688">
        <v>377.8341369628906</v>
      </c>
      <c r="H1688">
        <v>55836300</v>
      </c>
      <c r="I1688" t="s">
        <v>501</v>
      </c>
      <c r="J1688" t="s">
        <v>502</v>
      </c>
      <c r="K1688" t="s">
        <v>4629</v>
      </c>
    </row>
    <row r="1689" spans="1:11" ht="20" customHeight="1">
      <c r="A1689" t="s">
        <v>4628</v>
      </c>
      <c r="B1689" t="s">
        <v>503</v>
      </c>
      <c r="C1689">
        <v>407.9299926757812</v>
      </c>
      <c r="D1689">
        <v>408.5799865722656</v>
      </c>
      <c r="E1689">
        <v>406.9299926757812</v>
      </c>
      <c r="F1689">
        <v>408.5199890136719</v>
      </c>
      <c r="G1689">
        <v>379.6275939941406</v>
      </c>
      <c r="H1689">
        <v>57863100</v>
      </c>
      <c r="I1689" t="s">
        <v>504</v>
      </c>
      <c r="J1689" t="s">
        <v>505</v>
      </c>
      <c r="K1689" t="s">
        <v>4629</v>
      </c>
    </row>
    <row r="1690" spans="1:11" ht="20" customHeight="1">
      <c r="A1690" t="s">
        <v>4628</v>
      </c>
      <c r="B1690" t="s">
        <v>506</v>
      </c>
      <c r="C1690">
        <v>408.3900146484375</v>
      </c>
      <c r="D1690">
        <v>411.6700134277344</v>
      </c>
      <c r="E1690">
        <v>408.260009765625</v>
      </c>
      <c r="F1690">
        <v>411.489990234375</v>
      </c>
      <c r="G1690">
        <v>382.3875732421875</v>
      </c>
      <c r="H1690">
        <v>61104600</v>
      </c>
      <c r="I1690" t="s">
        <v>507</v>
      </c>
      <c r="J1690" t="s">
        <v>508</v>
      </c>
      <c r="K1690" t="s">
        <v>4629</v>
      </c>
    </row>
    <row r="1691" spans="1:11" ht="20" customHeight="1">
      <c r="A1691" t="s">
        <v>4628</v>
      </c>
      <c r="B1691" t="s">
        <v>509</v>
      </c>
      <c r="C1691">
        <v>410.8500061035156</v>
      </c>
      <c r="D1691">
        <v>411.9299926757812</v>
      </c>
      <c r="E1691">
        <v>410.2000122070312</v>
      </c>
      <c r="F1691">
        <v>411.6400146484375</v>
      </c>
      <c r="G1691">
        <v>382.5269775390625</v>
      </c>
      <c r="H1691">
        <v>56704900</v>
      </c>
      <c r="I1691" t="s">
        <v>510</v>
      </c>
      <c r="J1691" t="s">
        <v>511</v>
      </c>
      <c r="K1691" t="s">
        <v>4629</v>
      </c>
    </row>
    <row r="1692" spans="1:11" ht="20" customHeight="1">
      <c r="A1692" t="s">
        <v>4628</v>
      </c>
      <c r="B1692" t="s">
        <v>512</v>
      </c>
      <c r="C1692">
        <v>411.5299987792969</v>
      </c>
      <c r="D1692">
        <v>413.5299987792969</v>
      </c>
      <c r="E1692">
        <v>411.1199951171875</v>
      </c>
      <c r="F1692">
        <v>412.8599853515625</v>
      </c>
      <c r="G1692">
        <v>383.6606140136719</v>
      </c>
      <c r="H1692">
        <v>56551000</v>
      </c>
      <c r="I1692" t="s">
        <v>513</v>
      </c>
      <c r="J1692" t="s">
        <v>514</v>
      </c>
      <c r="K1692" t="s">
        <v>4629</v>
      </c>
    </row>
    <row r="1693" spans="1:11" ht="20" customHeight="1">
      <c r="A1693" t="s">
        <v>4628</v>
      </c>
      <c r="B1693" t="s">
        <v>515</v>
      </c>
      <c r="C1693">
        <v>412.8299865722656</v>
      </c>
      <c r="D1693">
        <v>413.9599914550781</v>
      </c>
      <c r="E1693">
        <v>410.8699951171875</v>
      </c>
      <c r="F1693">
        <v>411.4500122070312</v>
      </c>
      <c r="G1693">
        <v>382.3504028320312</v>
      </c>
      <c r="H1693">
        <v>61659900</v>
      </c>
      <c r="I1693" t="s">
        <v>516</v>
      </c>
      <c r="J1693" t="s">
        <v>517</v>
      </c>
      <c r="K1693" t="s">
        <v>4629</v>
      </c>
    </row>
    <row r="1694" spans="1:11" ht="20" customHeight="1">
      <c r="A1694" t="s">
        <v>4628</v>
      </c>
      <c r="B1694" t="s">
        <v>518</v>
      </c>
      <c r="C1694">
        <v>413.739990234375</v>
      </c>
      <c r="D1694">
        <v>416.1600036621094</v>
      </c>
      <c r="E1694">
        <v>413.6900024414062</v>
      </c>
      <c r="F1694">
        <v>415.8699951171875</v>
      </c>
      <c r="G1694">
        <v>386.4577331542969</v>
      </c>
      <c r="H1694">
        <v>60229800</v>
      </c>
      <c r="I1694" t="s">
        <v>519</v>
      </c>
      <c r="J1694" t="s">
        <v>520</v>
      </c>
      <c r="K1694" t="s">
        <v>4629</v>
      </c>
    </row>
    <row r="1695" spans="1:11" ht="20" customHeight="1">
      <c r="A1695" t="s">
        <v>4628</v>
      </c>
      <c r="B1695" t="s">
        <v>521</v>
      </c>
      <c r="C1695">
        <v>417.25</v>
      </c>
      <c r="D1695">
        <v>417.9100036621094</v>
      </c>
      <c r="E1695">
        <v>415.7300109863281</v>
      </c>
      <c r="F1695">
        <v>417.260009765625</v>
      </c>
      <c r="G1695">
        <v>387.7493896484375</v>
      </c>
      <c r="H1695">
        <v>82037300</v>
      </c>
      <c r="I1695" t="s">
        <v>522</v>
      </c>
      <c r="J1695" t="s">
        <v>523</v>
      </c>
      <c r="K1695" t="s">
        <v>4629</v>
      </c>
    </row>
    <row r="1696" spans="1:11" ht="20" customHeight="1">
      <c r="A1696" t="s">
        <v>4628</v>
      </c>
      <c r="B1696" t="s">
        <v>524</v>
      </c>
      <c r="C1696">
        <v>416.260009765625</v>
      </c>
      <c r="D1696">
        <v>416.739990234375</v>
      </c>
      <c r="E1696">
        <v>413.7900085449219</v>
      </c>
      <c r="F1696">
        <v>415.2099914550781</v>
      </c>
      <c r="G1696">
        <v>385.8444519042969</v>
      </c>
      <c r="H1696">
        <v>78498500</v>
      </c>
      <c r="I1696" t="s">
        <v>525</v>
      </c>
      <c r="J1696" t="s">
        <v>526</v>
      </c>
      <c r="K1696" t="s">
        <v>4629</v>
      </c>
    </row>
    <row r="1697" spans="1:11" ht="20" customHeight="1">
      <c r="A1697" t="s">
        <v>4628</v>
      </c>
      <c r="B1697" t="s">
        <v>527</v>
      </c>
      <c r="C1697">
        <v>413.9100036621094</v>
      </c>
      <c r="D1697">
        <v>415.0899963378906</v>
      </c>
      <c r="E1697">
        <v>410.5899963378906</v>
      </c>
      <c r="F1697">
        <v>412.1700134277344</v>
      </c>
      <c r="G1697">
        <v>383.0194091796875</v>
      </c>
      <c r="H1697">
        <v>81851800</v>
      </c>
      <c r="I1697" t="s">
        <v>528</v>
      </c>
      <c r="J1697" t="s">
        <v>529</v>
      </c>
      <c r="K1697" t="s">
        <v>4629</v>
      </c>
    </row>
    <row r="1698" spans="1:11" ht="20" customHeight="1">
      <c r="A1698" t="s">
        <v>4628</v>
      </c>
      <c r="B1698" t="s">
        <v>530</v>
      </c>
      <c r="C1698">
        <v>411.510009765625</v>
      </c>
      <c r="D1698">
        <v>416.2900085449219</v>
      </c>
      <c r="E1698">
        <v>411.3599853515625</v>
      </c>
      <c r="F1698">
        <v>416.0700073242188</v>
      </c>
      <c r="G1698">
        <v>386.6436157226562</v>
      </c>
      <c r="H1698">
        <v>66793000</v>
      </c>
      <c r="I1698" t="s">
        <v>531</v>
      </c>
      <c r="J1698" t="s">
        <v>532</v>
      </c>
      <c r="K1698" t="s">
        <v>4629</v>
      </c>
    </row>
    <row r="1699" spans="1:11" ht="20" customHeight="1">
      <c r="A1699" t="s">
        <v>4628</v>
      </c>
      <c r="B1699" t="s">
        <v>533</v>
      </c>
      <c r="C1699">
        <v>415.8900146484375</v>
      </c>
      <c r="D1699">
        <v>416.7799987792969</v>
      </c>
      <c r="E1699">
        <v>411.1300048828125</v>
      </c>
      <c r="F1699">
        <v>412.2699890136719</v>
      </c>
      <c r="G1699">
        <v>383.1123962402344</v>
      </c>
      <c r="H1699">
        <v>97582800</v>
      </c>
      <c r="I1699" t="s">
        <v>534</v>
      </c>
      <c r="J1699" t="s">
        <v>535</v>
      </c>
      <c r="K1699" t="s">
        <v>4629</v>
      </c>
    </row>
    <row r="1700" spans="1:11" ht="20" customHeight="1">
      <c r="A1700" t="s">
        <v>4628</v>
      </c>
      <c r="B1700" t="s">
        <v>536</v>
      </c>
      <c r="C1700">
        <v>412.8699951171875</v>
      </c>
      <c r="D1700">
        <v>418.25</v>
      </c>
      <c r="E1700">
        <v>412.7900085449219</v>
      </c>
      <c r="F1700">
        <v>416.739990234375</v>
      </c>
      <c r="G1700">
        <v>387.2662353515625</v>
      </c>
      <c r="H1700">
        <v>73209200</v>
      </c>
      <c r="I1700" t="s">
        <v>537</v>
      </c>
      <c r="J1700" t="s">
        <v>538</v>
      </c>
      <c r="K1700" t="s">
        <v>4629</v>
      </c>
    </row>
    <row r="1701" spans="1:11" ht="20" customHeight="1">
      <c r="A1701" t="s">
        <v>4628</v>
      </c>
      <c r="B1701" t="s">
        <v>539</v>
      </c>
      <c r="C1701">
        <v>417.4400024414062</v>
      </c>
      <c r="D1701">
        <v>418.2200012207031</v>
      </c>
      <c r="E1701">
        <v>416.8099975585938</v>
      </c>
      <c r="F1701">
        <v>417.6099853515625</v>
      </c>
      <c r="G1701">
        <v>388.0746765136719</v>
      </c>
      <c r="H1701">
        <v>52182400</v>
      </c>
      <c r="I1701" t="s">
        <v>540</v>
      </c>
      <c r="J1701" t="s">
        <v>541</v>
      </c>
      <c r="K1701" t="s">
        <v>4629</v>
      </c>
    </row>
    <row r="1702" spans="1:11" ht="20" customHeight="1">
      <c r="A1702" t="s">
        <v>4628</v>
      </c>
      <c r="B1702" t="s">
        <v>542</v>
      </c>
      <c r="C1702">
        <v>417.9299926757812</v>
      </c>
      <c r="D1702">
        <v>418.1400146484375</v>
      </c>
      <c r="E1702">
        <v>416.2999877929688</v>
      </c>
      <c r="F1702">
        <v>417.5199890136719</v>
      </c>
      <c r="G1702">
        <v>387.9910583496094</v>
      </c>
      <c r="H1702">
        <v>51303100</v>
      </c>
      <c r="I1702" t="s">
        <v>543</v>
      </c>
      <c r="J1702" t="s">
        <v>544</v>
      </c>
      <c r="K1702" t="s">
        <v>4629</v>
      </c>
    </row>
    <row r="1703" spans="1:11" ht="20" customHeight="1">
      <c r="A1703" t="s">
        <v>4628</v>
      </c>
      <c r="B1703" t="s">
        <v>545</v>
      </c>
      <c r="C1703">
        <v>417.8099975585938</v>
      </c>
      <c r="D1703">
        <v>419.010009765625</v>
      </c>
      <c r="E1703">
        <v>416.8999938964844</v>
      </c>
      <c r="F1703">
        <v>417.3999938964844</v>
      </c>
      <c r="G1703">
        <v>387.8795776367188</v>
      </c>
      <c r="H1703">
        <v>51238900</v>
      </c>
      <c r="I1703" t="s">
        <v>546</v>
      </c>
      <c r="J1703" t="s">
        <v>547</v>
      </c>
      <c r="K1703" t="s">
        <v>4629</v>
      </c>
    </row>
    <row r="1704" spans="1:11" ht="20" customHeight="1">
      <c r="A1704" t="s">
        <v>4628</v>
      </c>
      <c r="B1704" t="s">
        <v>548</v>
      </c>
      <c r="C1704">
        <v>420.3200073242188</v>
      </c>
      <c r="D1704">
        <v>420.7200012207031</v>
      </c>
      <c r="E1704">
        <v>416.4400024414062</v>
      </c>
      <c r="F1704">
        <v>420.0599975585938</v>
      </c>
      <c r="G1704">
        <v>390.3513793945312</v>
      </c>
      <c r="H1704">
        <v>78544300</v>
      </c>
      <c r="I1704" t="s">
        <v>549</v>
      </c>
      <c r="J1704" t="s">
        <v>550</v>
      </c>
      <c r="K1704" t="s">
        <v>4629</v>
      </c>
    </row>
    <row r="1705" spans="1:11" ht="20" customHeight="1">
      <c r="A1705" t="s">
        <v>4628</v>
      </c>
      <c r="B1705" t="s">
        <v>551</v>
      </c>
      <c r="C1705">
        <v>417.6300048828125</v>
      </c>
      <c r="D1705">
        <v>418.5400085449219</v>
      </c>
      <c r="E1705">
        <v>416.3399963378906</v>
      </c>
      <c r="F1705">
        <v>417.2999877929688</v>
      </c>
      <c r="G1705">
        <v>387.78662109375</v>
      </c>
      <c r="H1705">
        <v>85527000</v>
      </c>
      <c r="I1705" t="s">
        <v>552</v>
      </c>
      <c r="J1705" t="s">
        <v>553</v>
      </c>
      <c r="K1705" t="s">
        <v>4629</v>
      </c>
    </row>
    <row r="1706" spans="1:11" ht="20" customHeight="1">
      <c r="A1706" t="s">
        <v>4628</v>
      </c>
      <c r="B1706" t="s">
        <v>554</v>
      </c>
      <c r="C1706">
        <v>419.4299926757812</v>
      </c>
      <c r="D1706">
        <v>419.8399963378906</v>
      </c>
      <c r="E1706">
        <v>417.6700134277344</v>
      </c>
      <c r="F1706">
        <v>418.2000122070312</v>
      </c>
      <c r="G1706">
        <v>388.6229858398438</v>
      </c>
      <c r="H1706">
        <v>68128300</v>
      </c>
      <c r="I1706" t="s">
        <v>555</v>
      </c>
      <c r="J1706" t="s">
        <v>556</v>
      </c>
      <c r="K1706" t="s">
        <v>4629</v>
      </c>
    </row>
    <row r="1707" spans="1:11" ht="20" customHeight="1">
      <c r="A1707" t="s">
        <v>4628</v>
      </c>
      <c r="B1707" t="s">
        <v>557</v>
      </c>
      <c r="C1707">
        <v>416.0700073242188</v>
      </c>
      <c r="D1707">
        <v>416.6000061035156</v>
      </c>
      <c r="E1707">
        <v>411.6700134277344</v>
      </c>
      <c r="F1707">
        <v>415.6199951171875</v>
      </c>
      <c r="G1707">
        <v>386.2254638671875</v>
      </c>
      <c r="H1707">
        <v>101591200</v>
      </c>
      <c r="I1707" t="s">
        <v>558</v>
      </c>
      <c r="J1707" t="s">
        <v>559</v>
      </c>
      <c r="K1707" t="s">
        <v>4629</v>
      </c>
    </row>
    <row r="1708" spans="1:11" ht="20" customHeight="1">
      <c r="A1708" t="s">
        <v>4628</v>
      </c>
      <c r="B1708" t="s">
        <v>560</v>
      </c>
      <c r="C1708">
        <v>417.3800048828125</v>
      </c>
      <c r="D1708">
        <v>417.6300048828125</v>
      </c>
      <c r="E1708">
        <v>415.1499938964844</v>
      </c>
      <c r="F1708">
        <v>415.75</v>
      </c>
      <c r="G1708">
        <v>386.3462524414062</v>
      </c>
      <c r="H1708">
        <v>60162200</v>
      </c>
      <c r="I1708" t="s">
        <v>561</v>
      </c>
      <c r="J1708" t="s">
        <v>562</v>
      </c>
      <c r="K1708" t="s">
        <v>4629</v>
      </c>
    </row>
    <row r="1709" spans="1:11" ht="20" customHeight="1">
      <c r="A1709" t="s">
        <v>4628</v>
      </c>
      <c r="B1709" t="s">
        <v>563</v>
      </c>
      <c r="C1709">
        <v>415.8299865722656</v>
      </c>
      <c r="D1709">
        <v>419.2099914550781</v>
      </c>
      <c r="E1709">
        <v>413.6799926757812</v>
      </c>
      <c r="F1709">
        <v>419.0700073242188</v>
      </c>
      <c r="G1709">
        <v>389.4314575195312</v>
      </c>
      <c r="H1709">
        <v>74321400</v>
      </c>
      <c r="I1709" t="s">
        <v>564</v>
      </c>
      <c r="J1709" t="s">
        <v>565</v>
      </c>
      <c r="K1709" t="s">
        <v>4629</v>
      </c>
    </row>
    <row r="1710" spans="1:11" ht="20" customHeight="1">
      <c r="A1710" t="s">
        <v>4628</v>
      </c>
      <c r="B1710" t="s">
        <v>566</v>
      </c>
      <c r="C1710">
        <v>419.8900146484375</v>
      </c>
      <c r="D1710">
        <v>422.8200073242188</v>
      </c>
      <c r="E1710">
        <v>419.1600036621094</v>
      </c>
      <c r="F1710">
        <v>422.1199951171875</v>
      </c>
      <c r="G1710">
        <v>392.2657775878906</v>
      </c>
      <c r="H1710">
        <v>67733800</v>
      </c>
      <c r="I1710" t="s">
        <v>567</v>
      </c>
      <c r="J1710" t="s">
        <v>568</v>
      </c>
      <c r="K1710" t="s">
        <v>4629</v>
      </c>
    </row>
    <row r="1711" spans="1:11" ht="20" customHeight="1">
      <c r="A1711" t="s">
        <v>4628</v>
      </c>
      <c r="B1711" t="s">
        <v>569</v>
      </c>
      <c r="C1711">
        <v>422.5</v>
      </c>
      <c r="D1711">
        <v>422.739990234375</v>
      </c>
      <c r="E1711">
        <v>417.8099975585938</v>
      </c>
      <c r="F1711">
        <v>417.9400024414062</v>
      </c>
      <c r="G1711">
        <v>388.3813781738281</v>
      </c>
      <c r="H1711">
        <v>81852400</v>
      </c>
      <c r="I1711" t="s">
        <v>570</v>
      </c>
      <c r="J1711" t="s">
        <v>571</v>
      </c>
      <c r="K1711" t="s">
        <v>4629</v>
      </c>
    </row>
    <row r="1712" spans="1:11" ht="20" customHeight="1">
      <c r="A1712" t="s">
        <v>4628</v>
      </c>
      <c r="B1712" t="s">
        <v>572</v>
      </c>
      <c r="C1712">
        <v>413.1000061035156</v>
      </c>
      <c r="D1712">
        <v>415.2699890136719</v>
      </c>
      <c r="E1712">
        <v>410.0599975585938</v>
      </c>
      <c r="F1712">
        <v>414.2099914550781</v>
      </c>
      <c r="G1712">
        <v>384.9151611328125</v>
      </c>
      <c r="H1712">
        <v>116888000</v>
      </c>
      <c r="I1712" t="s">
        <v>573</v>
      </c>
      <c r="J1712" t="s">
        <v>574</v>
      </c>
      <c r="K1712" t="s">
        <v>4629</v>
      </c>
    </row>
    <row r="1713" spans="1:11" ht="20" customHeight="1">
      <c r="A1713" t="s">
        <v>4628</v>
      </c>
      <c r="B1713" t="s">
        <v>575</v>
      </c>
      <c r="C1713">
        <v>411.2300109863281</v>
      </c>
      <c r="D1713">
        <v>412.5899963378906</v>
      </c>
      <c r="E1713">
        <v>404</v>
      </c>
      <c r="F1713">
        <v>405.4100036621094</v>
      </c>
      <c r="G1713">
        <v>376.7375183105469</v>
      </c>
      <c r="H1713">
        <v>134811000</v>
      </c>
      <c r="I1713" t="s">
        <v>576</v>
      </c>
      <c r="J1713" t="s">
        <v>577</v>
      </c>
      <c r="K1713" t="s">
        <v>4629</v>
      </c>
    </row>
    <row r="1714" spans="1:11" ht="20" customHeight="1">
      <c r="A1714" t="s">
        <v>4628</v>
      </c>
      <c r="B1714" t="s">
        <v>578</v>
      </c>
      <c r="C1714">
        <v>407.0700073242188</v>
      </c>
      <c r="D1714">
        <v>412.3500061035156</v>
      </c>
      <c r="E1714">
        <v>407.0199890136719</v>
      </c>
      <c r="F1714">
        <v>410.2799987792969</v>
      </c>
      <c r="G1714">
        <v>381.2631225585938</v>
      </c>
      <c r="H1714">
        <v>106394000</v>
      </c>
      <c r="I1714" t="s">
        <v>579</v>
      </c>
      <c r="J1714" t="s">
        <v>580</v>
      </c>
      <c r="K1714" t="s">
        <v>4629</v>
      </c>
    </row>
    <row r="1715" spans="1:11" ht="20" customHeight="1">
      <c r="A1715" t="s">
        <v>4628</v>
      </c>
      <c r="B1715" t="s">
        <v>581</v>
      </c>
      <c r="C1715">
        <v>413.2099914550781</v>
      </c>
      <c r="D1715">
        <v>417.489990234375</v>
      </c>
      <c r="E1715">
        <v>413.1799926757812</v>
      </c>
      <c r="F1715">
        <v>416.5799865722656</v>
      </c>
      <c r="G1715">
        <v>387.1175537109375</v>
      </c>
      <c r="H1715">
        <v>82201600</v>
      </c>
      <c r="I1715" t="s">
        <v>582</v>
      </c>
      <c r="J1715" t="s">
        <v>583</v>
      </c>
      <c r="K1715" t="s">
        <v>4629</v>
      </c>
    </row>
    <row r="1716" spans="1:11" ht="20" customHeight="1">
      <c r="A1716" t="s">
        <v>4628</v>
      </c>
      <c r="B1716" t="s">
        <v>584</v>
      </c>
      <c r="C1716">
        <v>415.3900146484375</v>
      </c>
      <c r="D1716">
        <v>416.3900146484375</v>
      </c>
      <c r="E1716">
        <v>413.3599853515625</v>
      </c>
      <c r="F1716">
        <v>415.5199890136719</v>
      </c>
      <c r="G1716">
        <v>386.1325073242188</v>
      </c>
      <c r="H1716">
        <v>65129200</v>
      </c>
      <c r="I1716" t="s">
        <v>585</v>
      </c>
      <c r="J1716" t="s">
        <v>586</v>
      </c>
      <c r="K1716" t="s">
        <v>4629</v>
      </c>
    </row>
    <row r="1717" spans="1:11" ht="20" customHeight="1">
      <c r="A1717" t="s">
        <v>4628</v>
      </c>
      <c r="B1717" t="s">
        <v>587</v>
      </c>
      <c r="C1717">
        <v>415.7999877929688</v>
      </c>
      <c r="D1717">
        <v>416.0599975585938</v>
      </c>
      <c r="E1717">
        <v>411.7699890136719</v>
      </c>
      <c r="F1717">
        <v>411.9400024414062</v>
      </c>
      <c r="G1717">
        <v>382.8057250976562</v>
      </c>
      <c r="H1717">
        <v>59810200</v>
      </c>
      <c r="I1717" t="s">
        <v>588</v>
      </c>
      <c r="J1717" t="s">
        <v>589</v>
      </c>
      <c r="K1717" t="s">
        <v>4629</v>
      </c>
    </row>
    <row r="1718" spans="1:11" ht="20" customHeight="1">
      <c r="A1718" t="s">
        <v>4628</v>
      </c>
      <c r="B1718" t="s">
        <v>590</v>
      </c>
      <c r="C1718">
        <v>406.9200134277344</v>
      </c>
      <c r="D1718">
        <v>411.0499877929688</v>
      </c>
      <c r="E1718">
        <v>405.3299865722656</v>
      </c>
      <c r="F1718">
        <v>410.8599853515625</v>
      </c>
      <c r="G1718">
        <v>381.8021850585938</v>
      </c>
      <c r="H1718">
        <v>106467100</v>
      </c>
      <c r="I1718" t="s">
        <v>591</v>
      </c>
      <c r="J1718" t="s">
        <v>592</v>
      </c>
      <c r="K1718" t="s">
        <v>4629</v>
      </c>
    </row>
    <row r="1719" spans="1:11" ht="20" customHeight="1">
      <c r="A1719" t="s">
        <v>4628</v>
      </c>
      <c r="B1719" t="s">
        <v>593</v>
      </c>
      <c r="C1719">
        <v>411.7999877929688</v>
      </c>
      <c r="D1719">
        <v>416.6300048828125</v>
      </c>
      <c r="E1719">
        <v>411.6700134277344</v>
      </c>
      <c r="F1719">
        <v>415.2799987792969</v>
      </c>
      <c r="G1719">
        <v>385.9095153808594</v>
      </c>
      <c r="H1719">
        <v>78022200</v>
      </c>
      <c r="I1719" t="s">
        <v>594</v>
      </c>
      <c r="J1719" t="s">
        <v>595</v>
      </c>
      <c r="K1719" t="s">
        <v>4629</v>
      </c>
    </row>
    <row r="1720" spans="1:11" ht="20" customHeight="1">
      <c r="A1720" t="s">
        <v>4628</v>
      </c>
      <c r="B1720" t="s">
        <v>596</v>
      </c>
      <c r="C1720">
        <v>416.8699951171875</v>
      </c>
      <c r="D1720">
        <v>418.2000122070312</v>
      </c>
      <c r="E1720">
        <v>414.4500122070312</v>
      </c>
      <c r="F1720">
        <v>414.9400024414062</v>
      </c>
      <c r="G1720">
        <v>385.5935363769531</v>
      </c>
      <c r="H1720">
        <v>76578700</v>
      </c>
      <c r="I1720" t="s">
        <v>597</v>
      </c>
      <c r="J1720" t="s">
        <v>598</v>
      </c>
      <c r="K1720" t="s">
        <v>4629</v>
      </c>
    </row>
    <row r="1721" spans="1:11" ht="20" customHeight="1">
      <c r="A1721" t="s">
        <v>4628</v>
      </c>
      <c r="B1721" t="s">
        <v>599</v>
      </c>
      <c r="C1721">
        <v>417.3399963378906</v>
      </c>
      <c r="D1721">
        <v>420.3200073242188</v>
      </c>
      <c r="E1721">
        <v>417.0799865722656</v>
      </c>
      <c r="F1721">
        <v>419.1700134277344</v>
      </c>
      <c r="G1721">
        <v>389.5243835449219</v>
      </c>
      <c r="H1721">
        <v>51376700</v>
      </c>
      <c r="I1721" t="s">
        <v>600</v>
      </c>
      <c r="J1721" t="s">
        <v>601</v>
      </c>
      <c r="K1721" t="s">
        <v>4629</v>
      </c>
    </row>
    <row r="1722" spans="1:11" ht="20" customHeight="1">
      <c r="A1722" t="s">
        <v>4628</v>
      </c>
      <c r="B1722" t="s">
        <v>602</v>
      </c>
      <c r="C1722">
        <v>420.3299865722656</v>
      </c>
      <c r="D1722">
        <v>420.7099914550781</v>
      </c>
      <c r="E1722">
        <v>417.6199951171875</v>
      </c>
      <c r="F1722">
        <v>418.239990234375</v>
      </c>
      <c r="G1722">
        <v>388.66015625</v>
      </c>
      <c r="H1722">
        <v>57451400</v>
      </c>
      <c r="I1722" t="s">
        <v>603</v>
      </c>
      <c r="J1722" t="s">
        <v>604</v>
      </c>
      <c r="K1722" t="s">
        <v>4629</v>
      </c>
    </row>
    <row r="1723" spans="1:11" ht="20" customHeight="1">
      <c r="A1723" t="s">
        <v>4628</v>
      </c>
      <c r="B1723" t="s">
        <v>605</v>
      </c>
      <c r="C1723">
        <v>418.8699951171875</v>
      </c>
      <c r="D1723">
        <v>419.6099853515625</v>
      </c>
      <c r="E1723">
        <v>417.760009765625</v>
      </c>
      <c r="F1723">
        <v>419.0700073242188</v>
      </c>
      <c r="G1723">
        <v>389.4314575195312</v>
      </c>
      <c r="H1723">
        <v>43088600</v>
      </c>
      <c r="I1723" t="s">
        <v>606</v>
      </c>
      <c r="J1723" t="s">
        <v>607</v>
      </c>
      <c r="K1723" t="s">
        <v>4629</v>
      </c>
    </row>
    <row r="1724" spans="1:11" ht="20" customHeight="1">
      <c r="A1724" t="s">
        <v>4628</v>
      </c>
      <c r="B1724" t="s">
        <v>608</v>
      </c>
      <c r="C1724">
        <v>420.1700134277344</v>
      </c>
      <c r="D1724">
        <v>420.7200012207031</v>
      </c>
      <c r="E1724">
        <v>418.989990234375</v>
      </c>
      <c r="F1724">
        <v>419.2900085449219</v>
      </c>
      <c r="G1724">
        <v>389.6359558105469</v>
      </c>
      <c r="H1724">
        <v>56707700</v>
      </c>
      <c r="I1724" t="s">
        <v>609</v>
      </c>
      <c r="J1724" t="s">
        <v>610</v>
      </c>
      <c r="K1724" t="s">
        <v>4629</v>
      </c>
    </row>
    <row r="1725" spans="1:11" ht="20" customHeight="1">
      <c r="A1725" t="s">
        <v>4628</v>
      </c>
      <c r="B1725" t="s">
        <v>611</v>
      </c>
      <c r="C1725">
        <v>420.9700012207031</v>
      </c>
      <c r="D1725">
        <v>421.25</v>
      </c>
      <c r="E1725">
        <v>419.7900085449219</v>
      </c>
      <c r="F1725">
        <v>420.0400085449219</v>
      </c>
      <c r="G1725">
        <v>390.3328247070312</v>
      </c>
      <c r="H1725">
        <v>58520200</v>
      </c>
      <c r="I1725" t="s">
        <v>612</v>
      </c>
      <c r="J1725" t="s">
        <v>613</v>
      </c>
      <c r="K1725" t="s">
        <v>4629</v>
      </c>
    </row>
    <row r="1726" spans="1:11" ht="20" customHeight="1">
      <c r="A1726" t="s">
        <v>4628</v>
      </c>
      <c r="B1726" t="s">
        <v>614</v>
      </c>
      <c r="C1726">
        <v>422.5700073242188</v>
      </c>
      <c r="D1726">
        <v>422.7200012207031</v>
      </c>
      <c r="E1726">
        <v>419.2000122070312</v>
      </c>
      <c r="F1726">
        <v>419.6700134277344</v>
      </c>
      <c r="G1726">
        <v>389.9890441894531</v>
      </c>
      <c r="H1726">
        <v>54216600</v>
      </c>
      <c r="I1726" t="s">
        <v>615</v>
      </c>
      <c r="J1726" t="s">
        <v>616</v>
      </c>
      <c r="K1726" t="s">
        <v>4629</v>
      </c>
    </row>
    <row r="1727" spans="1:11" ht="20" customHeight="1">
      <c r="A1727" t="s">
        <v>4628</v>
      </c>
      <c r="B1727" t="s">
        <v>617</v>
      </c>
      <c r="C1727">
        <v>420.3699951171875</v>
      </c>
      <c r="D1727">
        <v>421.2300109863281</v>
      </c>
      <c r="E1727">
        <v>419.2900085449219</v>
      </c>
      <c r="F1727">
        <v>420.3299865722656</v>
      </c>
      <c r="G1727">
        <v>390.6023254394531</v>
      </c>
      <c r="H1727">
        <v>49097100</v>
      </c>
      <c r="I1727" t="s">
        <v>618</v>
      </c>
      <c r="J1727" t="s">
        <v>619</v>
      </c>
      <c r="K1727" t="s">
        <v>4629</v>
      </c>
    </row>
    <row r="1728" spans="1:11" ht="20" customHeight="1">
      <c r="A1728" t="s">
        <v>4628</v>
      </c>
      <c r="B1728" t="s">
        <v>620</v>
      </c>
      <c r="C1728">
        <v>417.8500061035156</v>
      </c>
      <c r="D1728">
        <v>419.989990234375</v>
      </c>
      <c r="E1728">
        <v>416.2799987792969</v>
      </c>
      <c r="F1728">
        <v>418.7699890136719</v>
      </c>
      <c r="G1728">
        <v>389.1526489257812</v>
      </c>
      <c r="H1728">
        <v>58138800</v>
      </c>
      <c r="I1728" t="s">
        <v>621</v>
      </c>
      <c r="J1728" t="s">
        <v>622</v>
      </c>
      <c r="K1728" t="s">
        <v>4629</v>
      </c>
    </row>
    <row r="1729" spans="1:11" ht="20" customHeight="1">
      <c r="A1729" t="s">
        <v>4628</v>
      </c>
      <c r="B1729" t="s">
        <v>623</v>
      </c>
      <c r="C1729">
        <v>420.75</v>
      </c>
      <c r="D1729">
        <v>422.9200134277344</v>
      </c>
      <c r="E1729">
        <v>418.8399963378906</v>
      </c>
      <c r="F1729">
        <v>422.6000061035156</v>
      </c>
      <c r="G1729">
        <v>392.7117004394531</v>
      </c>
      <c r="H1729">
        <v>55938800</v>
      </c>
      <c r="I1729" t="s">
        <v>624</v>
      </c>
      <c r="J1729" t="s">
        <v>625</v>
      </c>
      <c r="K1729" t="s">
        <v>4629</v>
      </c>
    </row>
    <row r="1730" spans="1:11" ht="20" customHeight="1">
      <c r="A1730" t="s">
        <v>4628</v>
      </c>
      <c r="B1730" t="s">
        <v>626</v>
      </c>
      <c r="C1730">
        <v>422.5899963378906</v>
      </c>
      <c r="D1730">
        <v>422.7799987792969</v>
      </c>
      <c r="E1730">
        <v>421.1900024414062</v>
      </c>
      <c r="F1730">
        <v>422.1900024414062</v>
      </c>
      <c r="G1730">
        <v>392.3307495117188</v>
      </c>
      <c r="H1730">
        <v>51555000</v>
      </c>
      <c r="I1730" t="s">
        <v>627</v>
      </c>
      <c r="J1730" t="s">
        <v>628</v>
      </c>
      <c r="K1730" t="s">
        <v>4629</v>
      </c>
    </row>
    <row r="1731" spans="1:11" ht="20" customHeight="1">
      <c r="A1731" t="s">
        <v>4628</v>
      </c>
      <c r="B1731" t="s">
        <v>629</v>
      </c>
      <c r="C1731">
        <v>423.1099853515625</v>
      </c>
      <c r="D1731">
        <v>423.2099914550781</v>
      </c>
      <c r="E1731">
        <v>420.3200073242188</v>
      </c>
      <c r="F1731">
        <v>422.2799987792969</v>
      </c>
      <c r="G1731">
        <v>392.4144287109375</v>
      </c>
      <c r="H1731">
        <v>47134300</v>
      </c>
      <c r="I1731" t="s">
        <v>630</v>
      </c>
      <c r="J1731" t="s">
        <v>631</v>
      </c>
      <c r="K1731" t="s">
        <v>4629</v>
      </c>
    </row>
    <row r="1732" spans="1:11" ht="20" customHeight="1">
      <c r="A1732" t="s">
        <v>4628</v>
      </c>
      <c r="B1732" t="s">
        <v>632</v>
      </c>
      <c r="C1732">
        <v>423.1799926757812</v>
      </c>
      <c r="D1732">
        <v>423.260009765625</v>
      </c>
      <c r="E1732">
        <v>421.4100036621094</v>
      </c>
      <c r="F1732">
        <v>421.6499938964844</v>
      </c>
      <c r="G1732">
        <v>391.8290405273438</v>
      </c>
      <c r="H1732">
        <v>48436300</v>
      </c>
      <c r="I1732" t="s">
        <v>633</v>
      </c>
      <c r="J1732" t="s">
        <v>634</v>
      </c>
      <c r="K1732" t="s">
        <v>4629</v>
      </c>
    </row>
    <row r="1733" spans="1:11" ht="20" customHeight="1">
      <c r="A1733" t="s">
        <v>4628</v>
      </c>
      <c r="B1733" t="s">
        <v>635</v>
      </c>
      <c r="C1733">
        <v>422.9599914550781</v>
      </c>
      <c r="D1733">
        <v>424.6300048828125</v>
      </c>
      <c r="E1733">
        <v>421.5499877929688</v>
      </c>
      <c r="F1733">
        <v>423.6099853515625</v>
      </c>
      <c r="G1733">
        <v>393.6503601074219</v>
      </c>
      <c r="H1733">
        <v>51020100</v>
      </c>
      <c r="I1733" t="s">
        <v>636</v>
      </c>
      <c r="J1733" t="s">
        <v>637</v>
      </c>
      <c r="K1733" t="s">
        <v>4629</v>
      </c>
    </row>
    <row r="1734" spans="1:11" ht="20" customHeight="1">
      <c r="A1734" t="s">
        <v>4628</v>
      </c>
      <c r="B1734" t="s">
        <v>638</v>
      </c>
      <c r="C1734">
        <v>424.2000122070312</v>
      </c>
      <c r="D1734">
        <v>424.4299926757812</v>
      </c>
      <c r="E1734">
        <v>422.8200073242188</v>
      </c>
      <c r="F1734">
        <v>424.3099975585938</v>
      </c>
      <c r="G1734">
        <v>394.3008117675781</v>
      </c>
      <c r="H1734">
        <v>45570800</v>
      </c>
      <c r="I1734" t="s">
        <v>639</v>
      </c>
      <c r="J1734" t="s">
        <v>640</v>
      </c>
      <c r="K1734" t="s">
        <v>4629</v>
      </c>
    </row>
    <row r="1735" spans="1:11" ht="20" customHeight="1">
      <c r="A1735" t="s">
        <v>4628</v>
      </c>
      <c r="B1735" t="s">
        <v>641</v>
      </c>
      <c r="C1735">
        <v>424.4299926757812</v>
      </c>
      <c r="D1735">
        <v>425.3699951171875</v>
      </c>
      <c r="E1735">
        <v>423.1000061035156</v>
      </c>
      <c r="F1735">
        <v>425.260009765625</v>
      </c>
      <c r="G1735">
        <v>395.1837158203125</v>
      </c>
      <c r="H1735">
        <v>42358500</v>
      </c>
      <c r="I1735" t="s">
        <v>642</v>
      </c>
      <c r="J1735" t="s">
        <v>643</v>
      </c>
      <c r="K1735" t="s">
        <v>4629</v>
      </c>
    </row>
    <row r="1736" spans="1:11" ht="20" customHeight="1">
      <c r="A1736" t="s">
        <v>4628</v>
      </c>
      <c r="B1736" t="s">
        <v>644</v>
      </c>
      <c r="C1736">
        <v>425.4200134277344</v>
      </c>
      <c r="D1736">
        <v>425.4599914550781</v>
      </c>
      <c r="E1736">
        <v>423.5400085449219</v>
      </c>
      <c r="F1736">
        <v>424.4800109863281</v>
      </c>
      <c r="G1736">
        <v>394.4588012695312</v>
      </c>
      <c r="H1736">
        <v>51508500</v>
      </c>
      <c r="I1736" t="s">
        <v>645</v>
      </c>
      <c r="J1736" t="s">
        <v>646</v>
      </c>
      <c r="K1736" t="s">
        <v>4629</v>
      </c>
    </row>
    <row r="1737" spans="1:11" ht="20" customHeight="1">
      <c r="A1737" t="s">
        <v>4628</v>
      </c>
      <c r="B1737" t="s">
        <v>647</v>
      </c>
      <c r="C1737">
        <v>424.6300048828125</v>
      </c>
      <c r="D1737">
        <v>424.8699951171875</v>
      </c>
      <c r="E1737">
        <v>419.9200134277344</v>
      </c>
      <c r="F1737">
        <v>422.1099853515625</v>
      </c>
      <c r="G1737">
        <v>392.2565002441406</v>
      </c>
      <c r="H1737">
        <v>80386100</v>
      </c>
      <c r="I1737" t="s">
        <v>648</v>
      </c>
      <c r="J1737" t="s">
        <v>649</v>
      </c>
      <c r="K1737" t="s">
        <v>4629</v>
      </c>
    </row>
    <row r="1738" spans="1:11" ht="20" customHeight="1">
      <c r="A1738" t="s">
        <v>4628</v>
      </c>
      <c r="B1738" t="s">
        <v>650</v>
      </c>
      <c r="C1738">
        <v>421.6700134277344</v>
      </c>
      <c r="D1738">
        <v>423.0199890136719</v>
      </c>
      <c r="E1738">
        <v>419.3200073242188</v>
      </c>
      <c r="F1738">
        <v>421.9700012207031</v>
      </c>
      <c r="G1738">
        <v>392.1264038085938</v>
      </c>
      <c r="H1738">
        <v>90949700</v>
      </c>
      <c r="I1738" t="s">
        <v>651</v>
      </c>
      <c r="J1738" t="s">
        <v>652</v>
      </c>
      <c r="K1738" t="s">
        <v>4629</v>
      </c>
    </row>
    <row r="1739" spans="1:11" ht="20" customHeight="1">
      <c r="A1739" t="s">
        <v>4628</v>
      </c>
      <c r="B1739" t="s">
        <v>653</v>
      </c>
      <c r="C1739">
        <v>417.0899963378906</v>
      </c>
      <c r="D1739">
        <v>417.8299865722656</v>
      </c>
      <c r="E1739">
        <v>414.7000122070312</v>
      </c>
      <c r="F1739">
        <v>414.9200134277344</v>
      </c>
      <c r="G1739">
        <v>386.8363952636719</v>
      </c>
      <c r="H1739">
        <v>118676300</v>
      </c>
      <c r="I1739" t="s">
        <v>654</v>
      </c>
      <c r="J1739" t="s">
        <v>655</v>
      </c>
      <c r="K1739" t="s">
        <v>4629</v>
      </c>
    </row>
    <row r="1740" spans="1:11" ht="20" customHeight="1">
      <c r="A1740" t="s">
        <v>4628</v>
      </c>
      <c r="B1740" t="s">
        <v>656</v>
      </c>
      <c r="C1740">
        <v>416.7999877929688</v>
      </c>
      <c r="D1740">
        <v>421.0599975585938</v>
      </c>
      <c r="E1740">
        <v>415.9299926757812</v>
      </c>
      <c r="F1740">
        <v>420.8599853515625</v>
      </c>
      <c r="G1740">
        <v>392.3743896484375</v>
      </c>
      <c r="H1740">
        <v>72822000</v>
      </c>
      <c r="I1740" t="s">
        <v>657</v>
      </c>
      <c r="J1740" t="s">
        <v>658</v>
      </c>
      <c r="K1740" t="s">
        <v>4629</v>
      </c>
    </row>
    <row r="1741" spans="1:11" ht="20" customHeight="1">
      <c r="A1741" t="s">
        <v>4628</v>
      </c>
      <c r="B1741" t="s">
        <v>659</v>
      </c>
      <c r="C1741">
        <v>420.8500061035156</v>
      </c>
      <c r="D1741">
        <v>424</v>
      </c>
      <c r="E1741">
        <v>420.0799865722656</v>
      </c>
      <c r="F1741">
        <v>423.1099853515625</v>
      </c>
      <c r="G1741">
        <v>394.4720764160156</v>
      </c>
      <c r="H1741">
        <v>57700300</v>
      </c>
      <c r="I1741" t="s">
        <v>660</v>
      </c>
      <c r="J1741" t="s">
        <v>661</v>
      </c>
      <c r="K1741" t="s">
        <v>4629</v>
      </c>
    </row>
    <row r="1742" spans="1:11" ht="20" customHeight="1">
      <c r="A1742" t="s">
        <v>4628</v>
      </c>
      <c r="B1742" t="s">
        <v>662</v>
      </c>
      <c r="C1742">
        <v>423.1900024414062</v>
      </c>
      <c r="D1742">
        <v>424.0499877929688</v>
      </c>
      <c r="E1742">
        <v>422.510009765625</v>
      </c>
      <c r="F1742">
        <v>422.6000061035156</v>
      </c>
      <c r="G1742">
        <v>393.99658203125</v>
      </c>
      <c r="H1742">
        <v>49445400</v>
      </c>
      <c r="I1742" t="s">
        <v>663</v>
      </c>
      <c r="J1742" t="s">
        <v>664</v>
      </c>
      <c r="K1742" t="s">
        <v>4629</v>
      </c>
    </row>
    <row r="1743" spans="1:11" ht="20" customHeight="1">
      <c r="A1743" t="s">
        <v>4628</v>
      </c>
      <c r="B1743" t="s">
        <v>665</v>
      </c>
      <c r="C1743">
        <v>424.8900146484375</v>
      </c>
      <c r="D1743">
        <v>425.5499877929688</v>
      </c>
      <c r="E1743">
        <v>424.6199951171875</v>
      </c>
      <c r="F1743">
        <v>425.1000061035156</v>
      </c>
      <c r="G1743">
        <v>396.3273620605469</v>
      </c>
      <c r="H1743">
        <v>45110300</v>
      </c>
      <c r="I1743" t="s">
        <v>666</v>
      </c>
      <c r="J1743" t="s">
        <v>667</v>
      </c>
      <c r="K1743" t="s">
        <v>4629</v>
      </c>
    </row>
    <row r="1744" spans="1:11" ht="20" customHeight="1">
      <c r="A1744" t="s">
        <v>4628</v>
      </c>
      <c r="B1744" t="s">
        <v>668</v>
      </c>
      <c r="C1744">
        <v>425.8999938964844</v>
      </c>
      <c r="D1744">
        <v>427.0899963378906</v>
      </c>
      <c r="E1744">
        <v>425.5499877929688</v>
      </c>
      <c r="F1744">
        <v>426.6099853515625</v>
      </c>
      <c r="G1744">
        <v>397.7351379394531</v>
      </c>
      <c r="H1744">
        <v>58129500</v>
      </c>
      <c r="I1744" t="s">
        <v>669</v>
      </c>
      <c r="J1744" t="s">
        <v>670</v>
      </c>
      <c r="K1744" t="s">
        <v>4629</v>
      </c>
    </row>
    <row r="1745" spans="1:11" ht="20" customHeight="1">
      <c r="A1745" t="s">
        <v>4628</v>
      </c>
      <c r="B1745" t="s">
        <v>671</v>
      </c>
      <c r="C1745">
        <v>427.1700134277344</v>
      </c>
      <c r="D1745">
        <v>427.6499938964844</v>
      </c>
      <c r="E1745">
        <v>425.8900146484375</v>
      </c>
      <c r="F1745">
        <v>427.4700012207031</v>
      </c>
      <c r="G1745">
        <v>398.5369873046875</v>
      </c>
      <c r="H1745">
        <v>53159600</v>
      </c>
      <c r="I1745" t="s">
        <v>672</v>
      </c>
      <c r="J1745" t="s">
        <v>673</v>
      </c>
      <c r="K1745" t="s">
        <v>4629</v>
      </c>
    </row>
    <row r="1746" spans="1:11" ht="20" customHeight="1">
      <c r="A1746" t="s">
        <v>4628</v>
      </c>
      <c r="B1746" t="s">
        <v>674</v>
      </c>
      <c r="C1746">
        <v>427.8800048828125</v>
      </c>
      <c r="D1746">
        <v>428.5599975585938</v>
      </c>
      <c r="E1746">
        <v>427.1300048828125</v>
      </c>
      <c r="F1746">
        <v>427.7000122070312</v>
      </c>
      <c r="G1746">
        <v>398.7514038085938</v>
      </c>
      <c r="H1746">
        <v>35970500</v>
      </c>
      <c r="I1746" t="s">
        <v>675</v>
      </c>
      <c r="J1746" t="s">
        <v>676</v>
      </c>
      <c r="K1746" t="s">
        <v>4629</v>
      </c>
    </row>
    <row r="1747" spans="1:11" ht="20" customHeight="1">
      <c r="A1747" t="s">
        <v>4628</v>
      </c>
      <c r="B1747" t="s">
        <v>677</v>
      </c>
      <c r="C1747">
        <v>427.2099914550781</v>
      </c>
      <c r="D1747">
        <v>428.7799987792969</v>
      </c>
      <c r="E1747">
        <v>427.1799926757812</v>
      </c>
      <c r="F1747">
        <v>428.0599975585938</v>
      </c>
      <c r="G1747">
        <v>399.0869445800781</v>
      </c>
      <c r="H1747">
        <v>64827900</v>
      </c>
      <c r="I1747" t="s">
        <v>678</v>
      </c>
      <c r="J1747" t="s">
        <v>679</v>
      </c>
      <c r="K1747" t="s">
        <v>4629</v>
      </c>
    </row>
    <row r="1748" spans="1:11" ht="20" customHeight="1">
      <c r="A1748" t="s">
        <v>4628</v>
      </c>
      <c r="B1748" t="s">
        <v>680</v>
      </c>
      <c r="C1748">
        <v>428.8699951171875</v>
      </c>
      <c r="D1748">
        <v>430.6000061035156</v>
      </c>
      <c r="E1748">
        <v>428.7999877929688</v>
      </c>
      <c r="F1748">
        <v>430.4299926757812</v>
      </c>
      <c r="G1748">
        <v>401.2965698242188</v>
      </c>
      <c r="H1748">
        <v>53441000</v>
      </c>
      <c r="I1748" t="s">
        <v>681</v>
      </c>
      <c r="J1748" t="s">
        <v>682</v>
      </c>
      <c r="K1748" t="s">
        <v>4629</v>
      </c>
    </row>
    <row r="1749" spans="1:11" ht="20" customHeight="1">
      <c r="A1749" t="s">
        <v>4628</v>
      </c>
      <c r="B1749" t="s">
        <v>683</v>
      </c>
      <c r="C1749">
        <v>431.6700134277344</v>
      </c>
      <c r="D1749">
        <v>434.1000061035156</v>
      </c>
      <c r="E1749">
        <v>430.5199890136719</v>
      </c>
      <c r="F1749">
        <v>433.7200012207031</v>
      </c>
      <c r="G1749">
        <v>404.3638610839844</v>
      </c>
      <c r="H1749">
        <v>57697700</v>
      </c>
      <c r="I1749" t="s">
        <v>684</v>
      </c>
      <c r="J1749" t="s">
        <v>685</v>
      </c>
      <c r="K1749" t="s">
        <v>4629</v>
      </c>
    </row>
    <row r="1750" spans="1:11" ht="20" customHeight="1">
      <c r="A1750" t="s">
        <v>4628</v>
      </c>
      <c r="B1750" t="s">
        <v>686</v>
      </c>
      <c r="C1750">
        <v>433.7799987792969</v>
      </c>
      <c r="D1750">
        <v>434.010009765625</v>
      </c>
      <c r="E1750">
        <v>430.010009765625</v>
      </c>
      <c r="F1750">
        <v>432.9299926757812</v>
      </c>
      <c r="G1750">
        <v>403.6274108886719</v>
      </c>
      <c r="H1750">
        <v>68710400</v>
      </c>
      <c r="I1750" t="s">
        <v>687</v>
      </c>
      <c r="J1750" t="s">
        <v>688</v>
      </c>
      <c r="K1750" t="s">
        <v>4629</v>
      </c>
    </row>
    <row r="1751" spans="1:11" ht="20" customHeight="1">
      <c r="A1751" t="s">
        <v>4628</v>
      </c>
      <c r="B1751" t="s">
        <v>689</v>
      </c>
      <c r="C1751">
        <v>433.6600036621094</v>
      </c>
      <c r="D1751">
        <v>434.760009765625</v>
      </c>
      <c r="E1751">
        <v>431.510009765625</v>
      </c>
      <c r="F1751">
        <v>434.4599914550781</v>
      </c>
      <c r="G1751">
        <v>405.0538024902344</v>
      </c>
      <c r="H1751">
        <v>63549500</v>
      </c>
      <c r="I1751" t="s">
        <v>690</v>
      </c>
      <c r="J1751" t="s">
        <v>691</v>
      </c>
      <c r="K1751" t="s">
        <v>4629</v>
      </c>
    </row>
    <row r="1752" spans="1:11" ht="20" customHeight="1">
      <c r="A1752" t="s">
        <v>4628</v>
      </c>
      <c r="B1752" t="s">
        <v>692</v>
      </c>
      <c r="C1752">
        <v>428.7799987792969</v>
      </c>
      <c r="D1752">
        <v>431.7300109863281</v>
      </c>
      <c r="E1752">
        <v>427.5199890136719</v>
      </c>
      <c r="F1752">
        <v>430.9200134277344</v>
      </c>
      <c r="G1752">
        <v>401.7535095214844</v>
      </c>
      <c r="H1752">
        <v>97595200</v>
      </c>
      <c r="I1752" t="s">
        <v>693</v>
      </c>
      <c r="J1752" t="s">
        <v>694</v>
      </c>
      <c r="K1752" t="s">
        <v>4629</v>
      </c>
    </row>
    <row r="1753" spans="1:11" ht="20" customHeight="1">
      <c r="A1753" t="s">
        <v>4628</v>
      </c>
      <c r="B1753" t="s">
        <v>695</v>
      </c>
      <c r="C1753">
        <v>432.5299987792969</v>
      </c>
      <c r="D1753">
        <v>435.8399963378906</v>
      </c>
      <c r="E1753">
        <v>430.7099914550781</v>
      </c>
      <c r="F1753">
        <v>435.5199890136719</v>
      </c>
      <c r="G1753">
        <v>406.0420532226562</v>
      </c>
      <c r="H1753">
        <v>76238600</v>
      </c>
      <c r="I1753" t="s">
        <v>696</v>
      </c>
      <c r="J1753" t="s">
        <v>697</v>
      </c>
      <c r="K1753" t="s">
        <v>4629</v>
      </c>
    </row>
    <row r="1754" spans="1:11" ht="20" customHeight="1">
      <c r="A1754" t="s">
        <v>4628</v>
      </c>
      <c r="B1754" t="s">
        <v>698</v>
      </c>
      <c r="C1754">
        <v>435.4299926757812</v>
      </c>
      <c r="D1754">
        <v>437.3500061035156</v>
      </c>
      <c r="E1754">
        <v>434.9700012207031</v>
      </c>
      <c r="F1754">
        <v>437.0799865722656</v>
      </c>
      <c r="G1754">
        <v>407.4965515136719</v>
      </c>
      <c r="H1754">
        <v>52889600</v>
      </c>
      <c r="I1754" t="s">
        <v>699</v>
      </c>
      <c r="J1754" t="s">
        <v>700</v>
      </c>
      <c r="K1754" t="s">
        <v>4629</v>
      </c>
    </row>
    <row r="1755" spans="1:11" ht="20" customHeight="1">
      <c r="A1755" t="s">
        <v>4628</v>
      </c>
      <c r="B1755" t="s">
        <v>701</v>
      </c>
      <c r="C1755">
        <v>436.239990234375</v>
      </c>
      <c r="D1755">
        <v>437.8399963378906</v>
      </c>
      <c r="E1755">
        <v>435.3099975585938</v>
      </c>
      <c r="F1755">
        <v>435.5899963378906</v>
      </c>
      <c r="G1755">
        <v>406.1073913574219</v>
      </c>
      <c r="H1755">
        <v>52911300</v>
      </c>
      <c r="I1755" t="s">
        <v>702</v>
      </c>
      <c r="J1755" t="s">
        <v>703</v>
      </c>
      <c r="K1755" t="s">
        <v>4629</v>
      </c>
    </row>
    <row r="1756" spans="1:11" ht="20" customHeight="1">
      <c r="A1756" t="s">
        <v>4628</v>
      </c>
      <c r="B1756" t="s">
        <v>704</v>
      </c>
      <c r="C1756">
        <v>437.3999938964844</v>
      </c>
      <c r="D1756">
        <v>437.9200134277344</v>
      </c>
      <c r="E1756">
        <v>434.9100036621094</v>
      </c>
      <c r="F1756">
        <v>436.239990234375</v>
      </c>
      <c r="G1756">
        <v>406.7133483886719</v>
      </c>
      <c r="H1756">
        <v>64130400</v>
      </c>
      <c r="I1756" t="s">
        <v>705</v>
      </c>
      <c r="J1756" t="s">
        <v>706</v>
      </c>
      <c r="K1756" t="s">
        <v>4629</v>
      </c>
    </row>
    <row r="1757" spans="1:11" ht="20" customHeight="1">
      <c r="A1757" t="s">
        <v>4628</v>
      </c>
      <c r="B1757" t="s">
        <v>707</v>
      </c>
      <c r="C1757">
        <v>434.8099975585938</v>
      </c>
      <c r="D1757">
        <v>435.5299987792969</v>
      </c>
      <c r="E1757">
        <v>432.7200012207031</v>
      </c>
      <c r="F1757">
        <v>434.75</v>
      </c>
      <c r="G1757">
        <v>405.32421875</v>
      </c>
      <c r="H1757">
        <v>55126400</v>
      </c>
      <c r="I1757" t="s">
        <v>708</v>
      </c>
      <c r="J1757" t="s">
        <v>709</v>
      </c>
      <c r="K1757" t="s">
        <v>4629</v>
      </c>
    </row>
    <row r="1758" spans="1:11" ht="20" customHeight="1">
      <c r="A1758" t="s">
        <v>4628</v>
      </c>
      <c r="B1758" t="s">
        <v>710</v>
      </c>
      <c r="C1758">
        <v>436.010009765625</v>
      </c>
      <c r="D1758">
        <v>436.0599975585938</v>
      </c>
      <c r="E1758">
        <v>430.9200134277344</v>
      </c>
      <c r="F1758">
        <v>431.3399963378906</v>
      </c>
      <c r="G1758">
        <v>402.14501953125</v>
      </c>
      <c r="H1758">
        <v>75874700</v>
      </c>
      <c r="I1758" t="s">
        <v>711</v>
      </c>
      <c r="J1758" t="s">
        <v>712</v>
      </c>
      <c r="K1758" t="s">
        <v>4629</v>
      </c>
    </row>
    <row r="1759" spans="1:11" ht="20" customHeight="1">
      <c r="A1759" t="s">
        <v>4628</v>
      </c>
      <c r="B1759" t="s">
        <v>713</v>
      </c>
      <c r="C1759">
        <v>426.1900024414062</v>
      </c>
      <c r="D1759">
        <v>431.4100036621094</v>
      </c>
      <c r="E1759">
        <v>421.9700012207031</v>
      </c>
      <c r="F1759">
        <v>424.9700012207031</v>
      </c>
      <c r="G1759">
        <v>396.2061157226562</v>
      </c>
      <c r="H1759">
        <v>147987000</v>
      </c>
      <c r="I1759" t="s">
        <v>714</v>
      </c>
      <c r="J1759" t="s">
        <v>715</v>
      </c>
      <c r="K1759" t="s">
        <v>4629</v>
      </c>
    </row>
    <row r="1760" spans="1:11" ht="20" customHeight="1">
      <c r="A1760" t="s">
        <v>4628</v>
      </c>
      <c r="B1760" t="s">
        <v>716</v>
      </c>
      <c r="C1760">
        <v>425.6799926757812</v>
      </c>
      <c r="D1760">
        <v>432.4200134277344</v>
      </c>
      <c r="E1760">
        <v>424.8299865722656</v>
      </c>
      <c r="F1760">
        <v>431.0599975585938</v>
      </c>
      <c r="G1760">
        <v>401.8839721679688</v>
      </c>
      <c r="H1760">
        <v>99608200</v>
      </c>
      <c r="I1760" t="s">
        <v>717</v>
      </c>
      <c r="J1760" t="s">
        <v>718</v>
      </c>
      <c r="K1760" t="s">
        <v>4629</v>
      </c>
    </row>
    <row r="1761" spans="1:11" ht="20" customHeight="1">
      <c r="A1761" t="s">
        <v>4628</v>
      </c>
      <c r="B1761" t="s">
        <v>719</v>
      </c>
      <c r="C1761">
        <v>432.3399963378906</v>
      </c>
      <c r="D1761">
        <v>434.7000122070312</v>
      </c>
      <c r="E1761">
        <v>431.010009765625</v>
      </c>
      <c r="F1761">
        <v>434.5499877929688</v>
      </c>
      <c r="G1761">
        <v>405.1376953125</v>
      </c>
      <c r="H1761">
        <v>64724400</v>
      </c>
      <c r="I1761" t="s">
        <v>720</v>
      </c>
      <c r="J1761" t="s">
        <v>721</v>
      </c>
      <c r="K1761" t="s">
        <v>4629</v>
      </c>
    </row>
    <row r="1762" spans="1:11" ht="20" customHeight="1">
      <c r="A1762" t="s">
        <v>4628</v>
      </c>
      <c r="B1762" t="s">
        <v>722</v>
      </c>
      <c r="C1762">
        <v>434.739990234375</v>
      </c>
      <c r="D1762">
        <v>435.7200012207031</v>
      </c>
      <c r="E1762">
        <v>433.6900024414062</v>
      </c>
      <c r="F1762">
        <v>435.4599914550781</v>
      </c>
      <c r="G1762">
        <v>405.986083984375</v>
      </c>
      <c r="H1762">
        <v>47878500</v>
      </c>
      <c r="I1762" t="s">
        <v>723</v>
      </c>
      <c r="J1762" t="s">
        <v>724</v>
      </c>
      <c r="K1762" t="s">
        <v>4629</v>
      </c>
    </row>
    <row r="1763" spans="1:11" ht="20" customHeight="1">
      <c r="A1763" t="s">
        <v>4628</v>
      </c>
      <c r="B1763" t="s">
        <v>725</v>
      </c>
      <c r="C1763">
        <v>437.5199890136719</v>
      </c>
      <c r="D1763">
        <v>440.2999877929688</v>
      </c>
      <c r="E1763">
        <v>436.7900085449219</v>
      </c>
      <c r="F1763">
        <v>439.9400024414062</v>
      </c>
      <c r="G1763">
        <v>410.1629943847656</v>
      </c>
      <c r="H1763">
        <v>63766600</v>
      </c>
      <c r="I1763" t="s">
        <v>726</v>
      </c>
      <c r="J1763" t="s">
        <v>727</v>
      </c>
      <c r="K1763" t="s">
        <v>4629</v>
      </c>
    </row>
    <row r="1764" spans="1:11" ht="20" customHeight="1">
      <c r="A1764" t="s">
        <v>4628</v>
      </c>
      <c r="B1764" t="s">
        <v>728</v>
      </c>
      <c r="C1764">
        <v>439.3099975585938</v>
      </c>
      <c r="D1764">
        <v>441.0299987792969</v>
      </c>
      <c r="E1764">
        <v>439.260009765625</v>
      </c>
      <c r="F1764">
        <v>441.0199890136719</v>
      </c>
      <c r="G1764">
        <v>411.1698303222656</v>
      </c>
      <c r="H1764">
        <v>43719200</v>
      </c>
      <c r="I1764" t="s">
        <v>729</v>
      </c>
      <c r="J1764" t="s">
        <v>730</v>
      </c>
      <c r="K1764" t="s">
        <v>4629</v>
      </c>
    </row>
    <row r="1765" spans="1:11" ht="20" customHeight="1">
      <c r="A1765" t="s">
        <v>4628</v>
      </c>
      <c r="B1765" t="s">
        <v>731</v>
      </c>
      <c r="C1765">
        <v>439.9100036621094</v>
      </c>
      <c r="D1765">
        <v>439.9400024414062</v>
      </c>
      <c r="E1765">
        <v>435.989990234375</v>
      </c>
      <c r="F1765">
        <v>439.010009765625</v>
      </c>
      <c r="G1765">
        <v>409.2959289550781</v>
      </c>
      <c r="H1765">
        <v>67397100</v>
      </c>
      <c r="I1765" t="s">
        <v>732</v>
      </c>
      <c r="J1765" t="s">
        <v>733</v>
      </c>
      <c r="K1765" t="s">
        <v>4629</v>
      </c>
    </row>
    <row r="1766" spans="1:11" ht="20" customHeight="1">
      <c r="A1766" t="s">
        <v>4628</v>
      </c>
      <c r="B1766" t="s">
        <v>734</v>
      </c>
      <c r="C1766">
        <v>439.6799926757812</v>
      </c>
      <c r="D1766">
        <v>440.2999877929688</v>
      </c>
      <c r="E1766">
        <v>437.3099975585938</v>
      </c>
      <c r="F1766">
        <v>438.8299865722656</v>
      </c>
      <c r="G1766">
        <v>409.1279907226562</v>
      </c>
      <c r="H1766">
        <v>52472400</v>
      </c>
      <c r="I1766" t="s">
        <v>735</v>
      </c>
      <c r="J1766" t="s">
        <v>736</v>
      </c>
      <c r="K1766" t="s">
        <v>4629</v>
      </c>
    </row>
    <row r="1767" spans="1:11" ht="20" customHeight="1">
      <c r="A1767" t="s">
        <v>4628</v>
      </c>
      <c r="B1767" t="s">
        <v>737</v>
      </c>
      <c r="C1767">
        <v>439.8200073242188</v>
      </c>
      <c r="D1767">
        <v>441.7999877929688</v>
      </c>
      <c r="E1767">
        <v>439.8099975585938</v>
      </c>
      <c r="F1767">
        <v>440.6499938964844</v>
      </c>
      <c r="G1767">
        <v>410.8248291015625</v>
      </c>
      <c r="H1767">
        <v>47435300</v>
      </c>
      <c r="I1767" t="s">
        <v>738</v>
      </c>
      <c r="J1767" t="s">
        <v>739</v>
      </c>
      <c r="K1767" t="s">
        <v>4629</v>
      </c>
    </row>
    <row r="1768" spans="1:11" ht="20" customHeight="1">
      <c r="A1768" t="s">
        <v>4628</v>
      </c>
      <c r="B1768" t="s">
        <v>740</v>
      </c>
      <c r="C1768">
        <v>437.9100036621094</v>
      </c>
      <c r="D1768">
        <v>440.0599975585938</v>
      </c>
      <c r="E1768">
        <v>437.7699890136719</v>
      </c>
      <c r="F1768">
        <v>438.510009765625</v>
      </c>
      <c r="G1768">
        <v>408.8297424316406</v>
      </c>
      <c r="H1768">
        <v>68951200</v>
      </c>
      <c r="I1768" t="s">
        <v>741</v>
      </c>
      <c r="J1768" t="s">
        <v>742</v>
      </c>
      <c r="K1768" t="s">
        <v>4629</v>
      </c>
    </row>
    <row r="1769" spans="1:11" ht="20" customHeight="1">
      <c r="A1769" t="s">
        <v>4628</v>
      </c>
      <c r="B1769" t="s">
        <v>743</v>
      </c>
      <c r="C1769">
        <v>440.3399963378906</v>
      </c>
      <c r="D1769">
        <v>440.9299926757812</v>
      </c>
      <c r="E1769">
        <v>437.2099914550781</v>
      </c>
      <c r="F1769">
        <v>437.5899963378906</v>
      </c>
      <c r="G1769">
        <v>407.9719848632812</v>
      </c>
      <c r="H1769">
        <v>58783300</v>
      </c>
      <c r="I1769" t="s">
        <v>744</v>
      </c>
      <c r="J1769" t="s">
        <v>745</v>
      </c>
      <c r="K1769" t="s">
        <v>4629</v>
      </c>
    </row>
    <row r="1770" spans="1:11" ht="20" customHeight="1">
      <c r="A1770" t="s">
        <v>4628</v>
      </c>
      <c r="B1770" t="s">
        <v>746</v>
      </c>
      <c r="C1770">
        <v>438.4400024414062</v>
      </c>
      <c r="D1770">
        <v>441.2799987792969</v>
      </c>
      <c r="E1770">
        <v>436.1000061035156</v>
      </c>
      <c r="F1770">
        <v>441.1499938964844</v>
      </c>
      <c r="G1770">
        <v>411.2910766601562</v>
      </c>
      <c r="H1770">
        <v>58053900</v>
      </c>
      <c r="I1770" t="s">
        <v>747</v>
      </c>
      <c r="J1770" t="s">
        <v>748</v>
      </c>
      <c r="K1770" t="s">
        <v>4629</v>
      </c>
    </row>
    <row r="1771" spans="1:11" ht="20" customHeight="1">
      <c r="A1771" t="s">
        <v>4628</v>
      </c>
      <c r="B1771" t="s">
        <v>749</v>
      </c>
      <c r="C1771">
        <v>439.7799987792969</v>
      </c>
      <c r="D1771">
        <v>441.1199951171875</v>
      </c>
      <c r="E1771">
        <v>438.7300109863281</v>
      </c>
      <c r="F1771">
        <v>438.9800109863281</v>
      </c>
      <c r="G1771">
        <v>409.2679138183594</v>
      </c>
      <c r="H1771">
        <v>46732200</v>
      </c>
      <c r="I1771" t="s">
        <v>750</v>
      </c>
      <c r="J1771" t="s">
        <v>751</v>
      </c>
      <c r="K1771" t="s">
        <v>4629</v>
      </c>
    </row>
    <row r="1772" spans="1:11" ht="20" customHeight="1">
      <c r="A1772" t="s">
        <v>4628</v>
      </c>
      <c r="B1772" t="s">
        <v>752</v>
      </c>
      <c r="C1772">
        <v>440.2200012207031</v>
      </c>
      <c r="D1772">
        <v>441.8500061035156</v>
      </c>
      <c r="E1772">
        <v>439.8800048828125</v>
      </c>
      <c r="F1772">
        <v>441.760009765625</v>
      </c>
      <c r="G1772">
        <v>411.8597717285156</v>
      </c>
      <c r="H1772">
        <v>38969700</v>
      </c>
      <c r="I1772" t="s">
        <v>753</v>
      </c>
      <c r="J1772" t="s">
        <v>754</v>
      </c>
      <c r="K1772" t="s">
        <v>4629</v>
      </c>
    </row>
    <row r="1773" spans="1:11" ht="20" customHeight="1">
      <c r="A1773" t="s">
        <v>4628</v>
      </c>
      <c r="B1773" t="s">
        <v>755</v>
      </c>
      <c r="C1773">
        <v>442.1000061035156</v>
      </c>
      <c r="D1773">
        <v>442.9400024414062</v>
      </c>
      <c r="E1773">
        <v>441.7999877929688</v>
      </c>
      <c r="F1773">
        <v>442.489990234375</v>
      </c>
      <c r="G1773">
        <v>412.540283203125</v>
      </c>
      <c r="H1773">
        <v>46930000</v>
      </c>
      <c r="I1773" t="s">
        <v>756</v>
      </c>
      <c r="J1773" t="s">
        <v>757</v>
      </c>
      <c r="K1773" t="s">
        <v>4629</v>
      </c>
    </row>
    <row r="1774" spans="1:11" ht="20" customHeight="1">
      <c r="A1774" t="s">
        <v>4628</v>
      </c>
      <c r="B1774" t="s">
        <v>758</v>
      </c>
      <c r="C1774">
        <v>442.4599914550781</v>
      </c>
      <c r="D1774">
        <v>442.7999877929688</v>
      </c>
      <c r="E1774">
        <v>441.3099975585938</v>
      </c>
      <c r="F1774">
        <v>442.1300048828125</v>
      </c>
      <c r="G1774">
        <v>412.2047424316406</v>
      </c>
      <c r="H1774">
        <v>41222600</v>
      </c>
      <c r="I1774" t="s">
        <v>759</v>
      </c>
      <c r="J1774" t="s">
        <v>760</v>
      </c>
      <c r="K1774" t="s">
        <v>4629</v>
      </c>
    </row>
    <row r="1775" spans="1:11" ht="20" customHeight="1">
      <c r="A1775" t="s">
        <v>4628</v>
      </c>
      <c r="B1775" t="s">
        <v>761</v>
      </c>
      <c r="C1775">
        <v>442.6099853515625</v>
      </c>
      <c r="D1775">
        <v>443.4400024414062</v>
      </c>
      <c r="E1775">
        <v>441.8800048828125</v>
      </c>
      <c r="F1775">
        <v>442.6799926757812</v>
      </c>
      <c r="G1775">
        <v>412.7174682617188</v>
      </c>
      <c r="H1775">
        <v>43339300</v>
      </c>
      <c r="I1775" t="s">
        <v>762</v>
      </c>
      <c r="J1775" t="s">
        <v>763</v>
      </c>
      <c r="K1775" t="s">
        <v>4629</v>
      </c>
    </row>
    <row r="1776" spans="1:11" ht="20" customHeight="1">
      <c r="A1776" t="s">
        <v>4628</v>
      </c>
      <c r="B1776" t="s">
        <v>764</v>
      </c>
      <c r="C1776">
        <v>443.8200073242188</v>
      </c>
      <c r="D1776">
        <v>443.8800048828125</v>
      </c>
      <c r="E1776">
        <v>442.6199951171875</v>
      </c>
      <c r="F1776">
        <v>443.7799987792969</v>
      </c>
      <c r="G1776">
        <v>413.7430419921875</v>
      </c>
      <c r="H1776">
        <v>44034300</v>
      </c>
      <c r="I1776" t="s">
        <v>765</v>
      </c>
      <c r="J1776" t="s">
        <v>766</v>
      </c>
      <c r="K1776" t="s">
        <v>4629</v>
      </c>
    </row>
    <row r="1777" spans="1:11" ht="20" customHeight="1">
      <c r="A1777" t="s">
        <v>4628</v>
      </c>
      <c r="B1777" t="s">
        <v>767</v>
      </c>
      <c r="C1777">
        <v>443.6199951171875</v>
      </c>
      <c r="D1777">
        <v>445.260009765625</v>
      </c>
      <c r="E1777">
        <v>442.6600036621094</v>
      </c>
      <c r="F1777">
        <v>445.1099853515625</v>
      </c>
      <c r="G1777">
        <v>414.9830017089844</v>
      </c>
      <c r="H1777">
        <v>38909400</v>
      </c>
      <c r="I1777" t="s">
        <v>768</v>
      </c>
      <c r="J1777" t="s">
        <v>769</v>
      </c>
      <c r="K1777" t="s">
        <v>4629</v>
      </c>
    </row>
    <row r="1778" spans="1:11" ht="20" customHeight="1">
      <c r="A1778" t="s">
        <v>4628</v>
      </c>
      <c r="B1778" t="s">
        <v>770</v>
      </c>
      <c r="C1778">
        <v>445.5899963378906</v>
      </c>
      <c r="D1778">
        <v>445.9400024414062</v>
      </c>
      <c r="E1778">
        <v>445.0700073242188</v>
      </c>
      <c r="F1778">
        <v>445.9200134277344</v>
      </c>
      <c r="G1778">
        <v>415.7382202148438</v>
      </c>
      <c r="H1778">
        <v>39470300</v>
      </c>
      <c r="I1778" t="s">
        <v>771</v>
      </c>
      <c r="J1778" t="s">
        <v>772</v>
      </c>
      <c r="K1778" t="s">
        <v>4629</v>
      </c>
    </row>
    <row r="1779" spans="1:11" ht="20" customHeight="1">
      <c r="A1779" t="s">
        <v>4628</v>
      </c>
      <c r="B1779" t="s">
        <v>773</v>
      </c>
      <c r="C1779">
        <v>444.5299987792969</v>
      </c>
      <c r="D1779">
        <v>447.1099853515625</v>
      </c>
      <c r="E1779">
        <v>442.8699951171875</v>
      </c>
      <c r="F1779">
        <v>446.9700012207031</v>
      </c>
      <c r="G1779">
        <v>416.7171020507812</v>
      </c>
      <c r="H1779">
        <v>73740000</v>
      </c>
      <c r="I1779" t="s">
        <v>774</v>
      </c>
      <c r="J1779" t="s">
        <v>775</v>
      </c>
      <c r="K1779" t="s">
        <v>4629</v>
      </c>
    </row>
    <row r="1780" spans="1:11" ht="20" customHeight="1">
      <c r="A1780" t="s">
        <v>4628</v>
      </c>
      <c r="B1780" t="s">
        <v>776</v>
      </c>
      <c r="C1780">
        <v>444.239990234375</v>
      </c>
      <c r="D1780">
        <v>444.9599914550781</v>
      </c>
      <c r="E1780">
        <v>440.8500061035156</v>
      </c>
      <c r="F1780">
        <v>444.0400085449219</v>
      </c>
      <c r="G1780">
        <v>413.9854125976562</v>
      </c>
      <c r="H1780">
        <v>92673900</v>
      </c>
      <c r="I1780" t="s">
        <v>777</v>
      </c>
      <c r="J1780" t="s">
        <v>778</v>
      </c>
      <c r="K1780" t="s">
        <v>4629</v>
      </c>
    </row>
    <row r="1781" spans="1:11" ht="20" customHeight="1">
      <c r="A1781" t="s">
        <v>4628</v>
      </c>
      <c r="B1781" t="s">
        <v>779</v>
      </c>
      <c r="C1781">
        <v>442.9599914550781</v>
      </c>
      <c r="D1781">
        <v>444.6300048828125</v>
      </c>
      <c r="E1781">
        <v>438.9200134277344</v>
      </c>
      <c r="F1781">
        <v>439.1799926757812</v>
      </c>
      <c r="G1781">
        <v>409.4544067382812</v>
      </c>
      <c r="H1781">
        <v>89351900</v>
      </c>
      <c r="I1781" t="s">
        <v>780</v>
      </c>
      <c r="J1781" t="s">
        <v>781</v>
      </c>
      <c r="K1781" t="s">
        <v>4629</v>
      </c>
    </row>
    <row r="1782" spans="1:11" ht="20" customHeight="1">
      <c r="A1782" t="s">
        <v>4628</v>
      </c>
      <c r="B1782" t="s">
        <v>782</v>
      </c>
      <c r="C1782">
        <v>436.2699890136719</v>
      </c>
      <c r="D1782">
        <v>441.1400146484375</v>
      </c>
      <c r="E1782">
        <v>436.1199951171875</v>
      </c>
      <c r="F1782">
        <v>439.8599853515625</v>
      </c>
      <c r="G1782">
        <v>410.0884094238281</v>
      </c>
      <c r="H1782">
        <v>92812200</v>
      </c>
      <c r="I1782" t="s">
        <v>783</v>
      </c>
      <c r="J1782" t="s">
        <v>784</v>
      </c>
      <c r="K1782" t="s">
        <v>4629</v>
      </c>
    </row>
    <row r="1783" spans="1:11" ht="20" customHeight="1">
      <c r="A1783" t="s">
        <v>4628</v>
      </c>
      <c r="B1783" t="s">
        <v>785</v>
      </c>
      <c r="C1783">
        <v>440.2300109863281</v>
      </c>
      <c r="D1783">
        <v>443.7099914550781</v>
      </c>
      <c r="E1783">
        <v>439.7099914550781</v>
      </c>
      <c r="F1783">
        <v>443.3599853515625</v>
      </c>
      <c r="G1783">
        <v>413.3514099121094</v>
      </c>
      <c r="H1783">
        <v>72008700</v>
      </c>
      <c r="I1783" t="s">
        <v>786</v>
      </c>
      <c r="J1783" t="s">
        <v>787</v>
      </c>
      <c r="K1783" t="s">
        <v>4629</v>
      </c>
    </row>
    <row r="1784" spans="1:11" ht="20" customHeight="1">
      <c r="A1784" t="s">
        <v>4628</v>
      </c>
      <c r="B1784" t="s">
        <v>788</v>
      </c>
      <c r="C1784">
        <v>445.1600036621094</v>
      </c>
      <c r="D1784">
        <v>448.2300109863281</v>
      </c>
      <c r="E1784">
        <v>443.4400024414062</v>
      </c>
      <c r="F1784">
        <v>447.260009765625</v>
      </c>
      <c r="G1784">
        <v>416.9874877929688</v>
      </c>
      <c r="H1784">
        <v>54973000</v>
      </c>
      <c r="I1784" t="s">
        <v>789</v>
      </c>
      <c r="J1784" t="s">
        <v>790</v>
      </c>
      <c r="K1784" t="s">
        <v>4629</v>
      </c>
    </row>
    <row r="1785" spans="1:11" ht="20" customHeight="1">
      <c r="A1785" t="s">
        <v>4628</v>
      </c>
      <c r="B1785" t="s">
        <v>791</v>
      </c>
      <c r="C1785">
        <v>447.9700012207031</v>
      </c>
      <c r="D1785">
        <v>448.5400085449219</v>
      </c>
      <c r="E1785">
        <v>447.4200134277344</v>
      </c>
      <c r="F1785">
        <v>447.9700012207031</v>
      </c>
      <c r="G1785">
        <v>417.6494140625</v>
      </c>
      <c r="H1785">
        <v>38744700</v>
      </c>
      <c r="I1785" t="s">
        <v>792</v>
      </c>
      <c r="J1785" t="s">
        <v>793</v>
      </c>
      <c r="K1785" t="s">
        <v>4629</v>
      </c>
    </row>
    <row r="1786" spans="1:11" ht="20" customHeight="1">
      <c r="A1786" t="s">
        <v>4628</v>
      </c>
      <c r="B1786" t="s">
        <v>794</v>
      </c>
      <c r="C1786">
        <v>448.1700134277344</v>
      </c>
      <c r="D1786">
        <v>449.4599914550781</v>
      </c>
      <c r="E1786">
        <v>447.7699890136719</v>
      </c>
      <c r="F1786">
        <v>448.9100036621094</v>
      </c>
      <c r="G1786">
        <v>418.5258483886719</v>
      </c>
      <c r="H1786">
        <v>40529700</v>
      </c>
      <c r="I1786" t="s">
        <v>795</v>
      </c>
      <c r="J1786" t="s">
        <v>796</v>
      </c>
      <c r="K1786" t="s">
        <v>4629</v>
      </c>
    </row>
    <row r="1787" spans="1:11" ht="20" customHeight="1">
      <c r="A1787" t="s">
        <v>4628</v>
      </c>
      <c r="B1787" t="s">
        <v>797</v>
      </c>
      <c r="C1787">
        <v>448.6099853515625</v>
      </c>
      <c r="D1787">
        <v>448.8599853515625</v>
      </c>
      <c r="E1787">
        <v>446.1600036621094</v>
      </c>
      <c r="F1787">
        <v>446.260009765625</v>
      </c>
      <c r="G1787">
        <v>416.05517578125</v>
      </c>
      <c r="H1787">
        <v>57829600</v>
      </c>
      <c r="I1787" t="s">
        <v>798</v>
      </c>
      <c r="J1787" t="s">
        <v>799</v>
      </c>
      <c r="K1787" t="s">
        <v>4629</v>
      </c>
    </row>
    <row r="1788" spans="1:11" ht="20" customHeight="1">
      <c r="A1788" t="s">
        <v>4628</v>
      </c>
      <c r="B1788" t="s">
        <v>800</v>
      </c>
      <c r="C1788">
        <v>447.1199951171875</v>
      </c>
      <c r="D1788">
        <v>450.6499938964844</v>
      </c>
      <c r="E1788">
        <v>447.0599975585938</v>
      </c>
      <c r="F1788">
        <v>450.25</v>
      </c>
      <c r="G1788">
        <v>419.7750549316406</v>
      </c>
      <c r="H1788">
        <v>77235100</v>
      </c>
      <c r="I1788" t="s">
        <v>801</v>
      </c>
      <c r="J1788" t="s">
        <v>802</v>
      </c>
      <c r="K1788" t="s">
        <v>4629</v>
      </c>
    </row>
    <row r="1789" spans="1:11" ht="20" customHeight="1">
      <c r="A1789" t="s">
        <v>4628</v>
      </c>
      <c r="B1789" t="s">
        <v>803</v>
      </c>
      <c r="C1789">
        <v>450.9700012207031</v>
      </c>
      <c r="D1789">
        <v>453.0700073242188</v>
      </c>
      <c r="E1789">
        <v>450.7099914550781</v>
      </c>
      <c r="F1789">
        <v>452.2300109863281</v>
      </c>
      <c r="G1789">
        <v>421.6210632324219</v>
      </c>
      <c r="H1789">
        <v>48357400</v>
      </c>
      <c r="I1789" t="s">
        <v>804</v>
      </c>
      <c r="J1789" t="s">
        <v>805</v>
      </c>
      <c r="K1789" t="s">
        <v>4629</v>
      </c>
    </row>
    <row r="1790" spans="1:11" ht="20" customHeight="1">
      <c r="A1790" t="s">
        <v>4628</v>
      </c>
      <c r="B1790" t="s">
        <v>806</v>
      </c>
      <c r="C1790">
        <v>452.1300048828125</v>
      </c>
      <c r="D1790">
        <v>452.489990234375</v>
      </c>
      <c r="E1790">
        <v>450.9200134277344</v>
      </c>
      <c r="F1790">
        <v>451.5599975585938</v>
      </c>
      <c r="G1790">
        <v>420.9964904785156</v>
      </c>
      <c r="H1790">
        <v>59300200</v>
      </c>
      <c r="I1790" t="s">
        <v>807</v>
      </c>
      <c r="J1790" t="s">
        <v>808</v>
      </c>
      <c r="K1790" t="s">
        <v>4629</v>
      </c>
    </row>
    <row r="1791" spans="1:11" ht="20" customHeight="1">
      <c r="A1791" t="s">
        <v>4628</v>
      </c>
      <c r="B1791" t="s">
        <v>809</v>
      </c>
      <c r="C1791">
        <v>452.5599975585938</v>
      </c>
      <c r="D1791">
        <v>453.1099853515625</v>
      </c>
      <c r="E1791">
        <v>451.5499877929688</v>
      </c>
      <c r="F1791">
        <v>451.7999877929688</v>
      </c>
      <c r="G1791">
        <v>421.2201843261719</v>
      </c>
      <c r="H1791">
        <v>48721400</v>
      </c>
      <c r="I1791" t="s">
        <v>810</v>
      </c>
      <c r="J1791" t="s">
        <v>811</v>
      </c>
      <c r="K1791" t="s">
        <v>4629</v>
      </c>
    </row>
    <row r="1792" spans="1:11" ht="20" customHeight="1">
      <c r="A1792" t="s">
        <v>4628</v>
      </c>
      <c r="B1792" t="s">
        <v>812</v>
      </c>
      <c r="C1792">
        <v>453.3200073242188</v>
      </c>
      <c r="D1792">
        <v>454.0499877929688</v>
      </c>
      <c r="E1792">
        <v>451.9100036621094</v>
      </c>
      <c r="F1792">
        <v>453.1900024414062</v>
      </c>
      <c r="G1792">
        <v>422.5160522460938</v>
      </c>
      <c r="H1792">
        <v>42501000</v>
      </c>
      <c r="I1792" t="s">
        <v>813</v>
      </c>
      <c r="J1792" t="s">
        <v>814</v>
      </c>
      <c r="K1792" t="s">
        <v>4629</v>
      </c>
    </row>
    <row r="1793" spans="1:11" ht="20" customHeight="1">
      <c r="A1793" t="s">
        <v>4628</v>
      </c>
      <c r="B1793" t="s">
        <v>815</v>
      </c>
      <c r="C1793">
        <v>451.9800109863281</v>
      </c>
      <c r="D1793">
        <v>453.6300048828125</v>
      </c>
      <c r="E1793">
        <v>451.5499877929688</v>
      </c>
      <c r="F1793">
        <v>453.0799865722656</v>
      </c>
      <c r="G1793">
        <v>422.4135131835938</v>
      </c>
      <c r="H1793">
        <v>47170500</v>
      </c>
      <c r="I1793" t="s">
        <v>816</v>
      </c>
      <c r="J1793" t="s">
        <v>817</v>
      </c>
      <c r="K1793" t="s">
        <v>4629</v>
      </c>
    </row>
    <row r="1794" spans="1:11" ht="20" customHeight="1">
      <c r="A1794" t="s">
        <v>4628</v>
      </c>
      <c r="B1794" t="s">
        <v>818</v>
      </c>
      <c r="C1794">
        <v>452.7099914550781</v>
      </c>
      <c r="D1794">
        <v>452.8099975585938</v>
      </c>
      <c r="E1794">
        <v>450.739990234375</v>
      </c>
      <c r="F1794">
        <v>451.4599914550781</v>
      </c>
      <c r="G1794">
        <v>420.9032287597656</v>
      </c>
      <c r="H1794">
        <v>51671500</v>
      </c>
      <c r="I1794" t="s">
        <v>819</v>
      </c>
      <c r="J1794" t="s">
        <v>820</v>
      </c>
      <c r="K1794" t="s">
        <v>4629</v>
      </c>
    </row>
    <row r="1795" spans="1:11" ht="20" customHeight="1">
      <c r="A1795" t="s">
        <v>4628</v>
      </c>
      <c r="B1795" t="s">
        <v>821</v>
      </c>
      <c r="C1795">
        <v>450.8900146484375</v>
      </c>
      <c r="D1795">
        <v>451.6700134277344</v>
      </c>
      <c r="E1795">
        <v>448.8599853515625</v>
      </c>
      <c r="F1795">
        <v>450.9100036621094</v>
      </c>
      <c r="G1795">
        <v>420.3904113769531</v>
      </c>
      <c r="H1795">
        <v>56181900</v>
      </c>
      <c r="I1795" t="s">
        <v>822</v>
      </c>
      <c r="J1795" t="s">
        <v>823</v>
      </c>
      <c r="K1795" t="s">
        <v>4629</v>
      </c>
    </row>
    <row r="1796" spans="1:11" ht="20" customHeight="1">
      <c r="A1796" t="s">
        <v>4628</v>
      </c>
      <c r="B1796" t="s">
        <v>824</v>
      </c>
      <c r="C1796">
        <v>450.7000122070312</v>
      </c>
      <c r="D1796">
        <v>452.5700073242188</v>
      </c>
      <c r="E1796">
        <v>448.7200012207031</v>
      </c>
      <c r="F1796">
        <v>448.9800109863281</v>
      </c>
      <c r="G1796">
        <v>418.591064453125</v>
      </c>
      <c r="H1796">
        <v>57970400</v>
      </c>
      <c r="I1796" t="s">
        <v>825</v>
      </c>
      <c r="J1796" t="s">
        <v>826</v>
      </c>
      <c r="K1796" t="s">
        <v>4629</v>
      </c>
    </row>
    <row r="1797" spans="1:11" ht="20" customHeight="1">
      <c r="A1797" t="s">
        <v>4628</v>
      </c>
      <c r="B1797" t="s">
        <v>827</v>
      </c>
      <c r="C1797">
        <v>451.0400085449219</v>
      </c>
      <c r="D1797">
        <v>451.489990234375</v>
      </c>
      <c r="E1797">
        <v>445.3099975585938</v>
      </c>
      <c r="F1797">
        <v>445.4400024414062</v>
      </c>
      <c r="G1797">
        <v>415.2906799316406</v>
      </c>
      <c r="H1797">
        <v>89948200</v>
      </c>
      <c r="I1797" t="s">
        <v>828</v>
      </c>
      <c r="J1797" t="s">
        <v>829</v>
      </c>
      <c r="K1797" t="s">
        <v>4629</v>
      </c>
    </row>
    <row r="1798" spans="1:11" ht="20" customHeight="1">
      <c r="A1798" t="s">
        <v>4628</v>
      </c>
      <c r="B1798" t="s">
        <v>830</v>
      </c>
      <c r="C1798">
        <v>448.6400146484375</v>
      </c>
      <c r="D1798">
        <v>448.9200134277344</v>
      </c>
      <c r="E1798">
        <v>444.1099853515625</v>
      </c>
      <c r="F1798">
        <v>446.5799865722656</v>
      </c>
      <c r="G1798">
        <v>416.3534545898438</v>
      </c>
      <c r="H1798">
        <v>83738600</v>
      </c>
      <c r="I1798" t="s">
        <v>831</v>
      </c>
      <c r="J1798" t="s">
        <v>832</v>
      </c>
      <c r="K1798" t="s">
        <v>4629</v>
      </c>
    </row>
    <row r="1799" spans="1:11" ht="20" customHeight="1">
      <c r="A1799" t="s">
        <v>4628</v>
      </c>
      <c r="B1799" t="s">
        <v>833</v>
      </c>
      <c r="C1799">
        <v>448.1199951171875</v>
      </c>
      <c r="D1799">
        <v>448.3399963378906</v>
      </c>
      <c r="E1799">
        <v>443.2200012207031</v>
      </c>
      <c r="F1799">
        <v>444.1700134277344</v>
      </c>
      <c r="G1799">
        <v>414.1066589355469</v>
      </c>
      <c r="H1799">
        <v>78197100</v>
      </c>
      <c r="I1799" t="s">
        <v>834</v>
      </c>
      <c r="J1799" t="s">
        <v>835</v>
      </c>
      <c r="K1799" t="s">
        <v>4629</v>
      </c>
    </row>
    <row r="1800" spans="1:11" ht="20" customHeight="1">
      <c r="A1800" t="s">
        <v>4628</v>
      </c>
      <c r="B1800" t="s">
        <v>836</v>
      </c>
      <c r="C1800">
        <v>444.6199951171875</v>
      </c>
      <c r="D1800">
        <v>448.4100036621094</v>
      </c>
      <c r="E1800">
        <v>443.4400024414062</v>
      </c>
      <c r="F1800">
        <v>447.8800048828125</v>
      </c>
      <c r="G1800">
        <v>417.5655212402344</v>
      </c>
      <c r="H1800">
        <v>78792200</v>
      </c>
      <c r="I1800" t="s">
        <v>837</v>
      </c>
      <c r="J1800" t="s">
        <v>838</v>
      </c>
      <c r="K1800" t="s">
        <v>4629</v>
      </c>
    </row>
    <row r="1801" spans="1:11" ht="20" customHeight="1">
      <c r="A1801" t="s">
        <v>4628</v>
      </c>
      <c r="B1801" t="s">
        <v>839</v>
      </c>
      <c r="C1801">
        <v>447.3200073242188</v>
      </c>
      <c r="D1801">
        <v>448.3599853515625</v>
      </c>
      <c r="E1801">
        <v>444.0199890136719</v>
      </c>
      <c r="F1801">
        <v>447.1700134277344</v>
      </c>
      <c r="G1801">
        <v>416.9035949707031</v>
      </c>
      <c r="H1801">
        <v>77786700</v>
      </c>
      <c r="I1801" t="s">
        <v>840</v>
      </c>
      <c r="J1801" t="s">
        <v>841</v>
      </c>
      <c r="K1801" t="s">
        <v>4629</v>
      </c>
    </row>
    <row r="1802" spans="1:11" ht="20" customHeight="1">
      <c r="A1802" t="s">
        <v>4628</v>
      </c>
      <c r="B1802" t="s">
        <v>842</v>
      </c>
      <c r="C1802">
        <v>444.9200134277344</v>
      </c>
      <c r="D1802">
        <v>445.3699951171875</v>
      </c>
      <c r="E1802">
        <v>441.0199890136719</v>
      </c>
      <c r="F1802">
        <v>441.3999938964844</v>
      </c>
      <c r="G1802">
        <v>412.8424377441406</v>
      </c>
      <c r="H1802">
        <v>118425000</v>
      </c>
      <c r="I1802" t="s">
        <v>843</v>
      </c>
      <c r="J1802" t="s">
        <v>844</v>
      </c>
      <c r="K1802" t="s">
        <v>4629</v>
      </c>
    </row>
    <row r="1803" spans="1:11" ht="20" customHeight="1">
      <c r="A1803" t="s">
        <v>4628</v>
      </c>
      <c r="B1803" t="s">
        <v>845</v>
      </c>
      <c r="C1803">
        <v>434.8800048828125</v>
      </c>
      <c r="D1803">
        <v>436.5599975585938</v>
      </c>
      <c r="E1803">
        <v>428.8599853515625</v>
      </c>
      <c r="F1803">
        <v>434.0400085449219</v>
      </c>
      <c r="G1803">
        <v>405.9586181640625</v>
      </c>
      <c r="H1803">
        <v>166445500</v>
      </c>
      <c r="I1803" t="s">
        <v>846</v>
      </c>
      <c r="J1803" t="s">
        <v>847</v>
      </c>
      <c r="K1803" t="s">
        <v>4629</v>
      </c>
    </row>
    <row r="1804" spans="1:11" ht="20" customHeight="1">
      <c r="A1804" t="s">
        <v>4628</v>
      </c>
      <c r="B1804" t="s">
        <v>848</v>
      </c>
      <c r="C1804">
        <v>436.5299987792969</v>
      </c>
      <c r="D1804">
        <v>437.9100036621094</v>
      </c>
      <c r="E1804">
        <v>433.0700073242188</v>
      </c>
      <c r="F1804">
        <v>433.6300048828125</v>
      </c>
      <c r="G1804">
        <v>405.5752258300781</v>
      </c>
      <c r="H1804">
        <v>92526100</v>
      </c>
      <c r="I1804" t="s">
        <v>849</v>
      </c>
      <c r="J1804" t="s">
        <v>850</v>
      </c>
      <c r="K1804" t="s">
        <v>4629</v>
      </c>
    </row>
    <row r="1805" spans="1:11" ht="20" customHeight="1">
      <c r="A1805" t="s">
        <v>4628</v>
      </c>
      <c r="B1805" t="s">
        <v>851</v>
      </c>
      <c r="C1805">
        <v>436.0499877929688</v>
      </c>
      <c r="D1805">
        <v>440.0299987792969</v>
      </c>
      <c r="E1805">
        <v>433.75</v>
      </c>
      <c r="F1805">
        <v>437.8599853515625</v>
      </c>
      <c r="G1805">
        <v>409.5315551757812</v>
      </c>
      <c r="H1805">
        <v>102350100</v>
      </c>
      <c r="I1805" t="s">
        <v>852</v>
      </c>
      <c r="J1805" t="s">
        <v>853</v>
      </c>
      <c r="K1805" t="s">
        <v>4629</v>
      </c>
    </row>
    <row r="1806" spans="1:11" ht="20" customHeight="1">
      <c r="A1806" t="s">
        <v>4628</v>
      </c>
      <c r="B1806" t="s">
        <v>854</v>
      </c>
      <c r="C1806">
        <v>439.8500061035156</v>
      </c>
      <c r="D1806">
        <v>444.8900146484375</v>
      </c>
      <c r="E1806">
        <v>439.6000061035156</v>
      </c>
      <c r="F1806">
        <v>443.1799926757812</v>
      </c>
      <c r="G1806">
        <v>414.50732421875</v>
      </c>
      <c r="H1806">
        <v>76396000</v>
      </c>
      <c r="I1806" t="s">
        <v>855</v>
      </c>
      <c r="J1806" t="s">
        <v>856</v>
      </c>
      <c r="K1806" t="s">
        <v>4629</v>
      </c>
    </row>
    <row r="1807" spans="1:11" ht="20" customHeight="1">
      <c r="A1807" t="s">
        <v>4628</v>
      </c>
      <c r="B1807" t="s">
        <v>857</v>
      </c>
      <c r="C1807">
        <v>441.4400024414062</v>
      </c>
      <c r="D1807">
        <v>444.6700134277344</v>
      </c>
      <c r="E1807">
        <v>441.2099914550781</v>
      </c>
      <c r="F1807">
        <v>443.9100036621094</v>
      </c>
      <c r="G1807">
        <v>415.1900329589844</v>
      </c>
      <c r="H1807">
        <v>62094800</v>
      </c>
      <c r="I1807" t="s">
        <v>858</v>
      </c>
      <c r="J1807" t="s">
        <v>859</v>
      </c>
      <c r="K1807" t="s">
        <v>4629</v>
      </c>
    </row>
    <row r="1808" spans="1:11" ht="20" customHeight="1">
      <c r="A1808" t="s">
        <v>4628</v>
      </c>
      <c r="B1808" t="s">
        <v>860</v>
      </c>
      <c r="C1808">
        <v>442.8099975585938</v>
      </c>
      <c r="D1808">
        <v>444.0499877929688</v>
      </c>
      <c r="E1808">
        <v>441.8999938964844</v>
      </c>
      <c r="F1808">
        <v>442.6400146484375</v>
      </c>
      <c r="G1808">
        <v>414.0022583007812</v>
      </c>
      <c r="H1808">
        <v>61371100</v>
      </c>
      <c r="I1808" t="s">
        <v>861</v>
      </c>
      <c r="J1808" t="s">
        <v>862</v>
      </c>
      <c r="K1808" t="s">
        <v>4629</v>
      </c>
    </row>
    <row r="1809" spans="1:11" ht="20" customHeight="1">
      <c r="A1809" t="s">
        <v>4628</v>
      </c>
      <c r="B1809" t="s">
        <v>863</v>
      </c>
      <c r="C1809">
        <v>439.6900024414062</v>
      </c>
      <c r="D1809">
        <v>440.0400085449219</v>
      </c>
      <c r="E1809">
        <v>432.9400024414062</v>
      </c>
      <c r="F1809">
        <v>433.7200012207031</v>
      </c>
      <c r="G1809">
        <v>405.6593933105469</v>
      </c>
      <c r="H1809">
        <v>130436300</v>
      </c>
      <c r="I1809" t="s">
        <v>864</v>
      </c>
      <c r="J1809" t="s">
        <v>865</v>
      </c>
      <c r="K1809" t="s">
        <v>4629</v>
      </c>
    </row>
    <row r="1810" spans="1:11" ht="20" customHeight="1">
      <c r="A1810" t="s">
        <v>4628</v>
      </c>
      <c r="B1810" t="s">
        <v>866</v>
      </c>
      <c r="C1810">
        <v>435.1900024414062</v>
      </c>
      <c r="D1810">
        <v>437.0400085449219</v>
      </c>
      <c r="E1810">
        <v>433.8500061035156</v>
      </c>
      <c r="F1810">
        <v>434.4500122070312</v>
      </c>
      <c r="G1810">
        <v>406.3421020507812</v>
      </c>
      <c r="H1810">
        <v>82329200</v>
      </c>
      <c r="I1810" t="s">
        <v>867</v>
      </c>
      <c r="J1810" t="s">
        <v>868</v>
      </c>
      <c r="K1810" t="s">
        <v>4629</v>
      </c>
    </row>
    <row r="1811" spans="1:11" ht="20" customHeight="1">
      <c r="A1811" t="s">
        <v>4628</v>
      </c>
      <c r="B1811" t="s">
        <v>869</v>
      </c>
      <c r="C1811">
        <v>436.0199890136719</v>
      </c>
      <c r="D1811">
        <v>436.7699890136719</v>
      </c>
      <c r="E1811">
        <v>428.7799987792969</v>
      </c>
      <c r="F1811">
        <v>429.1400146484375</v>
      </c>
      <c r="G1811">
        <v>401.3756408691406</v>
      </c>
      <c r="H1811">
        <v>140506000</v>
      </c>
      <c r="I1811" t="s">
        <v>870</v>
      </c>
      <c r="J1811" t="s">
        <v>871</v>
      </c>
      <c r="K1811" t="s">
        <v>4629</v>
      </c>
    </row>
    <row r="1812" spans="1:11" ht="20" customHeight="1">
      <c r="A1812" t="s">
        <v>4628</v>
      </c>
      <c r="B1812" t="s">
        <v>872</v>
      </c>
      <c r="C1812">
        <v>430.9800109863281</v>
      </c>
      <c r="D1812">
        <v>436.0299987792969</v>
      </c>
      <c r="E1812">
        <v>427.2300109863281</v>
      </c>
      <c r="F1812">
        <v>434.239990234375</v>
      </c>
      <c r="G1812">
        <v>406.1456909179688</v>
      </c>
      <c r="H1812">
        <v>129240100</v>
      </c>
      <c r="I1812" t="s">
        <v>873</v>
      </c>
      <c r="J1812" t="s">
        <v>874</v>
      </c>
      <c r="K1812" t="s">
        <v>4629</v>
      </c>
    </row>
    <row r="1813" spans="1:11" ht="20" customHeight="1">
      <c r="A1813" t="s">
        <v>4628</v>
      </c>
      <c r="B1813" t="s">
        <v>875</v>
      </c>
      <c r="C1813">
        <v>433</v>
      </c>
      <c r="D1813">
        <v>433.9599914550781</v>
      </c>
      <c r="E1813">
        <v>426.3599853515625</v>
      </c>
      <c r="F1813">
        <v>428.6400146484375</v>
      </c>
      <c r="G1813">
        <v>400.9080505371094</v>
      </c>
      <c r="H1813">
        <v>128570000</v>
      </c>
      <c r="I1813" t="s">
        <v>876</v>
      </c>
      <c r="J1813" t="s">
        <v>877</v>
      </c>
      <c r="K1813" t="s">
        <v>4629</v>
      </c>
    </row>
    <row r="1814" spans="1:11" ht="20" customHeight="1">
      <c r="A1814" t="s">
        <v>4628</v>
      </c>
      <c r="B1814" t="s">
        <v>878</v>
      </c>
      <c r="C1814">
        <v>430.239990234375</v>
      </c>
      <c r="D1814">
        <v>435.489990234375</v>
      </c>
      <c r="E1814">
        <v>429.3900146484375</v>
      </c>
      <c r="F1814">
        <v>433.1000061035156</v>
      </c>
      <c r="G1814">
        <v>405.0795288085938</v>
      </c>
      <c r="H1814">
        <v>90682500</v>
      </c>
      <c r="I1814" t="s">
        <v>879</v>
      </c>
      <c r="J1814" t="s">
        <v>880</v>
      </c>
      <c r="K1814" t="s">
        <v>4629</v>
      </c>
    </row>
    <row r="1815" spans="1:11" ht="20" customHeight="1">
      <c r="A1815" t="s">
        <v>4628</v>
      </c>
      <c r="B1815" t="s">
        <v>881</v>
      </c>
      <c r="C1815">
        <v>429.2699890136719</v>
      </c>
      <c r="D1815">
        <v>435.1199951171875</v>
      </c>
      <c r="E1815">
        <v>427.5400085449219</v>
      </c>
      <c r="F1815">
        <v>434.8999938964844</v>
      </c>
      <c r="G1815">
        <v>406.7630615234375</v>
      </c>
      <c r="H1815">
        <v>113032200</v>
      </c>
      <c r="I1815" t="s">
        <v>882</v>
      </c>
      <c r="J1815" t="s">
        <v>883</v>
      </c>
      <c r="K1815" t="s">
        <v>4629</v>
      </c>
    </row>
    <row r="1816" spans="1:11" ht="20" customHeight="1">
      <c r="A1816" t="s">
        <v>4628</v>
      </c>
      <c r="B1816" t="s">
        <v>884</v>
      </c>
      <c r="C1816">
        <v>438.3900146484375</v>
      </c>
      <c r="D1816">
        <v>441.6799926757812</v>
      </c>
      <c r="E1816">
        <v>438.2000122070312</v>
      </c>
      <c r="F1816">
        <v>438.6600036621094</v>
      </c>
      <c r="G1816">
        <v>410.2797546386719</v>
      </c>
      <c r="H1816">
        <v>72437500</v>
      </c>
      <c r="I1816" t="s">
        <v>885</v>
      </c>
      <c r="J1816" t="s">
        <v>886</v>
      </c>
      <c r="K1816" t="s">
        <v>4629</v>
      </c>
    </row>
    <row r="1817" spans="1:11" ht="20" customHeight="1">
      <c r="A1817" t="s">
        <v>4628</v>
      </c>
      <c r="B1817" t="s">
        <v>887</v>
      </c>
      <c r="C1817">
        <v>439.4800109863281</v>
      </c>
      <c r="D1817">
        <v>439.8900146484375</v>
      </c>
      <c r="E1817">
        <v>437.1900024414062</v>
      </c>
      <c r="F1817">
        <v>437.8599853515625</v>
      </c>
      <c r="G1817">
        <v>409.5315551757812</v>
      </c>
      <c r="H1817">
        <v>74557400</v>
      </c>
      <c r="I1817" t="s">
        <v>888</v>
      </c>
      <c r="J1817" t="s">
        <v>889</v>
      </c>
      <c r="K1817" t="s">
        <v>4629</v>
      </c>
    </row>
    <row r="1818" spans="1:11" ht="20" customHeight="1">
      <c r="A1818" t="s">
        <v>4628</v>
      </c>
      <c r="B1818" t="s">
        <v>890</v>
      </c>
      <c r="C1818">
        <v>437.1600036621094</v>
      </c>
      <c r="D1818">
        <v>440.260009765625</v>
      </c>
      <c r="E1818">
        <v>434.6199951171875</v>
      </c>
      <c r="F1818">
        <v>434.6900024414062</v>
      </c>
      <c r="G1818">
        <v>406.5665893554688</v>
      </c>
      <c r="H1818">
        <v>65233300</v>
      </c>
      <c r="I1818" t="s">
        <v>891</v>
      </c>
      <c r="J1818" t="s">
        <v>892</v>
      </c>
      <c r="K1818" t="s">
        <v>4629</v>
      </c>
    </row>
    <row r="1819" spans="1:11" ht="20" customHeight="1">
      <c r="A1819" t="s">
        <v>4628</v>
      </c>
      <c r="B1819" t="s">
        <v>893</v>
      </c>
      <c r="C1819">
        <v>435.6700134277344</v>
      </c>
      <c r="D1819">
        <v>436.1000061035156</v>
      </c>
      <c r="E1819">
        <v>432.7799987792969</v>
      </c>
      <c r="F1819">
        <v>433.6199951171875</v>
      </c>
      <c r="G1819">
        <v>405.5657958984375</v>
      </c>
      <c r="H1819">
        <v>71181200</v>
      </c>
      <c r="I1819" t="s">
        <v>894</v>
      </c>
      <c r="J1819" t="s">
        <v>895</v>
      </c>
      <c r="K1819" t="s">
        <v>4629</v>
      </c>
    </row>
    <row r="1820" spans="1:11" ht="20" customHeight="1">
      <c r="A1820" t="s">
        <v>4628</v>
      </c>
      <c r="B1820" t="s">
        <v>896</v>
      </c>
      <c r="C1820">
        <v>434.7099914550781</v>
      </c>
      <c r="D1820">
        <v>436.0499877929688</v>
      </c>
      <c r="E1820">
        <v>431.5400085449219</v>
      </c>
      <c r="F1820">
        <v>435.1799926757812</v>
      </c>
      <c r="G1820">
        <v>407.0248718261719</v>
      </c>
      <c r="H1820">
        <v>72974000</v>
      </c>
      <c r="I1820" t="s">
        <v>897</v>
      </c>
      <c r="J1820" t="s">
        <v>898</v>
      </c>
      <c r="K1820" t="s">
        <v>4629</v>
      </c>
    </row>
    <row r="1821" spans="1:11" ht="20" customHeight="1">
      <c r="A1821" t="s">
        <v>4628</v>
      </c>
      <c r="B1821" t="s">
        <v>899</v>
      </c>
      <c r="C1821">
        <v>439.0799865722656</v>
      </c>
      <c r="D1821">
        <v>442.6600036621094</v>
      </c>
      <c r="E1821">
        <v>438.5799865722656</v>
      </c>
      <c r="F1821">
        <v>442.5</v>
      </c>
      <c r="G1821">
        <v>413.871337890625</v>
      </c>
      <c r="H1821">
        <v>70236800</v>
      </c>
      <c r="I1821" t="s">
        <v>900</v>
      </c>
      <c r="J1821" t="s">
        <v>901</v>
      </c>
      <c r="K1821" t="s">
        <v>4629</v>
      </c>
    </row>
    <row r="1822" spans="1:11" ht="20" customHeight="1">
      <c r="A1822" t="s">
        <v>4628</v>
      </c>
      <c r="B1822" t="s">
        <v>902</v>
      </c>
      <c r="C1822">
        <v>444.75</v>
      </c>
      <c r="D1822">
        <v>446.260009765625</v>
      </c>
      <c r="E1822">
        <v>444.0899963378906</v>
      </c>
      <c r="F1822">
        <v>445.8699951171875</v>
      </c>
      <c r="G1822">
        <v>417.0232238769531</v>
      </c>
      <c r="H1822">
        <v>66260200</v>
      </c>
      <c r="I1822" t="s">
        <v>903</v>
      </c>
      <c r="J1822" t="s">
        <v>904</v>
      </c>
      <c r="K1822" t="s">
        <v>4629</v>
      </c>
    </row>
    <row r="1823" spans="1:11" ht="20" customHeight="1">
      <c r="A1823" t="s">
        <v>4628</v>
      </c>
      <c r="B1823" t="s">
        <v>905</v>
      </c>
      <c r="C1823">
        <v>443.9700012207031</v>
      </c>
      <c r="D1823">
        <v>447.5499877929688</v>
      </c>
      <c r="E1823">
        <v>443.2699890136719</v>
      </c>
      <c r="F1823">
        <v>447.1900024414062</v>
      </c>
      <c r="G1823">
        <v>418.2579040527344</v>
      </c>
      <c r="H1823">
        <v>62213200</v>
      </c>
      <c r="I1823" t="s">
        <v>906</v>
      </c>
      <c r="J1823" t="s">
        <v>907</v>
      </c>
      <c r="K1823" t="s">
        <v>4629</v>
      </c>
    </row>
    <row r="1824" spans="1:11" ht="20" customHeight="1">
      <c r="A1824" t="s">
        <v>4628</v>
      </c>
      <c r="B1824" t="s">
        <v>908</v>
      </c>
      <c r="C1824">
        <v>448.9200134277344</v>
      </c>
      <c r="D1824">
        <v>450.7099914550781</v>
      </c>
      <c r="E1824">
        <v>448.2699890136719</v>
      </c>
      <c r="F1824">
        <v>450.6400146484375</v>
      </c>
      <c r="G1824">
        <v>421.4847412109375</v>
      </c>
      <c r="H1824">
        <v>46996800</v>
      </c>
      <c r="I1824" t="s">
        <v>909</v>
      </c>
      <c r="J1824" t="s">
        <v>910</v>
      </c>
      <c r="K1824" t="s">
        <v>4629</v>
      </c>
    </row>
    <row r="1825" spans="1:11" ht="20" customHeight="1">
      <c r="A1825" t="s">
        <v>4628</v>
      </c>
      <c r="B1825" t="s">
        <v>911</v>
      </c>
      <c r="C1825">
        <v>451.1300048828125</v>
      </c>
      <c r="D1825">
        <v>452.7300109863281</v>
      </c>
      <c r="E1825">
        <v>451.010009765625</v>
      </c>
      <c r="F1825">
        <v>452.4100036621094</v>
      </c>
      <c r="G1825">
        <v>423.14013671875</v>
      </c>
      <c r="H1825">
        <v>49571600</v>
      </c>
      <c r="I1825" t="s">
        <v>912</v>
      </c>
      <c r="J1825" t="s">
        <v>913</v>
      </c>
      <c r="K1825" t="s">
        <v>4629</v>
      </c>
    </row>
    <row r="1826" spans="1:11" ht="20" customHeight="1">
      <c r="A1826" t="s">
        <v>4628</v>
      </c>
      <c r="B1826" t="s">
        <v>914</v>
      </c>
      <c r="C1826">
        <v>451.7699890136719</v>
      </c>
      <c r="D1826">
        <v>453.8299865722656</v>
      </c>
      <c r="E1826">
        <v>451.3099975585938</v>
      </c>
      <c r="F1826">
        <v>453.5899963378906</v>
      </c>
      <c r="G1826">
        <v>424.2438049316406</v>
      </c>
      <c r="H1826">
        <v>41305400</v>
      </c>
      <c r="I1826" t="s">
        <v>915</v>
      </c>
      <c r="J1826" t="s">
        <v>916</v>
      </c>
      <c r="K1826" t="s">
        <v>4629</v>
      </c>
    </row>
    <row r="1827" spans="1:11" ht="20" customHeight="1">
      <c r="A1827" t="s">
        <v>4628</v>
      </c>
      <c r="B1827" t="s">
        <v>917</v>
      </c>
      <c r="C1827">
        <v>453.1300048828125</v>
      </c>
      <c r="D1827">
        <v>454.6700134277344</v>
      </c>
      <c r="E1827">
        <v>451.0499877929688</v>
      </c>
      <c r="F1827">
        <v>453.1199951171875</v>
      </c>
      <c r="G1827">
        <v>423.8042297363281</v>
      </c>
      <c r="H1827">
        <v>58845100</v>
      </c>
      <c r="I1827" t="s">
        <v>918</v>
      </c>
      <c r="J1827" t="s">
        <v>919</v>
      </c>
      <c r="K1827" t="s">
        <v>4629</v>
      </c>
    </row>
    <row r="1828" spans="1:11" ht="20" customHeight="1">
      <c r="A1828" t="s">
        <v>4628</v>
      </c>
      <c r="B1828" t="s">
        <v>920</v>
      </c>
      <c r="C1828">
        <v>454.2799987792969</v>
      </c>
      <c r="D1828">
        <v>455.8999938964844</v>
      </c>
      <c r="E1828">
        <v>452.3900146484375</v>
      </c>
      <c r="F1828">
        <v>455.5499877929688</v>
      </c>
      <c r="G1828">
        <v>426.0770263671875</v>
      </c>
      <c r="H1828">
        <v>45214500</v>
      </c>
      <c r="I1828" t="s">
        <v>921</v>
      </c>
      <c r="J1828" t="s">
        <v>922</v>
      </c>
      <c r="K1828" t="s">
        <v>4629</v>
      </c>
    </row>
    <row r="1829" spans="1:11" ht="20" customHeight="1">
      <c r="A1829" t="s">
        <v>4628</v>
      </c>
      <c r="B1829" t="s">
        <v>923</v>
      </c>
      <c r="C1829">
        <v>457.2000122070312</v>
      </c>
      <c r="D1829">
        <v>458.489990234375</v>
      </c>
      <c r="E1829">
        <v>455.5599975585938</v>
      </c>
      <c r="F1829">
        <v>455.9599914550781</v>
      </c>
      <c r="G1829">
        <v>426.4605102539062</v>
      </c>
      <c r="H1829">
        <v>56075100</v>
      </c>
      <c r="I1829" t="s">
        <v>924</v>
      </c>
      <c r="J1829" t="s">
        <v>925</v>
      </c>
      <c r="K1829" t="s">
        <v>4629</v>
      </c>
    </row>
    <row r="1830" spans="1:11" ht="20" customHeight="1">
      <c r="A1830" t="s">
        <v>4628</v>
      </c>
      <c r="B1830" t="s">
        <v>926</v>
      </c>
      <c r="C1830">
        <v>456.4500122070312</v>
      </c>
      <c r="D1830">
        <v>457.1600036621094</v>
      </c>
      <c r="E1830">
        <v>453.8599853515625</v>
      </c>
      <c r="F1830">
        <v>453.9400024414062</v>
      </c>
      <c r="G1830">
        <v>424.5711669921875</v>
      </c>
      <c r="H1830">
        <v>72438000</v>
      </c>
      <c r="I1830" t="s">
        <v>927</v>
      </c>
      <c r="J1830" t="s">
        <v>928</v>
      </c>
      <c r="K1830" t="s">
        <v>4629</v>
      </c>
    </row>
    <row r="1831" spans="1:11" ht="20" customHeight="1">
      <c r="A1831" t="s">
        <v>4628</v>
      </c>
      <c r="B1831" t="s">
        <v>929</v>
      </c>
      <c r="C1831">
        <v>455.4599914550781</v>
      </c>
      <c r="D1831">
        <v>458.3999938964844</v>
      </c>
      <c r="E1831">
        <v>455.4500122070312</v>
      </c>
      <c r="F1831">
        <v>458.3200073242188</v>
      </c>
      <c r="G1831">
        <v>428.6678466796875</v>
      </c>
      <c r="H1831">
        <v>51437900</v>
      </c>
      <c r="I1831" t="s">
        <v>930</v>
      </c>
      <c r="J1831" t="s">
        <v>931</v>
      </c>
      <c r="K1831" t="s">
        <v>4629</v>
      </c>
    </row>
    <row r="1832" spans="1:11" ht="20" customHeight="1">
      <c r="A1832" t="s">
        <v>4628</v>
      </c>
      <c r="B1832" t="s">
        <v>932</v>
      </c>
      <c r="C1832">
        <v>455.8699951171875</v>
      </c>
      <c r="D1832">
        <v>459.5599975585938</v>
      </c>
      <c r="E1832">
        <v>455.5599975585938</v>
      </c>
      <c r="F1832">
        <v>459.25</v>
      </c>
      <c r="G1832">
        <v>429.5376281738281</v>
      </c>
      <c r="H1832">
        <v>70162400</v>
      </c>
      <c r="I1832" t="s">
        <v>933</v>
      </c>
      <c r="J1832" t="s">
        <v>934</v>
      </c>
      <c r="K1832" t="s">
        <v>4629</v>
      </c>
    </row>
    <row r="1833" spans="1:11" ht="20" customHeight="1">
      <c r="A1833" t="s">
        <v>4628</v>
      </c>
      <c r="B1833" t="s">
        <v>935</v>
      </c>
      <c r="C1833">
        <v>460.2999877929688</v>
      </c>
      <c r="D1833">
        <v>460.7000122070312</v>
      </c>
      <c r="E1833">
        <v>458.2000122070312</v>
      </c>
      <c r="F1833">
        <v>460.0400085449219</v>
      </c>
      <c r="G1833">
        <v>430.2765808105469</v>
      </c>
      <c r="H1833">
        <v>48433600</v>
      </c>
      <c r="I1833" t="s">
        <v>936</v>
      </c>
      <c r="J1833" t="s">
        <v>937</v>
      </c>
      <c r="K1833" t="s">
        <v>4629</v>
      </c>
    </row>
    <row r="1834" spans="1:11" ht="20" customHeight="1">
      <c r="A1834" t="s">
        <v>4628</v>
      </c>
      <c r="B1834" t="s">
        <v>938</v>
      </c>
      <c r="C1834">
        <v>460.2200012207031</v>
      </c>
      <c r="D1834">
        <v>462.2300109863281</v>
      </c>
      <c r="E1834">
        <v>460.0799865722656</v>
      </c>
      <c r="F1834">
        <v>461.8999938964844</v>
      </c>
      <c r="G1834">
        <v>432.0162658691406</v>
      </c>
      <c r="H1834">
        <v>48908400</v>
      </c>
      <c r="I1834" t="s">
        <v>939</v>
      </c>
      <c r="J1834" t="s">
        <v>940</v>
      </c>
      <c r="K1834" t="s">
        <v>4629</v>
      </c>
    </row>
    <row r="1835" spans="1:11" ht="20" customHeight="1">
      <c r="A1835" t="s">
        <v>4628</v>
      </c>
      <c r="B1835" t="s">
        <v>941</v>
      </c>
      <c r="C1835">
        <v>461.2999877929688</v>
      </c>
      <c r="D1835">
        <v>465.1499938964844</v>
      </c>
      <c r="E1835">
        <v>460.8299865722656</v>
      </c>
      <c r="F1835">
        <v>464.7200012207031</v>
      </c>
      <c r="G1835">
        <v>434.6537475585938</v>
      </c>
      <c r="H1835">
        <v>52509800</v>
      </c>
      <c r="I1835" t="s">
        <v>942</v>
      </c>
      <c r="J1835" t="s">
        <v>943</v>
      </c>
      <c r="K1835" t="s">
        <v>4629</v>
      </c>
    </row>
    <row r="1836" spans="1:11" ht="20" customHeight="1">
      <c r="A1836" t="s">
        <v>4628</v>
      </c>
      <c r="B1836" t="s">
        <v>944</v>
      </c>
      <c r="C1836">
        <v>465.3599853515625</v>
      </c>
      <c r="D1836">
        <v>467</v>
      </c>
      <c r="E1836">
        <v>464.989990234375</v>
      </c>
      <c r="F1836">
        <v>466.9100036621094</v>
      </c>
      <c r="G1836">
        <v>436.7020263671875</v>
      </c>
      <c r="H1836">
        <v>52847100</v>
      </c>
      <c r="I1836" t="s">
        <v>945</v>
      </c>
      <c r="J1836" t="s">
        <v>946</v>
      </c>
      <c r="K1836" t="s">
        <v>4629</v>
      </c>
    </row>
    <row r="1837" spans="1:11" ht="20" customHeight="1">
      <c r="A1837" t="s">
        <v>4628</v>
      </c>
      <c r="B1837" t="s">
        <v>947</v>
      </c>
      <c r="C1837">
        <v>469.2799987792969</v>
      </c>
      <c r="D1837">
        <v>470.6499938964844</v>
      </c>
      <c r="E1837">
        <v>466.9200134277344</v>
      </c>
      <c r="F1837">
        <v>468.5299987792969</v>
      </c>
      <c r="G1837">
        <v>438.2172546386719</v>
      </c>
      <c r="H1837">
        <v>66390600</v>
      </c>
      <c r="I1837" t="s">
        <v>948</v>
      </c>
      <c r="J1837" t="s">
        <v>949</v>
      </c>
      <c r="K1837" t="s">
        <v>4629</v>
      </c>
    </row>
    <row r="1838" spans="1:11" ht="20" customHeight="1">
      <c r="A1838" t="s">
        <v>4628</v>
      </c>
      <c r="B1838" t="s">
        <v>950</v>
      </c>
      <c r="C1838">
        <v>469.7000122070312</v>
      </c>
      <c r="D1838">
        <v>470.2300109863281</v>
      </c>
      <c r="E1838">
        <v>468.2000122070312</v>
      </c>
      <c r="F1838">
        <v>468.9299926757812</v>
      </c>
      <c r="G1838">
        <v>438.5913391113281</v>
      </c>
      <c r="H1838">
        <v>50405200</v>
      </c>
      <c r="I1838" t="s">
        <v>951</v>
      </c>
      <c r="J1838" t="s">
        <v>952</v>
      </c>
      <c r="K1838" t="s">
        <v>4629</v>
      </c>
    </row>
    <row r="1839" spans="1:11" ht="20" customHeight="1">
      <c r="A1839" t="s">
        <v>4628</v>
      </c>
      <c r="B1839" t="s">
        <v>953</v>
      </c>
      <c r="C1839">
        <v>469.3200073242188</v>
      </c>
      <c r="D1839">
        <v>469.5700073242188</v>
      </c>
      <c r="E1839">
        <v>465.8800048828125</v>
      </c>
      <c r="F1839">
        <v>467.3800048828125</v>
      </c>
      <c r="G1839">
        <v>437.1416625976562</v>
      </c>
      <c r="H1839">
        <v>51149100</v>
      </c>
      <c r="I1839" t="s">
        <v>954</v>
      </c>
      <c r="J1839" t="s">
        <v>955</v>
      </c>
      <c r="K1839" t="s">
        <v>4629</v>
      </c>
    </row>
    <row r="1840" spans="1:11" ht="20" customHeight="1">
      <c r="A1840" t="s">
        <v>4628</v>
      </c>
      <c r="B1840" t="s">
        <v>956</v>
      </c>
      <c r="C1840">
        <v>465.5799865722656</v>
      </c>
      <c r="D1840">
        <v>467.3800048828125</v>
      </c>
      <c r="E1840">
        <v>462.0400085449219</v>
      </c>
      <c r="F1840">
        <v>463.6199951171875</v>
      </c>
      <c r="G1840">
        <v>433.6248779296875</v>
      </c>
      <c r="H1840">
        <v>69429700</v>
      </c>
      <c r="I1840" t="s">
        <v>957</v>
      </c>
      <c r="J1840" t="s">
        <v>958</v>
      </c>
      <c r="K1840" t="s">
        <v>4629</v>
      </c>
    </row>
    <row r="1841" spans="1:11" ht="20" customHeight="1">
      <c r="A1841" t="s">
        <v>4628</v>
      </c>
      <c r="B1841" t="s">
        <v>959</v>
      </c>
      <c r="C1841">
        <v>465.2099914550781</v>
      </c>
      <c r="D1841">
        <v>465.2900085449219</v>
      </c>
      <c r="E1841">
        <v>463.75</v>
      </c>
      <c r="F1841">
        <v>463.7699890136719</v>
      </c>
      <c r="G1841">
        <v>433.7652587890625</v>
      </c>
      <c r="H1841">
        <v>34848500</v>
      </c>
      <c r="I1841" t="s">
        <v>960</v>
      </c>
      <c r="J1841" t="s">
        <v>961</v>
      </c>
      <c r="K1841" t="s">
        <v>4629</v>
      </c>
    </row>
    <row r="1842" spans="1:11" ht="20" customHeight="1">
      <c r="A1842" t="s">
        <v>4628</v>
      </c>
      <c r="B1842" t="s">
        <v>962</v>
      </c>
      <c r="C1842">
        <v>465.1199951171875</v>
      </c>
      <c r="D1842">
        <v>467.8599853515625</v>
      </c>
      <c r="E1842">
        <v>464.1099853515625</v>
      </c>
      <c r="F1842">
        <v>467.2699890136719</v>
      </c>
      <c r="G1842">
        <v>437.0387878417969</v>
      </c>
      <c r="H1842">
        <v>53466700</v>
      </c>
      <c r="I1842" t="s">
        <v>963</v>
      </c>
      <c r="J1842" t="s">
        <v>964</v>
      </c>
      <c r="K1842" t="s">
        <v>4629</v>
      </c>
    </row>
    <row r="1843" spans="1:11" ht="20" customHeight="1">
      <c r="A1843" t="s">
        <v>4628</v>
      </c>
      <c r="B1843" t="s">
        <v>965</v>
      </c>
      <c r="C1843">
        <v>468.6400146484375</v>
      </c>
      <c r="D1843">
        <v>468.8099975585938</v>
      </c>
      <c r="E1843">
        <v>466.2300109863281</v>
      </c>
      <c r="F1843">
        <v>467.4299926757812</v>
      </c>
      <c r="G1843">
        <v>437.1884155273438</v>
      </c>
      <c r="H1843">
        <v>46980500</v>
      </c>
      <c r="I1843" t="s">
        <v>966</v>
      </c>
      <c r="J1843" t="s">
        <v>967</v>
      </c>
      <c r="K1843" t="s">
        <v>4629</v>
      </c>
    </row>
    <row r="1844" spans="1:11" ht="20" customHeight="1">
      <c r="A1844" t="s">
        <v>4628</v>
      </c>
      <c r="B1844" t="s">
        <v>968</v>
      </c>
      <c r="C1844">
        <v>467.1499938964844</v>
      </c>
      <c r="D1844">
        <v>470.489990234375</v>
      </c>
      <c r="E1844">
        <v>467.0700073242188</v>
      </c>
      <c r="F1844">
        <v>469.2799987792969</v>
      </c>
      <c r="G1844">
        <v>438.918701171875</v>
      </c>
      <c r="H1844">
        <v>48857500</v>
      </c>
      <c r="I1844" t="s">
        <v>969</v>
      </c>
      <c r="J1844" t="s">
        <v>970</v>
      </c>
      <c r="K1844" t="s">
        <v>4629</v>
      </c>
    </row>
    <row r="1845" spans="1:11" ht="20" customHeight="1">
      <c r="A1845" t="s">
        <v>4628</v>
      </c>
      <c r="B1845" t="s">
        <v>971</v>
      </c>
      <c r="C1845">
        <v>469</v>
      </c>
      <c r="D1845">
        <v>469.1900024414062</v>
      </c>
      <c r="E1845">
        <v>467.4800109863281</v>
      </c>
      <c r="F1845">
        <v>468.1400146484375</v>
      </c>
      <c r="G1845">
        <v>437.8524780273438</v>
      </c>
      <c r="H1845">
        <v>47858300</v>
      </c>
      <c r="I1845" t="s">
        <v>972</v>
      </c>
      <c r="J1845" t="s">
        <v>973</v>
      </c>
      <c r="K1845" t="s">
        <v>4629</v>
      </c>
    </row>
    <row r="1846" spans="1:11" ht="20" customHeight="1">
      <c r="A1846" t="s">
        <v>4628</v>
      </c>
      <c r="B1846" t="s">
        <v>974</v>
      </c>
      <c r="C1846">
        <v>469.239990234375</v>
      </c>
      <c r="D1846">
        <v>470.010009765625</v>
      </c>
      <c r="E1846">
        <v>466.3399963378906</v>
      </c>
      <c r="F1846">
        <v>469.7300109863281</v>
      </c>
      <c r="G1846">
        <v>439.3395690917969</v>
      </c>
      <c r="H1846">
        <v>50625600</v>
      </c>
      <c r="I1846" t="s">
        <v>975</v>
      </c>
      <c r="J1846" t="s">
        <v>976</v>
      </c>
      <c r="K1846" t="s">
        <v>4629</v>
      </c>
    </row>
    <row r="1847" spans="1:11" ht="20" customHeight="1">
      <c r="A1847" t="s">
        <v>4628</v>
      </c>
      <c r="B1847" t="s">
        <v>977</v>
      </c>
      <c r="C1847">
        <v>469.6099853515625</v>
      </c>
      <c r="D1847">
        <v>470.9400024414062</v>
      </c>
      <c r="E1847">
        <v>468.5</v>
      </c>
      <c r="F1847">
        <v>468.8900146484375</v>
      </c>
      <c r="G1847">
        <v>438.5540466308594</v>
      </c>
      <c r="H1847">
        <v>57315600</v>
      </c>
      <c r="I1847" t="s">
        <v>978</v>
      </c>
      <c r="J1847" t="s">
        <v>979</v>
      </c>
      <c r="K1847" t="s">
        <v>4629</v>
      </c>
    </row>
    <row r="1848" spans="1:11" ht="20" customHeight="1">
      <c r="A1848" t="s">
        <v>4628</v>
      </c>
      <c r="B1848" t="s">
        <v>980</v>
      </c>
      <c r="C1848">
        <v>470.8900146484375</v>
      </c>
      <c r="D1848">
        <v>473.5400085449219</v>
      </c>
      <c r="E1848">
        <v>467.3500061035156</v>
      </c>
      <c r="F1848">
        <v>467.5700073242188</v>
      </c>
      <c r="G1848">
        <v>437.3193054199219</v>
      </c>
      <c r="H1848">
        <v>72762000</v>
      </c>
      <c r="I1848" t="s">
        <v>981</v>
      </c>
      <c r="J1848" t="s">
        <v>982</v>
      </c>
      <c r="K1848" t="s">
        <v>4629</v>
      </c>
    </row>
    <row r="1849" spans="1:11" ht="20" customHeight="1">
      <c r="A1849" t="s">
        <v>4628</v>
      </c>
      <c r="B1849" t="s">
        <v>983</v>
      </c>
      <c r="C1849">
        <v>467.2200012207031</v>
      </c>
      <c r="D1849">
        <v>469.1000061035156</v>
      </c>
      <c r="E1849">
        <v>464.4500122070312</v>
      </c>
      <c r="F1849">
        <v>468.1900024414062</v>
      </c>
      <c r="G1849">
        <v>437.8992309570312</v>
      </c>
      <c r="H1849">
        <v>73206500</v>
      </c>
      <c r="I1849" t="s">
        <v>984</v>
      </c>
      <c r="J1849" t="s">
        <v>985</v>
      </c>
      <c r="K1849" t="s">
        <v>4629</v>
      </c>
    </row>
    <row r="1850" spans="1:11" ht="20" customHeight="1">
      <c r="A1850" t="s">
        <v>4628</v>
      </c>
      <c r="B1850" t="s">
        <v>986</v>
      </c>
      <c r="C1850">
        <v>466.0599975585938</v>
      </c>
      <c r="D1850">
        <v>469.5700073242188</v>
      </c>
      <c r="E1850">
        <v>465.1900024414062</v>
      </c>
      <c r="F1850">
        <v>469.4400024414062</v>
      </c>
      <c r="G1850">
        <v>439.0684204101562</v>
      </c>
      <c r="H1850">
        <v>61858800</v>
      </c>
      <c r="I1850" t="s">
        <v>987</v>
      </c>
      <c r="J1850" t="s">
        <v>988</v>
      </c>
      <c r="K1850" t="s">
        <v>4629</v>
      </c>
    </row>
    <row r="1851" spans="1:11" ht="20" customHeight="1">
      <c r="A1851" t="s">
        <v>4628</v>
      </c>
      <c r="B1851" t="s">
        <v>989</v>
      </c>
      <c r="C1851">
        <v>462.3399963378906</v>
      </c>
      <c r="D1851">
        <v>463.8999938964844</v>
      </c>
      <c r="E1851">
        <v>457.7699890136719</v>
      </c>
      <c r="F1851">
        <v>458.9700012207031</v>
      </c>
      <c r="G1851">
        <v>429.2758178710938</v>
      </c>
      <c r="H1851">
        <v>112669600</v>
      </c>
      <c r="I1851" t="s">
        <v>990</v>
      </c>
      <c r="J1851" t="s">
        <v>991</v>
      </c>
      <c r="K1851" t="s">
        <v>4629</v>
      </c>
    </row>
    <row r="1852" spans="1:11" ht="20" customHeight="1">
      <c r="A1852" t="s">
        <v>4628</v>
      </c>
      <c r="B1852" t="s">
        <v>992</v>
      </c>
      <c r="C1852">
        <v>464.0700073242188</v>
      </c>
      <c r="D1852">
        <v>466.5599975585938</v>
      </c>
      <c r="E1852">
        <v>461.7300109863281</v>
      </c>
      <c r="F1852">
        <v>464.6000061035156</v>
      </c>
      <c r="G1852">
        <v>434.54150390625</v>
      </c>
      <c r="H1852">
        <v>86268800</v>
      </c>
      <c r="I1852" t="s">
        <v>993</v>
      </c>
      <c r="J1852" t="s">
        <v>994</v>
      </c>
      <c r="K1852" t="s">
        <v>4629</v>
      </c>
    </row>
    <row r="1853" spans="1:11" ht="20" customHeight="1">
      <c r="A1853" t="s">
        <v>4628</v>
      </c>
      <c r="B1853" t="s">
        <v>995</v>
      </c>
      <c r="C1853">
        <v>462</v>
      </c>
      <c r="D1853">
        <v>464.0299987792969</v>
      </c>
      <c r="E1853">
        <v>455.2999877929688</v>
      </c>
      <c r="F1853">
        <v>455.5599975585938</v>
      </c>
      <c r="G1853">
        <v>426.08642578125</v>
      </c>
      <c r="H1853">
        <v>148559600</v>
      </c>
      <c r="I1853" t="s">
        <v>996</v>
      </c>
      <c r="J1853" t="s">
        <v>997</v>
      </c>
      <c r="K1853" t="s">
        <v>4629</v>
      </c>
    </row>
    <row r="1854" spans="1:11" ht="20" customHeight="1">
      <c r="A1854" t="s">
        <v>4628</v>
      </c>
      <c r="B1854" t="s">
        <v>998</v>
      </c>
      <c r="C1854">
        <v>461.6400146484375</v>
      </c>
      <c r="D1854">
        <v>464.6700134277344</v>
      </c>
      <c r="E1854">
        <v>450.2900085449219</v>
      </c>
      <c r="F1854">
        <v>450.5</v>
      </c>
      <c r="G1854">
        <v>421.3536987304688</v>
      </c>
      <c r="H1854">
        <v>131939200</v>
      </c>
      <c r="I1854" t="s">
        <v>999</v>
      </c>
      <c r="J1854" t="s">
        <v>1000</v>
      </c>
      <c r="K1854" t="s">
        <v>4629</v>
      </c>
    </row>
    <row r="1855" spans="1:11" ht="20" customHeight="1">
      <c r="A1855" t="s">
        <v>4628</v>
      </c>
      <c r="B1855" t="s">
        <v>1001</v>
      </c>
      <c r="C1855">
        <v>450.7300109863281</v>
      </c>
      <c r="D1855">
        <v>459.0700073242188</v>
      </c>
      <c r="E1855">
        <v>450.3099975585938</v>
      </c>
      <c r="F1855">
        <v>457.3999938964844</v>
      </c>
      <c r="G1855">
        <v>427.8073120117188</v>
      </c>
      <c r="H1855">
        <v>127637800</v>
      </c>
      <c r="I1855" t="s">
        <v>1002</v>
      </c>
      <c r="J1855" t="s">
        <v>1003</v>
      </c>
      <c r="K1855" t="s">
        <v>4629</v>
      </c>
    </row>
    <row r="1856" spans="1:11" ht="20" customHeight="1">
      <c r="A1856" t="s">
        <v>4628</v>
      </c>
      <c r="B1856" t="s">
        <v>1004</v>
      </c>
      <c r="C1856">
        <v>459.1700134277344</v>
      </c>
      <c r="D1856">
        <v>460.2999877929688</v>
      </c>
      <c r="E1856">
        <v>448.9200134277344</v>
      </c>
      <c r="F1856">
        <v>453.4200134277344</v>
      </c>
      <c r="G1856">
        <v>424.0847778320312</v>
      </c>
      <c r="H1856">
        <v>137331600</v>
      </c>
      <c r="I1856" t="s">
        <v>1005</v>
      </c>
      <c r="J1856" t="s">
        <v>1006</v>
      </c>
      <c r="K1856" t="s">
        <v>4629</v>
      </c>
    </row>
    <row r="1857" spans="1:11" ht="20" customHeight="1">
      <c r="A1857" t="s">
        <v>4628</v>
      </c>
      <c r="B1857" t="s">
        <v>1007</v>
      </c>
      <c r="C1857">
        <v>456.1300048828125</v>
      </c>
      <c r="D1857">
        <v>460.7900085449219</v>
      </c>
      <c r="E1857">
        <v>453.5599975585938</v>
      </c>
      <c r="F1857">
        <v>458.7900085449219</v>
      </c>
      <c r="G1857">
        <v>429.1073608398438</v>
      </c>
      <c r="H1857">
        <v>98977500</v>
      </c>
      <c r="I1857" t="s">
        <v>1008</v>
      </c>
      <c r="J1857" t="s">
        <v>1009</v>
      </c>
      <c r="K1857" t="s">
        <v>4629</v>
      </c>
    </row>
    <row r="1858" spans="1:11" ht="20" customHeight="1">
      <c r="A1858" t="s">
        <v>4628</v>
      </c>
      <c r="B1858" t="s">
        <v>1010</v>
      </c>
      <c r="C1858">
        <v>464.4100036621094</v>
      </c>
      <c r="D1858">
        <v>468.8800048828125</v>
      </c>
      <c r="E1858">
        <v>458.6499938964844</v>
      </c>
      <c r="F1858">
        <v>468.2799987792969</v>
      </c>
      <c r="G1858">
        <v>437.9834289550781</v>
      </c>
      <c r="H1858">
        <v>95484700</v>
      </c>
      <c r="I1858" t="s">
        <v>1011</v>
      </c>
      <c r="J1858" t="s">
        <v>1012</v>
      </c>
      <c r="K1858" t="s">
        <v>4629</v>
      </c>
    </row>
    <row r="1859" spans="1:11" ht="20" customHeight="1">
      <c r="A1859" t="s">
        <v>4628</v>
      </c>
      <c r="B1859" t="s">
        <v>1013</v>
      </c>
      <c r="C1859">
        <v>468.7000122070312</v>
      </c>
      <c r="D1859">
        <v>470</v>
      </c>
      <c r="E1859">
        <v>466.8299865722656</v>
      </c>
      <c r="F1859">
        <v>469.5199890136719</v>
      </c>
      <c r="G1859">
        <v>439.1432189941406</v>
      </c>
      <c r="H1859">
        <v>72238800</v>
      </c>
      <c r="I1859" t="s">
        <v>1014</v>
      </c>
      <c r="J1859" t="s">
        <v>1015</v>
      </c>
      <c r="K1859" t="s">
        <v>4629</v>
      </c>
    </row>
    <row r="1860" spans="1:11" ht="20" customHeight="1">
      <c r="A1860" t="s">
        <v>4628</v>
      </c>
      <c r="B1860" t="s">
        <v>1016</v>
      </c>
      <c r="C1860">
        <v>468.1499938964844</v>
      </c>
      <c r="D1860">
        <v>469.6300048828125</v>
      </c>
      <c r="E1860">
        <v>466.1400146484375</v>
      </c>
      <c r="F1860">
        <v>466.3500061035156</v>
      </c>
      <c r="G1860">
        <v>436.1783447265625</v>
      </c>
      <c r="H1860">
        <v>61272600</v>
      </c>
      <c r="I1860" t="s">
        <v>1017</v>
      </c>
      <c r="J1860" t="s">
        <v>1018</v>
      </c>
      <c r="K1860" t="s">
        <v>4629</v>
      </c>
    </row>
    <row r="1861" spans="1:11" ht="20" customHeight="1">
      <c r="A1861" t="s">
        <v>4628</v>
      </c>
      <c r="B1861" t="s">
        <v>1019</v>
      </c>
      <c r="C1861">
        <v>469.2300109863281</v>
      </c>
      <c r="D1861">
        <v>470.8999938964844</v>
      </c>
      <c r="E1861">
        <v>466.510009765625</v>
      </c>
      <c r="F1861">
        <v>470.739990234375</v>
      </c>
      <c r="G1861">
        <v>440.2843017578125</v>
      </c>
      <c r="H1861">
        <v>77159800</v>
      </c>
      <c r="I1861" t="s">
        <v>1020</v>
      </c>
      <c r="J1861" t="s">
        <v>1021</v>
      </c>
      <c r="K1861" t="s">
        <v>4629</v>
      </c>
    </row>
    <row r="1862" spans="1:11" ht="20" customHeight="1">
      <c r="A1862" t="s">
        <v>4628</v>
      </c>
      <c r="B1862" t="s">
        <v>1022</v>
      </c>
      <c r="C1862">
        <v>470.1900024414062</v>
      </c>
      <c r="D1862">
        <v>470.5599975585938</v>
      </c>
      <c r="E1862">
        <v>466.2699890136719</v>
      </c>
      <c r="F1862">
        <v>466.5700073242188</v>
      </c>
      <c r="G1862">
        <v>436.3840637207031</v>
      </c>
      <c r="H1862">
        <v>87724700</v>
      </c>
      <c r="I1862" t="s">
        <v>1023</v>
      </c>
      <c r="J1862" t="s">
        <v>1024</v>
      </c>
      <c r="K1862" t="s">
        <v>4629</v>
      </c>
    </row>
    <row r="1863" spans="1:11" ht="20" customHeight="1">
      <c r="A1863" t="s">
        <v>4628</v>
      </c>
      <c r="B1863" t="s">
        <v>1025</v>
      </c>
      <c r="C1863">
        <v>463.0899963378906</v>
      </c>
      <c r="D1863">
        <v>465.739990234375</v>
      </c>
      <c r="E1863">
        <v>460.25</v>
      </c>
      <c r="F1863">
        <v>463.3599853515625</v>
      </c>
      <c r="G1863">
        <v>433.3817749023438</v>
      </c>
      <c r="H1863">
        <v>97264100</v>
      </c>
      <c r="I1863" t="s">
        <v>1026</v>
      </c>
      <c r="J1863" t="s">
        <v>1027</v>
      </c>
      <c r="K1863" t="s">
        <v>4629</v>
      </c>
    </row>
    <row r="1864" spans="1:11" ht="20" customHeight="1">
      <c r="A1864" t="s">
        <v>4628</v>
      </c>
      <c r="B1864" t="s">
        <v>1028</v>
      </c>
      <c r="C1864">
        <v>463.4200134277344</v>
      </c>
      <c r="D1864">
        <v>470.8599853515625</v>
      </c>
      <c r="E1864">
        <v>460.739990234375</v>
      </c>
      <c r="F1864">
        <v>470.6000061035156</v>
      </c>
      <c r="G1864">
        <v>440.1533508300781</v>
      </c>
      <c r="H1864">
        <v>116899300</v>
      </c>
      <c r="I1864" t="s">
        <v>1029</v>
      </c>
      <c r="J1864" t="s">
        <v>1030</v>
      </c>
      <c r="K1864" t="s">
        <v>4629</v>
      </c>
    </row>
    <row r="1865" spans="1:11" ht="20" customHeight="1">
      <c r="A1865" t="s">
        <v>4628</v>
      </c>
      <c r="B1865" t="s">
        <v>1031</v>
      </c>
      <c r="C1865">
        <v>472.5700073242188</v>
      </c>
      <c r="D1865">
        <v>472.8699951171875</v>
      </c>
      <c r="E1865">
        <v>464.7999877929688</v>
      </c>
      <c r="F1865">
        <v>466.4500122070312</v>
      </c>
      <c r="G1865">
        <v>436.2718200683594</v>
      </c>
      <c r="H1865">
        <v>116568600</v>
      </c>
      <c r="I1865" t="s">
        <v>1032</v>
      </c>
      <c r="J1865" t="s">
        <v>1033</v>
      </c>
      <c r="K1865" t="s">
        <v>4629</v>
      </c>
    </row>
    <row r="1866" spans="1:11" ht="20" customHeight="1">
      <c r="A1866" t="s">
        <v>4628</v>
      </c>
      <c r="B1866" t="s">
        <v>1034</v>
      </c>
      <c r="C1866">
        <v>461.5499877929688</v>
      </c>
      <c r="D1866">
        <v>464.739990234375</v>
      </c>
      <c r="E1866">
        <v>458.0599975585938</v>
      </c>
      <c r="F1866">
        <v>459.8699951171875</v>
      </c>
      <c r="G1866">
        <v>431.6286315917969</v>
      </c>
      <c r="H1866">
        <v>135511600</v>
      </c>
      <c r="I1866" t="s">
        <v>1035</v>
      </c>
      <c r="J1866" t="s">
        <v>1036</v>
      </c>
      <c r="K1866" t="s">
        <v>4629</v>
      </c>
    </row>
    <row r="1867" spans="1:11" ht="20" customHeight="1">
      <c r="A1867" t="s">
        <v>4628</v>
      </c>
      <c r="B1867" t="s">
        <v>1037</v>
      </c>
      <c r="C1867">
        <v>454.4800109863281</v>
      </c>
      <c r="D1867">
        <v>455.3999938964844</v>
      </c>
      <c r="E1867">
        <v>451.1400146484375</v>
      </c>
      <c r="F1867">
        <v>454.9800109863281</v>
      </c>
      <c r="G1867">
        <v>427.0388793945312</v>
      </c>
      <c r="H1867">
        <v>107134800</v>
      </c>
      <c r="I1867" t="s">
        <v>1038</v>
      </c>
      <c r="J1867" t="s">
        <v>1039</v>
      </c>
      <c r="K1867" t="s">
        <v>4629</v>
      </c>
    </row>
    <row r="1868" spans="1:11" ht="20" customHeight="1">
      <c r="A1868" t="s">
        <v>4628</v>
      </c>
      <c r="B1868" t="s">
        <v>1040</v>
      </c>
      <c r="C1868">
        <v>458.6099853515625</v>
      </c>
      <c r="D1868">
        <v>463.2099914550781</v>
      </c>
      <c r="E1868">
        <v>456.3099975585938</v>
      </c>
      <c r="F1868">
        <v>463.0599975585938</v>
      </c>
      <c r="G1868">
        <v>434.6227111816406</v>
      </c>
      <c r="H1868">
        <v>69806300</v>
      </c>
      <c r="I1868" t="s">
        <v>1041</v>
      </c>
      <c r="J1868" t="s">
        <v>1042</v>
      </c>
      <c r="K1868" t="s">
        <v>4629</v>
      </c>
    </row>
    <row r="1869" spans="1:11" ht="20" customHeight="1">
      <c r="A1869" t="s">
        <v>4628</v>
      </c>
      <c r="B1869" t="s">
        <v>1043</v>
      </c>
      <c r="C1869">
        <v>462.7900085449219</v>
      </c>
      <c r="D1869">
        <v>467.8099975585938</v>
      </c>
      <c r="E1869">
        <v>462.5799865722656</v>
      </c>
      <c r="F1869">
        <v>467.6900024414062</v>
      </c>
      <c r="G1869">
        <v>438.9683532714844</v>
      </c>
      <c r="H1869">
        <v>58890200</v>
      </c>
      <c r="I1869" t="s">
        <v>1044</v>
      </c>
      <c r="J1869" t="s">
        <v>1045</v>
      </c>
      <c r="K1869" t="s">
        <v>4629</v>
      </c>
    </row>
    <row r="1870" spans="1:11" ht="20" customHeight="1">
      <c r="A1870" t="s">
        <v>4628</v>
      </c>
      <c r="B1870" t="s">
        <v>1046</v>
      </c>
      <c r="C1870">
        <v>468.75</v>
      </c>
      <c r="D1870">
        <v>472.1900024414062</v>
      </c>
      <c r="E1870">
        <v>468.6400146484375</v>
      </c>
      <c r="F1870">
        <v>470.6000061035156</v>
      </c>
      <c r="G1870">
        <v>441.6997375488281</v>
      </c>
      <c r="H1870">
        <v>56439700</v>
      </c>
      <c r="I1870" t="s">
        <v>1047</v>
      </c>
      <c r="J1870" t="s">
        <v>1048</v>
      </c>
      <c r="K1870" t="s">
        <v>4629</v>
      </c>
    </row>
    <row r="1871" spans="1:11" ht="20" customHeight="1">
      <c r="A1871" t="s">
        <v>4628</v>
      </c>
      <c r="B1871" t="s">
        <v>1049</v>
      </c>
      <c r="C1871">
        <v>472.0599975585938</v>
      </c>
      <c r="D1871">
        <v>477.3099975585938</v>
      </c>
      <c r="E1871">
        <v>472.010009765625</v>
      </c>
      <c r="F1871">
        <v>477.260009765625</v>
      </c>
      <c r="G1871">
        <v>447.9507141113281</v>
      </c>
      <c r="H1871">
        <v>56808600</v>
      </c>
      <c r="I1871" t="s">
        <v>1050</v>
      </c>
      <c r="J1871" t="s">
        <v>1051</v>
      </c>
      <c r="K1871" t="s">
        <v>4629</v>
      </c>
    </row>
    <row r="1872" spans="1:11" ht="20" customHeight="1">
      <c r="A1872" t="s">
        <v>4628</v>
      </c>
      <c r="B1872" t="s">
        <v>1052</v>
      </c>
      <c r="C1872">
        <v>477.7200012207031</v>
      </c>
      <c r="D1872">
        <v>478.8099975585938</v>
      </c>
      <c r="E1872">
        <v>476.0599975585938</v>
      </c>
      <c r="F1872">
        <v>476.8699951171875</v>
      </c>
      <c r="G1872">
        <v>447.5846557617188</v>
      </c>
      <c r="H1872">
        <v>47274600</v>
      </c>
      <c r="I1872" t="s">
        <v>1053</v>
      </c>
      <c r="J1872" t="s">
        <v>1054</v>
      </c>
      <c r="K1872" t="s">
        <v>4629</v>
      </c>
    </row>
    <row r="1873" spans="1:11" ht="20" customHeight="1">
      <c r="A1873" t="s">
        <v>4628</v>
      </c>
      <c r="B1873" t="s">
        <v>1055</v>
      </c>
      <c r="C1873">
        <v>476.9800109863281</v>
      </c>
      <c r="D1873">
        <v>478.5599975585938</v>
      </c>
      <c r="E1873">
        <v>475.9200134277344</v>
      </c>
      <c r="F1873">
        <v>477.4800109863281</v>
      </c>
      <c r="G1873">
        <v>448.1572570800781</v>
      </c>
      <c r="H1873">
        <v>54503000</v>
      </c>
      <c r="I1873" t="s">
        <v>1056</v>
      </c>
      <c r="J1873" t="s">
        <v>1057</v>
      </c>
      <c r="K1873" t="s">
        <v>4629</v>
      </c>
    </row>
    <row r="1874" spans="1:11" ht="20" customHeight="1">
      <c r="A1874" t="s">
        <v>4628</v>
      </c>
      <c r="B1874" t="s">
        <v>1058</v>
      </c>
      <c r="C1874">
        <v>477.9299926757812</v>
      </c>
      <c r="D1874">
        <v>479</v>
      </c>
      <c r="E1874">
        <v>475.6700134277344</v>
      </c>
      <c r="F1874">
        <v>476.1600036621094</v>
      </c>
      <c r="G1874">
        <v>446.9182434082031</v>
      </c>
      <c r="H1874">
        <v>55329000</v>
      </c>
      <c r="I1874" t="s">
        <v>1059</v>
      </c>
      <c r="J1874" t="s">
        <v>1060</v>
      </c>
      <c r="K1874" t="s">
        <v>4629</v>
      </c>
    </row>
    <row r="1875" spans="1:11" ht="20" customHeight="1">
      <c r="A1875" t="s">
        <v>4628</v>
      </c>
      <c r="B1875" t="s">
        <v>1061</v>
      </c>
      <c r="C1875">
        <v>475.6400146484375</v>
      </c>
      <c r="D1875">
        <v>476.8599853515625</v>
      </c>
      <c r="E1875">
        <v>474.6700134277344</v>
      </c>
      <c r="F1875">
        <v>474.9599914550781</v>
      </c>
      <c r="G1875">
        <v>445.7919006347656</v>
      </c>
      <c r="H1875">
        <v>65237400</v>
      </c>
      <c r="I1875" t="s">
        <v>1062</v>
      </c>
      <c r="J1875" t="s">
        <v>1063</v>
      </c>
      <c r="K1875" t="s">
        <v>4629</v>
      </c>
    </row>
    <row r="1876" spans="1:11" ht="20" customHeight="1">
      <c r="A1876" t="s">
        <v>4628</v>
      </c>
      <c r="B1876" t="s">
        <v>1064</v>
      </c>
      <c r="C1876">
        <v>476.2999877929688</v>
      </c>
      <c r="D1876">
        <v>477.8500061035156</v>
      </c>
      <c r="E1876">
        <v>473.8500061035156</v>
      </c>
      <c r="F1876">
        <v>477.7099914550781</v>
      </c>
      <c r="G1876">
        <v>448.3729858398438</v>
      </c>
      <c r="H1876">
        <v>72668200</v>
      </c>
      <c r="I1876" t="s">
        <v>1065</v>
      </c>
      <c r="J1876" t="s">
        <v>1066</v>
      </c>
      <c r="K1876" t="s">
        <v>4629</v>
      </c>
    </row>
    <row r="1877" spans="1:11" ht="20" customHeight="1">
      <c r="A1877" t="s">
        <v>4628</v>
      </c>
      <c r="B1877" t="s">
        <v>1067</v>
      </c>
      <c r="C1877">
        <v>479.2200012207031</v>
      </c>
      <c r="D1877">
        <v>479.9800109863281</v>
      </c>
      <c r="E1877">
        <v>475.5799865722656</v>
      </c>
      <c r="F1877">
        <v>477.5499877929688</v>
      </c>
      <c r="G1877">
        <v>448.2228088378906</v>
      </c>
      <c r="H1877">
        <v>71178700</v>
      </c>
      <c r="I1877" t="s">
        <v>1068</v>
      </c>
      <c r="J1877" t="s">
        <v>1069</v>
      </c>
      <c r="K1877" t="s">
        <v>4629</v>
      </c>
    </row>
    <row r="1878" spans="1:11" ht="20" customHeight="1">
      <c r="A1878" t="s">
        <v>4628</v>
      </c>
      <c r="B1878" t="s">
        <v>1070</v>
      </c>
      <c r="C1878">
        <v>477.1600036621094</v>
      </c>
      <c r="D1878">
        <v>477.9800109863281</v>
      </c>
      <c r="E1878">
        <v>468.2799987792969</v>
      </c>
      <c r="F1878">
        <v>468.3800048828125</v>
      </c>
      <c r="G1878">
        <v>439.6160278320312</v>
      </c>
      <c r="H1878">
        <v>104538900</v>
      </c>
      <c r="I1878" t="s">
        <v>1071</v>
      </c>
      <c r="J1878" t="s">
        <v>1072</v>
      </c>
      <c r="K1878" t="s">
        <v>4629</v>
      </c>
    </row>
    <row r="1879" spans="1:11" ht="20" customHeight="1">
      <c r="A1879" t="s">
        <v>4628</v>
      </c>
      <c r="B1879" t="s">
        <v>1073</v>
      </c>
      <c r="C1879">
        <v>467.8900146484375</v>
      </c>
      <c r="D1879">
        <v>470.8200073242188</v>
      </c>
      <c r="E1879">
        <v>465.4299926757812</v>
      </c>
      <c r="F1879">
        <v>467.9400024414062</v>
      </c>
      <c r="G1879">
        <v>439.2030944824219</v>
      </c>
      <c r="H1879">
        <v>86858900</v>
      </c>
      <c r="I1879" t="s">
        <v>1074</v>
      </c>
      <c r="J1879" t="s">
        <v>1075</v>
      </c>
      <c r="K1879" t="s">
        <v>4629</v>
      </c>
    </row>
    <row r="1880" spans="1:11" ht="20" customHeight="1">
      <c r="A1880" t="s">
        <v>4628</v>
      </c>
      <c r="B1880" t="s">
        <v>1076</v>
      </c>
      <c r="C1880">
        <v>467.9500122070312</v>
      </c>
      <c r="D1880">
        <v>469.2000122070312</v>
      </c>
      <c r="E1880">
        <v>464.6499938964844</v>
      </c>
      <c r="F1880">
        <v>466.0899963378906</v>
      </c>
      <c r="G1880">
        <v>437.4666748046875</v>
      </c>
      <c r="H1880">
        <v>85111600</v>
      </c>
      <c r="I1880" t="s">
        <v>1077</v>
      </c>
      <c r="J1880" t="s">
        <v>1078</v>
      </c>
      <c r="K1880" t="s">
        <v>4629</v>
      </c>
    </row>
    <row r="1881" spans="1:11" ht="20" customHeight="1">
      <c r="A1881" t="s">
        <v>4628</v>
      </c>
      <c r="B1881" t="s">
        <v>1079</v>
      </c>
      <c r="C1881">
        <v>462.7000122070312</v>
      </c>
      <c r="D1881">
        <v>465.739990234375</v>
      </c>
      <c r="E1881">
        <v>456.6000061035156</v>
      </c>
      <c r="F1881">
        <v>465.510009765625</v>
      </c>
      <c r="G1881">
        <v>436.9222412109375</v>
      </c>
      <c r="H1881">
        <v>119362000</v>
      </c>
      <c r="I1881" t="s">
        <v>1080</v>
      </c>
      <c r="J1881" t="s">
        <v>1081</v>
      </c>
      <c r="K1881" t="s">
        <v>4629</v>
      </c>
    </row>
    <row r="1882" spans="1:11" ht="20" customHeight="1">
      <c r="A1882" t="s">
        <v>4628</v>
      </c>
      <c r="B1882" t="s">
        <v>1082</v>
      </c>
      <c r="C1882">
        <v>465.2300109863281</v>
      </c>
      <c r="D1882">
        <v>469.8500061035156</v>
      </c>
      <c r="E1882">
        <v>462.0499877929688</v>
      </c>
      <c r="F1882">
        <v>469.75</v>
      </c>
      <c r="G1882">
        <v>440.9019165039062</v>
      </c>
      <c r="H1882">
        <v>74303100</v>
      </c>
      <c r="I1882" t="s">
        <v>1083</v>
      </c>
      <c r="J1882" t="s">
        <v>1084</v>
      </c>
      <c r="K1882" t="s">
        <v>4629</v>
      </c>
    </row>
    <row r="1883" spans="1:11" ht="20" customHeight="1">
      <c r="A1883" t="s">
        <v>4628</v>
      </c>
      <c r="B1883" t="s">
        <v>1085</v>
      </c>
      <c r="C1883">
        <v>471.5899963378906</v>
      </c>
      <c r="D1883">
        <v>473.2000122070312</v>
      </c>
      <c r="E1883">
        <v>468.9400024414062</v>
      </c>
      <c r="F1883">
        <v>471.0199890136719</v>
      </c>
      <c r="G1883">
        <v>442.0939331054688</v>
      </c>
      <c r="H1883">
        <v>67605400</v>
      </c>
      <c r="I1883" t="s">
        <v>1086</v>
      </c>
      <c r="J1883" t="s">
        <v>1087</v>
      </c>
      <c r="K1883" t="s">
        <v>4629</v>
      </c>
    </row>
    <row r="1884" spans="1:11" ht="20" customHeight="1">
      <c r="A1884" t="s">
        <v>4628</v>
      </c>
      <c r="B1884" t="s">
        <v>1088</v>
      </c>
      <c r="C1884">
        <v>472.1900024414062</v>
      </c>
      <c r="D1884">
        <v>472.8800048828125</v>
      </c>
      <c r="E1884">
        <v>463.4400024414062</v>
      </c>
      <c r="F1884">
        <v>464.5299987792969</v>
      </c>
      <c r="G1884">
        <v>436.0024719238281</v>
      </c>
      <c r="H1884">
        <v>91173100</v>
      </c>
      <c r="I1884" t="s">
        <v>1089</v>
      </c>
      <c r="J1884" t="s">
        <v>1090</v>
      </c>
      <c r="K1884" t="s">
        <v>4629</v>
      </c>
    </row>
    <row r="1885" spans="1:11" ht="20" customHeight="1">
      <c r="A1885" t="s">
        <v>4628</v>
      </c>
      <c r="B1885" t="s">
        <v>1091</v>
      </c>
      <c r="C1885">
        <v>461.1900024414062</v>
      </c>
      <c r="D1885">
        <v>465.0899963378906</v>
      </c>
      <c r="E1885">
        <v>459.8999938964844</v>
      </c>
      <c r="F1885">
        <v>464.7200012207031</v>
      </c>
      <c r="G1885">
        <v>436.1808166503906</v>
      </c>
      <c r="H1885">
        <v>95890900</v>
      </c>
      <c r="I1885" t="s">
        <v>1092</v>
      </c>
      <c r="J1885" t="s">
        <v>1093</v>
      </c>
      <c r="K1885" t="s">
        <v>4629</v>
      </c>
    </row>
    <row r="1886" spans="1:11" ht="20" customHeight="1">
      <c r="A1886" t="s">
        <v>4628</v>
      </c>
      <c r="B1886" t="s">
        <v>1094</v>
      </c>
      <c r="C1886">
        <v>459.739990234375</v>
      </c>
      <c r="D1886">
        <v>459.9599914550781</v>
      </c>
      <c r="E1886">
        <v>455.3099975585938</v>
      </c>
      <c r="F1886">
        <v>456.489990234375</v>
      </c>
      <c r="G1886">
        <v>428.4561767578125</v>
      </c>
      <c r="H1886">
        <v>109709100</v>
      </c>
      <c r="I1886" t="s">
        <v>1095</v>
      </c>
      <c r="J1886" t="s">
        <v>1096</v>
      </c>
      <c r="K1886" t="s">
        <v>4629</v>
      </c>
    </row>
    <row r="1887" spans="1:11" ht="20" customHeight="1">
      <c r="A1887" t="s">
        <v>4628</v>
      </c>
      <c r="B1887" t="s">
        <v>1097</v>
      </c>
      <c r="C1887">
        <v>458.1300048828125</v>
      </c>
      <c r="D1887">
        <v>459.6099853515625</v>
      </c>
      <c r="E1887">
        <v>451.4599914550781</v>
      </c>
      <c r="F1887">
        <v>451.75</v>
      </c>
      <c r="G1887">
        <v>424.0072937011719</v>
      </c>
      <c r="H1887">
        <v>109357600</v>
      </c>
      <c r="I1887" t="s">
        <v>1098</v>
      </c>
      <c r="J1887" t="s">
        <v>1099</v>
      </c>
      <c r="K1887" t="s">
        <v>4629</v>
      </c>
    </row>
    <row r="1888" spans="1:11" ht="20" customHeight="1">
      <c r="A1888" t="s">
        <v>4628</v>
      </c>
      <c r="B1888" t="s">
        <v>1100</v>
      </c>
      <c r="C1888">
        <v>453.75</v>
      </c>
      <c r="D1888">
        <v>458.739990234375</v>
      </c>
      <c r="E1888">
        <v>444.5</v>
      </c>
      <c r="F1888">
        <v>446.75</v>
      </c>
      <c r="G1888">
        <v>419.3143615722656</v>
      </c>
      <c r="H1888">
        <v>122379700</v>
      </c>
      <c r="I1888" t="s">
        <v>1101</v>
      </c>
      <c r="J1888" t="s">
        <v>1102</v>
      </c>
      <c r="K1888" t="s">
        <v>4629</v>
      </c>
    </row>
    <row r="1889" spans="1:11" ht="20" customHeight="1">
      <c r="A1889" t="s">
        <v>4628</v>
      </c>
      <c r="B1889" t="s">
        <v>1103</v>
      </c>
      <c r="C1889">
        <v>445.5599975585938</v>
      </c>
      <c r="D1889">
        <v>448.0599975585938</v>
      </c>
      <c r="E1889">
        <v>437.9500122070312</v>
      </c>
      <c r="F1889">
        <v>437.9800109863281</v>
      </c>
      <c r="G1889">
        <v>411.0828552246094</v>
      </c>
      <c r="H1889">
        <v>202271200</v>
      </c>
      <c r="I1889" t="s">
        <v>1104</v>
      </c>
      <c r="J1889" t="s">
        <v>1105</v>
      </c>
      <c r="K1889" t="s">
        <v>4629</v>
      </c>
    </row>
    <row r="1890" spans="1:11" ht="20" customHeight="1">
      <c r="A1890" t="s">
        <v>4628</v>
      </c>
      <c r="B1890" t="s">
        <v>1106</v>
      </c>
      <c r="C1890">
        <v>432.0299987792969</v>
      </c>
      <c r="D1890">
        <v>440.3800048828125</v>
      </c>
      <c r="E1890">
        <v>420.760009765625</v>
      </c>
      <c r="F1890">
        <v>439.8399963378906</v>
      </c>
      <c r="G1890">
        <v>412.8286437988281</v>
      </c>
      <c r="H1890">
        <v>251783900</v>
      </c>
      <c r="I1890" t="s">
        <v>1107</v>
      </c>
      <c r="J1890" t="s">
        <v>1108</v>
      </c>
      <c r="K1890" t="s">
        <v>4629</v>
      </c>
    </row>
    <row r="1891" spans="1:11" ht="20" customHeight="1">
      <c r="A1891" t="s">
        <v>4628</v>
      </c>
      <c r="B1891" t="s">
        <v>1109</v>
      </c>
      <c r="C1891">
        <v>433.0599975585938</v>
      </c>
      <c r="D1891">
        <v>439.7200012207031</v>
      </c>
      <c r="E1891">
        <v>427.1499938964844</v>
      </c>
      <c r="F1891">
        <v>434.4700012207031</v>
      </c>
      <c r="G1891">
        <v>407.7884826660156</v>
      </c>
      <c r="H1891">
        <v>167997300</v>
      </c>
      <c r="I1891" t="s">
        <v>1110</v>
      </c>
      <c r="J1891" t="s">
        <v>1111</v>
      </c>
      <c r="K1891" t="s">
        <v>4629</v>
      </c>
    </row>
    <row r="1892" spans="1:11" ht="20" customHeight="1">
      <c r="A1892" t="s">
        <v>4628</v>
      </c>
      <c r="B1892" t="s">
        <v>1112</v>
      </c>
      <c r="C1892">
        <v>440.7200012207031</v>
      </c>
      <c r="D1892">
        <v>444.0400085449219</v>
      </c>
      <c r="E1892">
        <v>428.8599853515625</v>
      </c>
      <c r="F1892">
        <v>433.3800048828125</v>
      </c>
      <c r="G1892">
        <v>406.7654113769531</v>
      </c>
      <c r="H1892">
        <v>186391100</v>
      </c>
      <c r="I1892" t="s">
        <v>1113</v>
      </c>
      <c r="J1892" t="s">
        <v>1114</v>
      </c>
      <c r="K1892" t="s">
        <v>4629</v>
      </c>
    </row>
    <row r="1893" spans="1:11" ht="20" customHeight="1">
      <c r="A1893" t="s">
        <v>4628</v>
      </c>
      <c r="B1893" t="s">
        <v>1115</v>
      </c>
      <c r="C1893">
        <v>438.260009765625</v>
      </c>
      <c r="D1893">
        <v>441.5899963378906</v>
      </c>
      <c r="E1893">
        <v>429.4500122070312</v>
      </c>
      <c r="F1893">
        <v>431.239990234375</v>
      </c>
      <c r="G1893">
        <v>404.7568969726562</v>
      </c>
      <c r="H1893">
        <v>149878300</v>
      </c>
      <c r="I1893" t="s">
        <v>1116</v>
      </c>
      <c r="J1893" t="s">
        <v>1117</v>
      </c>
      <c r="K1893" t="s">
        <v>4629</v>
      </c>
    </row>
    <row r="1894" spans="1:11" ht="20" customHeight="1">
      <c r="A1894" t="s">
        <v>4628</v>
      </c>
      <c r="B1894" t="s">
        <v>1118</v>
      </c>
      <c r="C1894">
        <v>432.6799926757812</v>
      </c>
      <c r="D1894">
        <v>442</v>
      </c>
      <c r="E1894">
        <v>427.8200073242188</v>
      </c>
      <c r="F1894">
        <v>441.9500122070312</v>
      </c>
      <c r="G1894">
        <v>414.8091430664062</v>
      </c>
      <c r="H1894">
        <v>164457400</v>
      </c>
      <c r="I1894" t="s">
        <v>1119</v>
      </c>
      <c r="J1894" t="s">
        <v>1120</v>
      </c>
      <c r="K1894" t="s">
        <v>4629</v>
      </c>
    </row>
    <row r="1895" spans="1:11" ht="20" customHeight="1">
      <c r="A1895" t="s">
        <v>4628</v>
      </c>
      <c r="B1895" t="s">
        <v>1121</v>
      </c>
      <c r="C1895">
        <v>441.239990234375</v>
      </c>
      <c r="D1895">
        <v>450.2799987792969</v>
      </c>
      <c r="E1895">
        <v>439.8099975585938</v>
      </c>
      <c r="F1895">
        <v>449.9100036621094</v>
      </c>
      <c r="G1895">
        <v>422.2803039550781</v>
      </c>
      <c r="H1895">
        <v>152251400</v>
      </c>
      <c r="I1895" t="s">
        <v>1122</v>
      </c>
      <c r="J1895" t="s">
        <v>1123</v>
      </c>
      <c r="K1895" t="s">
        <v>4629</v>
      </c>
    </row>
    <row r="1896" spans="1:11" ht="20" customHeight="1">
      <c r="A1896" t="s">
        <v>4628</v>
      </c>
      <c r="B1896" t="s">
        <v>1124</v>
      </c>
      <c r="C1896">
        <v>450.6799926757812</v>
      </c>
      <c r="D1896">
        <v>453.6300048828125</v>
      </c>
      <c r="E1896">
        <v>446.9400024414062</v>
      </c>
      <c r="F1896">
        <v>452.9500122070312</v>
      </c>
      <c r="G1896">
        <v>425.1336364746094</v>
      </c>
      <c r="H1896">
        <v>123155400</v>
      </c>
      <c r="I1896" t="s">
        <v>1125</v>
      </c>
      <c r="J1896" t="s">
        <v>1126</v>
      </c>
      <c r="K1896" t="s">
        <v>4629</v>
      </c>
    </row>
    <row r="1897" spans="1:11" ht="20" customHeight="1">
      <c r="A1897" t="s">
        <v>4628</v>
      </c>
      <c r="B1897" t="s">
        <v>1127</v>
      </c>
      <c r="C1897">
        <v>455.5</v>
      </c>
      <c r="D1897">
        <v>458.1199951171875</v>
      </c>
      <c r="E1897">
        <v>453.0499877929688</v>
      </c>
      <c r="F1897">
        <v>457.3500061035156</v>
      </c>
      <c r="G1897">
        <v>429.2633666992188</v>
      </c>
      <c r="H1897">
        <v>117361000</v>
      </c>
      <c r="I1897" t="s">
        <v>1128</v>
      </c>
      <c r="J1897" t="s">
        <v>1129</v>
      </c>
      <c r="K1897" t="s">
        <v>4629</v>
      </c>
    </row>
    <row r="1898" spans="1:11" ht="20" customHeight="1">
      <c r="A1898" t="s">
        <v>4628</v>
      </c>
      <c r="B1898" t="s">
        <v>1130</v>
      </c>
      <c r="C1898">
        <v>450.9500122070312</v>
      </c>
      <c r="D1898">
        <v>452.9700012207031</v>
      </c>
      <c r="E1898">
        <v>445.7099914550781</v>
      </c>
      <c r="F1898">
        <v>446.6000061035156</v>
      </c>
      <c r="G1898">
        <v>419.1736145019531</v>
      </c>
      <c r="H1898">
        <v>118024400</v>
      </c>
      <c r="I1898" t="s">
        <v>1131</v>
      </c>
      <c r="J1898" t="s">
        <v>1132</v>
      </c>
      <c r="K1898" t="s">
        <v>4629</v>
      </c>
    </row>
    <row r="1899" spans="1:11" ht="20" customHeight="1">
      <c r="A1899" t="s">
        <v>4628</v>
      </c>
      <c r="B1899" t="s">
        <v>1133</v>
      </c>
      <c r="C1899">
        <v>446.3500061035156</v>
      </c>
      <c r="D1899">
        <v>452.7799987792969</v>
      </c>
      <c r="E1899">
        <v>443.8299865722656</v>
      </c>
      <c r="F1899">
        <v>448.7000122070312</v>
      </c>
      <c r="G1899">
        <v>421.1445617675781</v>
      </c>
      <c r="H1899">
        <v>118454400</v>
      </c>
      <c r="I1899" t="s">
        <v>1134</v>
      </c>
      <c r="J1899" t="s">
        <v>1135</v>
      </c>
      <c r="K1899" t="s">
        <v>4629</v>
      </c>
    </row>
    <row r="1900" spans="1:11" ht="20" customHeight="1">
      <c r="A1900" t="s">
        <v>4628</v>
      </c>
      <c r="B1900" t="s">
        <v>1136</v>
      </c>
      <c r="C1900">
        <v>449.510009765625</v>
      </c>
      <c r="D1900">
        <v>450.989990234375</v>
      </c>
      <c r="E1900">
        <v>445.8500061035156</v>
      </c>
      <c r="F1900">
        <v>447.260009765625</v>
      </c>
      <c r="G1900">
        <v>419.7930603027344</v>
      </c>
      <c r="H1900">
        <v>84472900</v>
      </c>
      <c r="I1900" t="s">
        <v>1137</v>
      </c>
      <c r="J1900" t="s">
        <v>1138</v>
      </c>
      <c r="K1900" t="s">
        <v>4629</v>
      </c>
    </row>
    <row r="1901" spans="1:11" ht="20" customHeight="1">
      <c r="A1901" t="s">
        <v>4628</v>
      </c>
      <c r="B1901" t="s">
        <v>1139</v>
      </c>
      <c r="C1901">
        <v>446.7300109863281</v>
      </c>
      <c r="D1901">
        <v>451.9200134277344</v>
      </c>
      <c r="E1901">
        <v>445.2200012207031</v>
      </c>
      <c r="F1901">
        <v>450.9400024414062</v>
      </c>
      <c r="G1901">
        <v>423.2470397949219</v>
      </c>
      <c r="H1901">
        <v>81012000</v>
      </c>
      <c r="I1901" t="s">
        <v>1140</v>
      </c>
      <c r="J1901" t="s">
        <v>1141</v>
      </c>
      <c r="K1901" t="s">
        <v>4629</v>
      </c>
    </row>
    <row r="1902" spans="1:11" ht="20" customHeight="1">
      <c r="A1902" t="s">
        <v>4628</v>
      </c>
      <c r="B1902" t="s">
        <v>1142</v>
      </c>
      <c r="C1902">
        <v>455.2200012207031</v>
      </c>
      <c r="D1902">
        <v>457.8800048828125</v>
      </c>
      <c r="E1902">
        <v>455.010009765625</v>
      </c>
      <c r="F1902">
        <v>457.5400085449219</v>
      </c>
      <c r="G1902">
        <v>429.4418029785156</v>
      </c>
      <c r="H1902">
        <v>92589900</v>
      </c>
      <c r="I1902" t="s">
        <v>1143</v>
      </c>
      <c r="J1902" t="s">
        <v>1144</v>
      </c>
      <c r="K1902" t="s">
        <v>4629</v>
      </c>
    </row>
    <row r="1903" spans="1:11" ht="20" customHeight="1">
      <c r="A1903" t="s">
        <v>4628</v>
      </c>
      <c r="B1903" t="s">
        <v>1145</v>
      </c>
      <c r="C1903">
        <v>451.3399963378906</v>
      </c>
      <c r="D1903">
        <v>457.7099914550781</v>
      </c>
      <c r="E1903">
        <v>447.2000122070312</v>
      </c>
      <c r="F1903">
        <v>449.3200073242188</v>
      </c>
      <c r="G1903">
        <v>421.7265319824219</v>
      </c>
      <c r="H1903">
        <v>140103700</v>
      </c>
      <c r="I1903" t="s">
        <v>1146</v>
      </c>
      <c r="J1903" t="s">
        <v>1147</v>
      </c>
      <c r="K1903" t="s">
        <v>4629</v>
      </c>
    </row>
    <row r="1904" spans="1:11" ht="20" customHeight="1">
      <c r="A1904" t="s">
        <v>4628</v>
      </c>
      <c r="B1904" t="s">
        <v>1148</v>
      </c>
      <c r="C1904">
        <v>449.4100036621094</v>
      </c>
      <c r="D1904">
        <v>451.6099853515625</v>
      </c>
      <c r="E1904">
        <v>438.9400024414062</v>
      </c>
      <c r="F1904">
        <v>440.4599914550781</v>
      </c>
      <c r="G1904">
        <v>413.4106140136719</v>
      </c>
      <c r="H1904">
        <v>153214600</v>
      </c>
      <c r="I1904" t="s">
        <v>1149</v>
      </c>
      <c r="J1904" t="s">
        <v>1150</v>
      </c>
      <c r="K1904" t="s">
        <v>4629</v>
      </c>
    </row>
    <row r="1905" spans="1:11" ht="20" customHeight="1">
      <c r="A1905" t="s">
        <v>4628</v>
      </c>
      <c r="B1905" t="s">
        <v>1151</v>
      </c>
      <c r="C1905">
        <v>439.9200134277344</v>
      </c>
      <c r="D1905">
        <v>441.6000061035156</v>
      </c>
      <c r="E1905">
        <v>435.3399963378906</v>
      </c>
      <c r="F1905">
        <v>439.0199890136719</v>
      </c>
      <c r="G1905">
        <v>412.0590209960938</v>
      </c>
      <c r="H1905">
        <v>123006300</v>
      </c>
      <c r="I1905" t="s">
        <v>1152</v>
      </c>
      <c r="J1905" t="s">
        <v>1153</v>
      </c>
      <c r="K1905" t="s">
        <v>4629</v>
      </c>
    </row>
    <row r="1906" spans="1:11" ht="20" customHeight="1">
      <c r="A1906" t="s">
        <v>4628</v>
      </c>
      <c r="B1906" t="s">
        <v>1154</v>
      </c>
      <c r="C1906">
        <v>443.7300109863281</v>
      </c>
      <c r="D1906">
        <v>446.2799987792969</v>
      </c>
      <c r="E1906">
        <v>443.1799926757812</v>
      </c>
      <c r="F1906">
        <v>446.1000061035156</v>
      </c>
      <c r="G1906">
        <v>418.7042846679688</v>
      </c>
      <c r="H1906">
        <v>88482700</v>
      </c>
      <c r="I1906" t="s">
        <v>1155</v>
      </c>
      <c r="J1906" t="s">
        <v>1156</v>
      </c>
      <c r="K1906" t="s">
        <v>4629</v>
      </c>
    </row>
    <row r="1907" spans="1:11" ht="20" customHeight="1">
      <c r="A1907" t="s">
        <v>4628</v>
      </c>
      <c r="B1907" t="s">
        <v>1157</v>
      </c>
      <c r="C1907">
        <v>443.9299926757812</v>
      </c>
      <c r="D1907">
        <v>448.0599975585938</v>
      </c>
      <c r="E1907">
        <v>441.9400024414062</v>
      </c>
      <c r="F1907">
        <v>446.6000061035156</v>
      </c>
      <c r="G1907">
        <v>419.1736145019531</v>
      </c>
      <c r="H1907">
        <v>84863600</v>
      </c>
      <c r="I1907" t="s">
        <v>1158</v>
      </c>
      <c r="J1907" t="s">
        <v>1159</v>
      </c>
      <c r="K1907" t="s">
        <v>4629</v>
      </c>
    </row>
    <row r="1908" spans="1:11" ht="20" customHeight="1">
      <c r="A1908" t="s">
        <v>4628</v>
      </c>
      <c r="B1908" t="s">
        <v>1160</v>
      </c>
      <c r="C1908">
        <v>443.2200012207031</v>
      </c>
      <c r="D1908">
        <v>446.5700073242188</v>
      </c>
      <c r="E1908">
        <v>436.4200134277344</v>
      </c>
      <c r="F1908">
        <v>437.0599975585938</v>
      </c>
      <c r="G1908">
        <v>410.2194519042969</v>
      </c>
      <c r="H1908">
        <v>102259100</v>
      </c>
      <c r="I1908" t="s">
        <v>1161</v>
      </c>
      <c r="J1908" t="s">
        <v>1162</v>
      </c>
      <c r="K1908" t="s">
        <v>4629</v>
      </c>
    </row>
    <row r="1909" spans="1:11" ht="20" customHeight="1">
      <c r="A1909" t="s">
        <v>4628</v>
      </c>
      <c r="B1909" t="s">
        <v>1163</v>
      </c>
      <c r="C1909">
        <v>437.3299865722656</v>
      </c>
      <c r="D1909">
        <v>438.6600036621094</v>
      </c>
      <c r="E1909">
        <v>431.8200073242188</v>
      </c>
      <c r="F1909">
        <v>434.2300109863281</v>
      </c>
      <c r="G1909">
        <v>407.563232421875</v>
      </c>
      <c r="H1909">
        <v>132642900</v>
      </c>
      <c r="I1909" t="s">
        <v>1164</v>
      </c>
      <c r="J1909" t="s">
        <v>1165</v>
      </c>
      <c r="K1909" t="s">
        <v>4629</v>
      </c>
    </row>
    <row r="1910" spans="1:11" ht="20" customHeight="1">
      <c r="A1910" t="s">
        <v>4628</v>
      </c>
      <c r="B1910" t="s">
        <v>1166</v>
      </c>
      <c r="C1910">
        <v>431.8900146484375</v>
      </c>
      <c r="D1910">
        <v>435.5</v>
      </c>
      <c r="E1910">
        <v>425.8599853515625</v>
      </c>
      <c r="F1910">
        <v>429.5700073242188</v>
      </c>
      <c r="G1910">
        <v>403.1893615722656</v>
      </c>
      <c r="H1910">
        <v>124391800</v>
      </c>
      <c r="I1910" t="s">
        <v>1167</v>
      </c>
      <c r="J1910" t="s">
        <v>1168</v>
      </c>
      <c r="K1910" t="s">
        <v>4629</v>
      </c>
    </row>
    <row r="1911" spans="1:11" ht="20" customHeight="1">
      <c r="A1911" t="s">
        <v>4628</v>
      </c>
      <c r="B1911" t="s">
        <v>1169</v>
      </c>
      <c r="C1911">
        <v>432.6600036621094</v>
      </c>
      <c r="D1911">
        <v>433.260009765625</v>
      </c>
      <c r="E1911">
        <v>421.3500061035156</v>
      </c>
      <c r="F1911">
        <v>421.9500122070312</v>
      </c>
      <c r="G1911">
        <v>396.0373840332031</v>
      </c>
      <c r="H1911">
        <v>132578000</v>
      </c>
      <c r="I1911" t="s">
        <v>1170</v>
      </c>
      <c r="J1911" t="s">
        <v>1171</v>
      </c>
      <c r="K1911" t="s">
        <v>4629</v>
      </c>
    </row>
    <row r="1912" spans="1:11" ht="20" customHeight="1">
      <c r="A1912" t="s">
        <v>4628</v>
      </c>
      <c r="B1912" t="s">
        <v>1172</v>
      </c>
      <c r="C1912">
        <v>411.0199890136719</v>
      </c>
      <c r="D1912">
        <v>428.760009765625</v>
      </c>
      <c r="E1912">
        <v>410.6400146484375</v>
      </c>
      <c r="F1912">
        <v>428.2999877929688</v>
      </c>
      <c r="G1912">
        <v>401.9974365234375</v>
      </c>
      <c r="H1912">
        <v>213942900</v>
      </c>
      <c r="I1912" t="s">
        <v>1173</v>
      </c>
      <c r="J1912" t="s">
        <v>1174</v>
      </c>
      <c r="K1912" t="s">
        <v>4629</v>
      </c>
    </row>
    <row r="1913" spans="1:11" ht="20" customHeight="1">
      <c r="A1913" t="s">
        <v>4628</v>
      </c>
      <c r="B1913" t="s">
        <v>1175</v>
      </c>
      <c r="C1913">
        <v>429.6099853515625</v>
      </c>
      <c r="D1913">
        <v>437.8399963378906</v>
      </c>
      <c r="E1913">
        <v>427.8599853515625</v>
      </c>
      <c r="F1913">
        <v>437.75</v>
      </c>
      <c r="G1913">
        <v>410.8670654296875</v>
      </c>
      <c r="H1913">
        <v>121804500</v>
      </c>
      <c r="I1913" t="s">
        <v>1176</v>
      </c>
      <c r="J1913" t="s">
        <v>1177</v>
      </c>
      <c r="K1913" t="s">
        <v>4629</v>
      </c>
    </row>
    <row r="1914" spans="1:11" ht="20" customHeight="1">
      <c r="A1914" t="s">
        <v>4628</v>
      </c>
      <c r="B1914" t="s">
        <v>1178</v>
      </c>
      <c r="C1914">
        <v>432.0299987792969</v>
      </c>
      <c r="D1914">
        <v>438.2000122070312</v>
      </c>
      <c r="E1914">
        <v>430.7000122070312</v>
      </c>
      <c r="F1914">
        <v>436.6300048828125</v>
      </c>
      <c r="G1914">
        <v>409.8157958984375</v>
      </c>
      <c r="H1914">
        <v>145615000</v>
      </c>
      <c r="I1914" t="s">
        <v>1179</v>
      </c>
      <c r="J1914" t="s">
        <v>1180</v>
      </c>
      <c r="K1914" t="s">
        <v>4629</v>
      </c>
    </row>
    <row r="1915" spans="1:11" ht="20" customHeight="1">
      <c r="A1915" t="s">
        <v>4628</v>
      </c>
      <c r="B1915" t="s">
        <v>1181</v>
      </c>
      <c r="C1915">
        <v>435.0400085449219</v>
      </c>
      <c r="D1915">
        <v>437.1700134277344</v>
      </c>
      <c r="E1915">
        <v>427.1099853515625</v>
      </c>
      <c r="F1915">
        <v>429.9800109863281</v>
      </c>
      <c r="G1915">
        <v>403.57421875</v>
      </c>
      <c r="H1915">
        <v>137785900</v>
      </c>
      <c r="I1915" t="s">
        <v>1182</v>
      </c>
      <c r="J1915" t="s">
        <v>1183</v>
      </c>
      <c r="K1915" t="s">
        <v>4629</v>
      </c>
    </row>
    <row r="1916" spans="1:11" ht="20" customHeight="1">
      <c r="A1916" t="s">
        <v>4628</v>
      </c>
      <c r="B1916" t="s">
        <v>1184</v>
      </c>
      <c r="C1916">
        <v>432.3699951171875</v>
      </c>
      <c r="D1916">
        <v>439.7200012207031</v>
      </c>
      <c r="E1916">
        <v>431.5700073242188</v>
      </c>
      <c r="F1916">
        <v>437.8900146484375</v>
      </c>
      <c r="G1916">
        <v>410.9984436035156</v>
      </c>
      <c r="H1916">
        <v>117726500</v>
      </c>
      <c r="I1916" t="s">
        <v>1185</v>
      </c>
      <c r="J1916" t="s">
        <v>1186</v>
      </c>
      <c r="K1916" t="s">
        <v>4629</v>
      </c>
    </row>
    <row r="1917" spans="1:11" ht="20" customHeight="1">
      <c r="A1917" t="s">
        <v>4628</v>
      </c>
      <c r="B1917" t="s">
        <v>1187</v>
      </c>
      <c r="C1917">
        <v>440.4700012207031</v>
      </c>
      <c r="D1917">
        <v>441.1099853515625</v>
      </c>
      <c r="E1917">
        <v>433.7999877929688</v>
      </c>
      <c r="F1917">
        <v>435.7099914550781</v>
      </c>
      <c r="G1917">
        <v>408.9524230957031</v>
      </c>
      <c r="H1917">
        <v>105501700</v>
      </c>
      <c r="I1917" t="s">
        <v>1188</v>
      </c>
      <c r="J1917" t="s">
        <v>1189</v>
      </c>
      <c r="K1917" t="s">
        <v>4629</v>
      </c>
    </row>
    <row r="1918" spans="1:11" ht="20" customHeight="1">
      <c r="A1918" t="s">
        <v>4628</v>
      </c>
      <c r="B1918" t="s">
        <v>1190</v>
      </c>
      <c r="C1918">
        <v>431.75</v>
      </c>
      <c r="D1918">
        <v>433.3699951171875</v>
      </c>
      <c r="E1918">
        <v>427.8800048828125</v>
      </c>
      <c r="F1918">
        <v>432.1700134277344</v>
      </c>
      <c r="G1918">
        <v>405.6297302246094</v>
      </c>
      <c r="H1918">
        <v>113978200</v>
      </c>
      <c r="I1918" t="s">
        <v>1191</v>
      </c>
      <c r="J1918" t="s">
        <v>1192</v>
      </c>
      <c r="K1918" t="s">
        <v>4629</v>
      </c>
    </row>
    <row r="1919" spans="1:11" ht="20" customHeight="1">
      <c r="A1919" t="s">
        <v>4628</v>
      </c>
      <c r="B1919" t="s">
        <v>1193</v>
      </c>
      <c r="C1919">
        <v>431.5499877929688</v>
      </c>
      <c r="D1919">
        <v>432.2999877929688</v>
      </c>
      <c r="E1919">
        <v>419.3599853515625</v>
      </c>
      <c r="F1919">
        <v>419.4299926757812</v>
      </c>
      <c r="G1919">
        <v>393.6720886230469</v>
      </c>
      <c r="H1919">
        <v>137896600</v>
      </c>
      <c r="I1919" t="s">
        <v>1194</v>
      </c>
      <c r="J1919" t="s">
        <v>1195</v>
      </c>
      <c r="K1919" t="s">
        <v>4629</v>
      </c>
    </row>
    <row r="1920" spans="1:11" ht="20" customHeight="1">
      <c r="A1920" t="s">
        <v>4628</v>
      </c>
      <c r="B1920" t="s">
        <v>1196</v>
      </c>
      <c r="C1920">
        <v>419.6199951171875</v>
      </c>
      <c r="D1920">
        <v>427.2099914550781</v>
      </c>
      <c r="E1920">
        <v>415.1199951171875</v>
      </c>
      <c r="F1920">
        <v>416.25</v>
      </c>
      <c r="G1920">
        <v>390.6874084472656</v>
      </c>
      <c r="H1920">
        <v>164772700</v>
      </c>
      <c r="I1920" t="s">
        <v>1197</v>
      </c>
      <c r="J1920" t="s">
        <v>1198</v>
      </c>
      <c r="K1920" t="s">
        <v>4629</v>
      </c>
    </row>
    <row r="1921" spans="1:11" ht="20" customHeight="1">
      <c r="A1921" t="s">
        <v>4628</v>
      </c>
      <c r="B1921" t="s">
        <v>1199</v>
      </c>
      <c r="C1921">
        <v>425.1400146484375</v>
      </c>
      <c r="D1921">
        <v>429.510009765625</v>
      </c>
      <c r="E1921">
        <v>422.8200073242188</v>
      </c>
      <c r="F1921">
        <v>427.4100036621094</v>
      </c>
      <c r="G1921">
        <v>401.1620483398438</v>
      </c>
      <c r="H1921">
        <v>116990800</v>
      </c>
      <c r="I1921" t="s">
        <v>1200</v>
      </c>
      <c r="J1921" t="s">
        <v>1201</v>
      </c>
      <c r="K1921" t="s">
        <v>4629</v>
      </c>
    </row>
    <row r="1922" spans="1:11" ht="20" customHeight="1">
      <c r="A1922" t="s">
        <v>4628</v>
      </c>
      <c r="B1922" t="s">
        <v>1202</v>
      </c>
      <c r="C1922">
        <v>422.5199890136719</v>
      </c>
      <c r="D1922">
        <v>426.4299926757812</v>
      </c>
      <c r="E1922">
        <v>420.4400024414062</v>
      </c>
      <c r="F1922">
        <v>425.4800109863281</v>
      </c>
      <c r="G1922">
        <v>399.3505859375</v>
      </c>
      <c r="H1922">
        <v>93972700</v>
      </c>
      <c r="I1922" t="s">
        <v>1203</v>
      </c>
      <c r="J1922" t="s">
        <v>1204</v>
      </c>
      <c r="K1922" t="s">
        <v>4629</v>
      </c>
    </row>
    <row r="1923" spans="1:11" ht="20" customHeight="1">
      <c r="A1923" t="s">
        <v>4628</v>
      </c>
      <c r="B1923" t="s">
        <v>1205</v>
      </c>
      <c r="C1923">
        <v>428.1199951171875</v>
      </c>
      <c r="D1923">
        <v>428.7699890136719</v>
      </c>
      <c r="E1923">
        <v>419.5299987792969</v>
      </c>
      <c r="F1923">
        <v>420.0700073242188</v>
      </c>
      <c r="G1923">
        <v>394.2727966308594</v>
      </c>
      <c r="H1923">
        <v>95636300</v>
      </c>
      <c r="I1923" t="s">
        <v>1206</v>
      </c>
      <c r="J1923" t="s">
        <v>1207</v>
      </c>
      <c r="K1923" t="s">
        <v>4629</v>
      </c>
    </row>
    <row r="1924" spans="1:11" ht="20" customHeight="1">
      <c r="A1924" t="s">
        <v>4628</v>
      </c>
      <c r="B1924" t="s">
        <v>1208</v>
      </c>
      <c r="C1924">
        <v>420.8900146484375</v>
      </c>
      <c r="D1924">
        <v>424.5499877929688</v>
      </c>
      <c r="E1924">
        <v>415.7900085449219</v>
      </c>
      <c r="F1924">
        <v>417</v>
      </c>
      <c r="G1924">
        <v>391.3913269042969</v>
      </c>
      <c r="H1924">
        <v>95729200</v>
      </c>
      <c r="I1924" t="s">
        <v>1209</v>
      </c>
      <c r="J1924" t="s">
        <v>1210</v>
      </c>
      <c r="K1924" t="s">
        <v>4629</v>
      </c>
    </row>
    <row r="1925" spans="1:11" ht="20" customHeight="1">
      <c r="A1925" t="s">
        <v>4628</v>
      </c>
      <c r="B1925" t="s">
        <v>1211</v>
      </c>
      <c r="C1925">
        <v>419.7699890136719</v>
      </c>
      <c r="D1925">
        <v>426.8399963378906</v>
      </c>
      <c r="E1925">
        <v>418.4200134277344</v>
      </c>
      <c r="F1925">
        <v>426.1700134277344</v>
      </c>
      <c r="G1925">
        <v>399.9981689453125</v>
      </c>
      <c r="H1925">
        <v>106219100</v>
      </c>
      <c r="I1925" t="s">
        <v>1212</v>
      </c>
      <c r="J1925" t="s">
        <v>1213</v>
      </c>
      <c r="K1925" t="s">
        <v>4629</v>
      </c>
    </row>
    <row r="1926" spans="1:11" ht="20" customHeight="1">
      <c r="A1926" t="s">
        <v>4628</v>
      </c>
      <c r="B1926" t="s">
        <v>1214</v>
      </c>
      <c r="C1926">
        <v>429.8900146484375</v>
      </c>
      <c r="D1926">
        <v>435.6799926757812</v>
      </c>
      <c r="E1926">
        <v>424.7999877929688</v>
      </c>
      <c r="F1926">
        <v>435.6199951171875</v>
      </c>
      <c r="G1926">
        <v>408.867919921875</v>
      </c>
      <c r="H1926">
        <v>144954800</v>
      </c>
      <c r="I1926" t="s">
        <v>1215</v>
      </c>
      <c r="J1926" t="s">
        <v>1216</v>
      </c>
      <c r="K1926" t="s">
        <v>4629</v>
      </c>
    </row>
    <row r="1927" spans="1:11" ht="20" customHeight="1">
      <c r="A1927" t="s">
        <v>4628</v>
      </c>
      <c r="B1927" t="s">
        <v>1217</v>
      </c>
      <c r="C1927">
        <v>433.5899963378906</v>
      </c>
      <c r="D1927">
        <v>441.0700073242188</v>
      </c>
      <c r="E1927">
        <v>433.1900024414062</v>
      </c>
      <c r="F1927">
        <v>441.0700073242188</v>
      </c>
      <c r="G1927">
        <v>413.9831848144531</v>
      </c>
      <c r="H1927">
        <v>102676900</v>
      </c>
      <c r="I1927" t="s">
        <v>1218</v>
      </c>
      <c r="J1927" t="s">
        <v>1219</v>
      </c>
      <c r="K1927" t="s">
        <v>4629</v>
      </c>
    </row>
    <row r="1928" spans="1:11" ht="20" customHeight="1">
      <c r="A1928" t="s">
        <v>4628</v>
      </c>
      <c r="B1928" t="s">
        <v>1220</v>
      </c>
      <c r="C1928">
        <v>438</v>
      </c>
      <c r="D1928">
        <v>444.8599853515625</v>
      </c>
      <c r="E1928">
        <v>437.2200012207031</v>
      </c>
      <c r="F1928">
        <v>444.5199890136719</v>
      </c>
      <c r="G1928">
        <v>418.5174560546875</v>
      </c>
      <c r="H1928">
        <v>106345500</v>
      </c>
      <c r="I1928" t="s">
        <v>1221</v>
      </c>
      <c r="J1928" t="s">
        <v>1222</v>
      </c>
      <c r="K1928" t="s">
        <v>4629</v>
      </c>
    </row>
    <row r="1929" spans="1:11" ht="20" customHeight="1">
      <c r="A1929" t="s">
        <v>4628</v>
      </c>
      <c r="B1929" t="s">
        <v>1223</v>
      </c>
      <c r="C1929">
        <v>444.3399963378906</v>
      </c>
      <c r="D1929">
        <v>446.4599914550781</v>
      </c>
      <c r="E1929">
        <v>440.6799926757812</v>
      </c>
      <c r="F1929">
        <v>444.3900146484375</v>
      </c>
      <c r="G1929">
        <v>418.3950805664062</v>
      </c>
      <c r="H1929">
        <v>88349800</v>
      </c>
      <c r="I1929" t="s">
        <v>1224</v>
      </c>
      <c r="J1929" t="s">
        <v>1225</v>
      </c>
      <c r="K1929" t="s">
        <v>4629</v>
      </c>
    </row>
    <row r="1930" spans="1:11" ht="20" customHeight="1">
      <c r="A1930" t="s">
        <v>4628</v>
      </c>
      <c r="B1930" t="s">
        <v>1226</v>
      </c>
      <c r="C1930">
        <v>445.8599853515625</v>
      </c>
      <c r="D1930">
        <v>450.5799865722656</v>
      </c>
      <c r="E1930">
        <v>445.8599853515625</v>
      </c>
      <c r="F1930">
        <v>449.5899963378906</v>
      </c>
      <c r="G1930">
        <v>423.2908630371094</v>
      </c>
      <c r="H1930">
        <v>74650400</v>
      </c>
      <c r="I1930" t="s">
        <v>1227</v>
      </c>
      <c r="J1930" t="s">
        <v>1228</v>
      </c>
      <c r="K1930" t="s">
        <v>4629</v>
      </c>
    </row>
    <row r="1931" spans="1:11" ht="20" customHeight="1">
      <c r="A1931" t="s">
        <v>4628</v>
      </c>
      <c r="B1931" t="s">
        <v>1229</v>
      </c>
      <c r="C1931">
        <v>446.9100036621094</v>
      </c>
      <c r="D1931">
        <v>448.489990234375</v>
      </c>
      <c r="E1931">
        <v>443.7099914550781</v>
      </c>
      <c r="F1931">
        <v>443.7999877929688</v>
      </c>
      <c r="G1931">
        <v>417.8395690917969</v>
      </c>
      <c r="H1931">
        <v>79426100</v>
      </c>
      <c r="I1931" t="s">
        <v>1230</v>
      </c>
      <c r="J1931" t="s">
        <v>1231</v>
      </c>
      <c r="K1931" t="s">
        <v>4629</v>
      </c>
    </row>
    <row r="1932" spans="1:11" ht="20" customHeight="1">
      <c r="A1932" t="s">
        <v>4628</v>
      </c>
      <c r="B1932" t="s">
        <v>1232</v>
      </c>
      <c r="C1932">
        <v>445.9400024414062</v>
      </c>
      <c r="D1932">
        <v>450.5</v>
      </c>
      <c r="E1932">
        <v>444.760009765625</v>
      </c>
      <c r="F1932">
        <v>450.489990234375</v>
      </c>
      <c r="G1932">
        <v>424.1382141113281</v>
      </c>
      <c r="H1932">
        <v>64736900</v>
      </c>
      <c r="I1932" t="s">
        <v>1233</v>
      </c>
      <c r="J1932" t="s">
        <v>1234</v>
      </c>
      <c r="K1932" t="s">
        <v>4629</v>
      </c>
    </row>
    <row r="1933" spans="1:11" ht="20" customHeight="1">
      <c r="A1933" t="s">
        <v>4628</v>
      </c>
      <c r="B1933" t="s">
        <v>1235</v>
      </c>
      <c r="C1933">
        <v>451.1600036621094</v>
      </c>
      <c r="D1933">
        <v>452.9800109863281</v>
      </c>
      <c r="E1933">
        <v>448.4299926757812</v>
      </c>
      <c r="F1933">
        <v>452.6900024414062</v>
      </c>
      <c r="G1933">
        <v>426.2095642089844</v>
      </c>
      <c r="H1933">
        <v>77101300</v>
      </c>
      <c r="I1933" t="s">
        <v>1236</v>
      </c>
      <c r="J1933" t="s">
        <v>1237</v>
      </c>
      <c r="K1933" t="s">
        <v>4629</v>
      </c>
    </row>
    <row r="1934" spans="1:11" ht="20" customHeight="1">
      <c r="A1934" t="s">
        <v>4628</v>
      </c>
      <c r="B1934" t="s">
        <v>1238</v>
      </c>
      <c r="C1934">
        <v>452.0599975585938</v>
      </c>
      <c r="D1934">
        <v>455.9100036621094</v>
      </c>
      <c r="E1934">
        <v>450.0599975585938</v>
      </c>
      <c r="F1934">
        <v>455.9100036621094</v>
      </c>
      <c r="G1934">
        <v>429.2411499023438</v>
      </c>
      <c r="H1934">
        <v>68529800</v>
      </c>
      <c r="I1934" t="s">
        <v>1239</v>
      </c>
      <c r="J1934" t="s">
        <v>1240</v>
      </c>
      <c r="K1934" t="s">
        <v>4629</v>
      </c>
    </row>
    <row r="1935" spans="1:11" ht="20" customHeight="1">
      <c r="A1935" t="s">
        <v>4628</v>
      </c>
      <c r="B1935" t="s">
        <v>1241</v>
      </c>
      <c r="C1935">
        <v>460.0199890136719</v>
      </c>
      <c r="D1935">
        <v>462.0700073242188</v>
      </c>
      <c r="E1935">
        <v>457.1799926757812</v>
      </c>
      <c r="F1935">
        <v>461.5499877929688</v>
      </c>
      <c r="G1935">
        <v>434.5512390136719</v>
      </c>
      <c r="H1935">
        <v>86581500</v>
      </c>
      <c r="I1935" t="s">
        <v>1242</v>
      </c>
      <c r="J1935" t="s">
        <v>1243</v>
      </c>
      <c r="K1935" t="s">
        <v>4629</v>
      </c>
    </row>
    <row r="1936" spans="1:11" ht="20" customHeight="1">
      <c r="A1936" t="s">
        <v>4628</v>
      </c>
      <c r="B1936" t="s">
        <v>1244</v>
      </c>
      <c r="C1936">
        <v>460.3399963378906</v>
      </c>
      <c r="D1936">
        <v>461.2000122070312</v>
      </c>
      <c r="E1936">
        <v>456.4700012207031</v>
      </c>
      <c r="F1936">
        <v>458.7000122070312</v>
      </c>
      <c r="G1936">
        <v>431.8679809570312</v>
      </c>
      <c r="H1936">
        <v>79666900</v>
      </c>
      <c r="I1936" t="s">
        <v>1245</v>
      </c>
      <c r="J1936" t="s">
        <v>1246</v>
      </c>
      <c r="K1936" t="s">
        <v>4629</v>
      </c>
    </row>
    <row r="1937" spans="1:11" ht="20" customHeight="1">
      <c r="A1937" t="s">
        <v>4628</v>
      </c>
      <c r="B1937" t="s">
        <v>1247</v>
      </c>
      <c r="C1937">
        <v>457.8900146484375</v>
      </c>
      <c r="D1937">
        <v>458.760009765625</v>
      </c>
      <c r="E1937">
        <v>451.1600036621094</v>
      </c>
      <c r="F1937">
        <v>451.6400146484375</v>
      </c>
      <c r="G1937">
        <v>425.2209777832031</v>
      </c>
      <c r="H1937">
        <v>121699900</v>
      </c>
      <c r="I1937" t="s">
        <v>1248</v>
      </c>
      <c r="J1937" t="s">
        <v>1249</v>
      </c>
      <c r="K1937" t="s">
        <v>4629</v>
      </c>
    </row>
    <row r="1938" spans="1:11" ht="20" customHeight="1">
      <c r="A1938" t="s">
        <v>4628</v>
      </c>
      <c r="B1938" t="s">
        <v>1250</v>
      </c>
      <c r="C1938">
        <v>453.3099975585938</v>
      </c>
      <c r="D1938">
        <v>453.4599914550781</v>
      </c>
      <c r="E1938">
        <v>449.1400146484375</v>
      </c>
      <c r="F1938">
        <v>452.9200134277344</v>
      </c>
      <c r="G1938">
        <v>426.4261169433594</v>
      </c>
      <c r="H1938">
        <v>89048800</v>
      </c>
      <c r="I1938" t="s">
        <v>1251</v>
      </c>
      <c r="J1938" t="s">
        <v>1252</v>
      </c>
      <c r="K1938" t="s">
        <v>4629</v>
      </c>
    </row>
    <row r="1939" spans="1:11" ht="20" customHeight="1">
      <c r="A1939" t="s">
        <v>4628</v>
      </c>
      <c r="B1939" t="s">
        <v>1253</v>
      </c>
      <c r="C1939">
        <v>453.1300048828125</v>
      </c>
      <c r="D1939">
        <v>456.9100036621094</v>
      </c>
      <c r="E1939">
        <v>452.260009765625</v>
      </c>
      <c r="F1939">
        <v>456.7999877929688</v>
      </c>
      <c r="G1939">
        <v>430.0790405273438</v>
      </c>
      <c r="H1939">
        <v>59601000</v>
      </c>
      <c r="I1939" t="s">
        <v>1254</v>
      </c>
      <c r="J1939" t="s">
        <v>1255</v>
      </c>
      <c r="K1939" t="s">
        <v>4629</v>
      </c>
    </row>
    <row r="1940" spans="1:11" ht="20" customHeight="1">
      <c r="A1940" t="s">
        <v>4628</v>
      </c>
      <c r="B1940" t="s">
        <v>1256</v>
      </c>
      <c r="C1940">
        <v>455.2200012207031</v>
      </c>
      <c r="D1940">
        <v>457.8299865722656</v>
      </c>
      <c r="E1940">
        <v>449.8200073242188</v>
      </c>
      <c r="F1940">
        <v>451.0299987792969</v>
      </c>
      <c r="G1940">
        <v>424.6466369628906</v>
      </c>
      <c r="H1940">
        <v>74214500</v>
      </c>
      <c r="I1940" t="s">
        <v>1257</v>
      </c>
      <c r="J1940" t="s">
        <v>1258</v>
      </c>
      <c r="K1940" t="s">
        <v>4629</v>
      </c>
    </row>
    <row r="1941" spans="1:11" ht="20" customHeight="1">
      <c r="A1941" t="s">
        <v>4628</v>
      </c>
      <c r="B1941" t="s">
        <v>1259</v>
      </c>
      <c r="C1941">
        <v>446.8900146484375</v>
      </c>
      <c r="D1941">
        <v>448.9299926757812</v>
      </c>
      <c r="E1941">
        <v>443.4700012207031</v>
      </c>
      <c r="F1941">
        <v>446.5199890136719</v>
      </c>
      <c r="G1941">
        <v>420.4004821777344</v>
      </c>
      <c r="H1941">
        <v>106898000</v>
      </c>
      <c r="I1941" t="s">
        <v>1260</v>
      </c>
      <c r="J1941" t="s">
        <v>1261</v>
      </c>
      <c r="K1941" t="s">
        <v>4629</v>
      </c>
    </row>
    <row r="1942" spans="1:11" ht="20" customHeight="1">
      <c r="A1942" t="s">
        <v>4628</v>
      </c>
      <c r="B1942" t="s">
        <v>1262</v>
      </c>
      <c r="C1942">
        <v>445.5899963378906</v>
      </c>
      <c r="D1942">
        <v>450.6900024414062</v>
      </c>
      <c r="E1942">
        <v>443.5299987792969</v>
      </c>
      <c r="F1942">
        <v>448.7699890136719</v>
      </c>
      <c r="G1942">
        <v>422.5188598632812</v>
      </c>
      <c r="H1942">
        <v>78097200</v>
      </c>
      <c r="I1942" t="s">
        <v>1263</v>
      </c>
      <c r="J1942" t="s">
        <v>1264</v>
      </c>
      <c r="K1942" t="s">
        <v>4629</v>
      </c>
    </row>
    <row r="1943" spans="1:11" ht="20" customHeight="1">
      <c r="A1943" t="s">
        <v>4628</v>
      </c>
      <c r="B1943" t="s">
        <v>1265</v>
      </c>
      <c r="C1943">
        <v>447.9700012207031</v>
      </c>
      <c r="D1943">
        <v>450.6300048828125</v>
      </c>
      <c r="E1943">
        <v>445.9400024414062</v>
      </c>
      <c r="F1943">
        <v>447.5700073242188</v>
      </c>
      <c r="G1943">
        <v>421.3890075683594</v>
      </c>
      <c r="H1943">
        <v>79272700</v>
      </c>
      <c r="I1943" t="s">
        <v>1266</v>
      </c>
      <c r="J1943" t="s">
        <v>1267</v>
      </c>
      <c r="K1943" t="s">
        <v>4629</v>
      </c>
    </row>
    <row r="1944" spans="1:11" ht="20" customHeight="1">
      <c r="A1944" t="s">
        <v>4628</v>
      </c>
      <c r="B1944" t="s">
        <v>1268</v>
      </c>
      <c r="C1944">
        <v>444.1099853515625</v>
      </c>
      <c r="D1944">
        <v>445</v>
      </c>
      <c r="E1944">
        <v>439.3900146484375</v>
      </c>
      <c r="F1944">
        <v>439.9200134277344</v>
      </c>
      <c r="G1944">
        <v>414.1865234375</v>
      </c>
      <c r="H1944">
        <v>89770500</v>
      </c>
      <c r="I1944" t="s">
        <v>1269</v>
      </c>
      <c r="J1944" t="s">
        <v>1270</v>
      </c>
      <c r="K1944" t="s">
        <v>4629</v>
      </c>
    </row>
    <row r="1945" spans="1:11" ht="20" customHeight="1">
      <c r="A1945" t="s">
        <v>4628</v>
      </c>
      <c r="B1945" t="s">
        <v>1271</v>
      </c>
      <c r="C1945">
        <v>443.0799865722656</v>
      </c>
      <c r="D1945">
        <v>445.75</v>
      </c>
      <c r="E1945">
        <v>436.6499938964844</v>
      </c>
      <c r="F1945">
        <v>438.2900085449219</v>
      </c>
      <c r="G1945">
        <v>412.6518859863281</v>
      </c>
      <c r="H1945">
        <v>84363600</v>
      </c>
      <c r="I1945" t="s">
        <v>1272</v>
      </c>
      <c r="J1945" t="s">
        <v>1273</v>
      </c>
      <c r="K1945" t="s">
        <v>4629</v>
      </c>
    </row>
    <row r="1946" spans="1:11" ht="20" customHeight="1">
      <c r="A1946" t="s">
        <v>4628</v>
      </c>
      <c r="B1946" t="s">
        <v>1274</v>
      </c>
      <c r="C1946">
        <v>438.0299987792969</v>
      </c>
      <c r="D1946">
        <v>444.1099853515625</v>
      </c>
      <c r="E1946">
        <v>437.8399963378906</v>
      </c>
      <c r="F1946">
        <v>443.3099975585938</v>
      </c>
      <c r="G1946">
        <v>417.3782348632812</v>
      </c>
      <c r="H1946">
        <v>74070400</v>
      </c>
      <c r="I1946" t="s">
        <v>1275</v>
      </c>
      <c r="J1946" t="s">
        <v>1276</v>
      </c>
      <c r="K1946" t="s">
        <v>4629</v>
      </c>
    </row>
    <row r="1947" spans="1:11" ht="20" customHeight="1">
      <c r="A1947" t="s">
        <v>4628</v>
      </c>
      <c r="B1947" t="s">
        <v>1277</v>
      </c>
      <c r="C1947">
        <v>443.5499877929688</v>
      </c>
      <c r="D1947">
        <v>444.7300109863281</v>
      </c>
      <c r="E1947">
        <v>437.6799926757812</v>
      </c>
      <c r="F1947">
        <v>437.7900085449219</v>
      </c>
      <c r="G1947">
        <v>412.1811218261719</v>
      </c>
      <c r="H1947">
        <v>97869500</v>
      </c>
      <c r="I1947" t="s">
        <v>1278</v>
      </c>
      <c r="J1947" t="s">
        <v>1279</v>
      </c>
      <c r="K1947" t="s">
        <v>4629</v>
      </c>
    </row>
    <row r="1948" spans="1:11" ht="20" customHeight="1">
      <c r="A1948" t="s">
        <v>4628</v>
      </c>
      <c r="B1948" t="s">
        <v>1280</v>
      </c>
      <c r="C1948">
        <v>436.8099975585938</v>
      </c>
      <c r="D1948">
        <v>439.75</v>
      </c>
      <c r="E1948">
        <v>435.6099853515625</v>
      </c>
      <c r="F1948">
        <v>437.9700012207031</v>
      </c>
      <c r="G1948">
        <v>412.3506164550781</v>
      </c>
      <c r="H1948">
        <v>66002500</v>
      </c>
      <c r="I1948" t="s">
        <v>1281</v>
      </c>
      <c r="J1948" t="s">
        <v>1282</v>
      </c>
      <c r="K1948" t="s">
        <v>4629</v>
      </c>
    </row>
    <row r="1949" spans="1:11" ht="20" customHeight="1">
      <c r="A1949" t="s">
        <v>4628</v>
      </c>
      <c r="B1949" t="s">
        <v>1283</v>
      </c>
      <c r="C1949">
        <v>437.8599853515625</v>
      </c>
      <c r="D1949">
        <v>445.7999877929688</v>
      </c>
      <c r="E1949">
        <v>437.6799926757812</v>
      </c>
      <c r="F1949">
        <v>445.0400085449219</v>
      </c>
      <c r="G1949">
        <v>419.007080078125</v>
      </c>
      <c r="H1949">
        <v>77821000</v>
      </c>
      <c r="I1949" t="s">
        <v>1284</v>
      </c>
      <c r="J1949" t="s">
        <v>1285</v>
      </c>
      <c r="K1949" t="s">
        <v>4629</v>
      </c>
    </row>
    <row r="1950" spans="1:11" ht="20" customHeight="1">
      <c r="A1950" t="s">
        <v>4628</v>
      </c>
      <c r="B1950" t="s">
        <v>1286</v>
      </c>
      <c r="C1950">
        <v>446.9200134277344</v>
      </c>
      <c r="D1950">
        <v>447.5700073242188</v>
      </c>
      <c r="E1950">
        <v>443.4800109863281</v>
      </c>
      <c r="F1950">
        <v>444.7099914550781</v>
      </c>
      <c r="G1950">
        <v>418.6963195800781</v>
      </c>
      <c r="H1950">
        <v>65224400</v>
      </c>
      <c r="I1950" t="s">
        <v>1287</v>
      </c>
      <c r="J1950" t="s">
        <v>1288</v>
      </c>
      <c r="K1950" t="s">
        <v>4629</v>
      </c>
    </row>
    <row r="1951" spans="1:11" ht="20" customHeight="1">
      <c r="A1951" t="s">
        <v>4628</v>
      </c>
      <c r="B1951" t="s">
        <v>1289</v>
      </c>
      <c r="C1951">
        <v>448.5400085449219</v>
      </c>
      <c r="D1951">
        <v>450.010009765625</v>
      </c>
      <c r="E1951">
        <v>437.1000061035156</v>
      </c>
      <c r="F1951">
        <v>438.0599975585938</v>
      </c>
      <c r="G1951">
        <v>412.4353332519531</v>
      </c>
      <c r="H1951">
        <v>85417300</v>
      </c>
      <c r="I1951" t="s">
        <v>1290</v>
      </c>
      <c r="J1951" t="s">
        <v>1291</v>
      </c>
      <c r="K1951" t="s">
        <v>4629</v>
      </c>
    </row>
    <row r="1952" spans="1:11" ht="20" customHeight="1">
      <c r="A1952" t="s">
        <v>4628</v>
      </c>
      <c r="B1952" t="s">
        <v>1292</v>
      </c>
      <c r="C1952">
        <v>436.9100036621094</v>
      </c>
      <c r="D1952">
        <v>438.0799865722656</v>
      </c>
      <c r="E1952">
        <v>425.4400024414062</v>
      </c>
      <c r="F1952">
        <v>426.0400085449219</v>
      </c>
      <c r="G1952">
        <v>401.118408203125</v>
      </c>
      <c r="H1952">
        <v>132471800</v>
      </c>
      <c r="I1952" t="s">
        <v>1293</v>
      </c>
      <c r="J1952" t="s">
        <v>1294</v>
      </c>
      <c r="K1952" t="s">
        <v>4629</v>
      </c>
    </row>
    <row r="1953" spans="1:11" ht="20" customHeight="1">
      <c r="A1953" t="s">
        <v>4628</v>
      </c>
      <c r="B1953" t="s">
        <v>1295</v>
      </c>
      <c r="C1953">
        <v>423.6700134277344</v>
      </c>
      <c r="D1953">
        <v>428.6900024414062</v>
      </c>
      <c r="E1953">
        <v>418.8399963378906</v>
      </c>
      <c r="F1953">
        <v>428.510009765625</v>
      </c>
      <c r="G1953">
        <v>403.4440002441406</v>
      </c>
      <c r="H1953">
        <v>119647700</v>
      </c>
      <c r="I1953" t="s">
        <v>1296</v>
      </c>
      <c r="J1953" t="s">
        <v>1297</v>
      </c>
      <c r="K1953" t="s">
        <v>4629</v>
      </c>
    </row>
    <row r="1954" spans="1:11" ht="20" customHeight="1">
      <c r="A1954" t="s">
        <v>4628</v>
      </c>
      <c r="B1954" t="s">
        <v>1298</v>
      </c>
      <c r="C1954">
        <v>425.8299865722656</v>
      </c>
      <c r="D1954">
        <v>426.0400085449219</v>
      </c>
      <c r="E1954">
        <v>416.0700073242188</v>
      </c>
      <c r="F1954">
        <v>416.1000061035156</v>
      </c>
      <c r="G1954">
        <v>391.7598876953125</v>
      </c>
      <c r="H1954">
        <v>103996300</v>
      </c>
      <c r="I1954" t="s">
        <v>1299</v>
      </c>
      <c r="J1954" t="s">
        <v>1300</v>
      </c>
      <c r="K1954" t="s">
        <v>4629</v>
      </c>
    </row>
    <row r="1955" spans="1:11" ht="20" customHeight="1">
      <c r="A1955" t="s">
        <v>4628</v>
      </c>
      <c r="B1955" t="s">
        <v>1301</v>
      </c>
      <c r="C1955">
        <v>417.239990234375</v>
      </c>
      <c r="D1955">
        <v>422.9200134277344</v>
      </c>
      <c r="E1955">
        <v>415.010009765625</v>
      </c>
      <c r="F1955">
        <v>417.2699890136719</v>
      </c>
      <c r="G1955">
        <v>392.8614501953125</v>
      </c>
      <c r="H1955">
        <v>122030000</v>
      </c>
      <c r="I1955" t="s">
        <v>1302</v>
      </c>
      <c r="J1955" t="s">
        <v>1303</v>
      </c>
      <c r="K1955" t="s">
        <v>4629</v>
      </c>
    </row>
    <row r="1956" spans="1:11" ht="20" customHeight="1">
      <c r="A1956" t="s">
        <v>4628</v>
      </c>
      <c r="B1956" t="s">
        <v>1304</v>
      </c>
      <c r="C1956">
        <v>422.2900085449219</v>
      </c>
      <c r="D1956">
        <v>429.6400146484375</v>
      </c>
      <c r="E1956">
        <v>417.6000061035156</v>
      </c>
      <c r="F1956">
        <v>427.8099975585938</v>
      </c>
      <c r="G1956">
        <v>402.784912109375</v>
      </c>
      <c r="H1956">
        <v>105449100</v>
      </c>
      <c r="I1956" t="s">
        <v>1305</v>
      </c>
      <c r="J1956" t="s">
        <v>1306</v>
      </c>
      <c r="K1956" t="s">
        <v>4629</v>
      </c>
    </row>
    <row r="1957" spans="1:11" ht="20" customHeight="1">
      <c r="A1957" t="s">
        <v>4628</v>
      </c>
      <c r="B1957" t="s">
        <v>1307</v>
      </c>
      <c r="C1957">
        <v>423.5899963378906</v>
      </c>
      <c r="D1957">
        <v>425.8699951171875</v>
      </c>
      <c r="E1957">
        <v>411.2099914550781</v>
      </c>
      <c r="F1957">
        <v>412</v>
      </c>
      <c r="G1957">
        <v>387.8997192382812</v>
      </c>
      <c r="H1957">
        <v>145491100</v>
      </c>
      <c r="I1957" t="s">
        <v>1308</v>
      </c>
      <c r="J1957" t="s">
        <v>1309</v>
      </c>
      <c r="K1957" t="s">
        <v>4629</v>
      </c>
    </row>
    <row r="1958" spans="1:11" ht="20" customHeight="1">
      <c r="A1958" t="s">
        <v>4628</v>
      </c>
      <c r="B1958" t="s">
        <v>1310</v>
      </c>
      <c r="C1958">
        <v>412.0700073242188</v>
      </c>
      <c r="D1958">
        <v>415.9200134277344</v>
      </c>
      <c r="E1958">
        <v>405.0199890136719</v>
      </c>
      <c r="F1958">
        <v>414.4800109863281</v>
      </c>
      <c r="G1958">
        <v>390.2346496582031</v>
      </c>
      <c r="H1958">
        <v>158312500</v>
      </c>
      <c r="I1958" t="s">
        <v>1311</v>
      </c>
      <c r="J1958" t="s">
        <v>1312</v>
      </c>
      <c r="K1958" t="s">
        <v>4629</v>
      </c>
    </row>
    <row r="1959" spans="1:11" ht="20" customHeight="1">
      <c r="A1959" t="s">
        <v>4628</v>
      </c>
      <c r="B1959" t="s">
        <v>1313</v>
      </c>
      <c r="C1959">
        <v>415.010009765625</v>
      </c>
      <c r="D1959">
        <v>418.9299926757812</v>
      </c>
      <c r="E1959">
        <v>413.3599853515625</v>
      </c>
      <c r="F1959">
        <v>416.3800048828125</v>
      </c>
      <c r="G1959">
        <v>392.0234985351562</v>
      </c>
      <c r="H1959">
        <v>100028200</v>
      </c>
      <c r="I1959" t="s">
        <v>1314</v>
      </c>
      <c r="J1959" t="s">
        <v>1315</v>
      </c>
      <c r="K1959" t="s">
        <v>4629</v>
      </c>
    </row>
    <row r="1960" spans="1:11" ht="20" customHeight="1">
      <c r="A1960" t="s">
        <v>4628</v>
      </c>
      <c r="B1960" t="s">
        <v>1316</v>
      </c>
      <c r="C1960">
        <v>417.0799865722656</v>
      </c>
      <c r="D1960">
        <v>429.6600036621094</v>
      </c>
      <c r="E1960">
        <v>413.7099914550781</v>
      </c>
      <c r="F1960">
        <v>429.0599975585938</v>
      </c>
      <c r="G1960">
        <v>403.9618225097656</v>
      </c>
      <c r="H1960">
        <v>144247900</v>
      </c>
      <c r="I1960" t="s">
        <v>1317</v>
      </c>
      <c r="J1960" t="s">
        <v>1318</v>
      </c>
      <c r="K1960" t="s">
        <v>4629</v>
      </c>
    </row>
    <row r="1961" spans="1:11" ht="20" customHeight="1">
      <c r="A1961" t="s">
        <v>4628</v>
      </c>
      <c r="B1961" t="s">
        <v>1319</v>
      </c>
      <c r="C1961">
        <v>424.5499877929688</v>
      </c>
      <c r="D1961">
        <v>425</v>
      </c>
      <c r="E1961">
        <v>409.4400024414062</v>
      </c>
      <c r="F1961">
        <v>413.8099975585938</v>
      </c>
      <c r="G1961">
        <v>389.6038513183594</v>
      </c>
      <c r="H1961">
        <v>172929100</v>
      </c>
      <c r="I1961" t="s">
        <v>1320</v>
      </c>
      <c r="J1961" t="s">
        <v>1321</v>
      </c>
      <c r="K1961" t="s">
        <v>4629</v>
      </c>
    </row>
    <row r="1962" spans="1:11" ht="20" customHeight="1">
      <c r="A1962" t="s">
        <v>4628</v>
      </c>
      <c r="B1962" t="s">
        <v>1322</v>
      </c>
      <c r="C1962">
        <v>411.1000061035156</v>
      </c>
      <c r="D1962">
        <v>414.7999877929688</v>
      </c>
      <c r="E1962">
        <v>405.7300109863281</v>
      </c>
      <c r="F1962">
        <v>411.3399963378906</v>
      </c>
      <c r="G1962">
        <v>387.2783203125</v>
      </c>
      <c r="H1962">
        <v>151770800</v>
      </c>
      <c r="I1962" t="s">
        <v>1323</v>
      </c>
      <c r="J1962" t="s">
        <v>1324</v>
      </c>
      <c r="K1962" t="s">
        <v>4629</v>
      </c>
    </row>
    <row r="1963" spans="1:11" ht="20" customHeight="1">
      <c r="A1963" t="s">
        <v>4628</v>
      </c>
      <c r="B1963" t="s">
        <v>1325</v>
      </c>
      <c r="C1963">
        <v>405.1000061035156</v>
      </c>
      <c r="D1963">
        <v>406.4100036621094</v>
      </c>
      <c r="E1963">
        <v>396.5</v>
      </c>
      <c r="F1963">
        <v>398.1700134277344</v>
      </c>
      <c r="G1963">
        <v>374.8787841796875</v>
      </c>
      <c r="H1963">
        <v>155586100</v>
      </c>
      <c r="I1963" t="s">
        <v>1326</v>
      </c>
      <c r="J1963" t="s">
        <v>1327</v>
      </c>
      <c r="K1963" t="s">
        <v>4629</v>
      </c>
    </row>
    <row r="1964" spans="1:11" ht="20" customHeight="1">
      <c r="A1964" t="s">
        <v>4628</v>
      </c>
      <c r="B1964" t="s">
        <v>1328</v>
      </c>
      <c r="C1964">
        <v>404.489990234375</v>
      </c>
      <c r="D1964">
        <v>406.0799865722656</v>
      </c>
      <c r="E1964">
        <v>394.8200073242188</v>
      </c>
      <c r="F1964">
        <v>399.0899963378906</v>
      </c>
      <c r="G1964">
        <v>375.7449645996094</v>
      </c>
      <c r="H1964">
        <v>132497200</v>
      </c>
      <c r="I1964" t="s">
        <v>1329</v>
      </c>
      <c r="J1964" t="s">
        <v>1330</v>
      </c>
      <c r="K1964" t="s">
        <v>4629</v>
      </c>
    </row>
    <row r="1965" spans="1:11" ht="20" customHeight="1">
      <c r="A1965" t="s">
        <v>4628</v>
      </c>
      <c r="B1965" t="s">
        <v>1331</v>
      </c>
      <c r="C1965">
        <v>398.0700073242188</v>
      </c>
      <c r="D1965">
        <v>404.0400085449219</v>
      </c>
      <c r="E1965">
        <v>391.9599914550781</v>
      </c>
      <c r="F1965">
        <v>392.75</v>
      </c>
      <c r="G1965">
        <v>369.7757263183594</v>
      </c>
      <c r="H1965">
        <v>142361000</v>
      </c>
      <c r="I1965" t="s">
        <v>1332</v>
      </c>
      <c r="J1965" t="s">
        <v>1333</v>
      </c>
      <c r="K1965" t="s">
        <v>4629</v>
      </c>
    </row>
    <row r="1966" spans="1:11" ht="20" customHeight="1">
      <c r="A1966" t="s">
        <v>4628</v>
      </c>
      <c r="B1966" t="s">
        <v>1334</v>
      </c>
      <c r="C1966">
        <v>389.3699951171875</v>
      </c>
      <c r="D1966">
        <v>395.7999877929688</v>
      </c>
      <c r="E1966">
        <v>385.1499938964844</v>
      </c>
      <c r="F1966">
        <v>392.3399963378906</v>
      </c>
      <c r="G1966">
        <v>369.3897399902344</v>
      </c>
      <c r="H1966">
        <v>125090800</v>
      </c>
      <c r="I1966" t="s">
        <v>1335</v>
      </c>
      <c r="J1966" t="s">
        <v>1336</v>
      </c>
      <c r="K1966" t="s">
        <v>4629</v>
      </c>
    </row>
    <row r="1967" spans="1:11" ht="20" customHeight="1">
      <c r="A1967" t="s">
        <v>4628</v>
      </c>
      <c r="B1967" t="s">
        <v>1337</v>
      </c>
      <c r="C1967">
        <v>396.7099914550781</v>
      </c>
      <c r="D1967">
        <v>403.1799926757812</v>
      </c>
      <c r="E1967">
        <v>395.6099853515625</v>
      </c>
      <c r="F1967">
        <v>401.7200012207031</v>
      </c>
      <c r="G1967">
        <v>378.2210998535156</v>
      </c>
      <c r="H1967">
        <v>104174400</v>
      </c>
      <c r="I1967" t="s">
        <v>1338</v>
      </c>
      <c r="J1967" t="s">
        <v>1339</v>
      </c>
      <c r="K1967" t="s">
        <v>4629</v>
      </c>
    </row>
    <row r="1968" spans="1:11" ht="20" customHeight="1">
      <c r="A1968" t="s">
        <v>4628</v>
      </c>
      <c r="B1968" t="s">
        <v>1340</v>
      </c>
      <c r="C1968">
        <v>399.9800109863281</v>
      </c>
      <c r="D1968">
        <v>403.9700012207031</v>
      </c>
      <c r="E1968">
        <v>397.6000061035156</v>
      </c>
      <c r="F1968">
        <v>400.0899963378906</v>
      </c>
      <c r="G1968">
        <v>376.6864013671875</v>
      </c>
      <c r="H1968">
        <v>78622400</v>
      </c>
      <c r="I1968" t="s">
        <v>1341</v>
      </c>
      <c r="J1968" t="s">
        <v>1342</v>
      </c>
      <c r="K1968" t="s">
        <v>4629</v>
      </c>
    </row>
    <row r="1969" spans="1:11" ht="20" customHeight="1">
      <c r="A1969" t="s">
        <v>4628</v>
      </c>
      <c r="B1969" t="s">
        <v>1343</v>
      </c>
      <c r="C1969">
        <v>406.5299987792969</v>
      </c>
      <c r="D1969">
        <v>408.5700073242188</v>
      </c>
      <c r="E1969">
        <v>402.5799865722656</v>
      </c>
      <c r="F1969">
        <v>408.3200073242188</v>
      </c>
      <c r="G1969">
        <v>384.4349975585938</v>
      </c>
      <c r="H1969">
        <v>83029700</v>
      </c>
      <c r="I1969" t="s">
        <v>1344</v>
      </c>
      <c r="J1969" t="s">
        <v>1345</v>
      </c>
      <c r="K1969" t="s">
        <v>4629</v>
      </c>
    </row>
    <row r="1970" spans="1:11" ht="20" customHeight="1">
      <c r="A1970" t="s">
        <v>4628</v>
      </c>
      <c r="B1970" t="s">
        <v>1346</v>
      </c>
      <c r="C1970">
        <v>403.5</v>
      </c>
      <c r="D1970">
        <v>403.7999877929688</v>
      </c>
      <c r="E1970">
        <v>390.5499877929688</v>
      </c>
      <c r="F1970">
        <v>391.8599853515625</v>
      </c>
      <c r="G1970">
        <v>368.9378356933594</v>
      </c>
      <c r="H1970">
        <v>117674500</v>
      </c>
      <c r="I1970" t="s">
        <v>1347</v>
      </c>
      <c r="J1970" t="s">
        <v>1348</v>
      </c>
      <c r="K1970" t="s">
        <v>4629</v>
      </c>
    </row>
    <row r="1971" spans="1:11" ht="20" customHeight="1">
      <c r="A1971" t="s">
        <v>4628</v>
      </c>
      <c r="B1971" t="s">
        <v>1349</v>
      </c>
      <c r="C1971">
        <v>388.6199951171875</v>
      </c>
      <c r="D1971">
        <v>394.1400146484375</v>
      </c>
      <c r="E1971">
        <v>387.1099853515625</v>
      </c>
      <c r="F1971">
        <v>389.4599914550781</v>
      </c>
      <c r="G1971">
        <v>366.67822265625</v>
      </c>
      <c r="H1971">
        <v>98510700</v>
      </c>
      <c r="I1971" t="s">
        <v>1350</v>
      </c>
      <c r="J1971" t="s">
        <v>1351</v>
      </c>
      <c r="K1971" t="s">
        <v>4629</v>
      </c>
    </row>
    <row r="1972" spans="1:11" ht="20" customHeight="1">
      <c r="A1972" t="s">
        <v>4628</v>
      </c>
      <c r="B1972" t="s">
        <v>1352</v>
      </c>
      <c r="C1972">
        <v>393.25</v>
      </c>
      <c r="D1972">
        <v>397.0299987792969</v>
      </c>
      <c r="E1972">
        <v>380.5400085449219</v>
      </c>
      <c r="F1972">
        <v>389.6300048828125</v>
      </c>
      <c r="G1972">
        <v>366.8382568359375</v>
      </c>
      <c r="H1972">
        <v>131432200</v>
      </c>
      <c r="I1972" t="s">
        <v>1353</v>
      </c>
      <c r="J1972" t="s">
        <v>1354</v>
      </c>
      <c r="K1972" t="s">
        <v>4629</v>
      </c>
    </row>
    <row r="1973" spans="1:11" ht="20" customHeight="1">
      <c r="A1973" t="s">
        <v>4628</v>
      </c>
      <c r="B1973" t="s">
        <v>1355</v>
      </c>
      <c r="C1973">
        <v>392.8299865722656</v>
      </c>
      <c r="D1973">
        <v>397.7300109863281</v>
      </c>
      <c r="E1973">
        <v>390.3800048828125</v>
      </c>
      <c r="F1973">
        <v>396.9200134277344</v>
      </c>
      <c r="G1973">
        <v>373.701904296875</v>
      </c>
      <c r="H1973">
        <v>76414900</v>
      </c>
      <c r="I1973" t="s">
        <v>1356</v>
      </c>
      <c r="J1973" t="s">
        <v>1357</v>
      </c>
      <c r="K1973" t="s">
        <v>4629</v>
      </c>
    </row>
    <row r="1974" spans="1:11" ht="20" customHeight="1">
      <c r="A1974" t="s">
        <v>4628</v>
      </c>
      <c r="B1974" t="s">
        <v>1358</v>
      </c>
      <c r="C1974">
        <v>392.5599975585938</v>
      </c>
      <c r="D1974">
        <v>395.1499938964844</v>
      </c>
      <c r="E1974">
        <v>386.9599914550781</v>
      </c>
      <c r="F1974">
        <v>393.8900146484375</v>
      </c>
      <c r="G1974">
        <v>370.84912109375</v>
      </c>
      <c r="H1974">
        <v>91448800</v>
      </c>
      <c r="I1974" t="s">
        <v>1359</v>
      </c>
      <c r="J1974" t="s">
        <v>1360</v>
      </c>
      <c r="K1974" t="s">
        <v>4629</v>
      </c>
    </row>
    <row r="1975" spans="1:11" ht="20" customHeight="1">
      <c r="A1975" t="s">
        <v>4628</v>
      </c>
      <c r="B1975" t="s">
        <v>1361</v>
      </c>
      <c r="C1975">
        <v>392.3099975585938</v>
      </c>
      <c r="D1975">
        <v>399.4500122070312</v>
      </c>
      <c r="E1975">
        <v>391.8900146484375</v>
      </c>
      <c r="F1975">
        <v>397.3699951171875</v>
      </c>
      <c r="G1975">
        <v>374.12548828125</v>
      </c>
      <c r="H1975">
        <v>91472900</v>
      </c>
      <c r="I1975" t="s">
        <v>1362</v>
      </c>
      <c r="J1975" t="s">
        <v>1363</v>
      </c>
      <c r="K1975" t="s">
        <v>4629</v>
      </c>
    </row>
    <row r="1976" spans="1:11" ht="20" customHeight="1">
      <c r="A1976" t="s">
        <v>4628</v>
      </c>
      <c r="B1976" t="s">
        <v>1364</v>
      </c>
      <c r="C1976">
        <v>398.6700134277344</v>
      </c>
      <c r="D1976">
        <v>407.0400085449219</v>
      </c>
      <c r="E1976">
        <v>398.4500122070312</v>
      </c>
      <c r="F1976">
        <v>405.3099975585938</v>
      </c>
      <c r="G1976">
        <v>381.6011047363281</v>
      </c>
      <c r="H1976">
        <v>82168300</v>
      </c>
      <c r="I1976" t="s">
        <v>1365</v>
      </c>
      <c r="J1976" t="s">
        <v>1366</v>
      </c>
      <c r="K1976" t="s">
        <v>4629</v>
      </c>
    </row>
    <row r="1977" spans="1:11" ht="20" customHeight="1">
      <c r="A1977" t="s">
        <v>4628</v>
      </c>
      <c r="B1977" t="s">
        <v>1367</v>
      </c>
      <c r="C1977">
        <v>407.9100036621094</v>
      </c>
      <c r="D1977">
        <v>415.3800048828125</v>
      </c>
      <c r="E1977">
        <v>407.7000122070312</v>
      </c>
      <c r="F1977">
        <v>415.260009765625</v>
      </c>
      <c r="G1977">
        <v>390.9691162109375</v>
      </c>
      <c r="H1977">
        <v>84768700</v>
      </c>
      <c r="I1977" t="s">
        <v>1368</v>
      </c>
      <c r="J1977" t="s">
        <v>1369</v>
      </c>
      <c r="K1977" t="s">
        <v>4629</v>
      </c>
    </row>
    <row r="1978" spans="1:11" ht="20" customHeight="1">
      <c r="A1978" t="s">
        <v>4628</v>
      </c>
      <c r="B1978" t="s">
        <v>1370</v>
      </c>
      <c r="C1978">
        <v>413.5499877929688</v>
      </c>
      <c r="D1978">
        <v>416.4599914550781</v>
      </c>
      <c r="E1978">
        <v>410.0299987792969</v>
      </c>
      <c r="F1978">
        <v>412.9299926757812</v>
      </c>
      <c r="G1978">
        <v>388.7752990722656</v>
      </c>
      <c r="H1978">
        <v>95937000</v>
      </c>
      <c r="I1978" t="s">
        <v>1371</v>
      </c>
      <c r="J1978" t="s">
        <v>1372</v>
      </c>
      <c r="K1978" t="s">
        <v>4629</v>
      </c>
    </row>
    <row r="1979" spans="1:11" ht="20" customHeight="1">
      <c r="A1979" t="s">
        <v>4628</v>
      </c>
      <c r="B1979" t="s">
        <v>1373</v>
      </c>
      <c r="C1979">
        <v>415.1700134277344</v>
      </c>
      <c r="D1979">
        <v>416.239990234375</v>
      </c>
      <c r="E1979">
        <v>406.9299926757812</v>
      </c>
      <c r="F1979">
        <v>409.5899963378906</v>
      </c>
      <c r="G1979">
        <v>385.6306457519531</v>
      </c>
      <c r="H1979">
        <v>86585800</v>
      </c>
      <c r="I1979" t="s">
        <v>1374</v>
      </c>
      <c r="J1979" t="s">
        <v>1375</v>
      </c>
      <c r="K1979" t="s">
        <v>4629</v>
      </c>
    </row>
    <row r="1980" spans="1:11" ht="20" customHeight="1">
      <c r="A1980" t="s">
        <v>4628</v>
      </c>
      <c r="B1980" t="s">
        <v>1376</v>
      </c>
      <c r="C1980">
        <v>409.4200134277344</v>
      </c>
      <c r="D1980">
        <v>417.4400024414062</v>
      </c>
      <c r="E1980">
        <v>407.0400085449219</v>
      </c>
      <c r="F1980">
        <v>417.3900146484375</v>
      </c>
      <c r="G1980">
        <v>392.9743957519531</v>
      </c>
      <c r="H1980">
        <v>79609600</v>
      </c>
      <c r="I1980" t="s">
        <v>1377</v>
      </c>
      <c r="J1980" t="s">
        <v>1378</v>
      </c>
      <c r="K1980" t="s">
        <v>4629</v>
      </c>
    </row>
    <row r="1981" spans="1:11" ht="20" customHeight="1">
      <c r="A1981" t="s">
        <v>4628</v>
      </c>
      <c r="B1981" t="s">
        <v>1379</v>
      </c>
      <c r="C1981">
        <v>412.3999938964844</v>
      </c>
      <c r="D1981">
        <v>414.0400085449219</v>
      </c>
      <c r="E1981">
        <v>409.510009765625</v>
      </c>
      <c r="F1981">
        <v>410.5400085449219</v>
      </c>
      <c r="G1981">
        <v>386.5251159667969</v>
      </c>
      <c r="H1981">
        <v>71874300</v>
      </c>
      <c r="I1981" t="s">
        <v>1380</v>
      </c>
      <c r="J1981" t="s">
        <v>1381</v>
      </c>
      <c r="K1981" t="s">
        <v>4629</v>
      </c>
    </row>
    <row r="1982" spans="1:11" ht="20" customHeight="1">
      <c r="A1982" t="s">
        <v>4628</v>
      </c>
      <c r="B1982" t="s">
        <v>1382</v>
      </c>
      <c r="C1982">
        <v>414.7799987792969</v>
      </c>
      <c r="D1982">
        <v>416.6099853515625</v>
      </c>
      <c r="E1982">
        <v>410.5499877929688</v>
      </c>
      <c r="F1982">
        <v>411.7900085449219</v>
      </c>
      <c r="G1982">
        <v>387.7020263671875</v>
      </c>
      <c r="H1982">
        <v>57508900</v>
      </c>
      <c r="I1982" t="s">
        <v>1383</v>
      </c>
      <c r="J1982" t="s">
        <v>1384</v>
      </c>
      <c r="K1982" t="s">
        <v>4629</v>
      </c>
    </row>
    <row r="1983" spans="1:11" ht="20" customHeight="1">
      <c r="A1983" t="s">
        <v>4628</v>
      </c>
      <c r="B1983" t="s">
        <v>1385</v>
      </c>
      <c r="C1983">
        <v>408.1000061035156</v>
      </c>
      <c r="D1983">
        <v>416.2200012207031</v>
      </c>
      <c r="E1983">
        <v>407.6099853515625</v>
      </c>
      <c r="F1983">
        <v>415.739990234375</v>
      </c>
      <c r="G1983">
        <v>391.4209594726562</v>
      </c>
      <c r="H1983">
        <v>59272400</v>
      </c>
      <c r="I1983" t="s">
        <v>1386</v>
      </c>
      <c r="J1983" t="s">
        <v>1387</v>
      </c>
      <c r="K1983" t="s">
        <v>4629</v>
      </c>
    </row>
    <row r="1984" spans="1:11" ht="20" customHeight="1">
      <c r="A1984" t="s">
        <v>4628</v>
      </c>
      <c r="B1984" t="s">
        <v>1388</v>
      </c>
      <c r="C1984">
        <v>413.9299926757812</v>
      </c>
      <c r="D1984">
        <v>415.8200073242188</v>
      </c>
      <c r="E1984">
        <v>410.3800048828125</v>
      </c>
      <c r="F1984">
        <v>411.2200012207031</v>
      </c>
      <c r="G1984">
        <v>387.1653747558594</v>
      </c>
      <c r="H1984">
        <v>64350000</v>
      </c>
      <c r="I1984" t="s">
        <v>1389</v>
      </c>
      <c r="J1984" t="s">
        <v>1390</v>
      </c>
      <c r="K1984" t="s">
        <v>4629</v>
      </c>
    </row>
    <row r="1985" spans="1:11" ht="20" customHeight="1">
      <c r="A1985" t="s">
        <v>4628</v>
      </c>
      <c r="B1985" t="s">
        <v>1391</v>
      </c>
      <c r="C1985">
        <v>409.3399963378906</v>
      </c>
      <c r="D1985">
        <v>411.739990234375</v>
      </c>
      <c r="E1985">
        <v>401.4400024414062</v>
      </c>
      <c r="F1985">
        <v>401.4400024414062</v>
      </c>
      <c r="G1985">
        <v>377.9573974609375</v>
      </c>
      <c r="H1985">
        <v>86289800</v>
      </c>
      <c r="I1985" t="s">
        <v>1392</v>
      </c>
      <c r="J1985" t="s">
        <v>1393</v>
      </c>
      <c r="K1985" t="s">
        <v>4629</v>
      </c>
    </row>
    <row r="1986" spans="1:11" ht="20" customHeight="1">
      <c r="A1986" t="s">
        <v>4628</v>
      </c>
      <c r="B1986" t="s">
        <v>1394</v>
      </c>
      <c r="C1986">
        <v>394.8800048828125</v>
      </c>
      <c r="D1986">
        <v>395.7799987792969</v>
      </c>
      <c r="E1986">
        <v>389.75</v>
      </c>
      <c r="F1986">
        <v>389.7999877929688</v>
      </c>
      <c r="G1986">
        <v>366.998291015625</v>
      </c>
      <c r="H1986">
        <v>132893900</v>
      </c>
      <c r="I1986" t="s">
        <v>1395</v>
      </c>
      <c r="J1986" t="s">
        <v>1396</v>
      </c>
      <c r="K1986" t="s">
        <v>4629</v>
      </c>
    </row>
    <row r="1987" spans="1:11" ht="20" customHeight="1">
      <c r="A1987" t="s">
        <v>4628</v>
      </c>
      <c r="B1987" t="s">
        <v>1397</v>
      </c>
      <c r="C1987">
        <v>379.8500061035156</v>
      </c>
      <c r="D1987">
        <v>381.8099975585938</v>
      </c>
      <c r="E1987">
        <v>373.2999877929688</v>
      </c>
      <c r="F1987">
        <v>375</v>
      </c>
      <c r="G1987">
        <v>353.0640258789062</v>
      </c>
      <c r="H1987">
        <v>170004900</v>
      </c>
      <c r="I1987" t="s">
        <v>1398</v>
      </c>
      <c r="J1987" t="s">
        <v>1399</v>
      </c>
      <c r="K1987" t="s">
        <v>4629</v>
      </c>
    </row>
    <row r="1988" spans="1:11" ht="20" customHeight="1">
      <c r="A1988" t="s">
        <v>4628</v>
      </c>
      <c r="B1988" t="s">
        <v>1400</v>
      </c>
      <c r="C1988">
        <v>376.8500061035156</v>
      </c>
      <c r="D1988">
        <v>377.9400024414062</v>
      </c>
      <c r="E1988">
        <v>370.5899963378906</v>
      </c>
      <c r="F1988">
        <v>373.8699951171875</v>
      </c>
      <c r="G1988">
        <v>352.0001831054688</v>
      </c>
      <c r="H1988">
        <v>104011800</v>
      </c>
      <c r="I1988" t="s">
        <v>1401</v>
      </c>
      <c r="J1988" t="s">
        <v>1402</v>
      </c>
      <c r="K1988" t="s">
        <v>4629</v>
      </c>
    </row>
    <row r="1989" spans="1:11" ht="20" customHeight="1">
      <c r="A1989" t="s">
        <v>4628</v>
      </c>
      <c r="B1989" t="s">
        <v>1403</v>
      </c>
      <c r="C1989">
        <v>377.3599853515625</v>
      </c>
      <c r="D1989">
        <v>383.8999938964844</v>
      </c>
      <c r="E1989">
        <v>372.1199951171875</v>
      </c>
      <c r="F1989">
        <v>379.2000122070312</v>
      </c>
      <c r="G1989">
        <v>357.0184936523438</v>
      </c>
      <c r="H1989">
        <v>125666800</v>
      </c>
      <c r="I1989" t="s">
        <v>1404</v>
      </c>
      <c r="J1989" t="s">
        <v>1405</v>
      </c>
      <c r="K1989" t="s">
        <v>4629</v>
      </c>
    </row>
    <row r="1990" spans="1:11" ht="20" customHeight="1">
      <c r="A1990" t="s">
        <v>4628</v>
      </c>
      <c r="B1990" t="s">
        <v>1406</v>
      </c>
      <c r="C1990">
        <v>370.510009765625</v>
      </c>
      <c r="D1990">
        <v>370.9400024414062</v>
      </c>
      <c r="E1990">
        <v>364.0799865722656</v>
      </c>
      <c r="F1990">
        <v>366.6499938964844</v>
      </c>
      <c r="G1990">
        <v>345.2026062011719</v>
      </c>
      <c r="H1990">
        <v>134473300</v>
      </c>
      <c r="I1990" t="s">
        <v>1407</v>
      </c>
      <c r="J1990" t="s">
        <v>1408</v>
      </c>
      <c r="K1990" t="s">
        <v>4629</v>
      </c>
    </row>
    <row r="1991" spans="1:11" ht="20" customHeight="1">
      <c r="A1991" t="s">
        <v>4628</v>
      </c>
      <c r="B1991" t="s">
        <v>1409</v>
      </c>
      <c r="C1991">
        <v>365.510009765625</v>
      </c>
      <c r="D1991">
        <v>369.3800048828125</v>
      </c>
      <c r="E1991">
        <v>362.1700134277344</v>
      </c>
      <c r="F1991">
        <v>365.8599853515625</v>
      </c>
      <c r="G1991">
        <v>345.9466552734375</v>
      </c>
      <c r="H1991">
        <v>111113900</v>
      </c>
      <c r="I1991" t="s">
        <v>1410</v>
      </c>
      <c r="J1991" t="s">
        <v>1411</v>
      </c>
      <c r="K1991" t="s">
        <v>4629</v>
      </c>
    </row>
    <row r="1992" spans="1:11" ht="20" customHeight="1">
      <c r="A1992" t="s">
        <v>4628</v>
      </c>
      <c r="B1992" t="s">
        <v>1412</v>
      </c>
      <c r="C1992">
        <v>371.8900146484375</v>
      </c>
      <c r="D1992">
        <v>376.5299987792969</v>
      </c>
      <c r="E1992">
        <v>371.8099975585938</v>
      </c>
      <c r="F1992">
        <v>375.0700073242188</v>
      </c>
      <c r="G1992">
        <v>354.6553955078125</v>
      </c>
      <c r="H1992">
        <v>76811900</v>
      </c>
      <c r="I1992" t="s">
        <v>1413</v>
      </c>
      <c r="J1992" t="s">
        <v>1414</v>
      </c>
      <c r="K1992" t="s">
        <v>4629</v>
      </c>
    </row>
    <row r="1993" spans="1:11" ht="20" customHeight="1">
      <c r="A1993" t="s">
        <v>4628</v>
      </c>
      <c r="B1993" t="s">
        <v>1415</v>
      </c>
      <c r="C1993">
        <v>370.6199951171875</v>
      </c>
      <c r="D1993">
        <v>378.7200012207031</v>
      </c>
      <c r="E1993">
        <v>370.1799926757812</v>
      </c>
      <c r="F1993">
        <v>374.3900146484375</v>
      </c>
      <c r="G1993">
        <v>354.0123901367188</v>
      </c>
      <c r="H1993">
        <v>90059400</v>
      </c>
      <c r="I1993" t="s">
        <v>1416</v>
      </c>
      <c r="J1993" t="s">
        <v>1417</v>
      </c>
      <c r="K1993" t="s">
        <v>4629</v>
      </c>
    </row>
    <row r="1994" spans="1:11" ht="20" customHeight="1">
      <c r="A1994" t="s">
        <v>4628</v>
      </c>
      <c r="B1994" t="s">
        <v>1418</v>
      </c>
      <c r="C1994">
        <v>376.6400146484375</v>
      </c>
      <c r="D1994">
        <v>378.8299865722656</v>
      </c>
      <c r="E1994">
        <v>372.8900146484375</v>
      </c>
      <c r="F1994">
        <v>378.0599975585938</v>
      </c>
      <c r="G1994">
        <v>357.482666015625</v>
      </c>
      <c r="H1994">
        <v>79292100</v>
      </c>
      <c r="I1994" t="s">
        <v>1419</v>
      </c>
      <c r="J1994" t="s">
        <v>1420</v>
      </c>
      <c r="K1994" t="s">
        <v>4629</v>
      </c>
    </row>
    <row r="1995" spans="1:11" ht="20" customHeight="1">
      <c r="A1995" t="s">
        <v>4628</v>
      </c>
      <c r="B1995" t="s">
        <v>1421</v>
      </c>
      <c r="C1995">
        <v>381.3999938964844</v>
      </c>
      <c r="D1995">
        <v>390.0899963378906</v>
      </c>
      <c r="E1995">
        <v>381.3699951171875</v>
      </c>
      <c r="F1995">
        <v>390.0799865722656</v>
      </c>
      <c r="G1995">
        <v>368.8483581542969</v>
      </c>
      <c r="H1995">
        <v>98050300</v>
      </c>
      <c r="I1995" t="s">
        <v>1422</v>
      </c>
      <c r="J1995" t="s">
        <v>1423</v>
      </c>
      <c r="K1995" t="s">
        <v>4629</v>
      </c>
    </row>
    <row r="1996" spans="1:11" ht="20" customHeight="1">
      <c r="A1996" t="s">
        <v>4628</v>
      </c>
      <c r="B1996" t="s">
        <v>1424</v>
      </c>
      <c r="C1996">
        <v>391.0499877929688</v>
      </c>
      <c r="D1996">
        <v>391.3599853515625</v>
      </c>
      <c r="E1996">
        <v>387.4400024414062</v>
      </c>
      <c r="F1996">
        <v>388.5899963378906</v>
      </c>
      <c r="G1996">
        <v>367.4395751953125</v>
      </c>
      <c r="H1996">
        <v>66009600</v>
      </c>
      <c r="I1996" t="s">
        <v>1425</v>
      </c>
      <c r="J1996" t="s">
        <v>1426</v>
      </c>
      <c r="K1996" t="s">
        <v>4629</v>
      </c>
    </row>
    <row r="1997" spans="1:11" ht="20" customHeight="1">
      <c r="A1997" t="s">
        <v>4628</v>
      </c>
      <c r="B1997" t="s">
        <v>1427</v>
      </c>
      <c r="C1997">
        <v>390.2300109863281</v>
      </c>
      <c r="D1997">
        <v>393.1600036621094</v>
      </c>
      <c r="E1997">
        <v>380.5299987792969</v>
      </c>
      <c r="F1997">
        <v>380.6499938964844</v>
      </c>
      <c r="G1997">
        <v>359.9317016601562</v>
      </c>
      <c r="H1997">
        <v>86548900</v>
      </c>
      <c r="I1997" t="s">
        <v>1428</v>
      </c>
      <c r="J1997" t="s">
        <v>1429</v>
      </c>
      <c r="K1997" t="s">
        <v>4629</v>
      </c>
    </row>
    <row r="1998" spans="1:11" ht="20" customHeight="1">
      <c r="A1998" t="s">
        <v>4628</v>
      </c>
      <c r="B1998" t="s">
        <v>1430</v>
      </c>
      <c r="C1998">
        <v>381.2300109863281</v>
      </c>
      <c r="D1998">
        <v>382.2699890136719</v>
      </c>
      <c r="E1998">
        <v>378.4200134277344</v>
      </c>
      <c r="F1998">
        <v>380.3399963378906</v>
      </c>
      <c r="G1998">
        <v>359.6385498046875</v>
      </c>
      <c r="H1998">
        <v>65676000</v>
      </c>
      <c r="I1998" t="s">
        <v>1431</v>
      </c>
      <c r="J1998" t="s">
        <v>1432</v>
      </c>
      <c r="K1998" t="s">
        <v>4629</v>
      </c>
    </row>
    <row r="1999" spans="1:11" ht="20" customHeight="1">
      <c r="A1999" t="s">
        <v>4628</v>
      </c>
      <c r="B1999" t="s">
        <v>1433</v>
      </c>
      <c r="C1999">
        <v>376.239990234375</v>
      </c>
      <c r="D1999">
        <v>380.6600036621094</v>
      </c>
      <c r="E1999">
        <v>372.5599975585938</v>
      </c>
      <c r="F1999">
        <v>377.25</v>
      </c>
      <c r="G1999">
        <v>356.7167053222656</v>
      </c>
      <c r="H1999">
        <v>112508300</v>
      </c>
      <c r="I1999" t="s">
        <v>1434</v>
      </c>
      <c r="J1999" t="s">
        <v>1435</v>
      </c>
      <c r="K1999" t="s">
        <v>4629</v>
      </c>
    </row>
    <row r="2000" spans="1:11" ht="20" customHeight="1">
      <c r="A2000" t="s">
        <v>4628</v>
      </c>
      <c r="B2000" t="s">
        <v>1436</v>
      </c>
      <c r="C2000">
        <v>376.5599975585938</v>
      </c>
      <c r="D2000">
        <v>381.7000122070312</v>
      </c>
      <c r="E2000">
        <v>373.7999877929688</v>
      </c>
      <c r="F2000">
        <v>381.239990234375</v>
      </c>
      <c r="G2000">
        <v>360.4895935058594</v>
      </c>
      <c r="H2000">
        <v>74839700</v>
      </c>
      <c r="I2000" t="s">
        <v>1437</v>
      </c>
      <c r="J2000" t="s">
        <v>1438</v>
      </c>
      <c r="K2000" t="s">
        <v>4629</v>
      </c>
    </row>
    <row r="2001" spans="1:11" ht="20" customHeight="1">
      <c r="A2001" t="s">
        <v>4628</v>
      </c>
      <c r="B2001" t="s">
        <v>1439</v>
      </c>
      <c r="C2001">
        <v>375.8800048828125</v>
      </c>
      <c r="D2001">
        <v>381.9800109863281</v>
      </c>
      <c r="E2001">
        <v>372.8999938964844</v>
      </c>
      <c r="F2001">
        <v>381.9599914550781</v>
      </c>
      <c r="G2001">
        <v>361.1703491210938</v>
      </c>
      <c r="H2001">
        <v>81438000</v>
      </c>
      <c r="I2001" t="s">
        <v>1440</v>
      </c>
      <c r="J2001" t="s">
        <v>1441</v>
      </c>
      <c r="K2001" t="s">
        <v>4629</v>
      </c>
    </row>
    <row r="2002" spans="1:11" ht="20" customHeight="1">
      <c r="A2002" t="s">
        <v>4628</v>
      </c>
      <c r="B2002" t="s">
        <v>1442</v>
      </c>
      <c r="C2002">
        <v>382.1099853515625</v>
      </c>
      <c r="D2002">
        <v>385.8699951171875</v>
      </c>
      <c r="E2002">
        <v>379.6000061035156</v>
      </c>
      <c r="F2002">
        <v>383.25</v>
      </c>
      <c r="G2002">
        <v>362.39013671875</v>
      </c>
      <c r="H2002">
        <v>70426200</v>
      </c>
      <c r="I2002" t="s">
        <v>1443</v>
      </c>
      <c r="J2002" t="s">
        <v>1444</v>
      </c>
      <c r="K2002" t="s">
        <v>4629</v>
      </c>
    </row>
    <row r="2003" spans="1:11" ht="20" customHeight="1">
      <c r="A2003" t="s">
        <v>4628</v>
      </c>
      <c r="B2003" t="s">
        <v>1445</v>
      </c>
      <c r="C2003">
        <v>385.1199951171875</v>
      </c>
      <c r="D2003">
        <v>389.8299865722656</v>
      </c>
      <c r="E2003">
        <v>383.2699890136719</v>
      </c>
      <c r="F2003">
        <v>388.989990234375</v>
      </c>
      <c r="G2003">
        <v>367.8177795410156</v>
      </c>
      <c r="H2003">
        <v>64525900</v>
      </c>
      <c r="I2003" t="s">
        <v>1446</v>
      </c>
      <c r="J2003" t="s">
        <v>1447</v>
      </c>
      <c r="K2003" t="s">
        <v>4629</v>
      </c>
    </row>
    <row r="2004" spans="1:11" ht="20" customHeight="1">
      <c r="A2004" t="s">
        <v>4628</v>
      </c>
      <c r="B2004" t="s">
        <v>1448</v>
      </c>
      <c r="C2004">
        <v>387.2699890136719</v>
      </c>
      <c r="D2004">
        <v>390.6400146484375</v>
      </c>
      <c r="E2004">
        <v>385.6600036621094</v>
      </c>
      <c r="F2004">
        <v>388.6700134277344</v>
      </c>
      <c r="G2004">
        <v>367.5151672363281</v>
      </c>
      <c r="H2004">
        <v>72397800</v>
      </c>
      <c r="I2004" t="s">
        <v>1449</v>
      </c>
      <c r="J2004" t="s">
        <v>1450</v>
      </c>
      <c r="K2004" t="s">
        <v>4629</v>
      </c>
    </row>
    <row r="2005" spans="1:11" ht="20" customHeight="1">
      <c r="A2005" t="s">
        <v>4628</v>
      </c>
      <c r="B2005" t="s">
        <v>1451</v>
      </c>
      <c r="C2005">
        <v>385.8500061035156</v>
      </c>
      <c r="D2005">
        <v>386.8699951171875</v>
      </c>
      <c r="E2005">
        <v>383.5</v>
      </c>
      <c r="F2005">
        <v>384.2300109863281</v>
      </c>
      <c r="G2005">
        <v>363.3168640136719</v>
      </c>
      <c r="H2005">
        <v>58366900</v>
      </c>
      <c r="I2005" t="s">
        <v>1452</v>
      </c>
      <c r="J2005" t="s">
        <v>1453</v>
      </c>
      <c r="K2005" t="s">
        <v>4629</v>
      </c>
    </row>
    <row r="2006" spans="1:11" ht="20" customHeight="1">
      <c r="A2006" t="s">
        <v>4628</v>
      </c>
      <c r="B2006" t="s">
        <v>1454</v>
      </c>
      <c r="C2006">
        <v>383.6499938964844</v>
      </c>
      <c r="D2006">
        <v>386.1600036621094</v>
      </c>
      <c r="E2006">
        <v>378.989990234375</v>
      </c>
      <c r="F2006">
        <v>380.8299865722656</v>
      </c>
      <c r="G2006">
        <v>360.1018981933594</v>
      </c>
      <c r="H2006">
        <v>62219200</v>
      </c>
      <c r="I2006" t="s">
        <v>1455</v>
      </c>
      <c r="J2006" t="s">
        <v>1456</v>
      </c>
      <c r="K2006" t="s">
        <v>4629</v>
      </c>
    </row>
    <row r="2007" spans="1:11" ht="20" customHeight="1">
      <c r="A2007" t="s">
        <v>4628</v>
      </c>
      <c r="B2007" t="s">
        <v>1457</v>
      </c>
      <c r="C2007">
        <v>375.1000061035156</v>
      </c>
      <c r="D2007">
        <v>381.9200134277344</v>
      </c>
      <c r="E2007">
        <v>374.6600036621094</v>
      </c>
      <c r="F2007">
        <v>378.8299865722656</v>
      </c>
      <c r="G2007">
        <v>358.2107238769531</v>
      </c>
      <c r="H2007">
        <v>84224600</v>
      </c>
      <c r="I2007" t="s">
        <v>1458</v>
      </c>
      <c r="J2007" t="s">
        <v>1459</v>
      </c>
      <c r="K2007" t="s">
        <v>4629</v>
      </c>
    </row>
    <row r="2008" spans="1:11" ht="20" customHeight="1">
      <c r="A2008" t="s">
        <v>4628</v>
      </c>
      <c r="B2008" t="s">
        <v>1460</v>
      </c>
      <c r="C2008">
        <v>373.6099853515625</v>
      </c>
      <c r="D2008">
        <v>379.0499877929688</v>
      </c>
      <c r="E2008">
        <v>371.0400085449219</v>
      </c>
      <c r="F2008">
        <v>377.9100036621094</v>
      </c>
      <c r="G2008">
        <v>357.3407592773438</v>
      </c>
      <c r="H2008">
        <v>89704800</v>
      </c>
      <c r="I2008" t="s">
        <v>1461</v>
      </c>
      <c r="J2008" t="s">
        <v>1462</v>
      </c>
      <c r="K2008" t="s">
        <v>4629</v>
      </c>
    </row>
    <row r="2009" spans="1:11" ht="20" customHeight="1">
      <c r="A2009" t="s">
        <v>4628</v>
      </c>
      <c r="B2009" t="s">
        <v>1463</v>
      </c>
      <c r="C2009">
        <v>382.5499877929688</v>
      </c>
      <c r="D2009">
        <v>385.25</v>
      </c>
      <c r="E2009">
        <v>380.5400085449219</v>
      </c>
      <c r="F2009">
        <v>385.1300048828125</v>
      </c>
      <c r="G2009">
        <v>364.1678466796875</v>
      </c>
      <c r="H2009">
        <v>79060400</v>
      </c>
      <c r="I2009" t="s">
        <v>1464</v>
      </c>
      <c r="J2009" t="s">
        <v>1465</v>
      </c>
      <c r="K2009" t="s">
        <v>4629</v>
      </c>
    </row>
    <row r="2010" spans="1:11" ht="20" customHeight="1">
      <c r="A2010" t="s">
        <v>4628</v>
      </c>
      <c r="B2010" t="s">
        <v>1466</v>
      </c>
      <c r="C2010">
        <v>388.3800048828125</v>
      </c>
      <c r="D2010">
        <v>389.0899963378906</v>
      </c>
      <c r="E2010">
        <v>380.6600036621094</v>
      </c>
      <c r="F2010">
        <v>381.9500122070312</v>
      </c>
      <c r="G2010">
        <v>361.1609497070312</v>
      </c>
      <c r="H2010">
        <v>63203600</v>
      </c>
      <c r="I2010" t="s">
        <v>1467</v>
      </c>
      <c r="J2010" t="s">
        <v>1468</v>
      </c>
      <c r="K2010" t="s">
        <v>4629</v>
      </c>
    </row>
    <row r="2011" spans="1:11" ht="20" customHeight="1">
      <c r="A2011" t="s">
        <v>4628</v>
      </c>
      <c r="B2011" t="s">
        <v>1469</v>
      </c>
      <c r="C2011">
        <v>386.0799865722656</v>
      </c>
      <c r="D2011">
        <v>392.8699951171875</v>
      </c>
      <c r="E2011">
        <v>385.3900146484375</v>
      </c>
      <c r="F2011">
        <v>392.2699890136719</v>
      </c>
      <c r="G2011">
        <v>370.919189453125</v>
      </c>
      <c r="H2011">
        <v>78506000</v>
      </c>
      <c r="I2011" t="s">
        <v>1470</v>
      </c>
      <c r="J2011" t="s">
        <v>1471</v>
      </c>
      <c r="K2011" t="s">
        <v>4629</v>
      </c>
    </row>
    <row r="2012" spans="1:11" ht="20" customHeight="1">
      <c r="A2012" t="s">
        <v>4628</v>
      </c>
      <c r="B2012" t="s">
        <v>1472</v>
      </c>
      <c r="C2012">
        <v>392.4700012207031</v>
      </c>
      <c r="D2012">
        <v>396.260009765625</v>
      </c>
      <c r="E2012">
        <v>391.0299987792969</v>
      </c>
      <c r="F2012">
        <v>394.7699890136719</v>
      </c>
      <c r="G2012">
        <v>373.2831726074219</v>
      </c>
      <c r="H2012">
        <v>71843800</v>
      </c>
      <c r="I2012" t="s">
        <v>1473</v>
      </c>
      <c r="J2012" t="s">
        <v>1474</v>
      </c>
      <c r="K2012" t="s">
        <v>4629</v>
      </c>
    </row>
    <row r="2013" spans="1:11" ht="20" customHeight="1">
      <c r="A2013" t="s">
        <v>4628</v>
      </c>
      <c r="B2013" t="s">
        <v>1475</v>
      </c>
      <c r="C2013">
        <v>394.1600036621094</v>
      </c>
      <c r="D2013">
        <v>398.8399963378906</v>
      </c>
      <c r="E2013">
        <v>391.6300048828125</v>
      </c>
      <c r="F2013">
        <v>398.7900085449219</v>
      </c>
      <c r="G2013">
        <v>377.0843811035156</v>
      </c>
      <c r="H2013">
        <v>64903900</v>
      </c>
      <c r="I2013" t="s">
        <v>1476</v>
      </c>
      <c r="J2013" t="s">
        <v>1477</v>
      </c>
      <c r="K2013" t="s">
        <v>4629</v>
      </c>
    </row>
    <row r="2014" spans="1:11" ht="20" customHeight="1">
      <c r="A2014" t="s">
        <v>4628</v>
      </c>
      <c r="B2014" t="s">
        <v>1478</v>
      </c>
      <c r="C2014">
        <v>398.9200134277344</v>
      </c>
      <c r="D2014">
        <v>400.1799926757812</v>
      </c>
      <c r="E2014">
        <v>392.75</v>
      </c>
      <c r="F2014">
        <v>395.0899963378906</v>
      </c>
      <c r="G2014">
        <v>373.5857543945312</v>
      </c>
      <c r="H2014">
        <v>72197300</v>
      </c>
      <c r="I2014" t="s">
        <v>1479</v>
      </c>
      <c r="J2014" t="s">
        <v>1480</v>
      </c>
      <c r="K2014" t="s">
        <v>4629</v>
      </c>
    </row>
    <row r="2015" spans="1:11" ht="20" customHeight="1">
      <c r="A2015" t="s">
        <v>4628</v>
      </c>
      <c r="B2015" t="s">
        <v>1481</v>
      </c>
      <c r="C2015">
        <v>395.75</v>
      </c>
      <c r="D2015">
        <v>396.4700012207031</v>
      </c>
      <c r="E2015">
        <v>393.2099914550781</v>
      </c>
      <c r="F2015">
        <v>395.5700073242188</v>
      </c>
      <c r="G2015">
        <v>374.0396118164062</v>
      </c>
      <c r="H2015">
        <v>53631500</v>
      </c>
      <c r="I2015" t="s">
        <v>1482</v>
      </c>
      <c r="J2015" t="s">
        <v>1483</v>
      </c>
      <c r="K2015" t="s">
        <v>4629</v>
      </c>
    </row>
    <row r="2016" spans="1:11" ht="20" customHeight="1">
      <c r="A2016" t="s">
        <v>4628</v>
      </c>
      <c r="B2016" t="s">
        <v>1484</v>
      </c>
      <c r="C2016">
        <v>393.8399963378906</v>
      </c>
      <c r="D2016">
        <v>394.0599975585938</v>
      </c>
      <c r="E2016">
        <v>389.9500122070312</v>
      </c>
      <c r="F2016">
        <v>390.8900146484375</v>
      </c>
      <c r="G2016">
        <v>369.6143493652344</v>
      </c>
      <c r="H2016">
        <v>52946400</v>
      </c>
      <c r="I2016" t="s">
        <v>1485</v>
      </c>
      <c r="J2016" t="s">
        <v>1486</v>
      </c>
      <c r="K2016" t="s">
        <v>4629</v>
      </c>
    </row>
    <row r="2017" spans="1:11" ht="20" customHeight="1">
      <c r="A2017" t="s">
        <v>4628</v>
      </c>
      <c r="B2017" t="s">
        <v>1487</v>
      </c>
      <c r="C2017">
        <v>394.3599853515625</v>
      </c>
      <c r="D2017">
        <v>402.8800048828125</v>
      </c>
      <c r="E2017">
        <v>394.0499877929688</v>
      </c>
      <c r="F2017">
        <v>401.0400085449219</v>
      </c>
      <c r="G2017">
        <v>379.2118835449219</v>
      </c>
      <c r="H2017">
        <v>82342100</v>
      </c>
      <c r="I2017" t="s">
        <v>1488</v>
      </c>
      <c r="J2017" t="s">
        <v>1489</v>
      </c>
      <c r="K2017" t="s">
        <v>4629</v>
      </c>
    </row>
    <row r="2018" spans="1:11" ht="20" customHeight="1">
      <c r="A2018" t="s">
        <v>4628</v>
      </c>
      <c r="B2018" t="s">
        <v>1490</v>
      </c>
      <c r="C2018">
        <v>401.8900146484375</v>
      </c>
      <c r="D2018">
        <v>406.7999877929688</v>
      </c>
      <c r="E2018">
        <v>398.1499938964844</v>
      </c>
      <c r="F2018">
        <v>406.0700073242188</v>
      </c>
      <c r="G2018">
        <v>383.9681091308594</v>
      </c>
      <c r="H2018">
        <v>73966600</v>
      </c>
      <c r="I2018" t="s">
        <v>1491</v>
      </c>
      <c r="J2018" t="s">
        <v>1492</v>
      </c>
      <c r="K2018" t="s">
        <v>4629</v>
      </c>
    </row>
    <row r="2019" spans="1:11" ht="20" customHeight="1">
      <c r="A2019" t="s">
        <v>4628</v>
      </c>
      <c r="B2019" t="s">
        <v>1493</v>
      </c>
      <c r="C2019">
        <v>407.5799865722656</v>
      </c>
      <c r="D2019">
        <v>413.0299987792969</v>
      </c>
      <c r="E2019">
        <v>406.7699890136719</v>
      </c>
      <c r="F2019">
        <v>411.989990234375</v>
      </c>
      <c r="G2019">
        <v>389.5658874511719</v>
      </c>
      <c r="H2019">
        <v>87003700</v>
      </c>
      <c r="I2019" t="s">
        <v>1494</v>
      </c>
      <c r="J2019" t="s">
        <v>1495</v>
      </c>
      <c r="K2019" t="s">
        <v>4629</v>
      </c>
    </row>
    <row r="2020" spans="1:11" ht="20" customHeight="1">
      <c r="A2020" t="s">
        <v>4628</v>
      </c>
      <c r="B2020" t="s">
        <v>1496</v>
      </c>
      <c r="C2020">
        <v>409.1499938964844</v>
      </c>
      <c r="D2020">
        <v>413.4100036621094</v>
      </c>
      <c r="E2020">
        <v>408.3999938964844</v>
      </c>
      <c r="F2020">
        <v>410.7699890136719</v>
      </c>
      <c r="G2020">
        <v>388.4122924804688</v>
      </c>
      <c r="H2020">
        <v>69997500</v>
      </c>
      <c r="I2020" t="s">
        <v>1497</v>
      </c>
      <c r="J2020" t="s">
        <v>1498</v>
      </c>
      <c r="K2020" t="s">
        <v>4629</v>
      </c>
    </row>
    <row r="2021" spans="1:11" ht="20" customHeight="1">
      <c r="A2021" t="s">
        <v>4628</v>
      </c>
      <c r="B2021" t="s">
        <v>1499</v>
      </c>
      <c r="C2021">
        <v>409.1199951171875</v>
      </c>
      <c r="D2021">
        <v>413</v>
      </c>
      <c r="E2021">
        <v>406.8200073242188</v>
      </c>
      <c r="F2021">
        <v>408.0599975585938</v>
      </c>
      <c r="G2021">
        <v>385.8498229980469</v>
      </c>
      <c r="H2021">
        <v>63435400</v>
      </c>
      <c r="I2021" t="s">
        <v>1500</v>
      </c>
      <c r="J2021" t="s">
        <v>1501</v>
      </c>
      <c r="K2021" t="s">
        <v>4629</v>
      </c>
    </row>
    <row r="2022" spans="1:11" ht="20" customHeight="1">
      <c r="A2022" t="s">
        <v>4628</v>
      </c>
      <c r="B2022" t="s">
        <v>1502</v>
      </c>
      <c r="C2022">
        <v>410.2999877929688</v>
      </c>
      <c r="D2022">
        <v>415.6799926757812</v>
      </c>
      <c r="E2022">
        <v>410</v>
      </c>
      <c r="F2022">
        <v>414.4500122070312</v>
      </c>
      <c r="G2022">
        <v>391.8919982910156</v>
      </c>
      <c r="H2022">
        <v>67820600</v>
      </c>
      <c r="I2022" t="s">
        <v>1503</v>
      </c>
      <c r="J2022" t="s">
        <v>1504</v>
      </c>
      <c r="K2022" t="s">
        <v>4629</v>
      </c>
    </row>
    <row r="2023" spans="1:11" ht="20" customHeight="1">
      <c r="A2023" t="s">
        <v>4628</v>
      </c>
      <c r="B2023" t="s">
        <v>1505</v>
      </c>
      <c r="C2023">
        <v>414.3699951171875</v>
      </c>
      <c r="D2023">
        <v>415.0899963378906</v>
      </c>
      <c r="E2023">
        <v>412.4400024414062</v>
      </c>
      <c r="F2023">
        <v>414.1700134277344</v>
      </c>
      <c r="G2023">
        <v>391.6273193359375</v>
      </c>
      <c r="H2023">
        <v>45656600</v>
      </c>
      <c r="I2023" t="s">
        <v>1506</v>
      </c>
      <c r="J2023" t="s">
        <v>1507</v>
      </c>
      <c r="K2023" t="s">
        <v>4629</v>
      </c>
    </row>
    <row r="2024" spans="1:11" ht="20" customHeight="1">
      <c r="A2024" t="s">
        <v>4628</v>
      </c>
      <c r="B2024" t="s">
        <v>1508</v>
      </c>
      <c r="C2024">
        <v>409.6600036621094</v>
      </c>
      <c r="D2024">
        <v>414.1499938964844</v>
      </c>
      <c r="E2024">
        <v>409.6000061035156</v>
      </c>
      <c r="F2024">
        <v>413.4700012207031</v>
      </c>
      <c r="G2024">
        <v>390.96533203125</v>
      </c>
      <c r="H2024">
        <v>56814900</v>
      </c>
      <c r="I2024" t="s">
        <v>1509</v>
      </c>
      <c r="J2024" t="s">
        <v>1510</v>
      </c>
      <c r="K2024" t="s">
        <v>4629</v>
      </c>
    </row>
    <row r="2025" spans="1:11" ht="20" customHeight="1">
      <c r="A2025" t="s">
        <v>4628</v>
      </c>
      <c r="B2025" t="s">
        <v>1511</v>
      </c>
      <c r="C2025">
        <v>415.25</v>
      </c>
      <c r="D2025">
        <v>417.6199951171875</v>
      </c>
      <c r="E2025">
        <v>411.8299865722656</v>
      </c>
      <c r="F2025">
        <v>412.989990234375</v>
      </c>
      <c r="G2025">
        <v>390.5114440917969</v>
      </c>
      <c r="H2025">
        <v>53886100</v>
      </c>
      <c r="I2025" t="s">
        <v>1512</v>
      </c>
      <c r="J2025" t="s">
        <v>1513</v>
      </c>
      <c r="K2025" t="s">
        <v>4629</v>
      </c>
    </row>
    <row r="2026" spans="1:11" ht="20" customHeight="1">
      <c r="A2026" t="s">
        <v>4628</v>
      </c>
      <c r="B2026" t="s">
        <v>1514</v>
      </c>
      <c r="C2026">
        <v>412.2200012207031</v>
      </c>
      <c r="D2026">
        <v>412.75</v>
      </c>
      <c r="E2026">
        <v>410.2200012207031</v>
      </c>
      <c r="F2026">
        <v>411.3500061035156</v>
      </c>
      <c r="G2026">
        <v>388.960693359375</v>
      </c>
      <c r="H2026">
        <v>44931800</v>
      </c>
      <c r="I2026" t="s">
        <v>1515</v>
      </c>
      <c r="J2026" t="s">
        <v>1516</v>
      </c>
      <c r="K2026" t="s">
        <v>4629</v>
      </c>
    </row>
    <row r="2027" spans="1:11" ht="20" customHeight="1">
      <c r="A2027" t="s">
        <v>4628</v>
      </c>
      <c r="B2027" t="s">
        <v>1517</v>
      </c>
      <c r="C2027">
        <v>418.7799987792969</v>
      </c>
      <c r="D2027">
        <v>420.1400146484375</v>
      </c>
      <c r="E2027">
        <v>416.7200012207031</v>
      </c>
      <c r="F2027">
        <v>419.989990234375</v>
      </c>
      <c r="G2027">
        <v>397.1304931640625</v>
      </c>
      <c r="H2027">
        <v>68665700</v>
      </c>
      <c r="I2027" t="s">
        <v>1518</v>
      </c>
      <c r="J2027" t="s">
        <v>1519</v>
      </c>
      <c r="K2027" t="s">
        <v>4629</v>
      </c>
    </row>
    <row r="2028" spans="1:11" ht="20" customHeight="1">
      <c r="A2028" t="s">
        <v>4628</v>
      </c>
      <c r="B2028" t="s">
        <v>1520</v>
      </c>
      <c r="C2028">
        <v>422.989990234375</v>
      </c>
      <c r="D2028">
        <v>424.9500122070312</v>
      </c>
      <c r="E2028">
        <v>419.2099914550781</v>
      </c>
      <c r="F2028">
        <v>419.989990234375</v>
      </c>
      <c r="G2028">
        <v>397.1304931640625</v>
      </c>
      <c r="H2028">
        <v>59489700</v>
      </c>
      <c r="I2028" t="s">
        <v>1521</v>
      </c>
      <c r="J2028" t="s">
        <v>1522</v>
      </c>
      <c r="K2028" t="s">
        <v>4629</v>
      </c>
    </row>
    <row r="2029" spans="1:11" ht="20" customHeight="1">
      <c r="A2029" t="s">
        <v>4628</v>
      </c>
      <c r="B2029" t="s">
        <v>1523</v>
      </c>
      <c r="C2029">
        <v>422.0299987792969</v>
      </c>
      <c r="D2029">
        <v>427.2099914550781</v>
      </c>
      <c r="E2029">
        <v>421.0299987792969</v>
      </c>
      <c r="F2029">
        <v>427.1000061035156</v>
      </c>
      <c r="G2029">
        <v>403.853515625</v>
      </c>
      <c r="H2029">
        <v>61694500</v>
      </c>
      <c r="I2029" t="s">
        <v>1524</v>
      </c>
      <c r="J2029" t="s">
        <v>1525</v>
      </c>
      <c r="K2029" t="s">
        <v>4629</v>
      </c>
    </row>
    <row r="2030" spans="1:11" ht="20" customHeight="1">
      <c r="A2030" t="s">
        <v>4628</v>
      </c>
      <c r="B2030" t="s">
        <v>1526</v>
      </c>
      <c r="C2030">
        <v>424.7699890136719</v>
      </c>
      <c r="D2030">
        <v>429.4100036621094</v>
      </c>
      <c r="E2030">
        <v>424.7099914550781</v>
      </c>
      <c r="F2030">
        <v>428.8599853515625</v>
      </c>
      <c r="G2030">
        <v>405.5176391601562</v>
      </c>
      <c r="H2030">
        <v>54048300</v>
      </c>
      <c r="I2030" t="s">
        <v>1527</v>
      </c>
      <c r="J2030" t="s">
        <v>1528</v>
      </c>
      <c r="K2030" t="s">
        <v>4629</v>
      </c>
    </row>
    <row r="2031" spans="1:11" ht="20" customHeight="1">
      <c r="A2031" t="s">
        <v>4628</v>
      </c>
      <c r="B2031" t="s">
        <v>1529</v>
      </c>
      <c r="C2031">
        <v>427.7300109863281</v>
      </c>
      <c r="D2031">
        <v>431.7300109863281</v>
      </c>
      <c r="E2031">
        <v>426.8800048828125</v>
      </c>
      <c r="F2031">
        <v>429.7000122070312</v>
      </c>
      <c r="G2031">
        <v>406.3119506835938</v>
      </c>
      <c r="H2031">
        <v>59289000</v>
      </c>
      <c r="I2031" t="s">
        <v>1530</v>
      </c>
      <c r="J2031" t="s">
        <v>1531</v>
      </c>
      <c r="K2031" t="s">
        <v>4629</v>
      </c>
    </row>
    <row r="2032" spans="1:11" ht="20" customHeight="1">
      <c r="A2032" t="s">
        <v>4628</v>
      </c>
      <c r="B2032" t="s">
        <v>1532</v>
      </c>
      <c r="C2032">
        <v>425.9100036621094</v>
      </c>
      <c r="D2032">
        <v>429.5</v>
      </c>
      <c r="E2032">
        <v>424.5400085449219</v>
      </c>
      <c r="F2032">
        <v>426.6499938964844</v>
      </c>
      <c r="G2032">
        <v>403.427978515625</v>
      </c>
      <c r="H2032">
        <v>63563400</v>
      </c>
      <c r="I2032" t="s">
        <v>1533</v>
      </c>
      <c r="J2032" t="s">
        <v>1534</v>
      </c>
      <c r="K2032" t="s">
        <v>4629</v>
      </c>
    </row>
    <row r="2033" spans="1:11" ht="20" customHeight="1">
      <c r="A2033" t="s">
        <v>4628</v>
      </c>
      <c r="B2033" t="s">
        <v>1535</v>
      </c>
      <c r="C2033">
        <v>426.8599853515625</v>
      </c>
      <c r="D2033">
        <v>428.6099853515625</v>
      </c>
      <c r="E2033">
        <v>425.5</v>
      </c>
      <c r="F2033">
        <v>427.8900146484375</v>
      </c>
      <c r="G2033">
        <v>404.6004638671875</v>
      </c>
      <c r="H2033">
        <v>49023200</v>
      </c>
      <c r="I2033" t="s">
        <v>1536</v>
      </c>
      <c r="J2033" t="s">
        <v>1537</v>
      </c>
      <c r="K2033" t="s">
        <v>4629</v>
      </c>
    </row>
    <row r="2034" spans="1:11" ht="20" customHeight="1">
      <c r="A2034" t="s">
        <v>4628</v>
      </c>
      <c r="B2034" t="s">
        <v>1538</v>
      </c>
      <c r="C2034">
        <v>424.9800109863281</v>
      </c>
      <c r="D2034">
        <v>425.260009765625</v>
      </c>
      <c r="E2034">
        <v>421.2200012207031</v>
      </c>
      <c r="F2034">
        <v>422.1400146484375</v>
      </c>
      <c r="G2034">
        <v>399.1634826660156</v>
      </c>
      <c r="H2034">
        <v>68016900</v>
      </c>
      <c r="I2034" t="s">
        <v>1539</v>
      </c>
      <c r="J2034" t="s">
        <v>1540</v>
      </c>
      <c r="K2034" t="s">
        <v>4629</v>
      </c>
    </row>
    <row r="2035" spans="1:11" ht="20" customHeight="1">
      <c r="A2035" t="s">
        <v>4628</v>
      </c>
      <c r="B2035" t="s">
        <v>1541</v>
      </c>
      <c r="C2035">
        <v>417.0499877929688</v>
      </c>
      <c r="D2035">
        <v>417.2300109863281</v>
      </c>
      <c r="E2035">
        <v>412.3999938964844</v>
      </c>
      <c r="F2035">
        <v>413.3500061035156</v>
      </c>
      <c r="G2035">
        <v>390.8519287109375</v>
      </c>
      <c r="H2035">
        <v>77695600</v>
      </c>
      <c r="I2035" t="s">
        <v>1542</v>
      </c>
      <c r="J2035" t="s">
        <v>1543</v>
      </c>
      <c r="K2035" t="s">
        <v>4629</v>
      </c>
    </row>
    <row r="2036" spans="1:11" ht="20" customHeight="1">
      <c r="A2036" t="s">
        <v>4628</v>
      </c>
      <c r="B2036" t="s">
        <v>1544</v>
      </c>
      <c r="C2036">
        <v>412.8999938964844</v>
      </c>
      <c r="D2036">
        <v>415.4200134277344</v>
      </c>
      <c r="E2036">
        <v>411.7699890136719</v>
      </c>
      <c r="F2036">
        <v>412.3500061035156</v>
      </c>
      <c r="G2036">
        <v>389.9063415527344</v>
      </c>
      <c r="H2036">
        <v>49105200</v>
      </c>
      <c r="I2036" t="s">
        <v>1545</v>
      </c>
      <c r="J2036" t="s">
        <v>1546</v>
      </c>
      <c r="K2036" t="s">
        <v>4629</v>
      </c>
    </row>
    <row r="2037" spans="1:11" ht="20" customHeight="1">
      <c r="A2037" t="s">
        <v>4628</v>
      </c>
      <c r="B2037" t="s">
        <v>1547</v>
      </c>
      <c r="C2037">
        <v>412.1099853515625</v>
      </c>
      <c r="D2037">
        <v>415.1099853515625</v>
      </c>
      <c r="E2037">
        <v>411.3900146484375</v>
      </c>
      <c r="F2037">
        <v>413.6700134277344</v>
      </c>
      <c r="G2037">
        <v>391.1544494628906</v>
      </c>
      <c r="H2037">
        <v>49177800</v>
      </c>
      <c r="I2037" t="s">
        <v>1548</v>
      </c>
      <c r="J2037" t="s">
        <v>1549</v>
      </c>
      <c r="K2037" t="s">
        <v>4629</v>
      </c>
    </row>
    <row r="2038" spans="1:11" ht="20" customHeight="1">
      <c r="A2038" t="s">
        <v>4628</v>
      </c>
      <c r="B2038" t="s">
        <v>1550</v>
      </c>
      <c r="C2038">
        <v>415.239990234375</v>
      </c>
      <c r="D2038">
        <v>419.5599975585938</v>
      </c>
      <c r="E2038">
        <v>414.0899963378906</v>
      </c>
      <c r="F2038">
        <v>419.510009765625</v>
      </c>
      <c r="G2038">
        <v>396.6765441894531</v>
      </c>
      <c r="H2038">
        <v>50942300</v>
      </c>
      <c r="I2038" t="s">
        <v>1551</v>
      </c>
      <c r="J2038" t="s">
        <v>1552</v>
      </c>
      <c r="K2038" t="s">
        <v>4629</v>
      </c>
    </row>
    <row r="2039" spans="1:11" ht="20" customHeight="1">
      <c r="A2039" t="s">
        <v>4628</v>
      </c>
      <c r="B2039" t="s">
        <v>1553</v>
      </c>
      <c r="C2039">
        <v>419.3900146484375</v>
      </c>
      <c r="D2039">
        <v>419.9599914550781</v>
      </c>
      <c r="E2039">
        <v>405.25</v>
      </c>
      <c r="F2039">
        <v>405.3099975585938</v>
      </c>
      <c r="G2039">
        <v>383.2494812011719</v>
      </c>
      <c r="H2039">
        <v>103087000</v>
      </c>
      <c r="I2039" t="s">
        <v>1554</v>
      </c>
      <c r="J2039" t="s">
        <v>1555</v>
      </c>
      <c r="K2039" t="s">
        <v>4629</v>
      </c>
    </row>
    <row r="2040" spans="1:11" ht="20" customHeight="1">
      <c r="A2040" t="s">
        <v>4628</v>
      </c>
      <c r="B2040" t="s">
        <v>1556</v>
      </c>
      <c r="C2040">
        <v>402.2000122070312</v>
      </c>
      <c r="D2040">
        <v>405.8399963378906</v>
      </c>
      <c r="E2040">
        <v>401.2000122070312</v>
      </c>
      <c r="F2040">
        <v>402.6300048828125</v>
      </c>
      <c r="G2040">
        <v>380.7153930664062</v>
      </c>
      <c r="H2040">
        <v>65370800</v>
      </c>
      <c r="I2040" t="s">
        <v>1557</v>
      </c>
      <c r="J2040" t="s">
        <v>1558</v>
      </c>
      <c r="K2040" t="s">
        <v>4629</v>
      </c>
    </row>
    <row r="2041" spans="1:11" ht="20" customHeight="1">
      <c r="A2041" t="s">
        <v>4628</v>
      </c>
      <c r="B2041" t="s">
        <v>1559</v>
      </c>
      <c r="C2041">
        <v>403.8500061035156</v>
      </c>
      <c r="D2041">
        <v>404.1000061035156</v>
      </c>
      <c r="E2041">
        <v>396</v>
      </c>
      <c r="F2041">
        <v>398.2099914550781</v>
      </c>
      <c r="G2041">
        <v>376.5359497070312</v>
      </c>
      <c r="H2041">
        <v>85652400</v>
      </c>
      <c r="I2041" t="s">
        <v>1560</v>
      </c>
      <c r="J2041" t="s">
        <v>1561</v>
      </c>
      <c r="K2041" t="s">
        <v>4629</v>
      </c>
    </row>
    <row r="2042" spans="1:11" ht="20" customHeight="1">
      <c r="A2042" t="s">
        <v>4628</v>
      </c>
      <c r="B2042" t="s">
        <v>1562</v>
      </c>
      <c r="C2042">
        <v>399.9299926757812</v>
      </c>
      <c r="D2042">
        <v>401.239990234375</v>
      </c>
      <c r="E2042">
        <v>395.0400085449219</v>
      </c>
      <c r="F2042">
        <v>395.1799926757812</v>
      </c>
      <c r="G2042">
        <v>373.6708068847656</v>
      </c>
      <c r="H2042">
        <v>76029700</v>
      </c>
      <c r="I2042" t="s">
        <v>1563</v>
      </c>
      <c r="J2042" t="s">
        <v>1564</v>
      </c>
      <c r="K2042" t="s">
        <v>4629</v>
      </c>
    </row>
    <row r="2043" spans="1:11" ht="20" customHeight="1">
      <c r="A2043" t="s">
        <v>4628</v>
      </c>
      <c r="B2043" t="s">
        <v>1565</v>
      </c>
      <c r="C2043">
        <v>392.8900146484375</v>
      </c>
      <c r="D2043">
        <v>396.7799987792969</v>
      </c>
      <c r="E2043">
        <v>390.0400085449219</v>
      </c>
      <c r="F2043">
        <v>396.4200134277344</v>
      </c>
      <c r="G2043">
        <v>374.8433837890625</v>
      </c>
      <c r="H2043">
        <v>78740100</v>
      </c>
      <c r="I2043" t="s">
        <v>1566</v>
      </c>
      <c r="J2043" t="s">
        <v>1567</v>
      </c>
      <c r="K2043" t="s">
        <v>4629</v>
      </c>
    </row>
    <row r="2044" spans="1:11" ht="20" customHeight="1">
      <c r="A2044" t="s">
        <v>4628</v>
      </c>
      <c r="B2044" t="s">
        <v>1568</v>
      </c>
      <c r="C2044">
        <v>400.2799987792969</v>
      </c>
      <c r="D2044">
        <v>401.5599975585938</v>
      </c>
      <c r="E2044">
        <v>390.3299865722656</v>
      </c>
      <c r="F2044">
        <v>392.239990234375</v>
      </c>
      <c r="G2044">
        <v>370.8908081054688</v>
      </c>
      <c r="H2044">
        <v>99632100</v>
      </c>
      <c r="I2044" t="s">
        <v>1569</v>
      </c>
      <c r="J2044" t="s">
        <v>1570</v>
      </c>
      <c r="K2044" t="s">
        <v>4629</v>
      </c>
    </row>
    <row r="2045" spans="1:11" ht="20" customHeight="1">
      <c r="A2045" t="s">
        <v>4628</v>
      </c>
      <c r="B2045" t="s">
        <v>1571</v>
      </c>
      <c r="C2045">
        <v>393.1300048828125</v>
      </c>
      <c r="D2045">
        <v>394.1199951171875</v>
      </c>
      <c r="E2045">
        <v>388.4200134277344</v>
      </c>
      <c r="F2045">
        <v>390.760009765625</v>
      </c>
      <c r="G2045">
        <v>369.4914855957031</v>
      </c>
      <c r="H2045">
        <v>76637400</v>
      </c>
      <c r="I2045" t="s">
        <v>1572</v>
      </c>
      <c r="J2045" t="s">
        <v>1573</v>
      </c>
      <c r="K2045" t="s">
        <v>4629</v>
      </c>
    </row>
    <row r="2046" spans="1:11" ht="20" customHeight="1">
      <c r="A2046" t="s">
        <v>4628</v>
      </c>
      <c r="B2046" t="s">
        <v>1574</v>
      </c>
      <c r="C2046">
        <v>390.4299926757812</v>
      </c>
      <c r="D2046">
        <v>398.5899963378906</v>
      </c>
      <c r="E2046">
        <v>390.2000122070312</v>
      </c>
      <c r="F2046">
        <v>397.7799987792969</v>
      </c>
      <c r="G2046">
        <v>376.1293029785156</v>
      </c>
      <c r="H2046">
        <v>70964200</v>
      </c>
      <c r="I2046" t="s">
        <v>1575</v>
      </c>
      <c r="J2046" t="s">
        <v>1576</v>
      </c>
      <c r="K2046" t="s">
        <v>4629</v>
      </c>
    </row>
    <row r="2047" spans="1:11" ht="20" customHeight="1">
      <c r="A2047" t="s">
        <v>4628</v>
      </c>
      <c r="B2047" t="s">
        <v>1577</v>
      </c>
      <c r="C2047">
        <v>395.3900146484375</v>
      </c>
      <c r="D2047">
        <v>400.8599853515625</v>
      </c>
      <c r="E2047">
        <v>394.1199951171875</v>
      </c>
      <c r="F2047">
        <v>400.3800048828125</v>
      </c>
      <c r="G2047">
        <v>378.5878295898438</v>
      </c>
      <c r="H2047">
        <v>80821700</v>
      </c>
      <c r="I2047" t="s">
        <v>1578</v>
      </c>
      <c r="J2047" t="s">
        <v>1579</v>
      </c>
      <c r="K2047" t="s">
        <v>4629</v>
      </c>
    </row>
    <row r="2048" spans="1:11" ht="20" customHeight="1">
      <c r="A2048" t="s">
        <v>4628</v>
      </c>
      <c r="B2048" t="s">
        <v>1580</v>
      </c>
      <c r="C2048">
        <v>402.739990234375</v>
      </c>
      <c r="D2048">
        <v>407.510009765625</v>
      </c>
      <c r="E2048">
        <v>402.4599914550781</v>
      </c>
      <c r="F2048">
        <v>406.6000061035156</v>
      </c>
      <c r="G2048">
        <v>384.4693298339844</v>
      </c>
      <c r="H2048">
        <v>76706900</v>
      </c>
      <c r="I2048" t="s">
        <v>1581</v>
      </c>
      <c r="J2048" t="s">
        <v>1582</v>
      </c>
      <c r="K2048" t="s">
        <v>4629</v>
      </c>
    </row>
    <row r="2049" spans="1:11" ht="20" customHeight="1">
      <c r="A2049" t="s">
        <v>4628</v>
      </c>
      <c r="B2049" t="s">
        <v>1583</v>
      </c>
      <c r="C2049">
        <v>408.7799987792969</v>
      </c>
      <c r="D2049">
        <v>411.7300109863281</v>
      </c>
      <c r="E2049">
        <v>408.4599914550781</v>
      </c>
      <c r="F2049">
        <v>410.9700012207031</v>
      </c>
      <c r="G2049">
        <v>388.6015014648438</v>
      </c>
      <c r="H2049">
        <v>69256300</v>
      </c>
      <c r="I2049" t="s">
        <v>1584</v>
      </c>
      <c r="J2049" t="s">
        <v>1585</v>
      </c>
      <c r="K2049" t="s">
        <v>4629</v>
      </c>
    </row>
    <row r="2050" spans="1:11" ht="20" customHeight="1">
      <c r="A2050" t="s">
        <v>4628</v>
      </c>
      <c r="B2050" t="s">
        <v>1586</v>
      </c>
      <c r="C2050">
        <v>401.8299865722656</v>
      </c>
      <c r="D2050">
        <v>403.1000061035156</v>
      </c>
      <c r="E2050">
        <v>391.9200134277344</v>
      </c>
      <c r="F2050">
        <v>393.1000061035156</v>
      </c>
      <c r="G2050">
        <v>371.7041320800781</v>
      </c>
      <c r="H2050">
        <v>122947100</v>
      </c>
      <c r="I2050" t="s">
        <v>1587</v>
      </c>
      <c r="J2050" t="s">
        <v>1588</v>
      </c>
      <c r="K2050" t="s">
        <v>4629</v>
      </c>
    </row>
    <row r="2051" spans="1:11" ht="20" customHeight="1">
      <c r="A2051" t="s">
        <v>4628</v>
      </c>
      <c r="B2051" t="s">
        <v>1589</v>
      </c>
      <c r="C2051">
        <v>394.4700012207031</v>
      </c>
      <c r="D2051">
        <v>396.2000122070312</v>
      </c>
      <c r="E2051">
        <v>391.1199951171875</v>
      </c>
      <c r="F2051">
        <v>394.6000061035156</v>
      </c>
      <c r="G2051">
        <v>373.1224060058594</v>
      </c>
      <c r="H2051">
        <v>85023700</v>
      </c>
      <c r="I2051" t="s">
        <v>1590</v>
      </c>
      <c r="J2051" t="s">
        <v>1591</v>
      </c>
      <c r="K2051" t="s">
        <v>4629</v>
      </c>
    </row>
    <row r="2052" spans="1:11" ht="20" customHeight="1">
      <c r="A2052" t="s">
        <v>4628</v>
      </c>
      <c r="B2052" t="s">
        <v>1592</v>
      </c>
      <c r="C2052">
        <v>392.9599914550781</v>
      </c>
      <c r="D2052">
        <v>395.9599914550781</v>
      </c>
      <c r="E2052">
        <v>388.7799987792969</v>
      </c>
      <c r="F2052">
        <v>390.1199951171875</v>
      </c>
      <c r="G2052">
        <v>368.88623046875</v>
      </c>
      <c r="H2052">
        <v>87633800</v>
      </c>
      <c r="I2052" t="s">
        <v>1593</v>
      </c>
      <c r="J2052" t="s">
        <v>1594</v>
      </c>
      <c r="K2052" t="s">
        <v>4629</v>
      </c>
    </row>
    <row r="2053" spans="1:11" ht="20" customHeight="1">
      <c r="A2053" t="s">
        <v>4628</v>
      </c>
      <c r="B2053" t="s">
        <v>1595</v>
      </c>
      <c r="C2053">
        <v>384.1400146484375</v>
      </c>
      <c r="D2053">
        <v>386.25</v>
      </c>
      <c r="E2053">
        <v>382.1099853515625</v>
      </c>
      <c r="F2053">
        <v>385.5599975585938</v>
      </c>
      <c r="G2053">
        <v>366.0720520019531</v>
      </c>
      <c r="H2053">
        <v>103084800</v>
      </c>
      <c r="I2053" t="s">
        <v>1596</v>
      </c>
      <c r="J2053" t="s">
        <v>1597</v>
      </c>
      <c r="K2053" t="s">
        <v>4629</v>
      </c>
    </row>
    <row r="2054" spans="1:11" ht="20" customHeight="1">
      <c r="A2054" t="s">
        <v>4628</v>
      </c>
      <c r="B2054" t="s">
        <v>1598</v>
      </c>
      <c r="C2054">
        <v>382.260009765625</v>
      </c>
      <c r="D2054">
        <v>388.5499877929688</v>
      </c>
      <c r="E2054">
        <v>382.1799926757812</v>
      </c>
      <c r="F2054">
        <v>388.5499877929688</v>
      </c>
      <c r="G2054">
        <v>368.910888671875</v>
      </c>
      <c r="H2054">
        <v>73278500</v>
      </c>
      <c r="I2054" t="s">
        <v>1599</v>
      </c>
      <c r="J2054" t="s">
        <v>1600</v>
      </c>
      <c r="K2054" t="s">
        <v>4629</v>
      </c>
    </row>
    <row r="2055" spans="1:11" ht="20" customHeight="1">
      <c r="A2055" t="s">
        <v>4628</v>
      </c>
      <c r="B2055" t="s">
        <v>1601</v>
      </c>
      <c r="C2055">
        <v>385.0599975585938</v>
      </c>
      <c r="D2055">
        <v>386.1199951171875</v>
      </c>
      <c r="E2055">
        <v>381.2000122070312</v>
      </c>
      <c r="F2055">
        <v>384.0899963378906</v>
      </c>
      <c r="G2055">
        <v>364.6763305664062</v>
      </c>
      <c r="H2055">
        <v>77274900</v>
      </c>
      <c r="I2055" t="s">
        <v>1602</v>
      </c>
      <c r="J2055" t="s">
        <v>1603</v>
      </c>
      <c r="K2055" t="s">
        <v>4629</v>
      </c>
    </row>
    <row r="2056" spans="1:11" ht="20" customHeight="1">
      <c r="A2056" t="s">
        <v>4628</v>
      </c>
      <c r="B2056" t="s">
        <v>1604</v>
      </c>
      <c r="C2056">
        <v>386.1099853515625</v>
      </c>
      <c r="D2056">
        <v>389.3099975585938</v>
      </c>
      <c r="E2056">
        <v>377.3800048828125</v>
      </c>
      <c r="F2056">
        <v>377.3900146484375</v>
      </c>
      <c r="G2056">
        <v>358.3150329589844</v>
      </c>
      <c r="H2056">
        <v>106746600</v>
      </c>
      <c r="I2056" t="s">
        <v>1605</v>
      </c>
      <c r="J2056" t="s">
        <v>1606</v>
      </c>
      <c r="K2056" t="s">
        <v>4629</v>
      </c>
    </row>
    <row r="2057" spans="1:11" ht="20" customHeight="1">
      <c r="A2057" t="s">
        <v>4628</v>
      </c>
      <c r="B2057" t="s">
        <v>1607</v>
      </c>
      <c r="C2057">
        <v>376.5799865722656</v>
      </c>
      <c r="D2057">
        <v>378.2999877929688</v>
      </c>
      <c r="E2057">
        <v>373.4400024414062</v>
      </c>
      <c r="F2057">
        <v>374.2200012207031</v>
      </c>
      <c r="G2057">
        <v>355.3052673339844</v>
      </c>
      <c r="H2057">
        <v>89472600</v>
      </c>
      <c r="I2057" t="s">
        <v>1608</v>
      </c>
      <c r="J2057" t="s">
        <v>1609</v>
      </c>
      <c r="K2057" t="s">
        <v>4629</v>
      </c>
    </row>
    <row r="2058" spans="1:11" ht="20" customHeight="1">
      <c r="A2058" t="s">
        <v>4628</v>
      </c>
      <c r="B2058" t="s">
        <v>1610</v>
      </c>
      <c r="C2058">
        <v>370.5799865722656</v>
      </c>
      <c r="D2058">
        <v>370.6199951171875</v>
      </c>
      <c r="E2058">
        <v>363.2900085449219</v>
      </c>
      <c r="F2058">
        <v>367.9500122070312</v>
      </c>
      <c r="G2058">
        <v>349.3521728515625</v>
      </c>
      <c r="H2058">
        <v>122346900</v>
      </c>
      <c r="I2058" t="s">
        <v>1611</v>
      </c>
      <c r="J2058" t="s">
        <v>1612</v>
      </c>
      <c r="K2058" t="s">
        <v>4629</v>
      </c>
    </row>
    <row r="2059" spans="1:11" ht="20" customHeight="1">
      <c r="A2059" t="s">
        <v>4628</v>
      </c>
      <c r="B2059" t="s">
        <v>1613</v>
      </c>
      <c r="C2059">
        <v>366.4100036621094</v>
      </c>
      <c r="D2059">
        <v>370.2099914550781</v>
      </c>
      <c r="E2059">
        <v>363.0299987792969</v>
      </c>
      <c r="F2059">
        <v>364.3099975585938</v>
      </c>
      <c r="G2059">
        <v>345.8961791992188</v>
      </c>
      <c r="H2059">
        <v>92581200</v>
      </c>
      <c r="I2059" t="s">
        <v>1614</v>
      </c>
      <c r="J2059" t="s">
        <v>1615</v>
      </c>
      <c r="K2059" t="s">
        <v>4629</v>
      </c>
    </row>
    <row r="2060" spans="1:11" ht="20" customHeight="1">
      <c r="A2060" t="s">
        <v>4628</v>
      </c>
      <c r="B2060" t="s">
        <v>1616</v>
      </c>
      <c r="C2060">
        <v>368.0199890136719</v>
      </c>
      <c r="D2060">
        <v>370.3999938964844</v>
      </c>
      <c r="E2060">
        <v>360.8699951171875</v>
      </c>
      <c r="F2060">
        <v>363.3800048828125</v>
      </c>
      <c r="G2060">
        <v>345.0131530761719</v>
      </c>
      <c r="H2060">
        <v>108294100</v>
      </c>
      <c r="I2060" t="s">
        <v>1617</v>
      </c>
      <c r="J2060" t="s">
        <v>1618</v>
      </c>
      <c r="K2060" t="s">
        <v>4629</v>
      </c>
    </row>
    <row r="2061" spans="1:11" ht="20" customHeight="1">
      <c r="A2061" t="s">
        <v>4628</v>
      </c>
      <c r="B2061" t="s">
        <v>1619</v>
      </c>
      <c r="C2061">
        <v>364.3800048828125</v>
      </c>
      <c r="D2061">
        <v>372.2999877929688</v>
      </c>
      <c r="E2061">
        <v>362.6000061035156</v>
      </c>
      <c r="F2061">
        <v>370.5299987792969</v>
      </c>
      <c r="G2061">
        <v>351.8017578125</v>
      </c>
      <c r="H2061">
        <v>110802200</v>
      </c>
      <c r="I2061" t="s">
        <v>1620</v>
      </c>
      <c r="J2061" t="s">
        <v>1621</v>
      </c>
      <c r="K2061" t="s">
        <v>4629</v>
      </c>
    </row>
    <row r="2062" spans="1:11" ht="20" customHeight="1">
      <c r="A2062" t="s">
        <v>4628</v>
      </c>
      <c r="B2062" t="s">
        <v>1622</v>
      </c>
      <c r="C2062">
        <v>366.8099975585938</v>
      </c>
      <c r="D2062">
        <v>367.1099853515625</v>
      </c>
      <c r="E2062">
        <v>359.7000122070312</v>
      </c>
      <c r="F2062">
        <v>362.7900085449219</v>
      </c>
      <c r="G2062">
        <v>344.4529418945312</v>
      </c>
      <c r="H2062">
        <v>112952300</v>
      </c>
      <c r="I2062" t="s">
        <v>1623</v>
      </c>
      <c r="J2062" t="s">
        <v>1624</v>
      </c>
      <c r="K2062" t="s">
        <v>4629</v>
      </c>
    </row>
    <row r="2063" spans="1:11" ht="20" customHeight="1">
      <c r="A2063" t="s">
        <v>4628</v>
      </c>
      <c r="B2063" t="s">
        <v>1625</v>
      </c>
      <c r="C2063">
        <v>361.7999877929688</v>
      </c>
      <c r="D2063">
        <v>365.9100036621094</v>
      </c>
      <c r="E2063">
        <v>357.0400085449219</v>
      </c>
      <c r="F2063">
        <v>357.1799926757812</v>
      </c>
      <c r="G2063">
        <v>339.12646484375</v>
      </c>
      <c r="H2063">
        <v>153711200</v>
      </c>
      <c r="I2063" t="s">
        <v>1626</v>
      </c>
      <c r="J2063" t="s">
        <v>1627</v>
      </c>
      <c r="K2063" t="s">
        <v>4629</v>
      </c>
    </row>
    <row r="2064" spans="1:11" ht="20" customHeight="1">
      <c r="A2064" t="s">
        <v>4628</v>
      </c>
      <c r="B2064" t="s">
        <v>1628</v>
      </c>
      <c r="C2064">
        <v>361.0799865722656</v>
      </c>
      <c r="D2064">
        <v>368.5499877929688</v>
      </c>
      <c r="E2064">
        <v>359.2099914550781</v>
      </c>
      <c r="F2064">
        <v>366.6099853515625</v>
      </c>
      <c r="G2064">
        <v>348.0798645019531</v>
      </c>
      <c r="H2064">
        <v>89756500</v>
      </c>
      <c r="I2064" t="s">
        <v>1629</v>
      </c>
      <c r="J2064" t="s">
        <v>1630</v>
      </c>
      <c r="K2064" t="s">
        <v>4629</v>
      </c>
    </row>
    <row r="2065" spans="1:11" ht="20" customHeight="1">
      <c r="A2065" t="s">
        <v>4628</v>
      </c>
      <c r="B2065" t="s">
        <v>1631</v>
      </c>
      <c r="C2065">
        <v>372.3999938964844</v>
      </c>
      <c r="D2065">
        <v>378</v>
      </c>
      <c r="E2065">
        <v>366.5700073242188</v>
      </c>
      <c r="F2065">
        <v>377.9700012207031</v>
      </c>
      <c r="G2065">
        <v>358.86572265625</v>
      </c>
      <c r="H2065">
        <v>103602800</v>
      </c>
      <c r="I2065" t="s">
        <v>1632</v>
      </c>
      <c r="J2065" t="s">
        <v>1633</v>
      </c>
      <c r="K2065" t="s">
        <v>4629</v>
      </c>
    </row>
    <row r="2066" spans="1:11" ht="20" customHeight="1">
      <c r="A2066" t="s">
        <v>4628</v>
      </c>
      <c r="B2066" t="s">
        <v>1634</v>
      </c>
      <c r="C2066">
        <v>373.3900146484375</v>
      </c>
      <c r="D2066">
        <v>379.4599914550781</v>
      </c>
      <c r="E2066">
        <v>370.9500122070312</v>
      </c>
      <c r="F2066">
        <v>377.0899963378906</v>
      </c>
      <c r="G2066">
        <v>358.0300903320312</v>
      </c>
      <c r="H2066">
        <v>88065700</v>
      </c>
      <c r="I2066" t="s">
        <v>1635</v>
      </c>
      <c r="J2066" t="s">
        <v>1636</v>
      </c>
      <c r="K2066" t="s">
        <v>4629</v>
      </c>
    </row>
    <row r="2067" spans="1:11" ht="20" customHeight="1">
      <c r="A2067" t="s">
        <v>4628</v>
      </c>
      <c r="B2067" t="s">
        <v>1637</v>
      </c>
      <c r="C2067">
        <v>375.6199951171875</v>
      </c>
      <c r="D2067">
        <v>378.7200012207031</v>
      </c>
      <c r="E2067">
        <v>372.6799926757812</v>
      </c>
      <c r="F2067">
        <v>373.2000122070312</v>
      </c>
      <c r="G2067">
        <v>354.3368225097656</v>
      </c>
      <c r="H2067">
        <v>82333500</v>
      </c>
      <c r="I2067" t="s">
        <v>1638</v>
      </c>
      <c r="J2067" t="s">
        <v>1639</v>
      </c>
      <c r="K2067" t="s">
        <v>4629</v>
      </c>
    </row>
    <row r="2068" spans="1:11" ht="20" customHeight="1">
      <c r="A2068" t="s">
        <v>4628</v>
      </c>
      <c r="B2068" t="s">
        <v>1640</v>
      </c>
      <c r="C2068">
        <v>368.9700012207031</v>
      </c>
      <c r="D2068">
        <v>373.2900085449219</v>
      </c>
      <c r="E2068">
        <v>360.9400024414062</v>
      </c>
      <c r="F2068">
        <v>362.7900085449219</v>
      </c>
      <c r="G2068">
        <v>344.4529418945312</v>
      </c>
      <c r="H2068">
        <v>107789500</v>
      </c>
      <c r="I2068" t="s">
        <v>1641</v>
      </c>
      <c r="J2068" t="s">
        <v>1642</v>
      </c>
      <c r="K2068" t="s">
        <v>4629</v>
      </c>
    </row>
    <row r="2069" spans="1:11" ht="20" customHeight="1">
      <c r="A2069" t="s">
        <v>4628</v>
      </c>
      <c r="B2069" t="s">
        <v>1643</v>
      </c>
      <c r="C2069">
        <v>363.9599914550781</v>
      </c>
      <c r="D2069">
        <v>364.2099914550781</v>
      </c>
      <c r="E2069">
        <v>357.6700134277344</v>
      </c>
      <c r="F2069">
        <v>360.0199890136719</v>
      </c>
      <c r="G2069">
        <v>341.822998046875</v>
      </c>
      <c r="H2069">
        <v>76042800</v>
      </c>
      <c r="I2069" t="s">
        <v>1644</v>
      </c>
      <c r="J2069" t="s">
        <v>1645</v>
      </c>
      <c r="K2069" t="s">
        <v>4629</v>
      </c>
    </row>
    <row r="2070" spans="1:11" ht="20" customHeight="1">
      <c r="A2070" t="s">
        <v>4628</v>
      </c>
      <c r="B2070" t="s">
        <v>1646</v>
      </c>
      <c r="C2070">
        <v>358.239990234375</v>
      </c>
      <c r="D2070">
        <v>363.0299987792969</v>
      </c>
      <c r="E2070">
        <v>355.7099914550781</v>
      </c>
      <c r="F2070">
        <v>357.739990234375</v>
      </c>
      <c r="G2070">
        <v>339.658203125</v>
      </c>
      <c r="H2070">
        <v>92482800</v>
      </c>
      <c r="I2070" t="s">
        <v>1647</v>
      </c>
      <c r="J2070" t="s">
        <v>1648</v>
      </c>
      <c r="K2070" t="s">
        <v>4629</v>
      </c>
    </row>
    <row r="2071" spans="1:11" ht="20" customHeight="1">
      <c r="A2071" t="s">
        <v>4628</v>
      </c>
      <c r="B2071" t="s">
        <v>1649</v>
      </c>
      <c r="C2071">
        <v>358.1700134277344</v>
      </c>
      <c r="D2071">
        <v>359.8200073242188</v>
      </c>
      <c r="E2071">
        <v>356.2999877929688</v>
      </c>
      <c r="F2071">
        <v>356.5599975585938</v>
      </c>
      <c r="G2071">
        <v>338.5378723144531</v>
      </c>
      <c r="H2071">
        <v>76991800</v>
      </c>
      <c r="I2071" t="s">
        <v>1650</v>
      </c>
      <c r="J2071" t="s">
        <v>1651</v>
      </c>
      <c r="K2071" t="s">
        <v>4629</v>
      </c>
    </row>
    <row r="2072" spans="1:11" ht="20" customHeight="1">
      <c r="A2072" t="s">
        <v>4628</v>
      </c>
      <c r="B2072" t="s">
        <v>1652</v>
      </c>
      <c r="C2072">
        <v>349.2099914550781</v>
      </c>
      <c r="D2072">
        <v>367.510009765625</v>
      </c>
      <c r="E2072">
        <v>348.1099853515625</v>
      </c>
      <c r="F2072">
        <v>365.9700012207031</v>
      </c>
      <c r="G2072">
        <v>347.4721984863281</v>
      </c>
      <c r="H2072">
        <v>147254500</v>
      </c>
      <c r="I2072" t="s">
        <v>1653</v>
      </c>
      <c r="J2072" t="s">
        <v>1654</v>
      </c>
      <c r="K2072" t="s">
        <v>4629</v>
      </c>
    </row>
    <row r="2073" spans="1:11" ht="20" customHeight="1">
      <c r="A2073" t="s">
        <v>4628</v>
      </c>
      <c r="B2073" t="s">
        <v>1655</v>
      </c>
      <c r="C2073">
        <v>368.5499877929688</v>
      </c>
      <c r="D2073">
        <v>370.260009765625</v>
      </c>
      <c r="E2073">
        <v>356.9599914550781</v>
      </c>
      <c r="F2073">
        <v>357.6300048828125</v>
      </c>
      <c r="G2073">
        <v>339.5537719726562</v>
      </c>
      <c r="H2073">
        <v>123737000</v>
      </c>
      <c r="I2073" t="s">
        <v>1656</v>
      </c>
      <c r="J2073" t="s">
        <v>1657</v>
      </c>
      <c r="K2073" t="s">
        <v>4629</v>
      </c>
    </row>
    <row r="2074" spans="1:11" ht="20" customHeight="1">
      <c r="A2074" t="s">
        <v>4628</v>
      </c>
      <c r="B2074" t="s">
        <v>1658</v>
      </c>
      <c r="C2074">
        <v>364.010009765625</v>
      </c>
      <c r="D2074">
        <v>367.9800109863281</v>
      </c>
      <c r="E2074">
        <v>357.2799987792969</v>
      </c>
      <c r="F2074">
        <v>366.8200073242188</v>
      </c>
      <c r="G2074">
        <v>348.2792663574219</v>
      </c>
      <c r="H2074">
        <v>93168200</v>
      </c>
      <c r="I2074" t="s">
        <v>1659</v>
      </c>
      <c r="J2074" t="s">
        <v>1660</v>
      </c>
      <c r="K2074" t="s">
        <v>4629</v>
      </c>
    </row>
    <row r="2075" spans="1:11" ht="20" customHeight="1">
      <c r="A2075" t="s">
        <v>4628</v>
      </c>
      <c r="B2075" t="s">
        <v>1661</v>
      </c>
      <c r="C2075">
        <v>375.1300048828125</v>
      </c>
      <c r="D2075">
        <v>375.4500122070312</v>
      </c>
      <c r="E2075">
        <v>367.5199890136719</v>
      </c>
      <c r="F2075">
        <v>371.1300048828125</v>
      </c>
      <c r="G2075">
        <v>352.3713989257812</v>
      </c>
      <c r="H2075">
        <v>97162900</v>
      </c>
      <c r="I2075" t="s">
        <v>1662</v>
      </c>
      <c r="J2075" t="s">
        <v>1663</v>
      </c>
      <c r="K2075" t="s">
        <v>4629</v>
      </c>
    </row>
    <row r="2076" spans="1:11" ht="20" customHeight="1">
      <c r="A2076" t="s">
        <v>4628</v>
      </c>
      <c r="B2076" t="s">
        <v>1664</v>
      </c>
      <c r="C2076">
        <v>368.989990234375</v>
      </c>
      <c r="D2076">
        <v>371.8500061035156</v>
      </c>
      <c r="E2076">
        <v>365.5499877929688</v>
      </c>
      <c r="F2076">
        <v>368.5</v>
      </c>
      <c r="G2076">
        <v>349.8743286132812</v>
      </c>
      <c r="H2076">
        <v>79746900</v>
      </c>
      <c r="I2076" t="s">
        <v>1665</v>
      </c>
      <c r="J2076" t="s">
        <v>1666</v>
      </c>
      <c r="K2076" t="s">
        <v>4629</v>
      </c>
    </row>
    <row r="2077" spans="1:11" ht="20" customHeight="1">
      <c r="A2077" t="s">
        <v>4628</v>
      </c>
      <c r="B2077" t="s">
        <v>1667</v>
      </c>
      <c r="C2077">
        <v>368.0299987792969</v>
      </c>
      <c r="D2077">
        <v>372.6700134277344</v>
      </c>
      <c r="E2077">
        <v>364.6099853515625</v>
      </c>
      <c r="F2077">
        <v>365.4100036621094</v>
      </c>
      <c r="G2077">
        <v>346.9405212402344</v>
      </c>
      <c r="H2077">
        <v>88283100</v>
      </c>
      <c r="I2077" t="s">
        <v>1668</v>
      </c>
      <c r="J2077" t="s">
        <v>1669</v>
      </c>
      <c r="K2077" t="s">
        <v>4629</v>
      </c>
    </row>
    <row r="2078" spans="1:11" ht="20" customHeight="1">
      <c r="A2078" t="s">
        <v>4628</v>
      </c>
      <c r="B2078" t="s">
        <v>1670</v>
      </c>
      <c r="C2078">
        <v>365.1199951171875</v>
      </c>
      <c r="D2078">
        <v>374.7999877929688</v>
      </c>
      <c r="E2078">
        <v>363.5400085449219</v>
      </c>
      <c r="F2078">
        <v>374.2900085449219</v>
      </c>
      <c r="G2078">
        <v>355.3717041015625</v>
      </c>
      <c r="H2078">
        <v>131038400</v>
      </c>
      <c r="I2078" t="s">
        <v>1671</v>
      </c>
      <c r="J2078" t="s">
        <v>1672</v>
      </c>
      <c r="K2078" t="s">
        <v>4629</v>
      </c>
    </row>
    <row r="2079" spans="1:11" ht="20" customHeight="1">
      <c r="A2079" t="s">
        <v>4628</v>
      </c>
      <c r="B2079" t="s">
        <v>1673</v>
      </c>
      <c r="C2079">
        <v>375.8900146484375</v>
      </c>
      <c r="D2079">
        <v>380.0599975585938</v>
      </c>
      <c r="E2079">
        <v>373.1099853515625</v>
      </c>
      <c r="F2079">
        <v>378.8699951171875</v>
      </c>
      <c r="G2079">
        <v>359.7202453613281</v>
      </c>
      <c r="H2079">
        <v>85436900</v>
      </c>
      <c r="I2079" t="s">
        <v>1674</v>
      </c>
      <c r="J2079" t="s">
        <v>1675</v>
      </c>
      <c r="K2079" t="s">
        <v>4629</v>
      </c>
    </row>
    <row r="2080" spans="1:11" ht="20" customHeight="1">
      <c r="A2080" t="s">
        <v>4628</v>
      </c>
      <c r="B2080" t="s">
        <v>1676</v>
      </c>
      <c r="C2080">
        <v>378.7900085449219</v>
      </c>
      <c r="D2080">
        <v>385.25</v>
      </c>
      <c r="E2080">
        <v>378.6700134277344</v>
      </c>
      <c r="F2080">
        <v>384.9200134277344</v>
      </c>
      <c r="G2080">
        <v>365.4644165039062</v>
      </c>
      <c r="H2080">
        <v>78846300</v>
      </c>
      <c r="I2080" t="s">
        <v>1677</v>
      </c>
      <c r="J2080" t="s">
        <v>1678</v>
      </c>
      <c r="K2080" t="s">
        <v>4629</v>
      </c>
    </row>
    <row r="2081" spans="1:11" ht="20" customHeight="1">
      <c r="A2081" t="s">
        <v>4628</v>
      </c>
      <c r="B2081" t="s">
        <v>1679</v>
      </c>
      <c r="C2081">
        <v>381.6199951171875</v>
      </c>
      <c r="D2081">
        <v>387.5799865722656</v>
      </c>
      <c r="E2081">
        <v>381.3500061035156</v>
      </c>
      <c r="F2081">
        <v>382.0199890136719</v>
      </c>
      <c r="G2081">
        <v>362.7109985351562</v>
      </c>
      <c r="H2081">
        <v>104087300</v>
      </c>
      <c r="I2081" t="s">
        <v>1680</v>
      </c>
      <c r="J2081" t="s">
        <v>1681</v>
      </c>
      <c r="K2081" t="s">
        <v>4629</v>
      </c>
    </row>
    <row r="2082" spans="1:11" ht="20" customHeight="1">
      <c r="A2082" t="s">
        <v>4628</v>
      </c>
      <c r="B2082" t="s">
        <v>1682</v>
      </c>
      <c r="C2082">
        <v>383.0700073242188</v>
      </c>
      <c r="D2082">
        <v>385</v>
      </c>
      <c r="E2082">
        <v>379.3299865722656</v>
      </c>
      <c r="F2082">
        <v>379.9800109863281</v>
      </c>
      <c r="G2082">
        <v>360.7740478515625</v>
      </c>
      <c r="H2082">
        <v>81971800</v>
      </c>
      <c r="I2082" t="s">
        <v>1683</v>
      </c>
      <c r="J2082" t="s">
        <v>1684</v>
      </c>
      <c r="K2082" t="s">
        <v>4629</v>
      </c>
    </row>
    <row r="2083" spans="1:11" ht="20" customHeight="1">
      <c r="A2083" t="s">
        <v>4628</v>
      </c>
      <c r="B2083" t="s">
        <v>1685</v>
      </c>
      <c r="C2083">
        <v>379.8699951171875</v>
      </c>
      <c r="D2083">
        <v>389.5199890136719</v>
      </c>
      <c r="E2083">
        <v>379.6799926757812</v>
      </c>
      <c r="F2083">
        <v>389.0199890136719</v>
      </c>
      <c r="G2083">
        <v>369.357177734375</v>
      </c>
      <c r="H2083">
        <v>100302000</v>
      </c>
      <c r="I2083" t="s">
        <v>1686</v>
      </c>
      <c r="J2083" t="s">
        <v>1687</v>
      </c>
      <c r="K2083" t="s">
        <v>4629</v>
      </c>
    </row>
    <row r="2084" spans="1:11" ht="20" customHeight="1">
      <c r="A2084" t="s">
        <v>4628</v>
      </c>
      <c r="B2084" t="s">
        <v>1688</v>
      </c>
      <c r="C2084">
        <v>386.4400024414062</v>
      </c>
      <c r="D2084">
        <v>388.3999938964844</v>
      </c>
      <c r="E2084">
        <v>385.260009765625</v>
      </c>
      <c r="F2084">
        <v>386.2099914550781</v>
      </c>
      <c r="G2084">
        <v>366.6891784667969</v>
      </c>
      <c r="H2084">
        <v>96631300</v>
      </c>
      <c r="I2084" t="s">
        <v>1689</v>
      </c>
      <c r="J2084" t="s">
        <v>1690</v>
      </c>
      <c r="K2084" t="s">
        <v>4629</v>
      </c>
    </row>
    <row r="2085" spans="1:11" ht="20" customHeight="1">
      <c r="A2085" t="s">
        <v>4628</v>
      </c>
      <c r="B2085" t="s">
        <v>1691</v>
      </c>
      <c r="C2085">
        <v>390.1400146484375</v>
      </c>
      <c r="D2085">
        <v>390.3900146484375</v>
      </c>
      <c r="E2085">
        <v>383.2900085449219</v>
      </c>
      <c r="F2085">
        <v>384.5199890136719</v>
      </c>
      <c r="G2085">
        <v>365.0845642089844</v>
      </c>
      <c r="H2085">
        <v>85407600</v>
      </c>
      <c r="I2085" t="s">
        <v>1692</v>
      </c>
      <c r="J2085" t="s">
        <v>1693</v>
      </c>
      <c r="K2085" t="s">
        <v>4629</v>
      </c>
    </row>
    <row r="2086" spans="1:11" ht="20" customHeight="1">
      <c r="A2086" t="s">
        <v>4628</v>
      </c>
      <c r="B2086" t="s">
        <v>1694</v>
      </c>
      <c r="C2086">
        <v>383.8999938964844</v>
      </c>
      <c r="D2086">
        <v>388.6300048828125</v>
      </c>
      <c r="E2086">
        <v>374.760009765625</v>
      </c>
      <c r="F2086">
        <v>374.8699951171875</v>
      </c>
      <c r="G2086">
        <v>355.9223937988281</v>
      </c>
      <c r="H2086">
        <v>126990400</v>
      </c>
      <c r="I2086" t="s">
        <v>1695</v>
      </c>
      <c r="J2086" t="s">
        <v>1696</v>
      </c>
      <c r="K2086" t="s">
        <v>4629</v>
      </c>
    </row>
    <row r="2087" spans="1:11" ht="20" customHeight="1">
      <c r="A2087" t="s">
        <v>4628</v>
      </c>
      <c r="B2087" t="s">
        <v>1697</v>
      </c>
      <c r="C2087">
        <v>371.4700012207031</v>
      </c>
      <c r="D2087">
        <v>374.2000122070312</v>
      </c>
      <c r="E2087">
        <v>368.7900085449219</v>
      </c>
      <c r="F2087">
        <v>371.010009765625</v>
      </c>
      <c r="G2087">
        <v>352.2574768066406</v>
      </c>
      <c r="H2087">
        <v>87100100</v>
      </c>
      <c r="I2087" t="s">
        <v>1698</v>
      </c>
      <c r="J2087" t="s">
        <v>1699</v>
      </c>
      <c r="K2087" t="s">
        <v>4629</v>
      </c>
    </row>
    <row r="2088" spans="1:11" ht="20" customHeight="1">
      <c r="A2088" t="s">
        <v>4628</v>
      </c>
      <c r="B2088" t="s">
        <v>1700</v>
      </c>
      <c r="C2088">
        <v>377</v>
      </c>
      <c r="D2088">
        <v>378.8699951171875</v>
      </c>
      <c r="E2088">
        <v>370</v>
      </c>
      <c r="F2088">
        <v>376.3500061035156</v>
      </c>
      <c r="G2088">
        <v>357.3275451660156</v>
      </c>
      <c r="H2088">
        <v>103505200</v>
      </c>
      <c r="I2088" t="s">
        <v>1701</v>
      </c>
      <c r="J2088" t="s">
        <v>1702</v>
      </c>
      <c r="K2088" t="s">
        <v>4629</v>
      </c>
    </row>
    <row r="2089" spans="1:11" ht="20" customHeight="1">
      <c r="A2089" t="s">
        <v>4628</v>
      </c>
      <c r="B2089" t="s">
        <v>1703</v>
      </c>
      <c r="C2089">
        <v>377.7099914550781</v>
      </c>
      <c r="D2089">
        <v>380.5700073242188</v>
      </c>
      <c r="E2089">
        <v>375.5299987792969</v>
      </c>
      <c r="F2089">
        <v>379.9500122070312</v>
      </c>
      <c r="G2089">
        <v>360.74560546875</v>
      </c>
      <c r="H2089">
        <v>68286900</v>
      </c>
      <c r="I2089" t="s">
        <v>1704</v>
      </c>
      <c r="J2089" t="s">
        <v>1705</v>
      </c>
      <c r="K2089" t="s">
        <v>4629</v>
      </c>
    </row>
    <row r="2090" spans="1:11" ht="20" customHeight="1">
      <c r="A2090" t="s">
        <v>4628</v>
      </c>
      <c r="B2090" t="s">
        <v>1706</v>
      </c>
      <c r="C2090">
        <v>381.1099853515625</v>
      </c>
      <c r="D2090">
        <v>385.1199951171875</v>
      </c>
      <c r="E2090">
        <v>377.7200012207031</v>
      </c>
      <c r="F2090">
        <v>382</v>
      </c>
      <c r="G2090">
        <v>362.6920166015625</v>
      </c>
      <c r="H2090">
        <v>84641100</v>
      </c>
      <c r="I2090" t="s">
        <v>1707</v>
      </c>
      <c r="J2090" t="s">
        <v>1708</v>
      </c>
      <c r="K2090" t="s">
        <v>4629</v>
      </c>
    </row>
    <row r="2091" spans="1:11" ht="20" customHeight="1">
      <c r="A2091" t="s">
        <v>4628</v>
      </c>
      <c r="B2091" t="s">
        <v>1709</v>
      </c>
      <c r="C2091">
        <v>379.9299926757812</v>
      </c>
      <c r="D2091">
        <v>381.1400146484375</v>
      </c>
      <c r="E2091">
        <v>373.6099853515625</v>
      </c>
      <c r="F2091">
        <v>374.1300048828125</v>
      </c>
      <c r="G2091">
        <v>355.2197875976562</v>
      </c>
      <c r="H2091">
        <v>78495500</v>
      </c>
      <c r="I2091" t="s">
        <v>1710</v>
      </c>
      <c r="J2091" t="s">
        <v>1711</v>
      </c>
      <c r="K2091" t="s">
        <v>4629</v>
      </c>
    </row>
    <row r="2092" spans="1:11" ht="20" customHeight="1">
      <c r="A2092" t="s">
        <v>4628</v>
      </c>
      <c r="B2092" t="s">
        <v>1712</v>
      </c>
      <c r="C2092">
        <v>388.0499877929688</v>
      </c>
      <c r="D2092">
        <v>395.0400085449219</v>
      </c>
      <c r="E2092">
        <v>385.6400146484375</v>
      </c>
      <c r="F2092">
        <v>394.6900024414062</v>
      </c>
      <c r="G2092">
        <v>374.7405700683594</v>
      </c>
      <c r="H2092">
        <v>141455800</v>
      </c>
      <c r="I2092" t="s">
        <v>1713</v>
      </c>
      <c r="J2092" t="s">
        <v>1714</v>
      </c>
      <c r="K2092" t="s">
        <v>4629</v>
      </c>
    </row>
    <row r="2093" spans="1:11" ht="20" customHeight="1">
      <c r="A2093" t="s">
        <v>4628</v>
      </c>
      <c r="B2093" t="s">
        <v>1715</v>
      </c>
      <c r="C2093">
        <v>395.5899963378906</v>
      </c>
      <c r="D2093">
        <v>399.3500061035156</v>
      </c>
      <c r="E2093">
        <v>393.6099853515625</v>
      </c>
      <c r="F2093">
        <v>398.510009765625</v>
      </c>
      <c r="G2093">
        <v>378.3674621582031</v>
      </c>
      <c r="H2093">
        <v>93839900</v>
      </c>
      <c r="I2093" t="s">
        <v>1716</v>
      </c>
      <c r="J2093" t="s">
        <v>1717</v>
      </c>
      <c r="K2093" t="s">
        <v>4629</v>
      </c>
    </row>
    <row r="2094" spans="1:11" ht="20" customHeight="1">
      <c r="A2094" t="s">
        <v>4628</v>
      </c>
      <c r="B2094" t="s">
        <v>1718</v>
      </c>
      <c r="C2094">
        <v>396.6600036621094</v>
      </c>
      <c r="D2094">
        <v>400.1799926757812</v>
      </c>
      <c r="E2094">
        <v>394.8299865722656</v>
      </c>
      <c r="F2094">
        <v>395.1199951171875</v>
      </c>
      <c r="G2094">
        <v>375.1488037109375</v>
      </c>
      <c r="H2094">
        <v>71903500</v>
      </c>
      <c r="I2094" t="s">
        <v>1719</v>
      </c>
      <c r="J2094" t="s">
        <v>1720</v>
      </c>
      <c r="K2094" t="s">
        <v>4629</v>
      </c>
    </row>
    <row r="2095" spans="1:11" ht="20" customHeight="1">
      <c r="A2095" t="s">
        <v>4628</v>
      </c>
      <c r="B2095" t="s">
        <v>1721</v>
      </c>
      <c r="C2095">
        <v>401.1499938964844</v>
      </c>
      <c r="D2095">
        <v>402.3099975585938</v>
      </c>
      <c r="E2095">
        <v>394.489990234375</v>
      </c>
      <c r="F2095">
        <v>398.489990234375</v>
      </c>
      <c r="G2095">
        <v>378.3484802246094</v>
      </c>
      <c r="H2095">
        <v>93194500</v>
      </c>
      <c r="I2095" t="s">
        <v>1722</v>
      </c>
      <c r="J2095" t="s">
        <v>1723</v>
      </c>
      <c r="K2095" t="s">
        <v>4629</v>
      </c>
    </row>
    <row r="2096" spans="1:11" ht="20" customHeight="1">
      <c r="A2096" t="s">
        <v>4628</v>
      </c>
      <c r="B2096" t="s">
        <v>1724</v>
      </c>
      <c r="C2096">
        <v>396.7799987792969</v>
      </c>
      <c r="D2096">
        <v>397.7799987792969</v>
      </c>
      <c r="E2096">
        <v>394.7900085449219</v>
      </c>
      <c r="F2096">
        <v>395.4500122070312</v>
      </c>
      <c r="G2096">
        <v>375.4621887207031</v>
      </c>
      <c r="H2096">
        <v>68508500</v>
      </c>
      <c r="I2096" t="s">
        <v>1725</v>
      </c>
      <c r="J2096" t="s">
        <v>1726</v>
      </c>
      <c r="K2096" t="s">
        <v>4629</v>
      </c>
    </row>
    <row r="2097" spans="1:11" ht="20" customHeight="1">
      <c r="A2097" t="s">
        <v>4628</v>
      </c>
      <c r="B2097" t="s">
        <v>1727</v>
      </c>
      <c r="C2097">
        <v>390.4599914550781</v>
      </c>
      <c r="D2097">
        <v>394.9500122070312</v>
      </c>
      <c r="E2097">
        <v>390.1400146484375</v>
      </c>
      <c r="F2097">
        <v>394.239990234375</v>
      </c>
      <c r="G2097">
        <v>374.3133239746094</v>
      </c>
      <c r="H2097">
        <v>74496300</v>
      </c>
      <c r="I2097" t="s">
        <v>1728</v>
      </c>
      <c r="J2097" t="s">
        <v>1729</v>
      </c>
      <c r="K2097" t="s">
        <v>4629</v>
      </c>
    </row>
    <row r="2098" spans="1:11" ht="20" customHeight="1">
      <c r="A2098" t="s">
        <v>4628</v>
      </c>
      <c r="B2098" t="s">
        <v>1730</v>
      </c>
      <c r="C2098">
        <v>397.739990234375</v>
      </c>
      <c r="D2098">
        <v>397.8099975585938</v>
      </c>
      <c r="E2098">
        <v>393.0400085449219</v>
      </c>
      <c r="F2098">
        <v>396.0299987792969</v>
      </c>
      <c r="G2098">
        <v>376.0128784179688</v>
      </c>
      <c r="H2098">
        <v>92922500</v>
      </c>
      <c r="I2098" t="s">
        <v>1731</v>
      </c>
      <c r="J2098" t="s">
        <v>1732</v>
      </c>
      <c r="K2098" t="s">
        <v>4629</v>
      </c>
    </row>
    <row r="2099" spans="1:11" ht="20" customHeight="1">
      <c r="A2099" t="s">
        <v>4628</v>
      </c>
      <c r="B2099" t="s">
        <v>1733</v>
      </c>
      <c r="C2099">
        <v>394.6400146484375</v>
      </c>
      <c r="D2099">
        <v>395.8200073242188</v>
      </c>
      <c r="E2099">
        <v>392.6600036621094</v>
      </c>
      <c r="F2099">
        <v>394.5899963378906</v>
      </c>
      <c r="G2099">
        <v>374.6455993652344</v>
      </c>
      <c r="H2099">
        <v>51243200</v>
      </c>
      <c r="I2099" t="s">
        <v>1734</v>
      </c>
      <c r="J2099" t="s">
        <v>1735</v>
      </c>
      <c r="K2099" t="s">
        <v>4629</v>
      </c>
    </row>
    <row r="2100" spans="1:11" ht="20" customHeight="1">
      <c r="A2100" t="s">
        <v>4628</v>
      </c>
      <c r="B2100" t="s">
        <v>1736</v>
      </c>
      <c r="C2100">
        <v>396.6300048828125</v>
      </c>
      <c r="D2100">
        <v>400.0700073242188</v>
      </c>
      <c r="E2100">
        <v>395.1499938964844</v>
      </c>
      <c r="F2100">
        <v>399.8999938964844</v>
      </c>
      <c r="G2100">
        <v>379.687255859375</v>
      </c>
      <c r="H2100">
        <v>60429000</v>
      </c>
      <c r="I2100" t="s">
        <v>1737</v>
      </c>
      <c r="J2100" t="s">
        <v>1738</v>
      </c>
      <c r="K2100" t="s">
        <v>4629</v>
      </c>
    </row>
    <row r="2101" spans="1:11" ht="20" customHeight="1">
      <c r="A2101" t="s">
        <v>4628</v>
      </c>
      <c r="B2101" t="s">
        <v>1739</v>
      </c>
      <c r="C2101">
        <v>399.5499877929688</v>
      </c>
      <c r="D2101">
        <v>402.9299926757812</v>
      </c>
      <c r="E2101">
        <v>399.3099975585938</v>
      </c>
      <c r="F2101">
        <v>402.4200134277344</v>
      </c>
      <c r="G2101">
        <v>382.0799255371094</v>
      </c>
      <c r="H2101">
        <v>68261600</v>
      </c>
      <c r="I2101" t="s">
        <v>1740</v>
      </c>
      <c r="J2101" t="s">
        <v>1741</v>
      </c>
      <c r="K2101" t="s">
        <v>4629</v>
      </c>
    </row>
    <row r="2102" spans="1:11" ht="20" customHeight="1">
      <c r="A2102" t="s">
        <v>4628</v>
      </c>
      <c r="B2102" t="s">
        <v>1742</v>
      </c>
      <c r="C2102">
        <v>401.8299865722656</v>
      </c>
      <c r="D2102">
        <v>402.9100036621094</v>
      </c>
      <c r="E2102">
        <v>401.5400085449219</v>
      </c>
      <c r="F2102">
        <v>402.3299865722656</v>
      </c>
      <c r="G2102">
        <v>381.9944152832031</v>
      </c>
      <c r="H2102">
        <v>30545400</v>
      </c>
      <c r="I2102" t="s">
        <v>1743</v>
      </c>
      <c r="J2102" t="s">
        <v>1744</v>
      </c>
      <c r="K2102" t="s">
        <v>4629</v>
      </c>
    </row>
    <row r="2103" spans="1:11" ht="20" customHeight="1">
      <c r="A2103" t="s">
        <v>4628</v>
      </c>
      <c r="B2103" t="s">
        <v>1745</v>
      </c>
      <c r="C2103">
        <v>399.0899963378906</v>
      </c>
      <c r="D2103">
        <v>400.8099975585938</v>
      </c>
      <c r="E2103">
        <v>395.1099853515625</v>
      </c>
      <c r="F2103">
        <v>395.9100036621094</v>
      </c>
      <c r="G2103">
        <v>375.8989562988281</v>
      </c>
      <c r="H2103">
        <v>67881600</v>
      </c>
      <c r="I2103" t="s">
        <v>1746</v>
      </c>
      <c r="J2103" t="s">
        <v>1747</v>
      </c>
      <c r="K2103" t="s">
        <v>4629</v>
      </c>
    </row>
    <row r="2104" spans="1:11" ht="20" customHeight="1">
      <c r="A2104" t="s">
        <v>4628</v>
      </c>
      <c r="B2104" t="s">
        <v>1748</v>
      </c>
      <c r="C2104">
        <v>396.0499877929688</v>
      </c>
      <c r="D2104">
        <v>397.2999877929688</v>
      </c>
      <c r="E2104">
        <v>393.2999877929688</v>
      </c>
      <c r="F2104">
        <v>395.2300109863281</v>
      </c>
      <c r="G2104">
        <v>375.2533569335938</v>
      </c>
      <c r="H2104">
        <v>52310000</v>
      </c>
      <c r="I2104" t="s">
        <v>1749</v>
      </c>
      <c r="J2104" t="s">
        <v>1750</v>
      </c>
      <c r="K2104" t="s">
        <v>4629</v>
      </c>
    </row>
    <row r="2105" spans="1:11" ht="20" customHeight="1">
      <c r="A2105" t="s">
        <v>4628</v>
      </c>
      <c r="B2105" t="s">
        <v>1751</v>
      </c>
      <c r="C2105">
        <v>395.489990234375</v>
      </c>
      <c r="D2105">
        <v>407.6799926757812</v>
      </c>
      <c r="E2105">
        <v>393.4800109863281</v>
      </c>
      <c r="F2105">
        <v>407.6799926757812</v>
      </c>
      <c r="G2105">
        <v>387.0740356445312</v>
      </c>
      <c r="H2105">
        <v>144566700</v>
      </c>
      <c r="I2105" t="s">
        <v>1752</v>
      </c>
      <c r="J2105" t="s">
        <v>1753</v>
      </c>
      <c r="K2105" t="s">
        <v>4629</v>
      </c>
    </row>
    <row r="2106" spans="1:11" ht="20" customHeight="1">
      <c r="A2106" t="s">
        <v>4628</v>
      </c>
      <c r="B2106" t="s">
        <v>1754</v>
      </c>
      <c r="C2106">
        <v>408.7699890136719</v>
      </c>
      <c r="D2106">
        <v>410</v>
      </c>
      <c r="E2106">
        <v>404.75</v>
      </c>
      <c r="F2106">
        <v>407.3800048828125</v>
      </c>
      <c r="G2106">
        <v>386.7891845703125</v>
      </c>
      <c r="H2106">
        <v>76398200</v>
      </c>
      <c r="I2106" t="s">
        <v>1755</v>
      </c>
      <c r="J2106" t="s">
        <v>1756</v>
      </c>
      <c r="K2106" t="s">
        <v>4629</v>
      </c>
    </row>
    <row r="2107" spans="1:11" ht="20" customHeight="1">
      <c r="A2107" t="s">
        <v>4628</v>
      </c>
      <c r="B2107" t="s">
        <v>1757</v>
      </c>
      <c r="C2107">
        <v>402.25</v>
      </c>
      <c r="D2107">
        <v>407.8599853515625</v>
      </c>
      <c r="E2107">
        <v>402.1400146484375</v>
      </c>
      <c r="F2107">
        <v>406.9100036621094</v>
      </c>
      <c r="G2107">
        <v>386.3429565429688</v>
      </c>
      <c r="H2107">
        <v>85342700</v>
      </c>
      <c r="I2107" t="s">
        <v>1758</v>
      </c>
      <c r="J2107" t="s">
        <v>1759</v>
      </c>
      <c r="K2107" t="s">
        <v>4629</v>
      </c>
    </row>
    <row r="2108" spans="1:11" ht="20" customHeight="1">
      <c r="A2108" t="s">
        <v>4628</v>
      </c>
      <c r="B2108" t="s">
        <v>1760</v>
      </c>
      <c r="C2108">
        <v>403.9500122070312</v>
      </c>
      <c r="D2108">
        <v>404.9299926757812</v>
      </c>
      <c r="E2108">
        <v>398.1700134277344</v>
      </c>
      <c r="F2108">
        <v>399.5899963378906</v>
      </c>
      <c r="G2108">
        <v>379.3929443359375</v>
      </c>
      <c r="H2108">
        <v>77289800</v>
      </c>
      <c r="I2108" t="s">
        <v>1761</v>
      </c>
      <c r="J2108" t="s">
        <v>1762</v>
      </c>
      <c r="K2108" t="s">
        <v>4629</v>
      </c>
    </row>
    <row r="2109" spans="1:11" ht="20" customHeight="1">
      <c r="A2109" t="s">
        <v>4628</v>
      </c>
      <c r="B2109" t="s">
        <v>1763</v>
      </c>
      <c r="C2109">
        <v>399.4200134277344</v>
      </c>
      <c r="D2109">
        <v>399.989990234375</v>
      </c>
      <c r="E2109">
        <v>391.6400146484375</v>
      </c>
      <c r="F2109">
        <v>393.8299865722656</v>
      </c>
      <c r="G2109">
        <v>373.9240112304688</v>
      </c>
      <c r="H2109">
        <v>77972200</v>
      </c>
      <c r="I2109" t="s">
        <v>1764</v>
      </c>
      <c r="J2109" t="s">
        <v>1765</v>
      </c>
      <c r="K2109" t="s">
        <v>4629</v>
      </c>
    </row>
    <row r="2110" spans="1:11" ht="20" customHeight="1">
      <c r="A2110" t="s">
        <v>4628</v>
      </c>
      <c r="B2110" t="s">
        <v>1766</v>
      </c>
      <c r="C2110">
        <v>392.9400024414062</v>
      </c>
      <c r="D2110">
        <v>395.6400146484375</v>
      </c>
      <c r="E2110">
        <v>391.9700012207031</v>
      </c>
      <c r="F2110">
        <v>393.1600036621094</v>
      </c>
      <c r="G2110">
        <v>373.2879943847656</v>
      </c>
      <c r="H2110">
        <v>65927900</v>
      </c>
      <c r="I2110" t="s">
        <v>1767</v>
      </c>
      <c r="J2110" t="s">
        <v>1768</v>
      </c>
      <c r="K2110" t="s">
        <v>4629</v>
      </c>
    </row>
    <row r="2111" spans="1:11" ht="20" customHeight="1">
      <c r="A2111" t="s">
        <v>4628</v>
      </c>
      <c r="B2111" t="s">
        <v>1769</v>
      </c>
      <c r="C2111">
        <v>395.1400146484375</v>
      </c>
      <c r="D2111">
        <v>397.3599853515625</v>
      </c>
      <c r="E2111">
        <v>393.2699890136719</v>
      </c>
      <c r="F2111">
        <v>396.239990234375</v>
      </c>
      <c r="G2111">
        <v>376.2122497558594</v>
      </c>
      <c r="H2111">
        <v>60737900</v>
      </c>
      <c r="I2111" t="s">
        <v>1770</v>
      </c>
      <c r="J2111" t="s">
        <v>1771</v>
      </c>
      <c r="K2111" t="s">
        <v>4629</v>
      </c>
    </row>
    <row r="2112" spans="1:11" ht="20" customHeight="1">
      <c r="A2112" t="s">
        <v>4628</v>
      </c>
      <c r="B2112" t="s">
        <v>1772</v>
      </c>
      <c r="C2112">
        <v>394.9400024414062</v>
      </c>
      <c r="D2112">
        <v>397.6199951171875</v>
      </c>
      <c r="E2112">
        <v>393.1499938964844</v>
      </c>
      <c r="F2112">
        <v>393.2799987792969</v>
      </c>
      <c r="G2112">
        <v>373.4018249511719</v>
      </c>
      <c r="H2112">
        <v>81447700</v>
      </c>
      <c r="I2112" t="s">
        <v>1773</v>
      </c>
      <c r="J2112" t="s">
        <v>1774</v>
      </c>
      <c r="K2112" t="s">
        <v>4629</v>
      </c>
    </row>
    <row r="2113" spans="1:11" ht="20" customHeight="1">
      <c r="A2113" t="s">
        <v>4628</v>
      </c>
      <c r="B2113" t="s">
        <v>1775</v>
      </c>
      <c r="C2113">
        <v>394.1099853515625</v>
      </c>
      <c r="D2113">
        <v>398.9500122070312</v>
      </c>
      <c r="E2113">
        <v>393.4100036621094</v>
      </c>
      <c r="F2113">
        <v>398.9500122070312</v>
      </c>
      <c r="G2113">
        <v>378.7852478027344</v>
      </c>
      <c r="H2113">
        <v>75405800</v>
      </c>
      <c r="I2113" t="s">
        <v>1776</v>
      </c>
      <c r="J2113" t="s">
        <v>1777</v>
      </c>
      <c r="K2113" t="s">
        <v>4629</v>
      </c>
    </row>
    <row r="2114" spans="1:11" ht="20" customHeight="1">
      <c r="A2114" t="s">
        <v>4628</v>
      </c>
      <c r="B2114" t="s">
        <v>1778</v>
      </c>
      <c r="C2114">
        <v>410.2200012207031</v>
      </c>
      <c r="D2114">
        <v>410.489990234375</v>
      </c>
      <c r="E2114">
        <v>399.0700073242188</v>
      </c>
      <c r="F2114">
        <v>401.9700012207031</v>
      </c>
      <c r="G2114">
        <v>381.6526184082031</v>
      </c>
      <c r="H2114">
        <v>123782500</v>
      </c>
      <c r="I2114" t="s">
        <v>1779</v>
      </c>
      <c r="J2114" t="s">
        <v>1780</v>
      </c>
      <c r="K2114" t="s">
        <v>4629</v>
      </c>
    </row>
    <row r="2115" spans="1:11" ht="20" customHeight="1">
      <c r="A2115" t="s">
        <v>4628</v>
      </c>
      <c r="B2115" t="s">
        <v>1781</v>
      </c>
      <c r="C2115">
        <v>401.6099853515625</v>
      </c>
      <c r="D2115">
        <v>405.5</v>
      </c>
      <c r="E2115">
        <v>396.3099975585938</v>
      </c>
      <c r="F2115">
        <v>399.3999938964844</v>
      </c>
      <c r="G2115">
        <v>379.2124938964844</v>
      </c>
      <c r="H2115">
        <v>108111300</v>
      </c>
      <c r="I2115" t="s">
        <v>1782</v>
      </c>
      <c r="J2115" t="s">
        <v>1783</v>
      </c>
      <c r="K2115" t="s">
        <v>4629</v>
      </c>
    </row>
    <row r="2116" spans="1:11" ht="20" customHeight="1">
      <c r="A2116" t="s">
        <v>4628</v>
      </c>
      <c r="B2116" t="s">
        <v>1784</v>
      </c>
      <c r="C2116">
        <v>394.2999877929688</v>
      </c>
      <c r="D2116">
        <v>395.25</v>
      </c>
      <c r="E2116">
        <v>387.8900146484375</v>
      </c>
      <c r="F2116">
        <v>389.6300048828125</v>
      </c>
      <c r="G2116">
        <v>369.9363403320312</v>
      </c>
      <c r="H2116">
        <v>117705900</v>
      </c>
      <c r="I2116" t="s">
        <v>1785</v>
      </c>
      <c r="J2116" t="s">
        <v>1786</v>
      </c>
      <c r="K2116" t="s">
        <v>4629</v>
      </c>
    </row>
    <row r="2117" spans="1:11" ht="20" customHeight="1">
      <c r="A2117" t="s">
        <v>4628</v>
      </c>
      <c r="B2117" t="s">
        <v>1787</v>
      </c>
      <c r="C2117">
        <v>385.1799926757812</v>
      </c>
      <c r="D2117">
        <v>386.5799865722656</v>
      </c>
      <c r="E2117">
        <v>381.0400085449219</v>
      </c>
      <c r="F2117">
        <v>383.2699890136719</v>
      </c>
      <c r="G2117">
        <v>365.56884765625</v>
      </c>
      <c r="H2117">
        <v>119858000</v>
      </c>
      <c r="I2117" t="s">
        <v>1788</v>
      </c>
      <c r="J2117" t="s">
        <v>1789</v>
      </c>
      <c r="K2117" t="s">
        <v>4629</v>
      </c>
    </row>
    <row r="2118" spans="1:11" ht="20" customHeight="1">
      <c r="A2118" t="s">
        <v>4628</v>
      </c>
      <c r="B2118" t="s">
        <v>1790</v>
      </c>
      <c r="C2118">
        <v>383.4700012207031</v>
      </c>
      <c r="D2118">
        <v>383.8200073242188</v>
      </c>
      <c r="E2118">
        <v>378.2799987792969</v>
      </c>
      <c r="F2118">
        <v>380.0199890136719</v>
      </c>
      <c r="G2118">
        <v>362.4688720703125</v>
      </c>
      <c r="H2118">
        <v>79878100</v>
      </c>
      <c r="I2118" t="s">
        <v>1791</v>
      </c>
      <c r="J2118" t="s">
        <v>1792</v>
      </c>
      <c r="K2118" t="s">
        <v>4629</v>
      </c>
    </row>
    <row r="2119" spans="1:11" ht="20" customHeight="1">
      <c r="A2119" t="s">
        <v>4628</v>
      </c>
      <c r="B2119" t="s">
        <v>1793</v>
      </c>
      <c r="C2119">
        <v>379.2300109863281</v>
      </c>
      <c r="D2119">
        <v>382.2300109863281</v>
      </c>
      <c r="E2119">
        <v>377.8500061035156</v>
      </c>
      <c r="F2119">
        <v>380.5400085449219</v>
      </c>
      <c r="G2119">
        <v>362.9649353027344</v>
      </c>
      <c r="H2119">
        <v>74427200</v>
      </c>
      <c r="I2119" t="s">
        <v>1794</v>
      </c>
      <c r="J2119" t="s">
        <v>1795</v>
      </c>
      <c r="K2119" t="s">
        <v>4629</v>
      </c>
    </row>
    <row r="2120" spans="1:11" ht="20" customHeight="1">
      <c r="A2120" t="s">
        <v>4628</v>
      </c>
      <c r="B2120" t="s">
        <v>1796</v>
      </c>
      <c r="C2120">
        <v>383.25</v>
      </c>
      <c r="D2120">
        <v>387.4100036621094</v>
      </c>
      <c r="E2120">
        <v>382.6900024414062</v>
      </c>
      <c r="F2120">
        <v>386.2300109863281</v>
      </c>
      <c r="G2120">
        <v>368.3921813964844</v>
      </c>
      <c r="H2120">
        <v>78167400</v>
      </c>
      <c r="I2120" t="s">
        <v>1797</v>
      </c>
      <c r="J2120" t="s">
        <v>1798</v>
      </c>
      <c r="K2120" t="s">
        <v>4629</v>
      </c>
    </row>
    <row r="2121" spans="1:11" ht="20" customHeight="1">
      <c r="A2121" t="s">
        <v>4628</v>
      </c>
      <c r="B2121" t="s">
        <v>1799</v>
      </c>
      <c r="C2121">
        <v>383.0499877929688</v>
      </c>
      <c r="D2121">
        <v>386.2099914550781</v>
      </c>
      <c r="E2121">
        <v>374.7699890136719</v>
      </c>
      <c r="F2121">
        <v>380.7200012207031</v>
      </c>
      <c r="G2121">
        <v>363.1366271972656</v>
      </c>
      <c r="H2121">
        <v>100120900</v>
      </c>
      <c r="I2121" t="s">
        <v>1800</v>
      </c>
      <c r="J2121" t="s">
        <v>1801</v>
      </c>
      <c r="K2121" t="s">
        <v>4629</v>
      </c>
    </row>
    <row r="2122" spans="1:11" ht="20" customHeight="1">
      <c r="A2122" t="s">
        <v>4628</v>
      </c>
      <c r="B2122" t="s">
        <v>1802</v>
      </c>
      <c r="C2122">
        <v>379.6499938964844</v>
      </c>
      <c r="D2122">
        <v>383.0599975585938</v>
      </c>
      <c r="E2122">
        <v>378.0299987792969</v>
      </c>
      <c r="F2122">
        <v>382.9100036621094</v>
      </c>
      <c r="G2122">
        <v>365.2254638671875</v>
      </c>
      <c r="H2122">
        <v>59857300</v>
      </c>
      <c r="I2122" t="s">
        <v>1803</v>
      </c>
      <c r="J2122" t="s">
        <v>1804</v>
      </c>
      <c r="K2122" t="s">
        <v>4629</v>
      </c>
    </row>
    <row r="2123" spans="1:11" ht="20" customHeight="1">
      <c r="A2123" t="s">
        <v>4628</v>
      </c>
      <c r="B2123" t="s">
        <v>1805</v>
      </c>
      <c r="C2123">
        <v>382.7900085449219</v>
      </c>
      <c r="D2123">
        <v>383.1499938964844</v>
      </c>
      <c r="E2123">
        <v>379.6499938964844</v>
      </c>
      <c r="F2123">
        <v>381.3999938964844</v>
      </c>
      <c r="G2123">
        <v>363.7852478027344</v>
      </c>
      <c r="H2123">
        <v>51638200</v>
      </c>
      <c r="I2123" t="s">
        <v>1806</v>
      </c>
      <c r="J2123" t="s">
        <v>1807</v>
      </c>
      <c r="K2123" t="s">
        <v>4629</v>
      </c>
    </row>
    <row r="2124" spans="1:11" ht="20" customHeight="1">
      <c r="A2124" t="s">
        <v>4628</v>
      </c>
      <c r="B2124" t="s">
        <v>1808</v>
      </c>
      <c r="C2124">
        <v>381.3299865722656</v>
      </c>
      <c r="D2124">
        <v>383.3900146484375</v>
      </c>
      <c r="E2124">
        <v>376.4200134277344</v>
      </c>
      <c r="F2124">
        <v>376.6600036621094</v>
      </c>
      <c r="G2124">
        <v>359.2641906738281</v>
      </c>
      <c r="H2124">
        <v>70911500</v>
      </c>
      <c r="I2124" t="s">
        <v>1809</v>
      </c>
      <c r="J2124" t="s">
        <v>1810</v>
      </c>
      <c r="K2124" t="s">
        <v>4629</v>
      </c>
    </row>
    <row r="2125" spans="1:11" ht="20" customHeight="1">
      <c r="A2125" t="s">
        <v>4628</v>
      </c>
      <c r="B2125" t="s">
        <v>1811</v>
      </c>
      <c r="C2125">
        <v>379.6300048828125</v>
      </c>
      <c r="D2125">
        <v>384.3500061035156</v>
      </c>
      <c r="E2125">
        <v>379.0799865722656</v>
      </c>
      <c r="F2125">
        <v>383.4400024414062</v>
      </c>
      <c r="G2125">
        <v>365.7309875488281</v>
      </c>
      <c r="H2125">
        <v>66970900</v>
      </c>
      <c r="I2125" t="s">
        <v>1812</v>
      </c>
      <c r="J2125" t="s">
        <v>1813</v>
      </c>
      <c r="K2125" t="s">
        <v>4629</v>
      </c>
    </row>
    <row r="2126" spans="1:11" ht="20" customHeight="1">
      <c r="A2126" t="s">
        <v>4628</v>
      </c>
      <c r="B2126" t="s">
        <v>1814</v>
      </c>
      <c r="C2126">
        <v>380.6400146484375</v>
      </c>
      <c r="D2126">
        <v>382.5799865722656</v>
      </c>
      <c r="E2126">
        <v>378.4299926757812</v>
      </c>
      <c r="F2126">
        <v>382.4299926757812</v>
      </c>
      <c r="G2126">
        <v>364.767578125</v>
      </c>
      <c r="H2126">
        <v>84022200</v>
      </c>
      <c r="I2126" t="s">
        <v>1815</v>
      </c>
      <c r="J2126" t="s">
        <v>1816</v>
      </c>
      <c r="K2126" t="s">
        <v>4629</v>
      </c>
    </row>
    <row r="2127" spans="1:11" ht="20" customHeight="1">
      <c r="A2127" t="s">
        <v>4628</v>
      </c>
      <c r="B2127" t="s">
        <v>1817</v>
      </c>
      <c r="C2127">
        <v>384.3699951171875</v>
      </c>
      <c r="D2127">
        <v>386.4299926757812</v>
      </c>
      <c r="E2127">
        <v>377.8299865722656</v>
      </c>
      <c r="F2127">
        <v>380.8200073242188</v>
      </c>
      <c r="G2127">
        <v>363.23193359375</v>
      </c>
      <c r="H2127">
        <v>74850700</v>
      </c>
      <c r="I2127" t="s">
        <v>1818</v>
      </c>
      <c r="J2127" t="s">
        <v>1819</v>
      </c>
      <c r="K2127" t="s">
        <v>4629</v>
      </c>
    </row>
    <row r="2128" spans="1:11" ht="20" customHeight="1">
      <c r="A2128" t="s">
        <v>4628</v>
      </c>
      <c r="B2128" t="s">
        <v>1820</v>
      </c>
      <c r="C2128">
        <v>383.1799926757812</v>
      </c>
      <c r="D2128">
        <v>385.8800048828125</v>
      </c>
      <c r="E2128">
        <v>380</v>
      </c>
      <c r="F2128">
        <v>383.760009765625</v>
      </c>
      <c r="G2128">
        <v>366.0361633300781</v>
      </c>
      <c r="H2128">
        <v>85934100</v>
      </c>
      <c r="I2128" t="s">
        <v>1821</v>
      </c>
      <c r="J2128" t="s">
        <v>1822</v>
      </c>
      <c r="K2128" t="s">
        <v>4629</v>
      </c>
    </row>
    <row r="2129" spans="1:11" ht="20" customHeight="1">
      <c r="A2129" t="s">
        <v>4628</v>
      </c>
      <c r="B2129" t="s">
        <v>1823</v>
      </c>
      <c r="C2129">
        <v>381.7200012207031</v>
      </c>
      <c r="D2129">
        <v>381.8399963378906</v>
      </c>
      <c r="E2129">
        <v>378.760009765625</v>
      </c>
      <c r="F2129">
        <v>379.3800048828125</v>
      </c>
      <c r="G2129">
        <v>361.8584899902344</v>
      </c>
      <c r="H2129">
        <v>76970500</v>
      </c>
      <c r="I2129" t="s">
        <v>1824</v>
      </c>
      <c r="J2129" t="s">
        <v>1825</v>
      </c>
      <c r="K2129" t="s">
        <v>4629</v>
      </c>
    </row>
    <row r="2130" spans="1:11" ht="20" customHeight="1">
      <c r="A2130" t="s">
        <v>4628</v>
      </c>
      <c r="B2130" t="s">
        <v>1826</v>
      </c>
      <c r="C2130">
        <v>382.6099853515625</v>
      </c>
      <c r="D2130">
        <v>389.25</v>
      </c>
      <c r="E2130">
        <v>379.4100036621094</v>
      </c>
      <c r="F2130">
        <v>388.0799865722656</v>
      </c>
      <c r="G2130">
        <v>370.1566772460938</v>
      </c>
      <c r="H2130">
        <v>104189600</v>
      </c>
      <c r="I2130" t="s">
        <v>1827</v>
      </c>
      <c r="J2130" t="s">
        <v>1828</v>
      </c>
      <c r="K2130" t="s">
        <v>4629</v>
      </c>
    </row>
    <row r="2131" spans="1:11" ht="20" customHeight="1">
      <c r="A2131" t="s">
        <v>4628</v>
      </c>
      <c r="B2131" t="s">
        <v>1829</v>
      </c>
      <c r="C2131">
        <v>390.3699951171875</v>
      </c>
      <c r="D2131">
        <v>393.7000122070312</v>
      </c>
      <c r="E2131">
        <v>387.6700134277344</v>
      </c>
      <c r="F2131">
        <v>387.8599853515625</v>
      </c>
      <c r="G2131">
        <v>369.9468383789062</v>
      </c>
      <c r="H2131">
        <v>73978100</v>
      </c>
      <c r="I2131" t="s">
        <v>1830</v>
      </c>
      <c r="J2131" t="s">
        <v>1831</v>
      </c>
      <c r="K2131" t="s">
        <v>4629</v>
      </c>
    </row>
    <row r="2132" spans="1:11" ht="20" customHeight="1">
      <c r="A2132" t="s">
        <v>4628</v>
      </c>
      <c r="B2132" t="s">
        <v>1832</v>
      </c>
      <c r="C2132">
        <v>387.25</v>
      </c>
      <c r="D2132">
        <v>390.6499938964844</v>
      </c>
      <c r="E2132">
        <v>386.2699890136719</v>
      </c>
      <c r="F2132">
        <v>390.5799865722656</v>
      </c>
      <c r="G2132">
        <v>372.541259765625</v>
      </c>
      <c r="H2132">
        <v>65358100</v>
      </c>
      <c r="I2132" t="s">
        <v>1833</v>
      </c>
      <c r="J2132" t="s">
        <v>1834</v>
      </c>
      <c r="K2132" t="s">
        <v>4629</v>
      </c>
    </row>
    <row r="2133" spans="1:11" ht="20" customHeight="1">
      <c r="A2133" t="s">
        <v>4628</v>
      </c>
      <c r="B2133" t="s">
        <v>1835</v>
      </c>
      <c r="C2133">
        <v>392.2300109863281</v>
      </c>
      <c r="D2133">
        <v>395.6000061035156</v>
      </c>
      <c r="E2133">
        <v>391.3800048828125</v>
      </c>
      <c r="F2133">
        <v>395.5199890136719</v>
      </c>
      <c r="G2133">
        <v>377.2529907226562</v>
      </c>
      <c r="H2133">
        <v>68881100</v>
      </c>
      <c r="I2133" t="s">
        <v>1836</v>
      </c>
      <c r="J2133" t="s">
        <v>1837</v>
      </c>
      <c r="K2133" t="s">
        <v>4629</v>
      </c>
    </row>
    <row r="2134" spans="1:11" ht="20" customHeight="1">
      <c r="A2134" t="s">
        <v>4628</v>
      </c>
      <c r="B2134" t="s">
        <v>1838</v>
      </c>
      <c r="C2134">
        <v>396.6700134277344</v>
      </c>
      <c r="D2134">
        <v>398.489990234375</v>
      </c>
      <c r="E2134">
        <v>392.4200134277344</v>
      </c>
      <c r="F2134">
        <v>396.9599914550781</v>
      </c>
      <c r="G2134">
        <v>378.6265563964844</v>
      </c>
      <c r="H2134">
        <v>90157700</v>
      </c>
      <c r="I2134" t="s">
        <v>1839</v>
      </c>
      <c r="J2134" t="s">
        <v>1840</v>
      </c>
      <c r="K2134" t="s">
        <v>4629</v>
      </c>
    </row>
    <row r="2135" spans="1:11" ht="20" customHeight="1">
      <c r="A2135" t="s">
        <v>4628</v>
      </c>
      <c r="B2135" t="s">
        <v>1841</v>
      </c>
      <c r="C2135">
        <v>393.6199951171875</v>
      </c>
      <c r="D2135">
        <v>399.1000061035156</v>
      </c>
      <c r="E2135">
        <v>393.3399963378906</v>
      </c>
      <c r="F2135">
        <v>398.5</v>
      </c>
      <c r="G2135">
        <v>380.095458984375</v>
      </c>
      <c r="H2135">
        <v>63903900</v>
      </c>
      <c r="I2135" t="s">
        <v>1842</v>
      </c>
      <c r="J2135" t="s">
        <v>1843</v>
      </c>
      <c r="K2135" t="s">
        <v>4629</v>
      </c>
    </row>
    <row r="2136" spans="1:11" ht="20" customHeight="1">
      <c r="A2136" t="s">
        <v>4628</v>
      </c>
      <c r="B2136" t="s">
        <v>1844</v>
      </c>
      <c r="C2136">
        <v>398.4800109863281</v>
      </c>
      <c r="D2136">
        <v>400.2300109863281</v>
      </c>
      <c r="E2136">
        <v>397.0599975585938</v>
      </c>
      <c r="F2136">
        <v>397.7699890136719</v>
      </c>
      <c r="G2136">
        <v>379.399169921875</v>
      </c>
      <c r="H2136">
        <v>62677300</v>
      </c>
      <c r="I2136" t="s">
        <v>1845</v>
      </c>
      <c r="J2136" t="s">
        <v>1846</v>
      </c>
      <c r="K2136" t="s">
        <v>4629</v>
      </c>
    </row>
    <row r="2137" spans="1:11" ht="20" customHeight="1">
      <c r="A2137" t="s">
        <v>4628</v>
      </c>
      <c r="B2137" t="s">
        <v>1847</v>
      </c>
      <c r="C2137">
        <v>399.010009765625</v>
      </c>
      <c r="D2137">
        <v>400.1199951171875</v>
      </c>
      <c r="E2137">
        <v>391.2799987792969</v>
      </c>
      <c r="F2137">
        <v>391.489990234375</v>
      </c>
      <c r="G2137">
        <v>373.4091491699219</v>
      </c>
      <c r="H2137">
        <v>99632300</v>
      </c>
      <c r="I2137" t="s">
        <v>1848</v>
      </c>
      <c r="J2137" t="s">
        <v>1849</v>
      </c>
      <c r="K2137" t="s">
        <v>4629</v>
      </c>
    </row>
    <row r="2138" spans="1:11" ht="20" customHeight="1">
      <c r="A2138" t="s">
        <v>4628</v>
      </c>
      <c r="B2138" t="s">
        <v>1850</v>
      </c>
      <c r="C2138">
        <v>389.3599853515625</v>
      </c>
      <c r="D2138">
        <v>391.0799865722656</v>
      </c>
      <c r="E2138">
        <v>387.260009765625</v>
      </c>
      <c r="F2138">
        <v>388.6400146484375</v>
      </c>
      <c r="G2138">
        <v>370.6908569335938</v>
      </c>
      <c r="H2138">
        <v>86958900</v>
      </c>
      <c r="I2138" t="s">
        <v>1851</v>
      </c>
      <c r="J2138" t="s">
        <v>1852</v>
      </c>
      <c r="K2138" t="s">
        <v>4629</v>
      </c>
    </row>
    <row r="2139" spans="1:11" ht="20" customHeight="1">
      <c r="A2139" t="s">
        <v>4628</v>
      </c>
      <c r="B2139" t="s">
        <v>1853</v>
      </c>
      <c r="C2139">
        <v>390.1000061035156</v>
      </c>
      <c r="D2139">
        <v>396.0400085449219</v>
      </c>
      <c r="E2139">
        <v>388.3800048828125</v>
      </c>
      <c r="F2139">
        <v>395.8800048828125</v>
      </c>
      <c r="G2139">
        <v>377.5964660644531</v>
      </c>
      <c r="H2139">
        <v>91806400</v>
      </c>
      <c r="I2139" t="s">
        <v>1854</v>
      </c>
      <c r="J2139" t="s">
        <v>1855</v>
      </c>
      <c r="K2139" t="s">
        <v>4629</v>
      </c>
    </row>
    <row r="2140" spans="1:11" ht="20" customHeight="1">
      <c r="A2140" t="s">
        <v>4628</v>
      </c>
      <c r="B2140" t="s">
        <v>1856</v>
      </c>
      <c r="C2140">
        <v>396.7200012207031</v>
      </c>
      <c r="D2140">
        <v>402.6499938964844</v>
      </c>
      <c r="E2140">
        <v>395.7200012207031</v>
      </c>
      <c r="F2140">
        <v>400.6300048828125</v>
      </c>
      <c r="G2140">
        <v>382.1270751953125</v>
      </c>
      <c r="H2140">
        <v>84178800</v>
      </c>
      <c r="I2140" t="s">
        <v>1857</v>
      </c>
      <c r="J2140" t="s">
        <v>1858</v>
      </c>
      <c r="K2140" t="s">
        <v>4629</v>
      </c>
    </row>
    <row r="2141" spans="1:11" ht="20" customHeight="1">
      <c r="A2141" t="s">
        <v>4628</v>
      </c>
      <c r="B2141" t="s">
        <v>1859</v>
      </c>
      <c r="C2141">
        <v>398.8800048828125</v>
      </c>
      <c r="D2141">
        <v>401.1499938964844</v>
      </c>
      <c r="E2141">
        <v>397.6400146484375</v>
      </c>
      <c r="F2141">
        <v>400.2000122070312</v>
      </c>
      <c r="G2141">
        <v>381.7169494628906</v>
      </c>
      <c r="H2141">
        <v>59524900</v>
      </c>
      <c r="I2141" t="s">
        <v>1860</v>
      </c>
      <c r="J2141" t="s">
        <v>1861</v>
      </c>
      <c r="K2141" t="s">
        <v>4629</v>
      </c>
    </row>
    <row r="2142" spans="1:11" ht="20" customHeight="1">
      <c r="A2142" t="s">
        <v>4628</v>
      </c>
      <c r="B2142" t="s">
        <v>1862</v>
      </c>
      <c r="C2142">
        <v>395.9500122070312</v>
      </c>
      <c r="D2142">
        <v>400.7000122070312</v>
      </c>
      <c r="E2142">
        <v>393.5599975585938</v>
      </c>
      <c r="F2142">
        <v>400.3500061035156</v>
      </c>
      <c r="G2142">
        <v>381.8600463867188</v>
      </c>
      <c r="H2142">
        <v>84800300</v>
      </c>
      <c r="I2142" t="s">
        <v>1863</v>
      </c>
      <c r="J2142" t="s">
        <v>1864</v>
      </c>
      <c r="K2142" t="s">
        <v>4629</v>
      </c>
    </row>
    <row r="2143" spans="1:11" ht="20" customHeight="1">
      <c r="A2143" t="s">
        <v>4628</v>
      </c>
      <c r="B2143" t="s">
        <v>1865</v>
      </c>
      <c r="C2143">
        <v>403.1300048828125</v>
      </c>
      <c r="D2143">
        <v>404.9200134277344</v>
      </c>
      <c r="E2143">
        <v>400.0299987792969</v>
      </c>
      <c r="F2143">
        <v>404.75</v>
      </c>
      <c r="G2143">
        <v>386.0567932128906</v>
      </c>
      <c r="H2143">
        <v>72287400</v>
      </c>
      <c r="I2143" t="s">
        <v>1866</v>
      </c>
      <c r="J2143" t="s">
        <v>1867</v>
      </c>
      <c r="K2143" t="s">
        <v>4629</v>
      </c>
    </row>
    <row r="2144" spans="1:11" ht="20" customHeight="1">
      <c r="A2144" t="s">
        <v>4628</v>
      </c>
      <c r="B2144" t="s">
        <v>1868</v>
      </c>
      <c r="C2144">
        <v>403.6600036621094</v>
      </c>
      <c r="D2144">
        <v>408.1600036621094</v>
      </c>
      <c r="E2144">
        <v>403.4400024414062</v>
      </c>
      <c r="F2144">
        <v>405.6799926757812</v>
      </c>
      <c r="G2144">
        <v>386.9437866210938</v>
      </c>
      <c r="H2144">
        <v>68346200</v>
      </c>
      <c r="I2144" t="s">
        <v>1869</v>
      </c>
      <c r="J2144" t="s">
        <v>1870</v>
      </c>
      <c r="K2144" t="s">
        <v>4629</v>
      </c>
    </row>
    <row r="2145" spans="1:11" ht="20" customHeight="1">
      <c r="A2145" t="s">
        <v>4628</v>
      </c>
      <c r="B2145" t="s">
        <v>1871</v>
      </c>
      <c r="C2145">
        <v>402.7999877929688</v>
      </c>
      <c r="D2145">
        <v>405.1300048828125</v>
      </c>
      <c r="E2145">
        <v>400.2799987792969</v>
      </c>
      <c r="F2145">
        <v>400.5899963378906</v>
      </c>
      <c r="G2145">
        <v>382.0889282226562</v>
      </c>
      <c r="H2145">
        <v>74202000</v>
      </c>
      <c r="I2145" t="s">
        <v>1872</v>
      </c>
      <c r="J2145" t="s">
        <v>1873</v>
      </c>
      <c r="K2145" t="s">
        <v>4629</v>
      </c>
    </row>
    <row r="2146" spans="1:11" ht="20" customHeight="1">
      <c r="A2146" t="s">
        <v>4628</v>
      </c>
      <c r="B2146" t="s">
        <v>1874</v>
      </c>
      <c r="C2146">
        <v>401.1300048828125</v>
      </c>
      <c r="D2146">
        <v>406.5299987792969</v>
      </c>
      <c r="E2146">
        <v>400.7699890136719</v>
      </c>
      <c r="F2146">
        <v>406.4800109863281</v>
      </c>
      <c r="G2146">
        <v>387.7068786621094</v>
      </c>
      <c r="H2146">
        <v>86811800</v>
      </c>
      <c r="I2146" t="s">
        <v>1875</v>
      </c>
      <c r="J2146" t="s">
        <v>1876</v>
      </c>
      <c r="K2146" t="s">
        <v>4629</v>
      </c>
    </row>
    <row r="2147" spans="1:11" ht="20" customHeight="1">
      <c r="A2147" t="s">
        <v>4628</v>
      </c>
      <c r="B2147" t="s">
        <v>1877</v>
      </c>
      <c r="C2147">
        <v>405.2099914550781</v>
      </c>
      <c r="D2147">
        <v>413.6700134277344</v>
      </c>
      <c r="E2147">
        <v>402.3500061035156</v>
      </c>
      <c r="F2147">
        <v>410.7999877929688</v>
      </c>
      <c r="G2147">
        <v>391.8273010253906</v>
      </c>
      <c r="H2147">
        <v>101459200</v>
      </c>
      <c r="I2147" t="s">
        <v>1878</v>
      </c>
      <c r="J2147" t="s">
        <v>1879</v>
      </c>
      <c r="K2147" t="s">
        <v>4629</v>
      </c>
    </row>
    <row r="2148" spans="1:11" ht="20" customHeight="1">
      <c r="A2148" t="s">
        <v>4628</v>
      </c>
      <c r="B2148" t="s">
        <v>1880</v>
      </c>
      <c r="C2148">
        <v>414.8599853515625</v>
      </c>
      <c r="D2148">
        <v>418.3099975585938</v>
      </c>
      <c r="E2148">
        <v>412.8800048828125</v>
      </c>
      <c r="F2148">
        <v>416.7799987792969</v>
      </c>
      <c r="G2148">
        <v>397.5312194824219</v>
      </c>
      <c r="H2148">
        <v>101654500</v>
      </c>
      <c r="I2148" t="s">
        <v>1881</v>
      </c>
      <c r="J2148" t="s">
        <v>1882</v>
      </c>
      <c r="K2148" t="s">
        <v>4629</v>
      </c>
    </row>
    <row r="2149" spans="1:11" ht="20" customHeight="1">
      <c r="A2149" t="s">
        <v>4628</v>
      </c>
      <c r="B2149" t="s">
        <v>1883</v>
      </c>
      <c r="C2149">
        <v>411.5899963378906</v>
      </c>
      <c r="D2149">
        <v>416.9700012207031</v>
      </c>
      <c r="E2149">
        <v>411.0899963378906</v>
      </c>
      <c r="F2149">
        <v>412.3500061035156</v>
      </c>
      <c r="G2149">
        <v>393.3058166503906</v>
      </c>
      <c r="H2149">
        <v>94736800</v>
      </c>
      <c r="I2149" t="s">
        <v>1884</v>
      </c>
      <c r="J2149" t="s">
        <v>1885</v>
      </c>
      <c r="K2149" t="s">
        <v>4629</v>
      </c>
    </row>
    <row r="2150" spans="1:11" ht="20" customHeight="1">
      <c r="A2150" t="s">
        <v>4628</v>
      </c>
      <c r="B2150" t="s">
        <v>1886</v>
      </c>
      <c r="C2150">
        <v>409.7900085449219</v>
      </c>
      <c r="D2150">
        <v>411.2900085449219</v>
      </c>
      <c r="E2150">
        <v>408.1000061035156</v>
      </c>
      <c r="F2150">
        <v>409.8299865722656</v>
      </c>
      <c r="G2150">
        <v>390.9021606445312</v>
      </c>
      <c r="H2150">
        <v>60295300</v>
      </c>
      <c r="I2150" t="s">
        <v>1887</v>
      </c>
      <c r="J2150" t="s">
        <v>1888</v>
      </c>
      <c r="K2150" t="s">
        <v>4629</v>
      </c>
    </row>
    <row r="2151" spans="1:11" ht="20" customHeight="1">
      <c r="A2151" t="s">
        <v>4628</v>
      </c>
      <c r="B2151" t="s">
        <v>1889</v>
      </c>
      <c r="C2151">
        <v>408.8699951171875</v>
      </c>
      <c r="D2151">
        <v>416.489990234375</v>
      </c>
      <c r="E2151">
        <v>407.5700073242188</v>
      </c>
      <c r="F2151">
        <v>415.1900024414062</v>
      </c>
      <c r="G2151">
        <v>396.0146484375</v>
      </c>
      <c r="H2151">
        <v>90990700</v>
      </c>
      <c r="I2151" t="s">
        <v>1890</v>
      </c>
      <c r="J2151" t="s">
        <v>1891</v>
      </c>
      <c r="K2151" t="s">
        <v>4629</v>
      </c>
    </row>
    <row r="2152" spans="1:11" ht="20" customHeight="1">
      <c r="A2152" t="s">
        <v>4628</v>
      </c>
      <c r="B2152" t="s">
        <v>1892</v>
      </c>
      <c r="C2152">
        <v>413.1300048828125</v>
      </c>
      <c r="D2152">
        <v>414.5299987792969</v>
      </c>
      <c r="E2152">
        <v>409.9299926757812</v>
      </c>
      <c r="F2152">
        <v>410.6499938964844</v>
      </c>
      <c r="G2152">
        <v>391.6842651367188</v>
      </c>
      <c r="H2152">
        <v>76227500</v>
      </c>
      <c r="I2152" t="s">
        <v>1893</v>
      </c>
      <c r="J2152" t="s">
        <v>1894</v>
      </c>
      <c r="K2152" t="s">
        <v>4629</v>
      </c>
    </row>
    <row r="2153" spans="1:11" ht="20" customHeight="1">
      <c r="A2153" t="s">
        <v>4628</v>
      </c>
      <c r="B2153" t="s">
        <v>1895</v>
      </c>
      <c r="C2153">
        <v>414.4100036621094</v>
      </c>
      <c r="D2153">
        <v>414.5700073242188</v>
      </c>
      <c r="E2153">
        <v>405.8099975585938</v>
      </c>
      <c r="F2153">
        <v>407.0899963378906</v>
      </c>
      <c r="G2153">
        <v>388.2886657714844</v>
      </c>
      <c r="H2153">
        <v>78694900</v>
      </c>
      <c r="I2153" t="s">
        <v>1896</v>
      </c>
      <c r="J2153" t="s">
        <v>1897</v>
      </c>
      <c r="K2153" t="s">
        <v>4629</v>
      </c>
    </row>
    <row r="2154" spans="1:11" ht="20" customHeight="1">
      <c r="A2154" t="s">
        <v>4628</v>
      </c>
      <c r="B2154" t="s">
        <v>1898</v>
      </c>
      <c r="C2154">
        <v>405.8599853515625</v>
      </c>
      <c r="D2154">
        <v>408.4400024414062</v>
      </c>
      <c r="E2154">
        <v>405.010009765625</v>
      </c>
      <c r="F2154">
        <v>408.0400085449219</v>
      </c>
      <c r="G2154">
        <v>389.19482421875</v>
      </c>
      <c r="H2154">
        <v>70769700</v>
      </c>
      <c r="I2154" t="s">
        <v>1899</v>
      </c>
      <c r="J2154" t="s">
        <v>1900</v>
      </c>
      <c r="K2154" t="s">
        <v>4629</v>
      </c>
    </row>
    <row r="2155" spans="1:11" ht="20" customHeight="1">
      <c r="A2155" t="s">
        <v>4628</v>
      </c>
      <c r="B2155" t="s">
        <v>1901</v>
      </c>
      <c r="C2155">
        <v>408.7200012207031</v>
      </c>
      <c r="D2155">
        <v>412.9700012207031</v>
      </c>
      <c r="E2155">
        <v>408.239990234375</v>
      </c>
      <c r="F2155">
        <v>412.8299865722656</v>
      </c>
      <c r="G2155">
        <v>393.7635498046875</v>
      </c>
      <c r="H2155">
        <v>64913500</v>
      </c>
      <c r="I2155" t="s">
        <v>1902</v>
      </c>
      <c r="J2155" t="s">
        <v>1903</v>
      </c>
      <c r="K2155" t="s">
        <v>4629</v>
      </c>
    </row>
    <row r="2156" spans="1:11" ht="20" customHeight="1">
      <c r="A2156" t="s">
        <v>4628</v>
      </c>
      <c r="B2156" t="s">
        <v>1904</v>
      </c>
      <c r="C2156">
        <v>411.239990234375</v>
      </c>
      <c r="D2156">
        <v>415.0499877929688</v>
      </c>
      <c r="E2156">
        <v>408.510009765625</v>
      </c>
      <c r="F2156">
        <v>412.6400146484375</v>
      </c>
      <c r="G2156">
        <v>393.5823669433594</v>
      </c>
      <c r="H2156">
        <v>88389300</v>
      </c>
      <c r="I2156" t="s">
        <v>1905</v>
      </c>
      <c r="J2156" t="s">
        <v>1906</v>
      </c>
      <c r="K2156" t="s">
        <v>4629</v>
      </c>
    </row>
    <row r="2157" spans="1:11" ht="20" customHeight="1">
      <c r="A2157" t="s">
        <v>4628</v>
      </c>
      <c r="B2157" t="s">
        <v>1907</v>
      </c>
      <c r="C2157">
        <v>410.3500061035156</v>
      </c>
      <c r="D2157">
        <v>414.0599975585938</v>
      </c>
      <c r="E2157">
        <v>409.4700012207031</v>
      </c>
      <c r="F2157">
        <v>413.9800109863281</v>
      </c>
      <c r="G2157">
        <v>394.8605346679688</v>
      </c>
      <c r="H2157">
        <v>61555700</v>
      </c>
      <c r="I2157" t="s">
        <v>1908</v>
      </c>
      <c r="J2157" t="s">
        <v>1909</v>
      </c>
      <c r="K2157" t="s">
        <v>4629</v>
      </c>
    </row>
    <row r="2158" spans="1:11" ht="20" customHeight="1">
      <c r="A2158" t="s">
        <v>4628</v>
      </c>
      <c r="B2158" t="s">
        <v>1910</v>
      </c>
      <c r="C2158">
        <v>408.7900085449219</v>
      </c>
      <c r="D2158">
        <v>412.9100036621094</v>
      </c>
      <c r="E2158">
        <v>408.1400146484375</v>
      </c>
      <c r="F2158">
        <v>408.2799987792969</v>
      </c>
      <c r="G2158">
        <v>389.4237670898438</v>
      </c>
      <c r="H2158">
        <v>76431500</v>
      </c>
      <c r="I2158" t="s">
        <v>1911</v>
      </c>
      <c r="J2158" t="s">
        <v>1912</v>
      </c>
      <c r="K2158" t="s">
        <v>4629</v>
      </c>
    </row>
    <row r="2159" spans="1:11" ht="20" customHeight="1">
      <c r="A2159" t="s">
        <v>4628</v>
      </c>
      <c r="B2159" t="s">
        <v>1913</v>
      </c>
      <c r="C2159">
        <v>406.0599975585938</v>
      </c>
      <c r="D2159">
        <v>407.510009765625</v>
      </c>
      <c r="E2159">
        <v>404.0499877929688</v>
      </c>
      <c r="F2159">
        <v>407.260009765625</v>
      </c>
      <c r="G2159">
        <v>388.4508361816406</v>
      </c>
      <c r="H2159">
        <v>89257800</v>
      </c>
      <c r="I2159" t="s">
        <v>1914</v>
      </c>
      <c r="J2159" t="s">
        <v>1915</v>
      </c>
      <c r="K2159" t="s">
        <v>4629</v>
      </c>
    </row>
    <row r="2160" spans="1:11" ht="20" customHeight="1">
      <c r="A2160" t="s">
        <v>4628</v>
      </c>
      <c r="B2160" t="s">
        <v>1916</v>
      </c>
      <c r="C2160">
        <v>403.0599975585938</v>
      </c>
      <c r="D2160">
        <v>404.1600036621094</v>
      </c>
      <c r="E2160">
        <v>398.8200073242188</v>
      </c>
      <c r="F2160">
        <v>399.0899963378906</v>
      </c>
      <c r="G2160">
        <v>380.658203125</v>
      </c>
      <c r="H2160">
        <v>82655900</v>
      </c>
      <c r="I2160" t="s">
        <v>1917</v>
      </c>
      <c r="J2160" t="s">
        <v>1918</v>
      </c>
      <c r="K2160" t="s">
        <v>4629</v>
      </c>
    </row>
    <row r="2161" spans="1:11" ht="20" customHeight="1">
      <c r="A2161" t="s">
        <v>4628</v>
      </c>
      <c r="B2161" t="s">
        <v>1919</v>
      </c>
      <c r="C2161">
        <v>399.5199890136719</v>
      </c>
      <c r="D2161">
        <v>401.1300048828125</v>
      </c>
      <c r="E2161">
        <v>397.0199890136719</v>
      </c>
      <c r="F2161">
        <v>398.5400085449219</v>
      </c>
      <c r="G2161">
        <v>380.1336364746094</v>
      </c>
      <c r="H2161">
        <v>83742300</v>
      </c>
      <c r="I2161" t="s">
        <v>1920</v>
      </c>
      <c r="J2161" t="s">
        <v>1921</v>
      </c>
      <c r="K2161" t="s">
        <v>4629</v>
      </c>
    </row>
    <row r="2162" spans="1:11" ht="20" customHeight="1">
      <c r="A2162" t="s">
        <v>4628</v>
      </c>
      <c r="B2162" t="s">
        <v>1922</v>
      </c>
      <c r="C2162">
        <v>401.5599975585938</v>
      </c>
      <c r="D2162">
        <v>402.2000122070312</v>
      </c>
      <c r="E2162">
        <v>396.25</v>
      </c>
      <c r="F2162">
        <v>400.6600036621094</v>
      </c>
      <c r="G2162">
        <v>382.1557312011719</v>
      </c>
      <c r="H2162">
        <v>96242400</v>
      </c>
      <c r="I2162" t="s">
        <v>1923</v>
      </c>
      <c r="J2162" t="s">
        <v>1924</v>
      </c>
      <c r="K2162" t="s">
        <v>4629</v>
      </c>
    </row>
    <row r="2163" spans="1:11" ht="20" customHeight="1">
      <c r="A2163" t="s">
        <v>4628</v>
      </c>
      <c r="B2163" t="s">
        <v>1925</v>
      </c>
      <c r="C2163">
        <v>395.4200134277344</v>
      </c>
      <c r="D2163">
        <v>397.25</v>
      </c>
      <c r="E2163">
        <v>393.6400146484375</v>
      </c>
      <c r="F2163">
        <v>396.3800048828125</v>
      </c>
      <c r="G2163">
        <v>378.0733337402344</v>
      </c>
      <c r="H2163">
        <v>108194400</v>
      </c>
      <c r="I2163" t="s">
        <v>1926</v>
      </c>
      <c r="J2163" t="s">
        <v>1927</v>
      </c>
      <c r="K2163" t="s">
        <v>4629</v>
      </c>
    </row>
    <row r="2164" spans="1:11" ht="20" customHeight="1">
      <c r="A2164" t="s">
        <v>4628</v>
      </c>
      <c r="B2164" t="s">
        <v>1928</v>
      </c>
      <c r="C2164">
        <v>399.8699951171875</v>
      </c>
      <c r="D2164">
        <v>401.2900085449219</v>
      </c>
      <c r="E2164">
        <v>396.75</v>
      </c>
      <c r="F2164">
        <v>397.7300109863281</v>
      </c>
      <c r="G2164">
        <v>379.3609924316406</v>
      </c>
      <c r="H2164">
        <v>80444700</v>
      </c>
      <c r="I2164" t="s">
        <v>1929</v>
      </c>
      <c r="J2164" t="s">
        <v>1930</v>
      </c>
      <c r="K2164" t="s">
        <v>4629</v>
      </c>
    </row>
    <row r="2165" spans="1:11" ht="20" customHeight="1">
      <c r="A2165" t="s">
        <v>4628</v>
      </c>
      <c r="B2165" t="s">
        <v>1931</v>
      </c>
      <c r="C2165">
        <v>397.2300109863281</v>
      </c>
      <c r="D2165">
        <v>399.2799987792969</v>
      </c>
      <c r="E2165">
        <v>396.1499938964844</v>
      </c>
      <c r="F2165">
        <v>396.260009765625</v>
      </c>
      <c r="G2165">
        <v>377.9588928222656</v>
      </c>
      <c r="H2165">
        <v>96438600</v>
      </c>
      <c r="I2165" t="s">
        <v>1932</v>
      </c>
      <c r="J2165" t="s">
        <v>1933</v>
      </c>
      <c r="K2165" t="s">
        <v>4629</v>
      </c>
    </row>
    <row r="2166" spans="1:11" ht="20" customHeight="1">
      <c r="A2166" t="s">
        <v>4628</v>
      </c>
      <c r="B2166" t="s">
        <v>1934</v>
      </c>
      <c r="C2166">
        <v>395.4100036621094</v>
      </c>
      <c r="D2166">
        <v>396.6900024414062</v>
      </c>
      <c r="E2166">
        <v>393.3800048828125</v>
      </c>
      <c r="F2166">
        <v>394.739990234375</v>
      </c>
      <c r="G2166">
        <v>376.5090637207031</v>
      </c>
      <c r="H2166">
        <v>99706800</v>
      </c>
      <c r="I2166" t="s">
        <v>1935</v>
      </c>
      <c r="J2166" t="s">
        <v>1936</v>
      </c>
      <c r="K2166" t="s">
        <v>4629</v>
      </c>
    </row>
    <row r="2167" spans="1:11" ht="20" customHeight="1">
      <c r="A2167" t="s">
        <v>4628</v>
      </c>
      <c r="B2167" t="s">
        <v>1937</v>
      </c>
      <c r="C2167">
        <v>392.6799926757812</v>
      </c>
      <c r="D2167">
        <v>398.6900024414062</v>
      </c>
      <c r="E2167">
        <v>392.3299865722656</v>
      </c>
      <c r="F2167">
        <v>397.8099975585938</v>
      </c>
      <c r="G2167">
        <v>379.4372863769531</v>
      </c>
      <c r="H2167">
        <v>85127800</v>
      </c>
      <c r="I2167" t="s">
        <v>1938</v>
      </c>
      <c r="J2167" t="s">
        <v>1939</v>
      </c>
      <c r="K2167" t="s">
        <v>4629</v>
      </c>
    </row>
    <row r="2168" spans="1:11" ht="20" customHeight="1">
      <c r="A2168" t="s">
        <v>4628</v>
      </c>
      <c r="B2168" t="s">
        <v>1940</v>
      </c>
      <c r="C2168">
        <v>399.7099914550781</v>
      </c>
      <c r="D2168">
        <v>404.4500122070312</v>
      </c>
      <c r="E2168">
        <v>399.0299987792969</v>
      </c>
      <c r="F2168">
        <v>404.1900024414062</v>
      </c>
      <c r="G2168">
        <v>385.5226440429688</v>
      </c>
      <c r="H2168">
        <v>90120000</v>
      </c>
      <c r="I2168" t="s">
        <v>1941</v>
      </c>
      <c r="J2168" t="s">
        <v>1942</v>
      </c>
      <c r="K2168" t="s">
        <v>4629</v>
      </c>
    </row>
    <row r="2169" spans="1:11" ht="20" customHeight="1">
      <c r="A2169" t="s">
        <v>4628</v>
      </c>
      <c r="B2169" t="s">
        <v>1943</v>
      </c>
      <c r="C2169">
        <v>405.0499877929688</v>
      </c>
      <c r="D2169">
        <v>407.4500122070312</v>
      </c>
      <c r="E2169">
        <v>404.010009765625</v>
      </c>
      <c r="F2169">
        <v>404.4700012207031</v>
      </c>
      <c r="G2169">
        <v>385.7897644042969</v>
      </c>
      <c r="H2169">
        <v>72795900</v>
      </c>
      <c r="I2169" t="s">
        <v>1944</v>
      </c>
      <c r="J2169" t="s">
        <v>1945</v>
      </c>
      <c r="K2169" t="s">
        <v>4629</v>
      </c>
    </row>
    <row r="2170" spans="1:11" ht="20" customHeight="1">
      <c r="A2170" t="s">
        <v>4628</v>
      </c>
      <c r="B2170" t="s">
        <v>1946</v>
      </c>
      <c r="C2170">
        <v>404.4200134277344</v>
      </c>
      <c r="D2170">
        <v>404.6700134277344</v>
      </c>
      <c r="E2170">
        <v>397.6300048828125</v>
      </c>
      <c r="F2170">
        <v>398.2699890136719</v>
      </c>
      <c r="G2170">
        <v>379.8760681152344</v>
      </c>
      <c r="H2170">
        <v>108310600</v>
      </c>
      <c r="I2170" t="s">
        <v>1947</v>
      </c>
      <c r="J2170" t="s">
        <v>1948</v>
      </c>
      <c r="K2170" t="s">
        <v>4629</v>
      </c>
    </row>
    <row r="2171" spans="1:11" ht="20" customHeight="1">
      <c r="A2171" t="s">
        <v>4628</v>
      </c>
      <c r="B2171" t="s">
        <v>1949</v>
      </c>
      <c r="C2171">
        <v>398.3900146484375</v>
      </c>
      <c r="D2171">
        <v>399.7099914550781</v>
      </c>
      <c r="E2171">
        <v>396.5899963378906</v>
      </c>
      <c r="F2171">
        <v>398.9200134277344</v>
      </c>
      <c r="G2171">
        <v>380.49609375</v>
      </c>
      <c r="H2171">
        <v>74746600</v>
      </c>
      <c r="I2171" t="s">
        <v>1950</v>
      </c>
      <c r="J2171" t="s">
        <v>1951</v>
      </c>
      <c r="K2171" t="s">
        <v>4629</v>
      </c>
    </row>
    <row r="2172" spans="1:11" ht="20" customHeight="1">
      <c r="A2172" t="s">
        <v>4628</v>
      </c>
      <c r="B2172" t="s">
        <v>1952</v>
      </c>
      <c r="C2172">
        <v>399.739990234375</v>
      </c>
      <c r="D2172">
        <v>401.4800109863281</v>
      </c>
      <c r="E2172">
        <v>390.5299987792969</v>
      </c>
      <c r="F2172">
        <v>391.5599975585938</v>
      </c>
      <c r="G2172">
        <v>373.4759826660156</v>
      </c>
      <c r="H2172">
        <v>111945300</v>
      </c>
      <c r="I2172" t="s">
        <v>1953</v>
      </c>
      <c r="J2172" t="s">
        <v>1954</v>
      </c>
      <c r="K2172" t="s">
        <v>4629</v>
      </c>
    </row>
    <row r="2173" spans="1:11" ht="20" customHeight="1">
      <c r="A2173" t="s">
        <v>4628</v>
      </c>
      <c r="B2173" t="s">
        <v>1955</v>
      </c>
      <c r="C2173">
        <v>390.989990234375</v>
      </c>
      <c r="D2173">
        <v>393.1600036621094</v>
      </c>
      <c r="E2173">
        <v>384.3200073242188</v>
      </c>
      <c r="F2173">
        <v>385.9100036621094</v>
      </c>
      <c r="G2173">
        <v>368.0869445800781</v>
      </c>
      <c r="H2173">
        <v>189253000</v>
      </c>
      <c r="I2173" t="s">
        <v>1956</v>
      </c>
      <c r="J2173" t="s">
        <v>1957</v>
      </c>
      <c r="K2173" t="s">
        <v>4629</v>
      </c>
    </row>
    <row r="2174" spans="1:11" ht="20" customHeight="1">
      <c r="A2174" t="s">
        <v>4628</v>
      </c>
      <c r="B2174" t="s">
        <v>1958</v>
      </c>
      <c r="C2174">
        <v>381.8099975585938</v>
      </c>
      <c r="D2174">
        <v>390.3900146484375</v>
      </c>
      <c r="E2174">
        <v>380.6499938964844</v>
      </c>
      <c r="F2174">
        <v>385.3599853515625</v>
      </c>
      <c r="G2174">
        <v>367.5623168945312</v>
      </c>
      <c r="H2174">
        <v>157790000</v>
      </c>
      <c r="I2174" t="s">
        <v>1959</v>
      </c>
      <c r="J2174" t="s">
        <v>1960</v>
      </c>
      <c r="K2174" t="s">
        <v>4629</v>
      </c>
    </row>
    <row r="2175" spans="1:11" ht="20" customHeight="1">
      <c r="A2175" t="s">
        <v>4628</v>
      </c>
      <c r="B2175" t="s">
        <v>1961</v>
      </c>
      <c r="C2175">
        <v>390.5</v>
      </c>
      <c r="D2175">
        <v>393.4500122070312</v>
      </c>
      <c r="E2175">
        <v>387.0499877929688</v>
      </c>
      <c r="F2175">
        <v>391.7300109863281</v>
      </c>
      <c r="G2175">
        <v>373.6380615234375</v>
      </c>
      <c r="H2175">
        <v>149752400</v>
      </c>
      <c r="I2175" t="s">
        <v>1962</v>
      </c>
      <c r="J2175" t="s">
        <v>1963</v>
      </c>
      <c r="K2175" t="s">
        <v>4629</v>
      </c>
    </row>
    <row r="2176" spans="1:11" ht="20" customHeight="1">
      <c r="A2176" t="s">
        <v>4628</v>
      </c>
      <c r="B2176" t="s">
        <v>1964</v>
      </c>
      <c r="C2176">
        <v>385.8900146484375</v>
      </c>
      <c r="D2176">
        <v>389.489990234375</v>
      </c>
      <c r="E2176">
        <v>383.7099914550781</v>
      </c>
      <c r="F2176">
        <v>389.2799987792969</v>
      </c>
      <c r="G2176">
        <v>371.3013000488281</v>
      </c>
      <c r="H2176">
        <v>172996900</v>
      </c>
      <c r="I2176" t="s">
        <v>1965</v>
      </c>
      <c r="J2176" t="s">
        <v>1966</v>
      </c>
      <c r="K2176" t="s">
        <v>4629</v>
      </c>
    </row>
    <row r="2177" spans="1:11" ht="20" customHeight="1">
      <c r="A2177" t="s">
        <v>4628</v>
      </c>
      <c r="B2177" t="s">
        <v>1967</v>
      </c>
      <c r="C2177">
        <v>386.8200073242188</v>
      </c>
      <c r="D2177">
        <v>396.4700012207031</v>
      </c>
      <c r="E2177">
        <v>386.2900085449219</v>
      </c>
      <c r="F2177">
        <v>396.1099853515625</v>
      </c>
      <c r="G2177">
        <v>377.8157653808594</v>
      </c>
      <c r="H2177">
        <v>143254200</v>
      </c>
      <c r="I2177" t="s">
        <v>1968</v>
      </c>
      <c r="J2177" t="s">
        <v>1969</v>
      </c>
      <c r="K2177" t="s">
        <v>4629</v>
      </c>
    </row>
    <row r="2178" spans="1:11" ht="20" customHeight="1">
      <c r="A2178" t="s">
        <v>4628</v>
      </c>
      <c r="B2178" t="s">
        <v>1970</v>
      </c>
      <c r="C2178">
        <v>393.2200012207031</v>
      </c>
      <c r="D2178">
        <v>394.3999938964844</v>
      </c>
      <c r="E2178">
        <v>388.5499877929688</v>
      </c>
      <c r="F2178">
        <v>389.989990234375</v>
      </c>
      <c r="G2178">
        <v>373.3980407714844</v>
      </c>
      <c r="H2178">
        <v>140553400</v>
      </c>
      <c r="I2178" t="s">
        <v>1971</v>
      </c>
      <c r="J2178" t="s">
        <v>1972</v>
      </c>
      <c r="K2178" t="s">
        <v>4629</v>
      </c>
    </row>
    <row r="2179" spans="1:11" ht="20" customHeight="1">
      <c r="A2179" t="s">
        <v>4628</v>
      </c>
      <c r="B2179" t="s">
        <v>1973</v>
      </c>
      <c r="C2179">
        <v>390.7999877929688</v>
      </c>
      <c r="D2179">
        <v>394.1700134277344</v>
      </c>
      <c r="E2179">
        <v>390.0700073242188</v>
      </c>
      <c r="F2179">
        <v>393.739990234375</v>
      </c>
      <c r="G2179">
        <v>376.9885559082031</v>
      </c>
      <c r="H2179">
        <v>93055800</v>
      </c>
      <c r="I2179" t="s">
        <v>1974</v>
      </c>
      <c r="J2179" t="s">
        <v>1975</v>
      </c>
      <c r="K2179" t="s">
        <v>4629</v>
      </c>
    </row>
    <row r="2180" spans="1:11" ht="20" customHeight="1">
      <c r="A2180" t="s">
        <v>4628</v>
      </c>
      <c r="B2180" t="s">
        <v>1976</v>
      </c>
      <c r="C2180">
        <v>397.239990234375</v>
      </c>
      <c r="D2180">
        <v>399.4100036621094</v>
      </c>
      <c r="E2180">
        <v>395.5799865722656</v>
      </c>
      <c r="F2180">
        <v>398.9100036621094</v>
      </c>
      <c r="G2180">
        <v>381.9385986328125</v>
      </c>
      <c r="H2180">
        <v>91524200</v>
      </c>
      <c r="I2180" t="s">
        <v>1977</v>
      </c>
      <c r="J2180" t="s">
        <v>1978</v>
      </c>
      <c r="K2180" t="s">
        <v>4629</v>
      </c>
    </row>
    <row r="2181" spans="1:11" ht="20" customHeight="1">
      <c r="A2181" t="s">
        <v>4628</v>
      </c>
      <c r="B2181" t="s">
        <v>1979</v>
      </c>
      <c r="C2181">
        <v>398.7300109863281</v>
      </c>
      <c r="D2181">
        <v>402.489990234375</v>
      </c>
      <c r="E2181">
        <v>392.0700073242188</v>
      </c>
      <c r="F2181">
        <v>392.1099853515625</v>
      </c>
      <c r="G2181">
        <v>375.4279174804688</v>
      </c>
      <c r="H2181">
        <v>111746600</v>
      </c>
      <c r="I2181" t="s">
        <v>1980</v>
      </c>
      <c r="J2181" t="s">
        <v>1981</v>
      </c>
      <c r="K2181" t="s">
        <v>4629</v>
      </c>
    </row>
    <row r="2182" spans="1:11" ht="20" customHeight="1">
      <c r="A2182" t="s">
        <v>4628</v>
      </c>
      <c r="B2182" t="s">
        <v>1982</v>
      </c>
      <c r="C2182">
        <v>395.0899963378906</v>
      </c>
      <c r="D2182">
        <v>399.2900085449219</v>
      </c>
      <c r="E2182">
        <v>390.3500061035156</v>
      </c>
      <c r="F2182">
        <v>393.1700134277344</v>
      </c>
      <c r="G2182">
        <v>376.44287109375</v>
      </c>
      <c r="H2182">
        <v>119351300</v>
      </c>
      <c r="I2182" t="s">
        <v>1983</v>
      </c>
      <c r="J2182" t="s">
        <v>1984</v>
      </c>
      <c r="K2182" t="s">
        <v>4629</v>
      </c>
    </row>
    <row r="2183" spans="1:11" ht="20" customHeight="1">
      <c r="A2183" t="s">
        <v>4628</v>
      </c>
      <c r="B2183" t="s">
        <v>1985</v>
      </c>
      <c r="C2183">
        <v>391.8399963378906</v>
      </c>
      <c r="D2183">
        <v>395.8399963378906</v>
      </c>
      <c r="E2183">
        <v>389.3999938964844</v>
      </c>
      <c r="F2183">
        <v>395.75</v>
      </c>
      <c r="G2183">
        <v>378.9131164550781</v>
      </c>
      <c r="H2183">
        <v>107682400</v>
      </c>
      <c r="I2183" t="s">
        <v>1986</v>
      </c>
      <c r="J2183" t="s">
        <v>1987</v>
      </c>
      <c r="K2183" t="s">
        <v>4629</v>
      </c>
    </row>
    <row r="2184" spans="1:11" ht="20" customHeight="1">
      <c r="A2184" t="s">
        <v>4628</v>
      </c>
      <c r="B2184" t="s">
        <v>1988</v>
      </c>
      <c r="C2184">
        <v>398.1199951171875</v>
      </c>
      <c r="D2184">
        <v>398.9200134277344</v>
      </c>
      <c r="E2184">
        <v>395.5599975585938</v>
      </c>
      <c r="F2184">
        <v>396.489990234375</v>
      </c>
      <c r="G2184">
        <v>379.62158203125</v>
      </c>
      <c r="H2184">
        <v>74010400</v>
      </c>
      <c r="I2184" t="s">
        <v>1989</v>
      </c>
      <c r="J2184" t="s">
        <v>1990</v>
      </c>
      <c r="K2184" t="s">
        <v>4629</v>
      </c>
    </row>
    <row r="2185" spans="1:11" ht="20" customHeight="1">
      <c r="A2185" t="s">
        <v>4628</v>
      </c>
      <c r="B2185" t="s">
        <v>1991</v>
      </c>
      <c r="C2185">
        <v>395.7699890136719</v>
      </c>
      <c r="D2185">
        <v>396.489990234375</v>
      </c>
      <c r="E2185">
        <v>393.6900024414062</v>
      </c>
      <c r="F2185">
        <v>395.6000061035156</v>
      </c>
      <c r="G2185">
        <v>378.7694396972656</v>
      </c>
      <c r="H2185">
        <v>62871700</v>
      </c>
      <c r="I2185" t="s">
        <v>1992</v>
      </c>
      <c r="J2185" t="s">
        <v>1993</v>
      </c>
      <c r="K2185" t="s">
        <v>4629</v>
      </c>
    </row>
    <row r="2186" spans="1:11" ht="20" customHeight="1">
      <c r="A2186" t="s">
        <v>4628</v>
      </c>
      <c r="B2186" t="s">
        <v>1994</v>
      </c>
      <c r="C2186">
        <v>399.9299926757812</v>
      </c>
      <c r="D2186">
        <v>401.6000061035156</v>
      </c>
      <c r="E2186">
        <v>398.6799926757812</v>
      </c>
      <c r="F2186">
        <v>401.3500061035156</v>
      </c>
      <c r="G2186">
        <v>384.2748413085938</v>
      </c>
      <c r="H2186">
        <v>77497900</v>
      </c>
      <c r="I2186" t="s">
        <v>1995</v>
      </c>
      <c r="J2186" t="s">
        <v>1996</v>
      </c>
      <c r="K2186" t="s">
        <v>4629</v>
      </c>
    </row>
    <row r="2187" spans="1:11" ht="20" customHeight="1">
      <c r="A2187" t="s">
        <v>4628</v>
      </c>
      <c r="B2187" t="s">
        <v>1997</v>
      </c>
      <c r="C2187">
        <v>404.0899963378906</v>
      </c>
      <c r="D2187">
        <v>404.3500061035156</v>
      </c>
      <c r="E2187">
        <v>401.760009765625</v>
      </c>
      <c r="F2187">
        <v>403.7000122070312</v>
      </c>
      <c r="G2187">
        <v>386.5248718261719</v>
      </c>
      <c r="H2187">
        <v>69840000</v>
      </c>
      <c r="I2187" t="s">
        <v>1998</v>
      </c>
      <c r="J2187" t="s">
        <v>1999</v>
      </c>
      <c r="K2187" t="s">
        <v>4629</v>
      </c>
    </row>
    <row r="2188" spans="1:11" ht="20" customHeight="1">
      <c r="A2188" t="s">
        <v>4628</v>
      </c>
      <c r="B2188" t="s">
        <v>2000</v>
      </c>
      <c r="C2188">
        <v>404.6600036621094</v>
      </c>
      <c r="D2188">
        <v>409.7000122070312</v>
      </c>
      <c r="E2188">
        <v>404.5499877929688</v>
      </c>
      <c r="F2188">
        <v>409.3900146484375</v>
      </c>
      <c r="G2188">
        <v>391.9727783203125</v>
      </c>
      <c r="H2188">
        <v>112062600</v>
      </c>
      <c r="I2188" t="s">
        <v>2001</v>
      </c>
      <c r="J2188" t="s">
        <v>2002</v>
      </c>
      <c r="K2188" t="s">
        <v>4629</v>
      </c>
    </row>
    <row r="2189" spans="1:11" ht="20" customHeight="1">
      <c r="A2189" t="s">
        <v>4628</v>
      </c>
      <c r="B2189" t="s">
        <v>2003</v>
      </c>
      <c r="C2189">
        <v>408.8500061035156</v>
      </c>
      <c r="D2189">
        <v>411.3699951171875</v>
      </c>
      <c r="E2189">
        <v>408.4400024414062</v>
      </c>
      <c r="F2189">
        <v>410.9500122070312</v>
      </c>
      <c r="G2189">
        <v>393.4664001464844</v>
      </c>
      <c r="H2189">
        <v>67391100</v>
      </c>
      <c r="I2189" t="s">
        <v>2004</v>
      </c>
      <c r="J2189" t="s">
        <v>2005</v>
      </c>
      <c r="K2189" t="s">
        <v>4629</v>
      </c>
    </row>
    <row r="2190" spans="1:11" ht="20" customHeight="1">
      <c r="A2190" t="s">
        <v>4628</v>
      </c>
      <c r="B2190" t="s">
        <v>2006</v>
      </c>
      <c r="C2190">
        <v>411.6199951171875</v>
      </c>
      <c r="D2190">
        <v>411.9200134277344</v>
      </c>
      <c r="E2190">
        <v>407.239990234375</v>
      </c>
      <c r="F2190">
        <v>408.6700134277344</v>
      </c>
      <c r="G2190">
        <v>391.2833862304688</v>
      </c>
      <c r="H2190">
        <v>66601500</v>
      </c>
      <c r="I2190" t="s">
        <v>2007</v>
      </c>
      <c r="J2190" t="s">
        <v>2008</v>
      </c>
      <c r="K2190" t="s">
        <v>4629</v>
      </c>
    </row>
    <row r="2191" spans="1:11" ht="20" customHeight="1">
      <c r="A2191" t="s">
        <v>4628</v>
      </c>
      <c r="B2191" t="s">
        <v>2009</v>
      </c>
      <c r="C2191">
        <v>407.9100036621094</v>
      </c>
      <c r="D2191">
        <v>408.7000122070312</v>
      </c>
      <c r="E2191">
        <v>405.8800048828125</v>
      </c>
      <c r="F2191">
        <v>407.6000061035156</v>
      </c>
      <c r="G2191">
        <v>390.2589111328125</v>
      </c>
      <c r="H2191">
        <v>65200200</v>
      </c>
      <c r="I2191" t="s">
        <v>2010</v>
      </c>
      <c r="J2191" t="s">
        <v>2011</v>
      </c>
      <c r="K2191" t="s">
        <v>4629</v>
      </c>
    </row>
    <row r="2192" spans="1:11" ht="20" customHeight="1">
      <c r="A2192" t="s">
        <v>4628</v>
      </c>
      <c r="B2192" t="s">
        <v>2012</v>
      </c>
      <c r="C2192">
        <v>406.7699890136719</v>
      </c>
      <c r="D2192">
        <v>409.4800109863281</v>
      </c>
      <c r="E2192">
        <v>405.6799926757812</v>
      </c>
      <c r="F2192">
        <v>409.1900024414062</v>
      </c>
      <c r="G2192">
        <v>391.7812805175781</v>
      </c>
      <c r="H2192">
        <v>63743300</v>
      </c>
      <c r="I2192" t="s">
        <v>2013</v>
      </c>
      <c r="J2192" t="s">
        <v>2014</v>
      </c>
      <c r="K2192" t="s">
        <v>4629</v>
      </c>
    </row>
    <row r="2193" spans="1:11" ht="20" customHeight="1">
      <c r="A2193" t="s">
        <v>4628</v>
      </c>
      <c r="B2193" t="s">
        <v>2015</v>
      </c>
      <c r="C2193">
        <v>406.6099853515625</v>
      </c>
      <c r="D2193">
        <v>409.6900024414062</v>
      </c>
      <c r="E2193">
        <v>405.9700012207031</v>
      </c>
      <c r="F2193">
        <v>409.6099853515625</v>
      </c>
      <c r="G2193">
        <v>392.1834106445312</v>
      </c>
      <c r="H2193">
        <v>63681000</v>
      </c>
      <c r="I2193" t="s">
        <v>2016</v>
      </c>
      <c r="J2193" t="s">
        <v>2017</v>
      </c>
      <c r="K2193" t="s">
        <v>4629</v>
      </c>
    </row>
    <row r="2194" spans="1:11" ht="20" customHeight="1">
      <c r="A2194" t="s">
        <v>4628</v>
      </c>
      <c r="B2194" t="s">
        <v>2018</v>
      </c>
      <c r="C2194">
        <v>410.260009765625</v>
      </c>
      <c r="D2194">
        <v>411.1799926757812</v>
      </c>
      <c r="E2194">
        <v>408.9200134277344</v>
      </c>
      <c r="F2194">
        <v>409.7200012207031</v>
      </c>
      <c r="G2194">
        <v>392.2886962890625</v>
      </c>
      <c r="H2194">
        <v>59297900</v>
      </c>
      <c r="I2194" t="s">
        <v>2019</v>
      </c>
      <c r="J2194" t="s">
        <v>2020</v>
      </c>
      <c r="K2194" t="s">
        <v>4629</v>
      </c>
    </row>
    <row r="2195" spans="1:11" ht="20" customHeight="1">
      <c r="A2195" t="s">
        <v>4628</v>
      </c>
      <c r="B2195" t="s">
        <v>2021</v>
      </c>
      <c r="C2195">
        <v>411.8699951171875</v>
      </c>
      <c r="D2195">
        <v>412.1700134277344</v>
      </c>
      <c r="E2195">
        <v>407.4400024414062</v>
      </c>
      <c r="F2195">
        <v>408.0499877929688</v>
      </c>
      <c r="G2195">
        <v>390.6897583007812</v>
      </c>
      <c r="H2195">
        <v>86420400</v>
      </c>
      <c r="I2195" t="s">
        <v>2022</v>
      </c>
      <c r="J2195" t="s">
        <v>2023</v>
      </c>
      <c r="K2195" t="s">
        <v>4629</v>
      </c>
    </row>
    <row r="2196" spans="1:11" ht="20" customHeight="1">
      <c r="A2196" t="s">
        <v>4628</v>
      </c>
      <c r="B2196" t="s">
        <v>2024</v>
      </c>
      <c r="C2196">
        <v>409.1799926757812</v>
      </c>
      <c r="D2196">
        <v>413.8399963378906</v>
      </c>
      <c r="E2196">
        <v>407.989990234375</v>
      </c>
      <c r="F2196">
        <v>413.4700012207031</v>
      </c>
      <c r="G2196">
        <v>395.8791809082031</v>
      </c>
      <c r="H2196">
        <v>85814800</v>
      </c>
      <c r="I2196" t="s">
        <v>2025</v>
      </c>
      <c r="J2196" t="s">
        <v>2026</v>
      </c>
      <c r="K2196" t="s">
        <v>4629</v>
      </c>
    </row>
    <row r="2197" spans="1:11" ht="20" customHeight="1">
      <c r="A2197" t="s">
        <v>4628</v>
      </c>
      <c r="B2197" t="s">
        <v>2027</v>
      </c>
      <c r="C2197">
        <v>412.8099975585938</v>
      </c>
      <c r="D2197">
        <v>415.0899963378906</v>
      </c>
      <c r="E2197">
        <v>410.0599975585938</v>
      </c>
      <c r="F2197">
        <v>412.4599914550781</v>
      </c>
      <c r="G2197">
        <v>394.9121704101562</v>
      </c>
      <c r="H2197">
        <v>78161500</v>
      </c>
      <c r="I2197" t="s">
        <v>2028</v>
      </c>
      <c r="J2197" t="s">
        <v>2029</v>
      </c>
      <c r="K2197" t="s">
        <v>4629</v>
      </c>
    </row>
    <row r="2198" spans="1:11" ht="20" customHeight="1">
      <c r="A2198" t="s">
        <v>4628</v>
      </c>
      <c r="B2198" t="s">
        <v>2030</v>
      </c>
      <c r="C2198">
        <v>412.3699951171875</v>
      </c>
      <c r="D2198">
        <v>413.9599914550781</v>
      </c>
      <c r="E2198">
        <v>411.0899963378906</v>
      </c>
      <c r="F2198">
        <v>413.9400024414062</v>
      </c>
      <c r="G2198">
        <v>396.3291931152344</v>
      </c>
      <c r="H2198">
        <v>66436400</v>
      </c>
      <c r="I2198" t="s">
        <v>2031</v>
      </c>
      <c r="J2198" t="s">
        <v>2032</v>
      </c>
      <c r="K2198" t="s">
        <v>4629</v>
      </c>
    </row>
    <row r="2199" spans="1:11" ht="20" customHeight="1">
      <c r="A2199" t="s">
        <v>4628</v>
      </c>
      <c r="B2199" t="s">
        <v>2033</v>
      </c>
      <c r="C2199">
        <v>415.5799865722656</v>
      </c>
      <c r="D2199">
        <v>415.7200012207031</v>
      </c>
      <c r="E2199">
        <v>412.7799987792969</v>
      </c>
      <c r="F2199">
        <v>414.2099914550781</v>
      </c>
      <c r="G2199">
        <v>396.5877075195312</v>
      </c>
      <c r="H2199">
        <v>63560000</v>
      </c>
      <c r="I2199" t="s">
        <v>2034</v>
      </c>
      <c r="J2199" t="s">
        <v>2035</v>
      </c>
      <c r="K2199" t="s">
        <v>4629</v>
      </c>
    </row>
    <row r="2200" spans="1:11" ht="20" customHeight="1">
      <c r="A2200" t="s">
        <v>4628</v>
      </c>
      <c r="B2200" t="s">
        <v>2036</v>
      </c>
      <c r="C2200">
        <v>412.2200012207031</v>
      </c>
      <c r="D2200">
        <v>415.0799865722656</v>
      </c>
      <c r="E2200">
        <v>412.1600036621094</v>
      </c>
      <c r="F2200">
        <v>414.1400146484375</v>
      </c>
      <c r="G2200">
        <v>396.5206909179688</v>
      </c>
      <c r="H2200">
        <v>55227300</v>
      </c>
      <c r="I2200" t="s">
        <v>2037</v>
      </c>
      <c r="J2200" t="s">
        <v>2038</v>
      </c>
      <c r="K2200" t="s">
        <v>4629</v>
      </c>
    </row>
    <row r="2201" spans="1:11" ht="20" customHeight="1">
      <c r="A2201" t="s">
        <v>4628</v>
      </c>
      <c r="B2201" t="s">
        <v>2039</v>
      </c>
      <c r="C2201">
        <v>411.2099914550781</v>
      </c>
      <c r="D2201">
        <v>413.7000122070312</v>
      </c>
      <c r="E2201">
        <v>410.2699890136719</v>
      </c>
      <c r="F2201">
        <v>411.8800048828125</v>
      </c>
      <c r="G2201">
        <v>394.3568420410156</v>
      </c>
      <c r="H2201">
        <v>75840400</v>
      </c>
      <c r="I2201" t="s">
        <v>2040</v>
      </c>
      <c r="J2201" t="s">
        <v>2041</v>
      </c>
      <c r="K2201" t="s">
        <v>4629</v>
      </c>
    </row>
    <row r="2202" spans="1:11" ht="20" customHeight="1">
      <c r="A2202" t="s">
        <v>4628</v>
      </c>
      <c r="B2202" t="s">
        <v>2042</v>
      </c>
      <c r="C2202">
        <v>412.1900024414062</v>
      </c>
      <c r="D2202">
        <v>412.6799926757812</v>
      </c>
      <c r="E2202">
        <v>410.1700134277344</v>
      </c>
      <c r="F2202">
        <v>412.2000122070312</v>
      </c>
      <c r="G2202">
        <v>394.6632080078125</v>
      </c>
      <c r="H2202">
        <v>73457400</v>
      </c>
      <c r="I2202" t="s">
        <v>2043</v>
      </c>
      <c r="J2202" t="s">
        <v>2044</v>
      </c>
      <c r="K2202" t="s">
        <v>4629</v>
      </c>
    </row>
    <row r="2203" spans="1:11" ht="20" customHeight="1">
      <c r="A2203" t="s">
        <v>4628</v>
      </c>
      <c r="B2203" t="s">
        <v>2045</v>
      </c>
      <c r="C2203">
        <v>411.989990234375</v>
      </c>
      <c r="D2203">
        <v>413.0700073242188</v>
      </c>
      <c r="E2203">
        <v>410.6000061035156</v>
      </c>
      <c r="F2203">
        <v>412.6300048828125</v>
      </c>
      <c r="G2203">
        <v>395.074951171875</v>
      </c>
      <c r="H2203">
        <v>64332100</v>
      </c>
      <c r="I2203" t="s">
        <v>2046</v>
      </c>
      <c r="J2203" t="s">
        <v>2047</v>
      </c>
      <c r="K2203" t="s">
        <v>4629</v>
      </c>
    </row>
    <row r="2204" spans="1:11" ht="20" customHeight="1">
      <c r="A2204" t="s">
        <v>4628</v>
      </c>
      <c r="B2204" t="s">
        <v>2048</v>
      </c>
      <c r="C2204">
        <v>410.5799865722656</v>
      </c>
      <c r="D2204">
        <v>411.1600036621094</v>
      </c>
      <c r="E2204">
        <v>406.0199890136719</v>
      </c>
      <c r="F2204">
        <v>406.0799865722656</v>
      </c>
      <c r="G2204">
        <v>388.8035583496094</v>
      </c>
      <c r="H2204">
        <v>97766700</v>
      </c>
      <c r="I2204" t="s">
        <v>2049</v>
      </c>
      <c r="J2204" t="s">
        <v>2050</v>
      </c>
      <c r="K2204" t="s">
        <v>4629</v>
      </c>
    </row>
    <row r="2205" spans="1:11" ht="20" customHeight="1">
      <c r="A2205" t="s">
        <v>4628</v>
      </c>
      <c r="B2205" t="s">
        <v>2051</v>
      </c>
      <c r="C2205">
        <v>406.7200012207031</v>
      </c>
      <c r="D2205">
        <v>407.8399963378906</v>
      </c>
      <c r="E2205">
        <v>403.7799987792969</v>
      </c>
      <c r="F2205">
        <v>404.3599853515625</v>
      </c>
      <c r="G2205">
        <v>387.15673828125</v>
      </c>
      <c r="H2205">
        <v>80447000</v>
      </c>
      <c r="I2205" t="s">
        <v>2052</v>
      </c>
      <c r="J2205" t="s">
        <v>2053</v>
      </c>
      <c r="K2205" t="s">
        <v>4629</v>
      </c>
    </row>
    <row r="2206" spans="1:11" ht="20" customHeight="1">
      <c r="A2206" t="s">
        <v>4628</v>
      </c>
      <c r="B2206" t="s">
        <v>2054</v>
      </c>
      <c r="C2206">
        <v>407</v>
      </c>
      <c r="D2206">
        <v>412.6900024414062</v>
      </c>
      <c r="E2206">
        <v>406.739990234375</v>
      </c>
      <c r="F2206">
        <v>412.4100036621094</v>
      </c>
      <c r="G2206">
        <v>394.8642272949219</v>
      </c>
      <c r="H2206">
        <v>92968400</v>
      </c>
      <c r="I2206" t="s">
        <v>2055</v>
      </c>
      <c r="J2206" t="s">
        <v>2056</v>
      </c>
      <c r="K2206" t="s">
        <v>4629</v>
      </c>
    </row>
    <row r="2207" spans="1:11" ht="20" customHeight="1">
      <c r="A2207" t="s">
        <v>4628</v>
      </c>
      <c r="B2207" t="s">
        <v>2057</v>
      </c>
      <c r="C2207">
        <v>411.489990234375</v>
      </c>
      <c r="D2207">
        <v>415.9400024414062</v>
      </c>
      <c r="E2207">
        <v>411.4299926757812</v>
      </c>
      <c r="F2207">
        <v>415.9299926757812</v>
      </c>
      <c r="G2207">
        <v>398.2345581054688</v>
      </c>
      <c r="H2207">
        <v>89433100</v>
      </c>
      <c r="I2207" t="s">
        <v>2058</v>
      </c>
      <c r="J2207" t="s">
        <v>2059</v>
      </c>
      <c r="K2207" t="s">
        <v>4629</v>
      </c>
    </row>
    <row r="2208" spans="1:11" ht="20" customHeight="1">
      <c r="A2208" t="s">
        <v>4628</v>
      </c>
      <c r="B2208" t="s">
        <v>2060</v>
      </c>
      <c r="C2208">
        <v>415.4700012207031</v>
      </c>
      <c r="D2208">
        <v>417.6199951171875</v>
      </c>
      <c r="E2208">
        <v>415.2699890136719</v>
      </c>
      <c r="F2208">
        <v>415.510009765625</v>
      </c>
      <c r="G2208">
        <v>397.8324279785156</v>
      </c>
      <c r="H2208">
        <v>62122300</v>
      </c>
      <c r="I2208" t="s">
        <v>2061</v>
      </c>
      <c r="J2208" t="s">
        <v>2062</v>
      </c>
      <c r="K2208" t="s">
        <v>4629</v>
      </c>
    </row>
    <row r="2209" spans="1:11" ht="20" customHeight="1">
      <c r="A2209" t="s">
        <v>4628</v>
      </c>
      <c r="B2209" t="s">
        <v>2063</v>
      </c>
      <c r="C2209">
        <v>414.7699890136719</v>
      </c>
      <c r="D2209">
        <v>414.8200073242188</v>
      </c>
      <c r="E2209">
        <v>407.8200073242188</v>
      </c>
      <c r="F2209">
        <v>410.8399963378906</v>
      </c>
      <c r="G2209">
        <v>393.3610534667969</v>
      </c>
      <c r="H2209">
        <v>103998500</v>
      </c>
      <c r="I2209" t="s">
        <v>2064</v>
      </c>
      <c r="J2209" t="s">
        <v>2065</v>
      </c>
      <c r="K2209" t="s">
        <v>4629</v>
      </c>
    </row>
    <row r="2210" spans="1:11" ht="20" customHeight="1">
      <c r="A2210" t="s">
        <v>4628</v>
      </c>
      <c r="B2210" t="s">
        <v>2066</v>
      </c>
      <c r="C2210">
        <v>411.3599853515625</v>
      </c>
      <c r="D2210">
        <v>413.8699951171875</v>
      </c>
      <c r="E2210">
        <v>407.7699890136719</v>
      </c>
      <c r="F2210">
        <v>408.0199890136719</v>
      </c>
      <c r="G2210">
        <v>390.6610717773438</v>
      </c>
      <c r="H2210">
        <v>91531800</v>
      </c>
      <c r="I2210" t="s">
        <v>2067</v>
      </c>
      <c r="J2210" t="s">
        <v>2068</v>
      </c>
      <c r="K2210" t="s">
        <v>4629</v>
      </c>
    </row>
    <row r="2211" spans="1:11" ht="20" customHeight="1">
      <c r="A2211" t="s">
        <v>4628</v>
      </c>
      <c r="B2211" t="s">
        <v>2069</v>
      </c>
      <c r="C2211">
        <v>406.9299926757812</v>
      </c>
      <c r="D2211">
        <v>407.2699890136719</v>
      </c>
      <c r="E2211">
        <v>403.739990234375</v>
      </c>
      <c r="F2211">
        <v>405.1300048828125</v>
      </c>
      <c r="G2211">
        <v>387.8939819335938</v>
      </c>
      <c r="H2211">
        <v>94901900</v>
      </c>
      <c r="I2211" t="s">
        <v>2070</v>
      </c>
      <c r="J2211" t="s">
        <v>2071</v>
      </c>
      <c r="K2211" t="s">
        <v>4629</v>
      </c>
    </row>
    <row r="2212" spans="1:11" ht="20" customHeight="1">
      <c r="A2212" t="s">
        <v>4628</v>
      </c>
      <c r="B2212" t="s">
        <v>2072</v>
      </c>
      <c r="C2212">
        <v>408.9100036621094</v>
      </c>
      <c r="D2212">
        <v>413.7200012207031</v>
      </c>
      <c r="E2212">
        <v>408.6400146484375</v>
      </c>
      <c r="F2212">
        <v>412.6300048828125</v>
      </c>
      <c r="G2212">
        <v>395.074951171875</v>
      </c>
      <c r="H2212">
        <v>87891800</v>
      </c>
      <c r="I2212" t="s">
        <v>2073</v>
      </c>
      <c r="J2212" t="s">
        <v>2074</v>
      </c>
      <c r="K2212" t="s">
        <v>4629</v>
      </c>
    </row>
    <row r="2213" spans="1:11" ht="20" customHeight="1">
      <c r="A2213" t="s">
        <v>4628</v>
      </c>
      <c r="B2213" t="s">
        <v>2075</v>
      </c>
      <c r="C2213">
        <v>412.9700012207031</v>
      </c>
      <c r="D2213">
        <v>413.239990234375</v>
      </c>
      <c r="E2213">
        <v>411.2799987792969</v>
      </c>
      <c r="F2213">
        <v>412.739990234375</v>
      </c>
      <c r="G2213">
        <v>395.1802368164062</v>
      </c>
      <c r="H2213">
        <v>50046800</v>
      </c>
      <c r="I2213" t="s">
        <v>2076</v>
      </c>
      <c r="J2213" t="s">
        <v>2077</v>
      </c>
      <c r="K2213" t="s">
        <v>4629</v>
      </c>
    </row>
    <row r="2214" spans="1:11" ht="20" customHeight="1">
      <c r="A2214" t="s">
        <v>4628</v>
      </c>
      <c r="B2214" t="s">
        <v>2078</v>
      </c>
      <c r="C2214">
        <v>411.1300048828125</v>
      </c>
      <c r="D2214">
        <v>412.0899963378906</v>
      </c>
      <c r="E2214">
        <v>410.6900024414062</v>
      </c>
      <c r="F2214">
        <v>410.9299926757812</v>
      </c>
      <c r="G2214">
        <v>393.4472351074219</v>
      </c>
      <c r="H2214">
        <v>49220100</v>
      </c>
      <c r="I2214" t="s">
        <v>2079</v>
      </c>
      <c r="J2214" t="s">
        <v>2080</v>
      </c>
      <c r="K2214" t="s">
        <v>4629</v>
      </c>
    </row>
    <row r="2215" spans="1:11" ht="20" customHeight="1">
      <c r="A2215" t="s">
        <v>4628</v>
      </c>
      <c r="B2215" t="s">
        <v>2081</v>
      </c>
      <c r="C2215">
        <v>413.8800048828125</v>
      </c>
      <c r="D2215">
        <v>414.5400085449219</v>
      </c>
      <c r="E2215">
        <v>408.8699951171875</v>
      </c>
      <c r="F2215">
        <v>412.8500061035156</v>
      </c>
      <c r="G2215">
        <v>395.2855529785156</v>
      </c>
      <c r="H2215">
        <v>96142900</v>
      </c>
      <c r="I2215" t="s">
        <v>2082</v>
      </c>
      <c r="J2215" t="s">
        <v>2083</v>
      </c>
      <c r="K2215" t="s">
        <v>4629</v>
      </c>
    </row>
    <row r="2216" spans="1:11" ht="20" customHeight="1">
      <c r="A2216" t="s">
        <v>4628</v>
      </c>
      <c r="B2216" t="s">
        <v>2084</v>
      </c>
      <c r="C2216">
        <v>411.9500122070312</v>
      </c>
      <c r="D2216">
        <v>412.4299926757812</v>
      </c>
      <c r="E2216">
        <v>409.9700012207031</v>
      </c>
      <c r="F2216">
        <v>412.1300048828125</v>
      </c>
      <c r="G2216">
        <v>394.5962219238281</v>
      </c>
      <c r="H2216">
        <v>70157100</v>
      </c>
      <c r="I2216" t="s">
        <v>2085</v>
      </c>
      <c r="J2216" t="s">
        <v>2086</v>
      </c>
      <c r="K2216" t="s">
        <v>4629</v>
      </c>
    </row>
    <row r="2217" spans="1:11" ht="20" customHeight="1">
      <c r="A2217" t="s">
        <v>4628</v>
      </c>
      <c r="B2217" t="s">
        <v>2087</v>
      </c>
      <c r="C2217">
        <v>413.4200134277344</v>
      </c>
      <c r="D2217">
        <v>413.6400146484375</v>
      </c>
      <c r="E2217">
        <v>409.0700073242188</v>
      </c>
      <c r="F2217">
        <v>411.5899963378906</v>
      </c>
      <c r="G2217">
        <v>394.0791625976562</v>
      </c>
      <c r="H2217">
        <v>70481500</v>
      </c>
      <c r="I2217" t="s">
        <v>2088</v>
      </c>
      <c r="J2217" t="s">
        <v>2089</v>
      </c>
      <c r="K2217" t="s">
        <v>4629</v>
      </c>
    </row>
    <row r="2218" spans="1:11" ht="20" customHeight="1">
      <c r="A2218" t="s">
        <v>4628</v>
      </c>
      <c r="B2218" t="s">
        <v>2090</v>
      </c>
      <c r="C2218">
        <v>412.2200012207031</v>
      </c>
      <c r="D2218">
        <v>413.4299926757812</v>
      </c>
      <c r="E2218">
        <v>410.2300109863281</v>
      </c>
      <c r="F2218">
        <v>413.010009765625</v>
      </c>
      <c r="G2218">
        <v>395.4387512207031</v>
      </c>
      <c r="H2218">
        <v>54289400</v>
      </c>
      <c r="I2218" t="s">
        <v>2091</v>
      </c>
      <c r="J2218" t="s">
        <v>2092</v>
      </c>
      <c r="K2218" t="s">
        <v>4629</v>
      </c>
    </row>
    <row r="2219" spans="1:11" ht="20" customHeight="1">
      <c r="A2219" t="s">
        <v>4628</v>
      </c>
      <c r="B2219" t="s">
        <v>2093</v>
      </c>
      <c r="C2219">
        <v>411.8599853515625</v>
      </c>
      <c r="D2219">
        <v>412.8200073242188</v>
      </c>
      <c r="E2219">
        <v>410.239990234375</v>
      </c>
      <c r="F2219">
        <v>410.25</v>
      </c>
      <c r="G2219">
        <v>392.796142578125</v>
      </c>
      <c r="H2219">
        <v>57705500</v>
      </c>
      <c r="I2219" t="s">
        <v>2094</v>
      </c>
      <c r="J2219" t="s">
        <v>2095</v>
      </c>
      <c r="K2219" t="s">
        <v>4629</v>
      </c>
    </row>
    <row r="2220" spans="1:11" ht="20" customHeight="1">
      <c r="A2220" t="s">
        <v>4628</v>
      </c>
      <c r="B2220" t="s">
        <v>2096</v>
      </c>
      <c r="C2220">
        <v>412.3500061035156</v>
      </c>
      <c r="D2220">
        <v>415.8599853515625</v>
      </c>
      <c r="E2220">
        <v>410.6400146484375</v>
      </c>
      <c r="F2220">
        <v>415.2300109863281</v>
      </c>
      <c r="G2220">
        <v>397.5642395019531</v>
      </c>
      <c r="H2220">
        <v>87287000</v>
      </c>
      <c r="I2220" t="s">
        <v>2097</v>
      </c>
      <c r="J2220" t="s">
        <v>2098</v>
      </c>
      <c r="K2220" t="s">
        <v>4629</v>
      </c>
    </row>
    <row r="2221" spans="1:11" ht="20" customHeight="1">
      <c r="A2221" t="s">
        <v>4628</v>
      </c>
      <c r="B2221" t="s">
        <v>2099</v>
      </c>
      <c r="C2221">
        <v>414.8999938964844</v>
      </c>
      <c r="D2221">
        <v>419.6700134277344</v>
      </c>
      <c r="E2221">
        <v>414.6700134277344</v>
      </c>
      <c r="F2221">
        <v>419.2300109863281</v>
      </c>
      <c r="G2221">
        <v>401.3941040039062</v>
      </c>
      <c r="H2221">
        <v>97177200</v>
      </c>
      <c r="I2221" t="s">
        <v>2100</v>
      </c>
      <c r="J2221" t="s">
        <v>2101</v>
      </c>
      <c r="K2221" t="s">
        <v>4629</v>
      </c>
    </row>
    <row r="2222" spans="1:11" ht="20" customHeight="1">
      <c r="A2222" t="s">
        <v>4628</v>
      </c>
      <c r="B2222" t="s">
        <v>2102</v>
      </c>
      <c r="C2222">
        <v>420.1700134277344</v>
      </c>
      <c r="D2222">
        <v>420.7200012207031</v>
      </c>
      <c r="E2222">
        <v>417.3500061035156</v>
      </c>
      <c r="F2222">
        <v>418.6199951171875</v>
      </c>
      <c r="G2222">
        <v>400.8100891113281</v>
      </c>
      <c r="H2222">
        <v>103793300</v>
      </c>
      <c r="I2222" t="s">
        <v>2103</v>
      </c>
      <c r="J2222" t="s">
        <v>2104</v>
      </c>
      <c r="K2222" t="s">
        <v>4629</v>
      </c>
    </row>
    <row r="2223" spans="1:11" ht="20" customHeight="1">
      <c r="A2223" t="s">
        <v>4628</v>
      </c>
      <c r="B2223" t="s">
        <v>2105</v>
      </c>
      <c r="C2223">
        <v>418.6400146484375</v>
      </c>
      <c r="D2223">
        <v>420.3900146484375</v>
      </c>
      <c r="E2223">
        <v>417.3500061035156</v>
      </c>
      <c r="F2223">
        <v>418.7900085449219</v>
      </c>
      <c r="G2223">
        <v>400.9729309082031</v>
      </c>
      <c r="H2223">
        <v>60745400</v>
      </c>
      <c r="I2223" t="s">
        <v>2106</v>
      </c>
      <c r="J2223" t="s">
        <v>2107</v>
      </c>
      <c r="K2223" t="s">
        <v>4629</v>
      </c>
    </row>
    <row r="2224" spans="1:11" ht="20" customHeight="1">
      <c r="A2224" t="s">
        <v>4628</v>
      </c>
      <c r="B2224" t="s">
        <v>2108</v>
      </c>
      <c r="C2224">
        <v>417.0799865722656</v>
      </c>
      <c r="D2224">
        <v>418.7200012207031</v>
      </c>
      <c r="E2224">
        <v>413.6799926757812</v>
      </c>
      <c r="F2224">
        <v>414.0899963378906</v>
      </c>
      <c r="G2224">
        <v>396.4728393554688</v>
      </c>
      <c r="H2224">
        <v>86383500</v>
      </c>
      <c r="I2224" t="s">
        <v>2109</v>
      </c>
      <c r="J2224" t="s">
        <v>2110</v>
      </c>
      <c r="K2224" t="s">
        <v>4629</v>
      </c>
    </row>
    <row r="2225" spans="1:11" ht="20" customHeight="1">
      <c r="A2225" t="s">
        <v>4628</v>
      </c>
      <c r="B2225" t="s">
        <v>2111</v>
      </c>
      <c r="C2225">
        <v>412.4200134277344</v>
      </c>
      <c r="D2225">
        <v>412.8200073242188</v>
      </c>
      <c r="E2225">
        <v>409.8800048828125</v>
      </c>
      <c r="F2225">
        <v>411.0899963378906</v>
      </c>
      <c r="G2225">
        <v>393.6003723144531</v>
      </c>
      <c r="H2225">
        <v>89213700</v>
      </c>
      <c r="I2225" t="s">
        <v>2112</v>
      </c>
      <c r="J2225" t="s">
        <v>2113</v>
      </c>
      <c r="K2225" t="s">
        <v>4629</v>
      </c>
    </row>
    <row r="2226" spans="1:11" ht="20" customHeight="1">
      <c r="A2226" t="s">
        <v>4628</v>
      </c>
      <c r="B2226" t="s">
        <v>2114</v>
      </c>
      <c r="C2226">
        <v>414.739990234375</v>
      </c>
      <c r="D2226">
        <v>416.1600036621094</v>
      </c>
      <c r="E2226">
        <v>412.4100036621094</v>
      </c>
      <c r="F2226">
        <v>414.6499938964844</v>
      </c>
      <c r="G2226">
        <v>397.0089721679688</v>
      </c>
      <c r="H2226">
        <v>90961600</v>
      </c>
      <c r="I2226" t="s">
        <v>2115</v>
      </c>
      <c r="J2226" t="s">
        <v>2116</v>
      </c>
      <c r="K2226" t="s">
        <v>4629</v>
      </c>
    </row>
    <row r="2227" spans="1:11" ht="20" customHeight="1">
      <c r="A2227" t="s">
        <v>4628</v>
      </c>
      <c r="B2227" t="s">
        <v>2117</v>
      </c>
      <c r="C2227">
        <v>415.3299865722656</v>
      </c>
      <c r="D2227">
        <v>420.7699890136719</v>
      </c>
      <c r="E2227">
        <v>415.25</v>
      </c>
      <c r="F2227">
        <v>420.0199890136719</v>
      </c>
      <c r="G2227">
        <v>402.1504821777344</v>
      </c>
      <c r="H2227">
        <v>93830000</v>
      </c>
      <c r="I2227" t="s">
        <v>2118</v>
      </c>
      <c r="J2227" t="s">
        <v>2119</v>
      </c>
      <c r="K2227" t="s">
        <v>4629</v>
      </c>
    </row>
    <row r="2228" spans="1:11" ht="20" customHeight="1">
      <c r="A2228" t="s">
        <v>4628</v>
      </c>
      <c r="B2228" t="s">
        <v>2120</v>
      </c>
      <c r="C2228">
        <v>422.0299987792969</v>
      </c>
      <c r="D2228">
        <v>422.5799865722656</v>
      </c>
      <c r="E2228">
        <v>418.739990234375</v>
      </c>
      <c r="F2228">
        <v>420.1799926757812</v>
      </c>
      <c r="G2228">
        <v>402.3036804199219</v>
      </c>
      <c r="H2228">
        <v>72216000</v>
      </c>
      <c r="I2228" t="s">
        <v>2121</v>
      </c>
      <c r="J2228" t="s">
        <v>2122</v>
      </c>
      <c r="K2228" t="s">
        <v>4629</v>
      </c>
    </row>
    <row r="2229" spans="1:11" ht="20" customHeight="1">
      <c r="A2229" t="s">
        <v>4628</v>
      </c>
      <c r="B2229" t="s">
        <v>2123</v>
      </c>
      <c r="C2229">
        <v>418.2799987792969</v>
      </c>
      <c r="D2229">
        <v>419.2200012207031</v>
      </c>
      <c r="E2229">
        <v>416.2200012207031</v>
      </c>
      <c r="F2229">
        <v>417.8500061035156</v>
      </c>
      <c r="G2229">
        <v>400.0729064941406</v>
      </c>
      <c r="H2229">
        <v>110811800</v>
      </c>
      <c r="I2229" t="s">
        <v>2124</v>
      </c>
      <c r="J2229" t="s">
        <v>2125</v>
      </c>
      <c r="K2229" t="s">
        <v>4629</v>
      </c>
    </row>
    <row r="2230" spans="1:11" ht="20" customHeight="1">
      <c r="A2230" t="s">
        <v>4628</v>
      </c>
      <c r="B2230" t="s">
        <v>2126</v>
      </c>
      <c r="C2230">
        <v>418.0899963378906</v>
      </c>
      <c r="D2230">
        <v>422.9200134277344</v>
      </c>
      <c r="E2230">
        <v>416.7900085449219</v>
      </c>
      <c r="F2230">
        <v>421.8200073242188</v>
      </c>
      <c r="G2230">
        <v>403.8739624023438</v>
      </c>
      <c r="H2230">
        <v>88865000</v>
      </c>
      <c r="I2230" t="s">
        <v>2127</v>
      </c>
      <c r="J2230" t="s">
        <v>2128</v>
      </c>
      <c r="K2230" t="s">
        <v>4629</v>
      </c>
    </row>
    <row r="2231" spans="1:11" ht="20" customHeight="1">
      <c r="A2231" t="s">
        <v>4628</v>
      </c>
      <c r="B2231" t="s">
        <v>2129</v>
      </c>
      <c r="C2231">
        <v>424.5</v>
      </c>
      <c r="D2231">
        <v>428.739990234375</v>
      </c>
      <c r="E2231">
        <v>423.9500122070312</v>
      </c>
      <c r="F2231">
        <v>427.9200134277344</v>
      </c>
      <c r="G2231">
        <v>409.7143859863281</v>
      </c>
      <c r="H2231">
        <v>91426200</v>
      </c>
      <c r="I2231" t="s">
        <v>2130</v>
      </c>
      <c r="J2231" t="s">
        <v>2131</v>
      </c>
      <c r="K2231" t="s">
        <v>4629</v>
      </c>
    </row>
    <row r="2232" spans="1:11" ht="20" customHeight="1">
      <c r="A2232" t="s">
        <v>4628</v>
      </c>
      <c r="B2232" t="s">
        <v>2132</v>
      </c>
      <c r="C2232">
        <v>428.2799987792969</v>
      </c>
      <c r="D2232">
        <v>429.6199951171875</v>
      </c>
      <c r="E2232">
        <v>426.3699951171875</v>
      </c>
      <c r="F2232">
        <v>427.1000061035156</v>
      </c>
      <c r="G2232">
        <v>408.9293212890625</v>
      </c>
      <c r="H2232">
        <v>65460200</v>
      </c>
      <c r="I2232" t="s">
        <v>2133</v>
      </c>
      <c r="J2232" t="s">
        <v>2134</v>
      </c>
      <c r="K2232" t="s">
        <v>4629</v>
      </c>
    </row>
    <row r="2233" spans="1:11" ht="20" customHeight="1">
      <c r="A2233" t="s">
        <v>4628</v>
      </c>
      <c r="B2233" t="s">
        <v>2135</v>
      </c>
      <c r="C2233">
        <v>426.6700134277344</v>
      </c>
      <c r="D2233">
        <v>428.5799865722656</v>
      </c>
      <c r="E2233">
        <v>425.989990234375</v>
      </c>
      <c r="F2233">
        <v>428.0299987792969</v>
      </c>
      <c r="G2233">
        <v>409.8197326660156</v>
      </c>
      <c r="H2233">
        <v>64022200</v>
      </c>
      <c r="I2233" t="s">
        <v>2136</v>
      </c>
      <c r="J2233" t="s">
        <v>2137</v>
      </c>
      <c r="K2233" t="s">
        <v>4629</v>
      </c>
    </row>
    <row r="2234" spans="1:11" ht="20" customHeight="1">
      <c r="A2234" t="s">
        <v>4628</v>
      </c>
      <c r="B2234" t="s">
        <v>2138</v>
      </c>
      <c r="C2234">
        <v>428.4400024414062</v>
      </c>
      <c r="D2234">
        <v>429.6199951171875</v>
      </c>
      <c r="E2234">
        <v>426.1099853515625</v>
      </c>
      <c r="F2234">
        <v>426.5499877929688</v>
      </c>
      <c r="G2234">
        <v>408.4026489257812</v>
      </c>
      <c r="H2234">
        <v>85373300</v>
      </c>
      <c r="I2234" t="s">
        <v>2139</v>
      </c>
      <c r="J2234" t="s">
        <v>2140</v>
      </c>
      <c r="K2234" t="s">
        <v>4629</v>
      </c>
    </row>
    <row r="2235" spans="1:11" ht="20" customHeight="1">
      <c r="A2235" t="s">
        <v>4628</v>
      </c>
      <c r="B2235" t="s">
        <v>2141</v>
      </c>
      <c r="C2235">
        <v>426.6199951171875</v>
      </c>
      <c r="D2235">
        <v>429.6000061035156</v>
      </c>
      <c r="E2235">
        <v>425.8200073242188</v>
      </c>
      <c r="F2235">
        <v>429.1300048828125</v>
      </c>
      <c r="G2235">
        <v>410.8729553222656</v>
      </c>
      <c r="H2235">
        <v>61952800</v>
      </c>
      <c r="I2235" t="s">
        <v>2142</v>
      </c>
      <c r="J2235" t="s">
        <v>2143</v>
      </c>
      <c r="K2235" t="s">
        <v>4629</v>
      </c>
    </row>
    <row r="2236" spans="1:11" ht="20" customHeight="1">
      <c r="A2236" t="s">
        <v>4628</v>
      </c>
      <c r="B2236" t="s">
        <v>2144</v>
      </c>
      <c r="C2236">
        <v>429.9599914550781</v>
      </c>
      <c r="D2236">
        <v>431.989990234375</v>
      </c>
      <c r="E2236">
        <v>428.8699951171875</v>
      </c>
      <c r="F2236">
        <v>429.8999938964844</v>
      </c>
      <c r="G2236">
        <v>411.6101989746094</v>
      </c>
      <c r="H2236">
        <v>85742800</v>
      </c>
      <c r="I2236" t="s">
        <v>2145</v>
      </c>
      <c r="J2236" t="s">
        <v>2146</v>
      </c>
      <c r="K2236" t="s">
        <v>4629</v>
      </c>
    </row>
    <row r="2237" spans="1:11" ht="20" customHeight="1">
      <c r="A2237" t="s">
        <v>4628</v>
      </c>
      <c r="B2237" t="s">
        <v>2147</v>
      </c>
      <c r="C2237">
        <v>430.9200134277344</v>
      </c>
      <c r="D2237">
        <v>433.8800048828125</v>
      </c>
      <c r="E2237">
        <v>430.1700134277344</v>
      </c>
      <c r="F2237">
        <v>433.7999877929688</v>
      </c>
      <c r="G2237">
        <v>415.3441772460938</v>
      </c>
      <c r="H2237">
        <v>76104300</v>
      </c>
      <c r="I2237" t="s">
        <v>2148</v>
      </c>
      <c r="J2237" t="s">
        <v>2149</v>
      </c>
      <c r="K2237" t="s">
        <v>4629</v>
      </c>
    </row>
    <row r="2238" spans="1:11" ht="20" customHeight="1">
      <c r="A2238" t="s">
        <v>4628</v>
      </c>
      <c r="B2238" t="s">
        <v>2150</v>
      </c>
      <c r="C2238">
        <v>435.3200073242188</v>
      </c>
      <c r="D2238">
        <v>437.3299865722656</v>
      </c>
      <c r="E2238">
        <v>434.6300048828125</v>
      </c>
      <c r="F2238">
        <v>436.6600036621094</v>
      </c>
      <c r="G2238">
        <v>418.08251953125</v>
      </c>
      <c r="H2238">
        <v>95899700</v>
      </c>
      <c r="I2238" t="s">
        <v>2151</v>
      </c>
      <c r="J2238" t="s">
        <v>2152</v>
      </c>
      <c r="K2238" t="s">
        <v>4629</v>
      </c>
    </row>
    <row r="2239" spans="1:11" ht="20" customHeight="1">
      <c r="A2239" t="s">
        <v>4628</v>
      </c>
      <c r="B2239" t="s">
        <v>2153</v>
      </c>
      <c r="C2239">
        <v>437.010009765625</v>
      </c>
      <c r="D2239">
        <v>439.0599975585938</v>
      </c>
      <c r="E2239">
        <v>433.5899963378906</v>
      </c>
      <c r="F2239">
        <v>437.1799926757812</v>
      </c>
      <c r="G2239">
        <v>418.5804443359375</v>
      </c>
      <c r="H2239">
        <v>100612100</v>
      </c>
      <c r="I2239" t="s">
        <v>2154</v>
      </c>
      <c r="J2239" t="s">
        <v>2155</v>
      </c>
      <c r="K2239" t="s">
        <v>4629</v>
      </c>
    </row>
    <row r="2240" spans="1:11" ht="20" customHeight="1">
      <c r="A2240" t="s">
        <v>4628</v>
      </c>
      <c r="B2240" t="s">
        <v>2156</v>
      </c>
      <c r="C2240">
        <v>436.3299865722656</v>
      </c>
      <c r="D2240">
        <v>443.8999938964844</v>
      </c>
      <c r="E2240">
        <v>436.2300109863281</v>
      </c>
      <c r="F2240">
        <v>442.6000061035156</v>
      </c>
      <c r="G2240">
        <v>423.7698364257812</v>
      </c>
      <c r="H2240">
        <v>110303100</v>
      </c>
      <c r="I2240" t="s">
        <v>2157</v>
      </c>
      <c r="J2240" t="s">
        <v>2158</v>
      </c>
      <c r="K2240" t="s">
        <v>4629</v>
      </c>
    </row>
    <row r="2241" spans="1:11" ht="20" customHeight="1">
      <c r="A2241" t="s">
        <v>4628</v>
      </c>
      <c r="B2241" t="s">
        <v>2159</v>
      </c>
      <c r="C2241">
        <v>443.0199890136719</v>
      </c>
      <c r="D2241">
        <v>443.6099853515625</v>
      </c>
      <c r="E2241">
        <v>438.9700012207031</v>
      </c>
      <c r="F2241">
        <v>439.4599914550781</v>
      </c>
      <c r="G2241">
        <v>422.3263854980469</v>
      </c>
      <c r="H2241">
        <v>114165800</v>
      </c>
      <c r="I2241" t="s">
        <v>2160</v>
      </c>
      <c r="J2241" t="s">
        <v>2161</v>
      </c>
      <c r="K2241" t="s">
        <v>4629</v>
      </c>
    </row>
    <row r="2242" spans="1:11" ht="20" customHeight="1">
      <c r="A2242" t="s">
        <v>4628</v>
      </c>
      <c r="B2242" t="s">
        <v>2162</v>
      </c>
      <c r="C2242">
        <v>437.4500122070312</v>
      </c>
      <c r="D2242">
        <v>438.3699951171875</v>
      </c>
      <c r="E2242">
        <v>435.0299987792969</v>
      </c>
      <c r="F2242">
        <v>437.1799926757812</v>
      </c>
      <c r="G2242">
        <v>420.1352844238281</v>
      </c>
      <c r="H2242">
        <v>76160400</v>
      </c>
      <c r="I2242" t="s">
        <v>2163</v>
      </c>
      <c r="J2242" t="s">
        <v>2164</v>
      </c>
      <c r="K2242" t="s">
        <v>4629</v>
      </c>
    </row>
    <row r="2243" spans="1:11" ht="20" customHeight="1">
      <c r="A2243" t="s">
        <v>4628</v>
      </c>
      <c r="B2243" t="s">
        <v>2165</v>
      </c>
      <c r="C2243">
        <v>436.1600036621094</v>
      </c>
      <c r="D2243">
        <v>436.989990234375</v>
      </c>
      <c r="E2243">
        <v>434.3299865722656</v>
      </c>
      <c r="F2243">
        <v>434.9400024414062</v>
      </c>
      <c r="G2243">
        <v>417.9826049804688</v>
      </c>
      <c r="H2243">
        <v>76982300</v>
      </c>
      <c r="I2243" t="s">
        <v>2166</v>
      </c>
      <c r="J2243" t="s">
        <v>2167</v>
      </c>
      <c r="K2243" t="s">
        <v>4629</v>
      </c>
    </row>
    <row r="2244" spans="1:11" ht="20" customHeight="1">
      <c r="A2244" t="s">
        <v>4628</v>
      </c>
      <c r="B2244" t="s">
        <v>2168</v>
      </c>
      <c r="C2244">
        <v>433.9500122070312</v>
      </c>
      <c r="D2244">
        <v>436.6199951171875</v>
      </c>
      <c r="E2244">
        <v>433.6000061035156</v>
      </c>
      <c r="F2244">
        <v>436.510009765625</v>
      </c>
      <c r="G2244">
        <v>419.4914245605469</v>
      </c>
      <c r="H2244">
        <v>70637200</v>
      </c>
      <c r="I2244" t="s">
        <v>2169</v>
      </c>
      <c r="J2244" t="s">
        <v>2170</v>
      </c>
      <c r="K2244" t="s">
        <v>4629</v>
      </c>
    </row>
    <row r="2245" spans="1:11" ht="20" customHeight="1">
      <c r="A2245" t="s">
        <v>4628</v>
      </c>
      <c r="B2245" t="s">
        <v>2171</v>
      </c>
      <c r="C2245">
        <v>432.9299926757812</v>
      </c>
      <c r="D2245">
        <v>435.0599975585938</v>
      </c>
      <c r="E2245">
        <v>432.4700012207031</v>
      </c>
      <c r="F2245">
        <v>433.2099914550781</v>
      </c>
      <c r="G2245">
        <v>416.3201293945312</v>
      </c>
      <c r="H2245">
        <v>92074500</v>
      </c>
      <c r="I2245" t="s">
        <v>2172</v>
      </c>
      <c r="J2245" t="s">
        <v>2173</v>
      </c>
      <c r="K2245" t="s">
        <v>4629</v>
      </c>
    </row>
    <row r="2246" spans="1:11" ht="20" customHeight="1">
      <c r="A2246" t="s">
        <v>4628</v>
      </c>
      <c r="B2246" t="s">
        <v>2174</v>
      </c>
      <c r="C2246">
        <v>432.6199951171875</v>
      </c>
      <c r="D2246">
        <v>434.6099853515625</v>
      </c>
      <c r="E2246">
        <v>431.1900024414062</v>
      </c>
      <c r="F2246">
        <v>431.4400024414062</v>
      </c>
      <c r="G2246">
        <v>414.6191101074219</v>
      </c>
      <c r="H2246">
        <v>72823600</v>
      </c>
      <c r="I2246" t="s">
        <v>2175</v>
      </c>
      <c r="J2246" t="s">
        <v>2176</v>
      </c>
      <c r="K2246" t="s">
        <v>4629</v>
      </c>
    </row>
    <row r="2247" spans="1:11" ht="20" customHeight="1">
      <c r="A2247" t="s">
        <v>4628</v>
      </c>
      <c r="B2247" t="s">
        <v>2177</v>
      </c>
      <c r="C2247">
        <v>432.3500061035156</v>
      </c>
      <c r="D2247">
        <v>436.8099975585938</v>
      </c>
      <c r="E2247">
        <v>431.8800048828125</v>
      </c>
      <c r="F2247">
        <v>436.1700134277344</v>
      </c>
      <c r="G2247">
        <v>419.1647033691406</v>
      </c>
      <c r="H2247">
        <v>72813700</v>
      </c>
      <c r="I2247" t="s">
        <v>2178</v>
      </c>
      <c r="J2247" t="s">
        <v>2179</v>
      </c>
      <c r="K2247" t="s">
        <v>4629</v>
      </c>
    </row>
    <row r="2248" spans="1:11" ht="20" customHeight="1">
      <c r="A2248" t="s">
        <v>4628</v>
      </c>
      <c r="B2248" t="s">
        <v>2180</v>
      </c>
      <c r="C2248">
        <v>435.0499877929688</v>
      </c>
      <c r="D2248">
        <v>437.4400024414062</v>
      </c>
      <c r="E2248">
        <v>434.4100036621094</v>
      </c>
      <c r="F2248">
        <v>436.3900146484375</v>
      </c>
      <c r="G2248">
        <v>419.3761596679688</v>
      </c>
      <c r="H2248">
        <v>75636000</v>
      </c>
      <c r="I2248" t="s">
        <v>2181</v>
      </c>
      <c r="J2248" t="s">
        <v>2182</v>
      </c>
      <c r="K2248" t="s">
        <v>4629</v>
      </c>
    </row>
    <row r="2249" spans="1:11" ht="20" customHeight="1">
      <c r="A2249" t="s">
        <v>4628</v>
      </c>
      <c r="B2249" t="s">
        <v>2183</v>
      </c>
      <c r="C2249">
        <v>435.9599914550781</v>
      </c>
      <c r="D2249">
        <v>438.2799987792969</v>
      </c>
      <c r="E2249">
        <v>435.5400085449219</v>
      </c>
      <c r="F2249">
        <v>438.1099853515625</v>
      </c>
      <c r="G2249">
        <v>421.0290832519531</v>
      </c>
      <c r="H2249">
        <v>67882300</v>
      </c>
      <c r="I2249" t="s">
        <v>2184</v>
      </c>
      <c r="J2249" t="s">
        <v>2185</v>
      </c>
      <c r="K2249" t="s">
        <v>4629</v>
      </c>
    </row>
    <row r="2250" spans="1:11" ht="20" customHeight="1">
      <c r="A2250" t="s">
        <v>4628</v>
      </c>
      <c r="B2250" t="s">
        <v>2186</v>
      </c>
      <c r="C2250">
        <v>441.4400024414062</v>
      </c>
      <c r="D2250">
        <v>444.2999877929688</v>
      </c>
      <c r="E2250">
        <v>441.1099853515625</v>
      </c>
      <c r="F2250">
        <v>443.2799987792969</v>
      </c>
      <c r="G2250">
        <v>425.9974670410156</v>
      </c>
      <c r="H2250">
        <v>104964000</v>
      </c>
      <c r="I2250" t="s">
        <v>2187</v>
      </c>
      <c r="J2250" t="s">
        <v>2188</v>
      </c>
      <c r="K2250" t="s">
        <v>4629</v>
      </c>
    </row>
    <row r="2251" spans="1:11" ht="20" customHeight="1">
      <c r="A2251" t="s">
        <v>4628</v>
      </c>
      <c r="B2251" t="s">
        <v>2189</v>
      </c>
      <c r="C2251">
        <v>442.9200134277344</v>
      </c>
      <c r="D2251">
        <v>444.0799865722656</v>
      </c>
      <c r="E2251">
        <v>442.6300048828125</v>
      </c>
      <c r="F2251">
        <v>443.7900085449219</v>
      </c>
      <c r="G2251">
        <v>426.4876098632812</v>
      </c>
      <c r="H2251">
        <v>32793400</v>
      </c>
      <c r="I2251" t="s">
        <v>2190</v>
      </c>
      <c r="J2251" t="s">
        <v>2191</v>
      </c>
      <c r="K2251" t="s">
        <v>4629</v>
      </c>
    </row>
    <row r="2252" spans="1:11" ht="20" customHeight="1">
      <c r="A2252" t="s">
        <v>4628</v>
      </c>
      <c r="B2252" t="s">
        <v>2192</v>
      </c>
      <c r="C2252">
        <v>441.9100036621094</v>
      </c>
      <c r="D2252">
        <v>443.8900146484375</v>
      </c>
      <c r="E2252">
        <v>441.8999938964844</v>
      </c>
      <c r="F2252">
        <v>443.1300048828125</v>
      </c>
      <c r="G2252">
        <v>425.8533020019531</v>
      </c>
      <c r="H2252">
        <v>58418400</v>
      </c>
      <c r="I2252" t="s">
        <v>2193</v>
      </c>
      <c r="J2252" t="s">
        <v>2194</v>
      </c>
      <c r="K2252" t="s">
        <v>4629</v>
      </c>
    </row>
    <row r="2253" spans="1:11" ht="20" customHeight="1">
      <c r="A2253" t="s">
        <v>4628</v>
      </c>
      <c r="B2253" t="s">
        <v>2195</v>
      </c>
      <c r="C2253">
        <v>439.4200134277344</v>
      </c>
      <c r="D2253">
        <v>440.1000061035156</v>
      </c>
      <c r="E2253">
        <v>437.0599975585938</v>
      </c>
      <c r="F2253">
        <v>439.6600036621094</v>
      </c>
      <c r="G2253">
        <v>422.5186157226562</v>
      </c>
      <c r="H2253">
        <v>80658300</v>
      </c>
      <c r="I2253" t="s">
        <v>2196</v>
      </c>
      <c r="J2253" t="s">
        <v>2197</v>
      </c>
      <c r="K2253" t="s">
        <v>4629</v>
      </c>
    </row>
    <row r="2254" spans="1:11" ht="20" customHeight="1">
      <c r="A2254" t="s">
        <v>4628</v>
      </c>
      <c r="B2254" t="s">
        <v>2198</v>
      </c>
      <c r="C2254">
        <v>438.6300048828125</v>
      </c>
      <c r="D2254">
        <v>442.6400146484375</v>
      </c>
      <c r="E2254">
        <v>438.2999877929688</v>
      </c>
      <c r="F2254">
        <v>438.5499877929688</v>
      </c>
      <c r="G2254">
        <v>421.451904296875</v>
      </c>
      <c r="H2254">
        <v>86134200</v>
      </c>
      <c r="I2254" t="s">
        <v>2199</v>
      </c>
      <c r="J2254" t="s">
        <v>2200</v>
      </c>
      <c r="K2254" t="s">
        <v>4629</v>
      </c>
    </row>
    <row r="2255" spans="1:11" ht="20" customHeight="1">
      <c r="A2255" t="s">
        <v>4628</v>
      </c>
      <c r="B2255" t="s">
        <v>2201</v>
      </c>
      <c r="C2255">
        <v>438.1799926757812</v>
      </c>
      <c r="D2255">
        <v>439.8399963378906</v>
      </c>
      <c r="E2255">
        <v>437.5899963378906</v>
      </c>
      <c r="F2255">
        <v>439.6600036621094</v>
      </c>
      <c r="G2255">
        <v>422.5186157226562</v>
      </c>
      <c r="H2255">
        <v>62443500</v>
      </c>
      <c r="I2255" t="s">
        <v>2202</v>
      </c>
      <c r="J2255" t="s">
        <v>2203</v>
      </c>
      <c r="K2255" t="s">
        <v>4629</v>
      </c>
    </row>
    <row r="2256" spans="1:11" ht="20" customHeight="1">
      <c r="A2256" t="s">
        <v>4628</v>
      </c>
      <c r="B2256" t="s">
        <v>2204</v>
      </c>
      <c r="C2256">
        <v>440.4500122070312</v>
      </c>
      <c r="D2256">
        <v>442.9700012207031</v>
      </c>
      <c r="E2256">
        <v>439.4400024414062</v>
      </c>
      <c r="F2256">
        <v>442.4599914550781</v>
      </c>
      <c r="G2256">
        <v>425.2094421386719</v>
      </c>
      <c r="H2256">
        <v>64463800</v>
      </c>
      <c r="I2256" t="s">
        <v>2205</v>
      </c>
      <c r="J2256" t="s">
        <v>2206</v>
      </c>
      <c r="K2256" t="s">
        <v>4629</v>
      </c>
    </row>
    <row r="2257" spans="1:11" ht="20" customHeight="1">
      <c r="A2257" t="s">
        <v>4628</v>
      </c>
      <c r="B2257" t="s">
        <v>2207</v>
      </c>
      <c r="C2257">
        <v>446.3900146484375</v>
      </c>
      <c r="D2257">
        <v>447.4800109863281</v>
      </c>
      <c r="E2257">
        <v>444.9100036621094</v>
      </c>
      <c r="F2257">
        <v>446.0199890136719</v>
      </c>
      <c r="G2257">
        <v>428.6306457519531</v>
      </c>
      <c r="H2257">
        <v>91924500</v>
      </c>
      <c r="I2257" t="s">
        <v>2208</v>
      </c>
      <c r="J2257" t="s">
        <v>2209</v>
      </c>
      <c r="K2257" t="s">
        <v>4629</v>
      </c>
    </row>
    <row r="2258" spans="1:11" ht="20" customHeight="1">
      <c r="A2258" t="s">
        <v>4628</v>
      </c>
      <c r="B2258" t="s">
        <v>2210</v>
      </c>
      <c r="C2258">
        <v>447.8999938964844</v>
      </c>
      <c r="D2258">
        <v>450.3800048828125</v>
      </c>
      <c r="E2258">
        <v>447.4500122070312</v>
      </c>
      <c r="F2258">
        <v>449.5599975585938</v>
      </c>
      <c r="G2258">
        <v>432.0326538085938</v>
      </c>
      <c r="H2258">
        <v>72425200</v>
      </c>
      <c r="I2258" t="s">
        <v>2211</v>
      </c>
      <c r="J2258" t="s">
        <v>2212</v>
      </c>
      <c r="K2258" t="s">
        <v>4629</v>
      </c>
    </row>
    <row r="2259" spans="1:11" ht="20" customHeight="1">
      <c r="A2259" t="s">
        <v>4628</v>
      </c>
      <c r="B2259" t="s">
        <v>2213</v>
      </c>
      <c r="C2259">
        <v>450.4800109863281</v>
      </c>
      <c r="D2259">
        <v>451.3599853515625</v>
      </c>
      <c r="E2259">
        <v>448.489990234375</v>
      </c>
      <c r="F2259">
        <v>449.2799987792969</v>
      </c>
      <c r="G2259">
        <v>431.7636108398438</v>
      </c>
      <c r="H2259">
        <v>69815800</v>
      </c>
      <c r="I2259" t="s">
        <v>2214</v>
      </c>
      <c r="J2259" t="s">
        <v>2215</v>
      </c>
      <c r="K2259" t="s">
        <v>4629</v>
      </c>
    </row>
    <row r="2260" spans="1:11" ht="20" customHeight="1">
      <c r="A2260" t="s">
        <v>4628</v>
      </c>
      <c r="B2260" t="s">
        <v>2216</v>
      </c>
      <c r="C2260">
        <v>449.1300048828125</v>
      </c>
      <c r="D2260">
        <v>451.9299926757812</v>
      </c>
      <c r="E2260">
        <v>449.0799865722656</v>
      </c>
      <c r="F2260">
        <v>450.8399963378906</v>
      </c>
      <c r="G2260">
        <v>433.2627258300781</v>
      </c>
      <c r="H2260">
        <v>52680200</v>
      </c>
      <c r="I2260" t="s">
        <v>2217</v>
      </c>
      <c r="J2260" t="s">
        <v>2218</v>
      </c>
      <c r="K2260" t="s">
        <v>4629</v>
      </c>
    </row>
    <row r="2261" spans="1:11" ht="20" customHeight="1">
      <c r="A2261" t="s">
        <v>4628</v>
      </c>
      <c r="B2261" t="s">
        <v>2219</v>
      </c>
      <c r="C2261">
        <v>450.5</v>
      </c>
      <c r="D2261">
        <v>454.8599853515625</v>
      </c>
      <c r="E2261">
        <v>450.0499877929688</v>
      </c>
      <c r="F2261">
        <v>454.1900024414062</v>
      </c>
      <c r="G2261">
        <v>436.4821166992188</v>
      </c>
      <c r="H2261">
        <v>80668200</v>
      </c>
      <c r="I2261" t="s">
        <v>2220</v>
      </c>
      <c r="J2261" t="s">
        <v>2221</v>
      </c>
      <c r="K2261" t="s">
        <v>4629</v>
      </c>
    </row>
    <row r="2262" spans="1:11" ht="20" customHeight="1">
      <c r="A2262" t="s">
        <v>4628</v>
      </c>
      <c r="B2262" t="s">
        <v>2222</v>
      </c>
      <c r="C2262">
        <v>455.010009765625</v>
      </c>
      <c r="D2262">
        <v>456.4299926757812</v>
      </c>
      <c r="E2262">
        <v>454.1099853515625</v>
      </c>
      <c r="F2262">
        <v>455.2000122070312</v>
      </c>
      <c r="G2262">
        <v>437.4527282714844</v>
      </c>
      <c r="H2262">
        <v>65891700</v>
      </c>
      <c r="I2262" t="s">
        <v>2223</v>
      </c>
      <c r="J2262" t="s">
        <v>2224</v>
      </c>
      <c r="K2262" t="s">
        <v>4629</v>
      </c>
    </row>
    <row r="2263" spans="1:11" ht="20" customHeight="1">
      <c r="A2263" t="s">
        <v>4628</v>
      </c>
      <c r="B2263" t="s">
        <v>2225</v>
      </c>
      <c r="C2263">
        <v>454.1700134277344</v>
      </c>
      <c r="D2263">
        <v>455.1000061035156</v>
      </c>
      <c r="E2263">
        <v>451.4400024414062</v>
      </c>
      <c r="F2263">
        <v>452.1799926757812</v>
      </c>
      <c r="G2263">
        <v>434.5504760742188</v>
      </c>
      <c r="H2263">
        <v>70591600</v>
      </c>
      <c r="I2263" t="s">
        <v>2226</v>
      </c>
      <c r="J2263" t="s">
        <v>2227</v>
      </c>
      <c r="K2263" t="s">
        <v>4629</v>
      </c>
    </row>
    <row r="2264" spans="1:11" ht="20" customHeight="1">
      <c r="A2264" t="s">
        <v>4628</v>
      </c>
      <c r="B2264" t="s">
        <v>2228</v>
      </c>
      <c r="C2264">
        <v>453.9599914550781</v>
      </c>
      <c r="D2264">
        <v>454.1700134277344</v>
      </c>
      <c r="E2264">
        <v>452.1700134277344</v>
      </c>
      <c r="F2264">
        <v>452.1799926757812</v>
      </c>
      <c r="G2264">
        <v>434.5504760742188</v>
      </c>
      <c r="H2264">
        <v>71275600</v>
      </c>
      <c r="I2264" t="s">
        <v>2229</v>
      </c>
      <c r="J2264" t="s">
        <v>2230</v>
      </c>
      <c r="K2264" t="s">
        <v>4629</v>
      </c>
    </row>
    <row r="2265" spans="1:11" ht="20" customHeight="1">
      <c r="A2265" t="s">
        <v>4628</v>
      </c>
      <c r="B2265" t="s">
        <v>2231</v>
      </c>
      <c r="C2265">
        <v>453.3699951171875</v>
      </c>
      <c r="D2265">
        <v>455.0400085449219</v>
      </c>
      <c r="E2265">
        <v>452.2999877929688</v>
      </c>
      <c r="F2265">
        <v>454.2000122070312</v>
      </c>
      <c r="G2265">
        <v>436.4917602539062</v>
      </c>
      <c r="H2265">
        <v>54023400</v>
      </c>
      <c r="I2265" t="s">
        <v>2232</v>
      </c>
      <c r="J2265" t="s">
        <v>2233</v>
      </c>
      <c r="K2265" t="s">
        <v>4629</v>
      </c>
    </row>
    <row r="2266" spans="1:11" ht="20" customHeight="1">
      <c r="A2266" t="s">
        <v>4628</v>
      </c>
      <c r="B2266" t="s">
        <v>2234</v>
      </c>
      <c r="C2266">
        <v>453.9200134277344</v>
      </c>
      <c r="D2266">
        <v>456.739990234375</v>
      </c>
      <c r="E2266">
        <v>453.8699951171875</v>
      </c>
      <c r="F2266">
        <v>455.4400024414062</v>
      </c>
      <c r="G2266">
        <v>437.683349609375</v>
      </c>
      <c r="H2266">
        <v>55191200</v>
      </c>
      <c r="I2266" t="s">
        <v>2235</v>
      </c>
      <c r="J2266" t="s">
        <v>2236</v>
      </c>
      <c r="K2266" t="s">
        <v>4629</v>
      </c>
    </row>
    <row r="2267" spans="1:11" ht="20" customHeight="1">
      <c r="A2267" t="s">
        <v>4628</v>
      </c>
      <c r="B2267" t="s">
        <v>2237</v>
      </c>
      <c r="C2267">
        <v>454.4700012207031</v>
      </c>
      <c r="D2267">
        <v>456.989990234375</v>
      </c>
      <c r="E2267">
        <v>453.3800048828125</v>
      </c>
      <c r="F2267">
        <v>455.510009765625</v>
      </c>
      <c r="G2267">
        <v>437.7506713867188</v>
      </c>
      <c r="H2267">
        <v>71052900</v>
      </c>
      <c r="I2267" t="s">
        <v>2238</v>
      </c>
      <c r="J2267" t="s">
        <v>2239</v>
      </c>
      <c r="K2267" t="s">
        <v>4629</v>
      </c>
    </row>
    <row r="2268" spans="1:11" ht="20" customHeight="1">
      <c r="A2268" t="s">
        <v>4628</v>
      </c>
      <c r="B2268" t="s">
        <v>2240</v>
      </c>
      <c r="C2268">
        <v>459.0199890136719</v>
      </c>
      <c r="D2268">
        <v>459.4400024414062</v>
      </c>
      <c r="E2268">
        <v>451.5499877929688</v>
      </c>
      <c r="F2268">
        <v>452.489990234375</v>
      </c>
      <c r="G2268">
        <v>434.8484191894531</v>
      </c>
      <c r="H2268">
        <v>92194400</v>
      </c>
      <c r="I2268" t="s">
        <v>2241</v>
      </c>
      <c r="J2268" t="s">
        <v>2242</v>
      </c>
      <c r="K2268" t="s">
        <v>4629</v>
      </c>
    </row>
    <row r="2269" spans="1:11" ht="20" customHeight="1">
      <c r="A2269" t="s">
        <v>4628</v>
      </c>
      <c r="B2269" t="s">
        <v>2243</v>
      </c>
      <c r="C2269">
        <v>455.8800048828125</v>
      </c>
      <c r="D2269">
        <v>457.7799987792969</v>
      </c>
      <c r="E2269">
        <v>452.489990234375</v>
      </c>
      <c r="F2269">
        <v>456.9200134277344</v>
      </c>
      <c r="G2269">
        <v>439.105712890625</v>
      </c>
      <c r="H2269">
        <v>80011800</v>
      </c>
      <c r="I2269" t="s">
        <v>2244</v>
      </c>
      <c r="J2269" t="s">
        <v>2245</v>
      </c>
      <c r="K2269" t="s">
        <v>4629</v>
      </c>
    </row>
    <row r="2270" spans="1:11" ht="20" customHeight="1">
      <c r="A2270" t="s">
        <v>4628</v>
      </c>
      <c r="B2270" t="s">
        <v>2246</v>
      </c>
      <c r="C2270">
        <v>457.4100036621094</v>
      </c>
      <c r="D2270">
        <v>458.1600036621094</v>
      </c>
      <c r="E2270">
        <v>456.0499877929688</v>
      </c>
      <c r="F2270">
        <v>457.7900085449219</v>
      </c>
      <c r="G2270">
        <v>439.9417724609375</v>
      </c>
      <c r="H2270">
        <v>62040400</v>
      </c>
      <c r="I2270" t="s">
        <v>2247</v>
      </c>
      <c r="J2270" t="s">
        <v>2248</v>
      </c>
      <c r="K2270" t="s">
        <v>4629</v>
      </c>
    </row>
    <row r="2271" spans="1:11" ht="20" customHeight="1">
      <c r="A2271" t="s">
        <v>4628</v>
      </c>
      <c r="B2271" t="s">
        <v>2249</v>
      </c>
      <c r="C2271">
        <v>456.2699890136719</v>
      </c>
      <c r="D2271">
        <v>457.25</v>
      </c>
      <c r="E2271">
        <v>455.489990234375</v>
      </c>
      <c r="F2271">
        <v>456.4800109863281</v>
      </c>
      <c r="G2271">
        <v>438.6828002929688</v>
      </c>
      <c r="H2271">
        <v>55291500</v>
      </c>
      <c r="I2271" t="s">
        <v>2250</v>
      </c>
      <c r="J2271" t="s">
        <v>2251</v>
      </c>
      <c r="K2271" t="s">
        <v>4629</v>
      </c>
    </row>
    <row r="2272" spans="1:11" ht="20" customHeight="1">
      <c r="A2272" t="s">
        <v>4628</v>
      </c>
      <c r="B2272" t="s">
        <v>2252</v>
      </c>
      <c r="C2272">
        <v>453.25</v>
      </c>
      <c r="D2272">
        <v>453.5199890136719</v>
      </c>
      <c r="E2272">
        <v>449.3500061035156</v>
      </c>
      <c r="F2272">
        <v>450.1300048828125</v>
      </c>
      <c r="G2272">
        <v>432.5804138183594</v>
      </c>
      <c r="H2272">
        <v>93933400</v>
      </c>
      <c r="I2272" t="s">
        <v>2253</v>
      </c>
      <c r="J2272" t="s">
        <v>2254</v>
      </c>
      <c r="K2272" t="s">
        <v>4629</v>
      </c>
    </row>
    <row r="2273" spans="1:11" ht="20" customHeight="1">
      <c r="A2273" t="s">
        <v>4628</v>
      </c>
      <c r="B2273" t="s">
        <v>2255</v>
      </c>
      <c r="C2273">
        <v>448.0400085449219</v>
      </c>
      <c r="D2273">
        <v>450.7900085449219</v>
      </c>
      <c r="E2273">
        <v>447.3699951171875</v>
      </c>
      <c r="F2273">
        <v>448.8399963378906</v>
      </c>
      <c r="G2273">
        <v>431.3406677246094</v>
      </c>
      <c r="H2273">
        <v>64276100</v>
      </c>
      <c r="I2273" t="s">
        <v>2256</v>
      </c>
      <c r="J2273" t="s">
        <v>2257</v>
      </c>
      <c r="K2273" t="s">
        <v>4629</v>
      </c>
    </row>
    <row r="2274" spans="1:11" ht="20" customHeight="1">
      <c r="A2274" t="s">
        <v>4628</v>
      </c>
      <c r="B2274" t="s">
        <v>2258</v>
      </c>
      <c r="C2274">
        <v>450.7200012207031</v>
      </c>
      <c r="D2274">
        <v>452.8999938964844</v>
      </c>
      <c r="E2274">
        <v>446.2699890136719</v>
      </c>
      <c r="F2274">
        <v>446.8099975585938</v>
      </c>
      <c r="G2274">
        <v>429.389892578125</v>
      </c>
      <c r="H2274">
        <v>100128900</v>
      </c>
      <c r="I2274" t="s">
        <v>2259</v>
      </c>
      <c r="J2274" t="s">
        <v>2260</v>
      </c>
      <c r="K2274" t="s">
        <v>4629</v>
      </c>
    </row>
    <row r="2275" spans="1:11" ht="20" customHeight="1">
      <c r="A2275" t="s">
        <v>4628</v>
      </c>
      <c r="B2275" t="s">
        <v>2261</v>
      </c>
      <c r="C2275">
        <v>448.7099914550781</v>
      </c>
      <c r="D2275">
        <v>450.8699951171875</v>
      </c>
      <c r="E2275">
        <v>447.989990234375</v>
      </c>
      <c r="F2275">
        <v>450.7099914550781</v>
      </c>
      <c r="G2275">
        <v>433.1377868652344</v>
      </c>
      <c r="H2275">
        <v>58357500</v>
      </c>
      <c r="I2275" t="s">
        <v>2262</v>
      </c>
      <c r="J2275" t="s">
        <v>2263</v>
      </c>
      <c r="K2275" t="s">
        <v>4629</v>
      </c>
    </row>
    <row r="2276" spans="1:11" ht="20" customHeight="1">
      <c r="A2276" t="s">
        <v>4628</v>
      </c>
      <c r="B2276" t="s">
        <v>2264</v>
      </c>
      <c r="C2276">
        <v>448.0799865722656</v>
      </c>
      <c r="D2276">
        <v>450.7000122070312</v>
      </c>
      <c r="E2276">
        <v>445.2699890136719</v>
      </c>
      <c r="F2276">
        <v>448.75</v>
      </c>
      <c r="G2276">
        <v>431.2542419433594</v>
      </c>
      <c r="H2276">
        <v>71361300</v>
      </c>
      <c r="I2276" t="s">
        <v>2265</v>
      </c>
      <c r="J2276" t="s">
        <v>2266</v>
      </c>
      <c r="K2276" t="s">
        <v>4629</v>
      </c>
    </row>
    <row r="2277" spans="1:11" ht="20" customHeight="1">
      <c r="A2277" t="s">
        <v>4628</v>
      </c>
      <c r="B2277" t="s">
        <v>2267</v>
      </c>
      <c r="C2277">
        <v>449.0299987792969</v>
      </c>
      <c r="D2277">
        <v>449.2000122070312</v>
      </c>
      <c r="E2277">
        <v>444.9599914550781</v>
      </c>
      <c r="F2277">
        <v>445.75</v>
      </c>
      <c r="G2277">
        <v>428.3712158203125</v>
      </c>
      <c r="H2277">
        <v>78789600</v>
      </c>
      <c r="I2277" t="s">
        <v>2268</v>
      </c>
      <c r="J2277" t="s">
        <v>2269</v>
      </c>
      <c r="K2277" t="s">
        <v>4629</v>
      </c>
    </row>
    <row r="2278" spans="1:11" ht="20" customHeight="1">
      <c r="A2278" t="s">
        <v>4628</v>
      </c>
      <c r="B2278" t="s">
        <v>2270</v>
      </c>
      <c r="C2278">
        <v>448.1900024414062</v>
      </c>
      <c r="D2278">
        <v>451.7000122070312</v>
      </c>
      <c r="E2278">
        <v>444.7000122070312</v>
      </c>
      <c r="F2278">
        <v>445.9100036621094</v>
      </c>
      <c r="G2278">
        <v>428.5249633789062</v>
      </c>
      <c r="H2278">
        <v>93005500</v>
      </c>
      <c r="I2278" t="s">
        <v>2271</v>
      </c>
      <c r="J2278" t="s">
        <v>2272</v>
      </c>
      <c r="K2278" t="s">
        <v>4629</v>
      </c>
    </row>
    <row r="2279" spans="1:11" ht="20" customHeight="1">
      <c r="A2279" t="s">
        <v>4628</v>
      </c>
      <c r="B2279" t="s">
        <v>2273</v>
      </c>
      <c r="C2279">
        <v>443.9700012207031</v>
      </c>
      <c r="D2279">
        <v>446.7000122070312</v>
      </c>
      <c r="E2279">
        <v>443.3500061035156</v>
      </c>
      <c r="F2279">
        <v>445.6499938964844</v>
      </c>
      <c r="G2279">
        <v>428.2750854492188</v>
      </c>
      <c r="H2279">
        <v>68690900</v>
      </c>
      <c r="I2279" t="s">
        <v>2274</v>
      </c>
      <c r="J2279" t="s">
        <v>2275</v>
      </c>
      <c r="K2279" t="s">
        <v>4629</v>
      </c>
    </row>
    <row r="2280" spans="1:11" ht="20" customHeight="1">
      <c r="A2280" t="s">
        <v>4628</v>
      </c>
      <c r="B2280" t="s">
        <v>2276</v>
      </c>
      <c r="C2280">
        <v>444.7000122070312</v>
      </c>
      <c r="D2280">
        <v>448.1099853515625</v>
      </c>
      <c r="E2280">
        <v>444.3800048828125</v>
      </c>
      <c r="F2280">
        <v>448.1099853515625</v>
      </c>
      <c r="G2280">
        <v>430.6392211914062</v>
      </c>
      <c r="H2280">
        <v>47867400</v>
      </c>
      <c r="I2280" t="s">
        <v>2277</v>
      </c>
      <c r="J2280" t="s">
        <v>2278</v>
      </c>
      <c r="K2280" t="s">
        <v>4629</v>
      </c>
    </row>
    <row r="2281" spans="1:11" ht="20" customHeight="1">
      <c r="A2281" t="s">
        <v>4628</v>
      </c>
      <c r="B2281" t="s">
        <v>2279</v>
      </c>
      <c r="C2281">
        <v>446.2699890136719</v>
      </c>
      <c r="D2281">
        <v>446.6400146484375</v>
      </c>
      <c r="E2281">
        <v>442.2999877929688</v>
      </c>
      <c r="F2281">
        <v>442.8900146484375</v>
      </c>
      <c r="G2281">
        <v>425.6226806640625</v>
      </c>
      <c r="H2281">
        <v>75707500</v>
      </c>
      <c r="I2281" t="s">
        <v>2280</v>
      </c>
      <c r="J2281" t="s">
        <v>2281</v>
      </c>
      <c r="K2281" t="s">
        <v>4629</v>
      </c>
    </row>
    <row r="2282" spans="1:11" ht="20" customHeight="1">
      <c r="A2282" t="s">
        <v>4628</v>
      </c>
      <c r="B2282" t="s">
        <v>2282</v>
      </c>
      <c r="C2282">
        <v>442.4599914550781</v>
      </c>
      <c r="D2282">
        <v>444.1799926757812</v>
      </c>
      <c r="E2282">
        <v>439.5299987792969</v>
      </c>
      <c r="F2282">
        <v>439.6400146484375</v>
      </c>
      <c r="G2282">
        <v>422.4994201660156</v>
      </c>
      <c r="H2282">
        <v>80107200</v>
      </c>
      <c r="I2282" t="s">
        <v>2283</v>
      </c>
      <c r="J2282" t="s">
        <v>2284</v>
      </c>
      <c r="K2282" t="s">
        <v>4629</v>
      </c>
    </row>
    <row r="2283" spans="1:11" ht="20" customHeight="1">
      <c r="A2283" t="s">
        <v>4628</v>
      </c>
      <c r="B2283" t="s">
        <v>2285</v>
      </c>
      <c r="C2283">
        <v>441.1600036621094</v>
      </c>
      <c r="D2283">
        <v>441.4299926757812</v>
      </c>
      <c r="E2283">
        <v>435.75</v>
      </c>
      <c r="F2283">
        <v>436.2900085449219</v>
      </c>
      <c r="G2283">
        <v>419.2799987792969</v>
      </c>
      <c r="H2283">
        <v>95711300</v>
      </c>
      <c r="I2283" t="s">
        <v>2286</v>
      </c>
      <c r="J2283" t="s">
        <v>2287</v>
      </c>
      <c r="K2283" t="s">
        <v>4629</v>
      </c>
    </row>
    <row r="2284" spans="1:11" ht="20" customHeight="1">
      <c r="A2284" t="s">
        <v>4628</v>
      </c>
      <c r="B2284" t="s">
        <v>2288</v>
      </c>
      <c r="C2284">
        <v>433.3699951171875</v>
      </c>
      <c r="D2284">
        <v>437.5700073242188</v>
      </c>
      <c r="E2284">
        <v>433.010009765625</v>
      </c>
      <c r="F2284">
        <v>436.5</v>
      </c>
      <c r="G2284">
        <v>419.4818115234375</v>
      </c>
      <c r="H2284">
        <v>98852000</v>
      </c>
      <c r="I2284" t="s">
        <v>2289</v>
      </c>
      <c r="J2284" t="s">
        <v>2290</v>
      </c>
      <c r="K2284" t="s">
        <v>4629</v>
      </c>
    </row>
    <row r="2285" spans="1:11" ht="20" customHeight="1">
      <c r="A2285" t="s">
        <v>4628</v>
      </c>
      <c r="B2285" t="s">
        <v>2291</v>
      </c>
      <c r="C2285">
        <v>437.5499877929688</v>
      </c>
      <c r="D2285">
        <v>440.1099853515625</v>
      </c>
      <c r="E2285">
        <v>435.3200073242188</v>
      </c>
      <c r="F2285">
        <v>439.3399963378906</v>
      </c>
      <c r="G2285">
        <v>422.2110595703125</v>
      </c>
      <c r="H2285">
        <v>68719000</v>
      </c>
      <c r="I2285" t="s">
        <v>2292</v>
      </c>
      <c r="J2285" t="s">
        <v>2293</v>
      </c>
      <c r="K2285" t="s">
        <v>4629</v>
      </c>
    </row>
    <row r="2286" spans="1:11" ht="20" customHeight="1">
      <c r="A2286" t="s">
        <v>4628</v>
      </c>
      <c r="B2286" t="s">
        <v>2294</v>
      </c>
      <c r="C2286">
        <v>441.1799926757812</v>
      </c>
      <c r="D2286">
        <v>441.1799926757812</v>
      </c>
      <c r="E2286">
        <v>437.5700073242188</v>
      </c>
      <c r="F2286">
        <v>438.1499938964844</v>
      </c>
      <c r="G2286">
        <v>421.0675354003906</v>
      </c>
      <c r="H2286">
        <v>64994200</v>
      </c>
      <c r="I2286" t="s">
        <v>2295</v>
      </c>
      <c r="J2286" t="s">
        <v>2296</v>
      </c>
      <c r="K2286" t="s">
        <v>4629</v>
      </c>
    </row>
    <row r="2287" spans="1:11" ht="20" customHeight="1">
      <c r="A2287" t="s">
        <v>4628</v>
      </c>
      <c r="B2287" t="s">
        <v>2297</v>
      </c>
      <c r="C2287">
        <v>439.25</v>
      </c>
      <c r="D2287">
        <v>443.6700134277344</v>
      </c>
      <c r="E2287">
        <v>439.1000061035156</v>
      </c>
      <c r="F2287">
        <v>443.0299987792969</v>
      </c>
      <c r="G2287">
        <v>425.7572631835938</v>
      </c>
      <c r="H2287">
        <v>68441000</v>
      </c>
      <c r="I2287" t="s">
        <v>2298</v>
      </c>
      <c r="J2287" t="s">
        <v>2299</v>
      </c>
      <c r="K2287" t="s">
        <v>4629</v>
      </c>
    </row>
    <row r="2288" spans="1:11" ht="20" customHeight="1">
      <c r="A2288" t="s">
        <v>4628</v>
      </c>
      <c r="B2288" t="s">
        <v>2300</v>
      </c>
      <c r="C2288">
        <v>444.6900024414062</v>
      </c>
      <c r="D2288">
        <v>445.2200012207031</v>
      </c>
      <c r="E2288">
        <v>436.8599853515625</v>
      </c>
      <c r="F2288">
        <v>436.8900146484375</v>
      </c>
      <c r="G2288">
        <v>419.8566589355469</v>
      </c>
      <c r="H2288">
        <v>88517300</v>
      </c>
      <c r="I2288" t="s">
        <v>2301</v>
      </c>
      <c r="J2288" t="s">
        <v>2302</v>
      </c>
      <c r="K2288" t="s">
        <v>4629</v>
      </c>
    </row>
    <row r="2289" spans="1:11" ht="20" customHeight="1">
      <c r="A2289" t="s">
        <v>4628</v>
      </c>
      <c r="B2289" t="s">
        <v>2303</v>
      </c>
      <c r="C2289">
        <v>438.6799926757812</v>
      </c>
      <c r="D2289">
        <v>441.2999877929688</v>
      </c>
      <c r="E2289">
        <v>435</v>
      </c>
      <c r="F2289">
        <v>439.9700012207031</v>
      </c>
      <c r="G2289">
        <v>422.8165283203125</v>
      </c>
      <c r="H2289">
        <v>102325100</v>
      </c>
      <c r="I2289" t="s">
        <v>2304</v>
      </c>
      <c r="J2289" t="s">
        <v>2305</v>
      </c>
      <c r="K2289" t="s">
        <v>4629</v>
      </c>
    </row>
    <row r="2290" spans="1:11" ht="20" customHeight="1">
      <c r="A2290" t="s">
        <v>4628</v>
      </c>
      <c r="B2290" t="s">
        <v>2306</v>
      </c>
      <c r="C2290">
        <v>442.239990234375</v>
      </c>
      <c r="D2290">
        <v>443.3999938964844</v>
      </c>
      <c r="E2290">
        <v>439.9700012207031</v>
      </c>
      <c r="F2290">
        <v>442.760009765625</v>
      </c>
      <c r="G2290">
        <v>425.4977416992188</v>
      </c>
      <c r="H2290">
        <v>61595400</v>
      </c>
      <c r="I2290" t="s">
        <v>2307</v>
      </c>
      <c r="J2290" t="s">
        <v>2308</v>
      </c>
      <c r="K2290" t="s">
        <v>4629</v>
      </c>
    </row>
    <row r="2291" spans="1:11" ht="20" customHeight="1">
      <c r="A2291" t="s">
        <v>4628</v>
      </c>
      <c r="B2291" t="s">
        <v>2309</v>
      </c>
      <c r="C2291">
        <v>442.6499938964844</v>
      </c>
      <c r="D2291">
        <v>449.4500122070312</v>
      </c>
      <c r="E2291">
        <v>442.4599914550781</v>
      </c>
      <c r="F2291">
        <v>449.1600036621094</v>
      </c>
      <c r="G2291">
        <v>431.6482543945312</v>
      </c>
      <c r="H2291">
        <v>83081900</v>
      </c>
      <c r="I2291" t="s">
        <v>2310</v>
      </c>
      <c r="J2291" t="s">
        <v>2311</v>
      </c>
      <c r="K2291" t="s">
        <v>4629</v>
      </c>
    </row>
    <row r="2292" spans="1:11" ht="20" customHeight="1">
      <c r="A2292" t="s">
        <v>4628</v>
      </c>
      <c r="B2292" t="s">
        <v>2312</v>
      </c>
      <c r="C2292">
        <v>449.510009765625</v>
      </c>
      <c r="D2292">
        <v>451.6700134277344</v>
      </c>
      <c r="E2292">
        <v>448.7799987792969</v>
      </c>
      <c r="F2292">
        <v>451.010009765625</v>
      </c>
      <c r="G2292">
        <v>433.4261474609375</v>
      </c>
      <c r="H2292">
        <v>69053900</v>
      </c>
      <c r="I2292" t="s">
        <v>2313</v>
      </c>
      <c r="J2292" t="s">
        <v>2314</v>
      </c>
      <c r="K2292" t="s">
        <v>4629</v>
      </c>
    </row>
    <row r="2293" spans="1:11" ht="20" customHeight="1">
      <c r="A2293" t="s">
        <v>4628</v>
      </c>
      <c r="B2293" t="s">
        <v>2315</v>
      </c>
      <c r="C2293">
        <v>451.6499938964844</v>
      </c>
      <c r="D2293">
        <v>452.8299865722656</v>
      </c>
      <c r="E2293">
        <v>450.1600036621094</v>
      </c>
      <c r="F2293">
        <v>450.3500061035156</v>
      </c>
      <c r="G2293">
        <v>432.7919006347656</v>
      </c>
      <c r="H2293">
        <v>66084600</v>
      </c>
      <c r="I2293" t="s">
        <v>2316</v>
      </c>
      <c r="J2293" t="s">
        <v>2317</v>
      </c>
      <c r="K2293" t="s">
        <v>4629</v>
      </c>
    </row>
    <row r="2294" spans="1:11" ht="20" customHeight="1">
      <c r="A2294" t="s">
        <v>4628</v>
      </c>
      <c r="B2294" t="s">
        <v>2318</v>
      </c>
      <c r="C2294">
        <v>453.1700134277344</v>
      </c>
      <c r="D2294">
        <v>453.6700134277344</v>
      </c>
      <c r="E2294">
        <v>449.6799926757812</v>
      </c>
      <c r="F2294">
        <v>451.1900024414062</v>
      </c>
      <c r="G2294">
        <v>433.5990905761719</v>
      </c>
      <c r="H2294">
        <v>58944100</v>
      </c>
      <c r="I2294" t="s">
        <v>2319</v>
      </c>
      <c r="J2294" t="s">
        <v>2320</v>
      </c>
      <c r="K2294" t="s">
        <v>4629</v>
      </c>
    </row>
    <row r="2295" spans="1:11" ht="20" customHeight="1">
      <c r="A2295" t="s">
        <v>4628</v>
      </c>
      <c r="B2295" t="s">
        <v>2321</v>
      </c>
      <c r="C2295">
        <v>450.7300109863281</v>
      </c>
      <c r="D2295">
        <v>451.0599975585938</v>
      </c>
      <c r="E2295">
        <v>449.1700134277344</v>
      </c>
      <c r="F2295">
        <v>449.239990234375</v>
      </c>
      <c r="G2295">
        <v>431.7251892089844</v>
      </c>
      <c r="H2295">
        <v>55166200</v>
      </c>
      <c r="I2295" t="s">
        <v>2322</v>
      </c>
      <c r="J2295" t="s">
        <v>2323</v>
      </c>
      <c r="K2295" t="s">
        <v>4629</v>
      </c>
    </row>
    <row r="2296" spans="1:11" ht="20" customHeight="1">
      <c r="A2296" t="s">
        <v>4628</v>
      </c>
      <c r="B2296" t="s">
        <v>2324</v>
      </c>
      <c r="C2296">
        <v>448.3999938964844</v>
      </c>
      <c r="D2296">
        <v>448.510009765625</v>
      </c>
      <c r="E2296">
        <v>443.8099975585938</v>
      </c>
      <c r="F2296">
        <v>446.2200012207031</v>
      </c>
      <c r="G2296">
        <v>428.8228759765625</v>
      </c>
      <c r="H2296">
        <v>70758500</v>
      </c>
      <c r="I2296" t="s">
        <v>2325</v>
      </c>
      <c r="J2296" t="s">
        <v>2326</v>
      </c>
      <c r="K2296" t="s">
        <v>4629</v>
      </c>
    </row>
    <row r="2297" spans="1:11" ht="20" customHeight="1">
      <c r="A2297" t="s">
        <v>4628</v>
      </c>
      <c r="B2297" t="s">
        <v>2327</v>
      </c>
      <c r="C2297">
        <v>443.1099853515625</v>
      </c>
      <c r="D2297">
        <v>445.5499877929688</v>
      </c>
      <c r="E2297">
        <v>442.75</v>
      </c>
      <c r="F2297">
        <v>444.8500061035156</v>
      </c>
      <c r="G2297">
        <v>427.5062866210938</v>
      </c>
      <c r="H2297">
        <v>70355400</v>
      </c>
      <c r="I2297" t="s">
        <v>2328</v>
      </c>
      <c r="J2297" t="s">
        <v>2329</v>
      </c>
      <c r="K2297" t="s">
        <v>4629</v>
      </c>
    </row>
    <row r="2298" spans="1:11" ht="20" customHeight="1">
      <c r="A2298" t="s">
        <v>4628</v>
      </c>
      <c r="B2298" t="s">
        <v>2330</v>
      </c>
      <c r="C2298">
        <v>444.8999938964844</v>
      </c>
      <c r="D2298">
        <v>447.1099853515625</v>
      </c>
      <c r="E2298">
        <v>444.5299987792969</v>
      </c>
      <c r="F2298">
        <v>445.5199890136719</v>
      </c>
      <c r="G2298">
        <v>428.1502075195312</v>
      </c>
      <c r="H2298">
        <v>61659700</v>
      </c>
      <c r="I2298" t="s">
        <v>2331</v>
      </c>
      <c r="J2298" t="s">
        <v>2332</v>
      </c>
      <c r="K2298" t="s">
        <v>4629</v>
      </c>
    </row>
    <row r="2299" spans="1:11" ht="20" customHeight="1">
      <c r="A2299" t="s">
        <v>4628</v>
      </c>
      <c r="B2299" t="s">
        <v>2333</v>
      </c>
      <c r="C2299">
        <v>448.239990234375</v>
      </c>
      <c r="D2299">
        <v>448.7699890136719</v>
      </c>
      <c r="E2299">
        <v>446.4700012207031</v>
      </c>
      <c r="F2299">
        <v>448.4500122070312</v>
      </c>
      <c r="G2299">
        <v>430.9658813476562</v>
      </c>
      <c r="H2299">
        <v>60180100</v>
      </c>
      <c r="I2299" t="s">
        <v>2334</v>
      </c>
      <c r="J2299" t="s">
        <v>2335</v>
      </c>
      <c r="K2299" t="s">
        <v>4629</v>
      </c>
    </row>
    <row r="2300" spans="1:11" ht="20" customHeight="1">
      <c r="A2300" t="s">
        <v>4628</v>
      </c>
      <c r="B2300" t="s">
        <v>2336</v>
      </c>
      <c r="C2300">
        <v>446.9500122070312</v>
      </c>
      <c r="D2300">
        <v>448.5299987792969</v>
      </c>
      <c r="E2300">
        <v>445.3900146484375</v>
      </c>
      <c r="F2300">
        <v>445.989990234375</v>
      </c>
      <c r="G2300">
        <v>428.601806640625</v>
      </c>
      <c r="H2300">
        <v>67565400</v>
      </c>
      <c r="I2300" t="s">
        <v>2337</v>
      </c>
      <c r="J2300" t="s">
        <v>2338</v>
      </c>
      <c r="K2300" t="s">
        <v>4629</v>
      </c>
    </row>
    <row r="2301" spans="1:11" ht="20" customHeight="1">
      <c r="A2301" t="s">
        <v>4628</v>
      </c>
      <c r="B2301" t="s">
        <v>2339</v>
      </c>
      <c r="C2301">
        <v>446.2200012207031</v>
      </c>
      <c r="D2301">
        <v>447.7099914550781</v>
      </c>
      <c r="E2301">
        <v>445.0799865722656</v>
      </c>
      <c r="F2301">
        <v>446.510009765625</v>
      </c>
      <c r="G2301">
        <v>429.1015625</v>
      </c>
      <c r="H2301">
        <v>60199300</v>
      </c>
      <c r="I2301" t="s">
        <v>2340</v>
      </c>
      <c r="J2301" t="s">
        <v>2341</v>
      </c>
      <c r="K2301" t="s">
        <v>4629</v>
      </c>
    </row>
    <row r="2302" spans="1:11" ht="20" customHeight="1">
      <c r="A2302" t="s">
        <v>4628</v>
      </c>
      <c r="B2302" t="s">
        <v>2342</v>
      </c>
      <c r="C2302">
        <v>449.0700073242188</v>
      </c>
      <c r="D2302">
        <v>451.0799865722656</v>
      </c>
      <c r="E2302">
        <v>447.7200012207031</v>
      </c>
      <c r="F2302">
        <v>450.3599853515625</v>
      </c>
      <c r="G2302">
        <v>432.8014831542969</v>
      </c>
      <c r="H2302">
        <v>83430800</v>
      </c>
      <c r="I2302" t="s">
        <v>2343</v>
      </c>
      <c r="J2302" t="s">
        <v>2344</v>
      </c>
      <c r="K2302" t="s">
        <v>4629</v>
      </c>
    </row>
    <row r="2303" spans="1:11" ht="20" customHeight="1">
      <c r="A2303" t="s">
        <v>4628</v>
      </c>
      <c r="B2303" t="s">
        <v>2345</v>
      </c>
      <c r="C2303">
        <v>447.1400146484375</v>
      </c>
      <c r="D2303">
        <v>447.4800109863281</v>
      </c>
      <c r="E2303">
        <v>442.9200134277344</v>
      </c>
      <c r="F2303">
        <v>443.3699951171875</v>
      </c>
      <c r="G2303">
        <v>427.5868835449219</v>
      </c>
      <c r="H2303">
        <v>111848900</v>
      </c>
      <c r="I2303" t="s">
        <v>2346</v>
      </c>
      <c r="J2303" t="s">
        <v>2347</v>
      </c>
      <c r="K2303" t="s">
        <v>4629</v>
      </c>
    </row>
    <row r="2304" spans="1:11" ht="20" customHeight="1">
      <c r="A2304" t="s">
        <v>4628</v>
      </c>
      <c r="B2304" t="s">
        <v>2348</v>
      </c>
      <c r="C2304">
        <v>443.0499877929688</v>
      </c>
      <c r="D2304">
        <v>444.9700012207031</v>
      </c>
      <c r="E2304">
        <v>442.5599975585938</v>
      </c>
      <c r="F2304">
        <v>443.6300048828125</v>
      </c>
      <c r="G2304">
        <v>427.8377380371094</v>
      </c>
      <c r="H2304">
        <v>55752200</v>
      </c>
      <c r="I2304" t="s">
        <v>2349</v>
      </c>
      <c r="J2304" t="s">
        <v>2350</v>
      </c>
      <c r="K2304" t="s">
        <v>4629</v>
      </c>
    </row>
    <row r="2305" spans="1:11" ht="20" customHeight="1">
      <c r="A2305" t="s">
        <v>4628</v>
      </c>
      <c r="B2305" t="s">
        <v>2351</v>
      </c>
      <c r="C2305">
        <v>442.6799926757812</v>
      </c>
      <c r="D2305">
        <v>443.2900085449219</v>
      </c>
      <c r="E2305">
        <v>439.9400024414062</v>
      </c>
      <c r="F2305">
        <v>442.7099914550781</v>
      </c>
      <c r="G2305">
        <v>426.9503784179688</v>
      </c>
      <c r="H2305">
        <v>66514600</v>
      </c>
      <c r="I2305" t="s">
        <v>2352</v>
      </c>
      <c r="J2305" t="s">
        <v>2353</v>
      </c>
      <c r="K2305" t="s">
        <v>4629</v>
      </c>
    </row>
    <row r="2306" spans="1:11" ht="20" customHeight="1">
      <c r="A2306" t="s">
        <v>4628</v>
      </c>
      <c r="B2306" t="s">
        <v>2354</v>
      </c>
      <c r="C2306">
        <v>444.010009765625</v>
      </c>
      <c r="D2306">
        <v>444.4400024414062</v>
      </c>
      <c r="E2306">
        <v>438.4299926757812</v>
      </c>
      <c r="F2306">
        <v>438.6400146484375</v>
      </c>
      <c r="G2306">
        <v>423.0253295898438</v>
      </c>
      <c r="H2306">
        <v>82562600</v>
      </c>
      <c r="I2306" t="s">
        <v>2355</v>
      </c>
      <c r="J2306" t="s">
        <v>2356</v>
      </c>
      <c r="K2306" t="s">
        <v>4629</v>
      </c>
    </row>
    <row r="2307" spans="1:11" ht="20" customHeight="1">
      <c r="A2307" t="s">
        <v>4628</v>
      </c>
      <c r="B2307" t="s">
        <v>2357</v>
      </c>
      <c r="C2307">
        <v>435.7000122070312</v>
      </c>
      <c r="D2307">
        <v>435.9700012207031</v>
      </c>
      <c r="E2307">
        <v>431.2300109863281</v>
      </c>
      <c r="F2307">
        <v>431.3900146484375</v>
      </c>
      <c r="G2307">
        <v>416.0333862304688</v>
      </c>
      <c r="H2307">
        <v>104095800</v>
      </c>
      <c r="I2307" t="s">
        <v>2358</v>
      </c>
      <c r="J2307" t="s">
        <v>2359</v>
      </c>
      <c r="K2307" t="s">
        <v>4629</v>
      </c>
    </row>
    <row r="2308" spans="1:11" ht="20" customHeight="1">
      <c r="A2308" t="s">
        <v>4628</v>
      </c>
      <c r="B2308" t="s">
        <v>2360</v>
      </c>
      <c r="C2308">
        <v>432.4500122070312</v>
      </c>
      <c r="D2308">
        <v>434.1000061035156</v>
      </c>
      <c r="E2308">
        <v>429.989990234375</v>
      </c>
      <c r="F2308">
        <v>430.4200134277344</v>
      </c>
      <c r="G2308">
        <v>415.0979309082031</v>
      </c>
      <c r="H2308">
        <v>100829700</v>
      </c>
      <c r="I2308" t="s">
        <v>2361</v>
      </c>
      <c r="J2308" t="s">
        <v>2362</v>
      </c>
      <c r="K2308" t="s">
        <v>4629</v>
      </c>
    </row>
    <row r="2309" spans="1:11" ht="20" customHeight="1">
      <c r="A2309" t="s">
        <v>4628</v>
      </c>
      <c r="B2309" t="s">
        <v>2363</v>
      </c>
      <c r="C2309">
        <v>429.1700134277344</v>
      </c>
      <c r="D2309">
        <v>432.2699890136719</v>
      </c>
      <c r="E2309">
        <v>428.7200012207031</v>
      </c>
      <c r="F2309">
        <v>432.2300109863281</v>
      </c>
      <c r="G2309">
        <v>416.843505859375</v>
      </c>
      <c r="H2309">
        <v>70874500</v>
      </c>
      <c r="I2309" t="s">
        <v>2364</v>
      </c>
      <c r="J2309" t="s">
        <v>2365</v>
      </c>
      <c r="K2309" t="s">
        <v>4629</v>
      </c>
    </row>
    <row r="2310" spans="1:11" ht="20" customHeight="1">
      <c r="A2310" t="s">
        <v>4628</v>
      </c>
      <c r="B2310" t="s">
        <v>2366</v>
      </c>
      <c r="C2310">
        <v>429.0899963378906</v>
      </c>
      <c r="D2310">
        <v>429.8200073242188</v>
      </c>
      <c r="E2310">
        <v>425.0199890136719</v>
      </c>
      <c r="F2310">
        <v>425.8800048828125</v>
      </c>
      <c r="G2310">
        <v>410.7195434570312</v>
      </c>
      <c r="H2310">
        <v>96168400</v>
      </c>
      <c r="I2310" t="s">
        <v>2367</v>
      </c>
      <c r="J2310" t="s">
        <v>2368</v>
      </c>
      <c r="K2310" t="s">
        <v>4629</v>
      </c>
    </row>
    <row r="2311" spans="1:11" ht="20" customHeight="1">
      <c r="A2311" t="s">
        <v>4628</v>
      </c>
      <c r="B2311" t="s">
        <v>2369</v>
      </c>
      <c r="C2311">
        <v>427.0899963378906</v>
      </c>
      <c r="D2311">
        <v>427.6700134277344</v>
      </c>
      <c r="E2311">
        <v>422.2900085449219</v>
      </c>
      <c r="F2311">
        <v>426.0499877929688</v>
      </c>
      <c r="G2311">
        <v>410.8834838867188</v>
      </c>
      <c r="H2311">
        <v>104705800</v>
      </c>
      <c r="I2311" t="s">
        <v>2370</v>
      </c>
      <c r="J2311" t="s">
        <v>2371</v>
      </c>
      <c r="K2311" t="s">
        <v>4629</v>
      </c>
    </row>
    <row r="2312" spans="1:11" ht="20" customHeight="1">
      <c r="A2312" t="s">
        <v>4628</v>
      </c>
      <c r="B2312" t="s">
        <v>2372</v>
      </c>
      <c r="C2312">
        <v>425.4800109863281</v>
      </c>
      <c r="D2312">
        <v>430.25</v>
      </c>
      <c r="E2312">
        <v>424.8699951171875</v>
      </c>
      <c r="F2312">
        <v>428.5199890136719</v>
      </c>
      <c r="G2312">
        <v>413.2655639648438</v>
      </c>
      <c r="H2312">
        <v>92258300</v>
      </c>
      <c r="I2312" t="s">
        <v>2373</v>
      </c>
      <c r="J2312" t="s">
        <v>2374</v>
      </c>
      <c r="K2312" t="s">
        <v>4629</v>
      </c>
    </row>
    <row r="2313" spans="1:11" ht="20" customHeight="1">
      <c r="A2313" t="s">
        <v>4628</v>
      </c>
      <c r="B2313" t="s">
        <v>2375</v>
      </c>
      <c r="C2313">
        <v>431.6700134277344</v>
      </c>
      <c r="D2313">
        <v>431.8500061035156</v>
      </c>
      <c r="E2313">
        <v>425.9100036621094</v>
      </c>
      <c r="F2313">
        <v>427.4800109863281</v>
      </c>
      <c r="G2313">
        <v>412.2625427246094</v>
      </c>
      <c r="H2313">
        <v>115111300</v>
      </c>
      <c r="I2313" t="s">
        <v>2376</v>
      </c>
      <c r="J2313" t="s">
        <v>2377</v>
      </c>
      <c r="K2313" t="s">
        <v>4629</v>
      </c>
    </row>
    <row r="2314" spans="1:11" ht="20" customHeight="1">
      <c r="A2314" t="s">
        <v>4628</v>
      </c>
      <c r="B2314" t="s">
        <v>2378</v>
      </c>
      <c r="C2314">
        <v>426.6199951171875</v>
      </c>
      <c r="D2314">
        <v>428.6000061035156</v>
      </c>
      <c r="E2314">
        <v>424.4599914550781</v>
      </c>
      <c r="F2314">
        <v>427.3099975585938</v>
      </c>
      <c r="G2314">
        <v>412.0986022949219</v>
      </c>
      <c r="H2314">
        <v>83798600</v>
      </c>
      <c r="I2314" t="s">
        <v>2379</v>
      </c>
      <c r="J2314" t="s">
        <v>2380</v>
      </c>
      <c r="K2314" t="s">
        <v>4629</v>
      </c>
    </row>
    <row r="2315" spans="1:11" ht="20" customHeight="1">
      <c r="A2315" t="s">
        <v>4628</v>
      </c>
      <c r="B2315" t="s">
        <v>2381</v>
      </c>
      <c r="C2315">
        <v>425.0599975585938</v>
      </c>
      <c r="D2315">
        <v>427.3699951171875</v>
      </c>
      <c r="E2315">
        <v>420.1799926757812</v>
      </c>
      <c r="F2315">
        <v>421.5899963378906</v>
      </c>
      <c r="G2315">
        <v>406.5822448730469</v>
      </c>
      <c r="H2315">
        <v>103760600</v>
      </c>
      <c r="I2315" t="s">
        <v>2382</v>
      </c>
      <c r="J2315" t="s">
        <v>2383</v>
      </c>
      <c r="K2315" t="s">
        <v>4629</v>
      </c>
    </row>
    <row r="2316" spans="1:11" ht="20" customHeight="1">
      <c r="A2316" t="s">
        <v>4628</v>
      </c>
      <c r="B2316" t="s">
        <v>2384</v>
      </c>
      <c r="C2316">
        <v>422.0700073242188</v>
      </c>
      <c r="D2316">
        <v>425.4299926757812</v>
      </c>
      <c r="E2316">
        <v>420.5599975585938</v>
      </c>
      <c r="F2316">
        <v>424.6600036621094</v>
      </c>
      <c r="G2316">
        <v>409.54296875</v>
      </c>
      <c r="H2316">
        <v>87453000</v>
      </c>
      <c r="I2316" t="s">
        <v>2385</v>
      </c>
      <c r="J2316" t="s">
        <v>2386</v>
      </c>
      <c r="K2316" t="s">
        <v>4629</v>
      </c>
    </row>
    <row r="2317" spans="1:11" ht="20" customHeight="1">
      <c r="A2317" t="s">
        <v>4628</v>
      </c>
      <c r="B2317" t="s">
        <v>2387</v>
      </c>
      <c r="C2317">
        <v>424.3599853515625</v>
      </c>
      <c r="D2317">
        <v>425.3699951171875</v>
      </c>
      <c r="E2317">
        <v>421.1700134277344</v>
      </c>
      <c r="F2317">
        <v>424.5</v>
      </c>
      <c r="G2317">
        <v>409.388671875</v>
      </c>
      <c r="H2317">
        <v>70142700</v>
      </c>
      <c r="I2317" t="s">
        <v>2388</v>
      </c>
      <c r="J2317" t="s">
        <v>2389</v>
      </c>
      <c r="K2317" t="s">
        <v>4629</v>
      </c>
    </row>
    <row r="2318" spans="1:11" ht="20" customHeight="1">
      <c r="A2318" t="s">
        <v>4628</v>
      </c>
      <c r="B2318" t="s">
        <v>2390</v>
      </c>
      <c r="C2318">
        <v>421.9700012207031</v>
      </c>
      <c r="D2318">
        <v>431.1300048828125</v>
      </c>
      <c r="E2318">
        <v>420.6000061035156</v>
      </c>
      <c r="F2318">
        <v>429.5400085449219</v>
      </c>
      <c r="G2318">
        <v>414.2492065429688</v>
      </c>
      <c r="H2318">
        <v>113273300</v>
      </c>
      <c r="I2318" t="s">
        <v>2391</v>
      </c>
      <c r="J2318" t="s">
        <v>2392</v>
      </c>
      <c r="K2318" t="s">
        <v>4629</v>
      </c>
    </row>
    <row r="2319" spans="1:11" ht="20" customHeight="1">
      <c r="A2319" t="s">
        <v>4628</v>
      </c>
      <c r="B2319" t="s">
        <v>2393</v>
      </c>
      <c r="C2319">
        <v>427.5799865722656</v>
      </c>
      <c r="D2319">
        <v>432.8800048828125</v>
      </c>
      <c r="E2319">
        <v>427.010009765625</v>
      </c>
      <c r="F2319">
        <v>432.2900085449219</v>
      </c>
      <c r="G2319">
        <v>416.9014282226562</v>
      </c>
      <c r="H2319">
        <v>80374400</v>
      </c>
      <c r="I2319" t="s">
        <v>2394</v>
      </c>
      <c r="J2319" t="s">
        <v>2395</v>
      </c>
      <c r="K2319" t="s">
        <v>4629</v>
      </c>
    </row>
    <row r="2320" spans="1:11" ht="20" customHeight="1">
      <c r="A2320" t="s">
        <v>4628</v>
      </c>
      <c r="B2320" t="s">
        <v>2396</v>
      </c>
      <c r="C2320">
        <v>432.9400024414062</v>
      </c>
      <c r="D2320">
        <v>437.2200012207031</v>
      </c>
      <c r="E2320">
        <v>432.5299987792969</v>
      </c>
      <c r="F2320">
        <v>434.5400085449219</v>
      </c>
      <c r="G2320">
        <v>419.0712585449219</v>
      </c>
      <c r="H2320">
        <v>78607300</v>
      </c>
      <c r="I2320" t="s">
        <v>2397</v>
      </c>
      <c r="J2320" t="s">
        <v>2398</v>
      </c>
      <c r="K2320" t="s">
        <v>4629</v>
      </c>
    </row>
    <row r="2321" spans="1:11" ht="20" customHeight="1">
      <c r="A2321" t="s">
        <v>4628</v>
      </c>
      <c r="B2321" t="s">
        <v>2399</v>
      </c>
      <c r="C2321">
        <v>435.6400146484375</v>
      </c>
      <c r="D2321">
        <v>436.5799865722656</v>
      </c>
      <c r="E2321">
        <v>433.1799926757812</v>
      </c>
      <c r="F2321">
        <v>436.3200073242188</v>
      </c>
      <c r="G2321">
        <v>420.7879028320312</v>
      </c>
      <c r="H2321">
        <v>62451700</v>
      </c>
      <c r="I2321" t="s">
        <v>2400</v>
      </c>
      <c r="J2321" t="s">
        <v>2401</v>
      </c>
      <c r="K2321" t="s">
        <v>4629</v>
      </c>
    </row>
    <row r="2322" spans="1:11" ht="20" customHeight="1">
      <c r="A2322" t="s">
        <v>4628</v>
      </c>
      <c r="B2322" t="s">
        <v>2402</v>
      </c>
      <c r="C2322">
        <v>436.9500122070312</v>
      </c>
      <c r="D2322">
        <v>437.3399963378906</v>
      </c>
      <c r="E2322">
        <v>431.2300109863281</v>
      </c>
      <c r="F2322">
        <v>433.6600036621094</v>
      </c>
      <c r="G2322">
        <v>418.22265625</v>
      </c>
      <c r="H2322">
        <v>81154200</v>
      </c>
      <c r="I2322" t="s">
        <v>2403</v>
      </c>
      <c r="J2322" t="s">
        <v>2404</v>
      </c>
      <c r="K2322" t="s">
        <v>4629</v>
      </c>
    </row>
    <row r="2323" spans="1:11" ht="20" customHeight="1">
      <c r="A2323" t="s">
        <v>4628</v>
      </c>
      <c r="B2323" t="s">
        <v>2405</v>
      </c>
      <c r="C2323">
        <v>435.2099914550781</v>
      </c>
      <c r="D2323">
        <v>436.4500122070312</v>
      </c>
      <c r="E2323">
        <v>429.8800048828125</v>
      </c>
      <c r="F2323">
        <v>431.5</v>
      </c>
      <c r="G2323">
        <v>416.1394958496094</v>
      </c>
      <c r="H2323">
        <v>95143100</v>
      </c>
      <c r="I2323" t="s">
        <v>2406</v>
      </c>
      <c r="J2323" t="s">
        <v>2407</v>
      </c>
      <c r="K2323" t="s">
        <v>4629</v>
      </c>
    </row>
    <row r="2324" spans="1:11" ht="20" customHeight="1">
      <c r="A2324" t="s">
        <v>4628</v>
      </c>
      <c r="B2324" t="s">
        <v>2408</v>
      </c>
      <c r="C2324">
        <v>433.8200073242188</v>
      </c>
      <c r="D2324">
        <v>437.1400146484375</v>
      </c>
      <c r="E2324">
        <v>433.5700073242188</v>
      </c>
      <c r="F2324">
        <v>436.0400085449219</v>
      </c>
      <c r="G2324">
        <v>420.5178527832031</v>
      </c>
      <c r="H2324">
        <v>75433200</v>
      </c>
      <c r="I2324" t="s">
        <v>2409</v>
      </c>
      <c r="J2324" t="s">
        <v>2410</v>
      </c>
      <c r="K2324" t="s">
        <v>4629</v>
      </c>
    </row>
    <row r="2325" spans="1:11" ht="20" customHeight="1">
      <c r="A2325" t="s">
        <v>4628</v>
      </c>
      <c r="B2325" t="s">
        <v>2411</v>
      </c>
      <c r="C2325">
        <v>432.8099975585938</v>
      </c>
      <c r="D2325">
        <v>438.1400146484375</v>
      </c>
      <c r="E2325">
        <v>432.4500122070312</v>
      </c>
      <c r="F2325">
        <v>436.0199890136719</v>
      </c>
      <c r="G2325">
        <v>420.4985961914062</v>
      </c>
      <c r="H2325">
        <v>75324700</v>
      </c>
      <c r="I2325" t="s">
        <v>2412</v>
      </c>
      <c r="J2325" t="s">
        <v>2413</v>
      </c>
      <c r="K2325" t="s">
        <v>4629</v>
      </c>
    </row>
    <row r="2326" spans="1:11" ht="20" customHeight="1">
      <c r="A2326" t="s">
        <v>4628</v>
      </c>
      <c r="B2326" t="s">
        <v>2414</v>
      </c>
      <c r="C2326">
        <v>434.1900024414062</v>
      </c>
      <c r="D2326">
        <v>435.1799926757812</v>
      </c>
      <c r="E2326">
        <v>429.0899963378906</v>
      </c>
      <c r="F2326">
        <v>430.2099914550781</v>
      </c>
      <c r="G2326">
        <v>414.8953552246094</v>
      </c>
      <c r="H2326">
        <v>93559800</v>
      </c>
      <c r="I2326" t="s">
        <v>2415</v>
      </c>
      <c r="J2326" t="s">
        <v>2416</v>
      </c>
      <c r="K2326" t="s">
        <v>4629</v>
      </c>
    </row>
    <row r="2327" spans="1:11" ht="20" customHeight="1">
      <c r="A2327" t="s">
        <v>4628</v>
      </c>
      <c r="B2327" t="s">
        <v>2417</v>
      </c>
      <c r="C2327">
        <v>430.9500122070312</v>
      </c>
      <c r="D2327">
        <v>432.8200073242188</v>
      </c>
      <c r="E2327">
        <v>425.7300109863281</v>
      </c>
      <c r="F2327">
        <v>426.4299926757812</v>
      </c>
      <c r="G2327">
        <v>411.2499694824219</v>
      </c>
      <c r="H2327">
        <v>121323000</v>
      </c>
      <c r="I2327" t="s">
        <v>2418</v>
      </c>
      <c r="J2327" t="s">
        <v>2419</v>
      </c>
      <c r="K2327" t="s">
        <v>4629</v>
      </c>
    </row>
    <row r="2328" spans="1:11" ht="20" customHeight="1">
      <c r="A2328" t="s">
        <v>4628</v>
      </c>
      <c r="B2328" t="s">
        <v>2420</v>
      </c>
      <c r="C2328">
        <v>425.9800109863281</v>
      </c>
      <c r="D2328">
        <v>426.5400085449219</v>
      </c>
      <c r="E2328">
        <v>421.0799865722656</v>
      </c>
      <c r="F2328">
        <v>421.1900024414062</v>
      </c>
      <c r="G2328">
        <v>406.1964721679688</v>
      </c>
      <c r="H2328">
        <v>123919900</v>
      </c>
      <c r="I2328" t="s">
        <v>2421</v>
      </c>
      <c r="J2328" t="s">
        <v>2422</v>
      </c>
      <c r="K2328" t="s">
        <v>4629</v>
      </c>
    </row>
    <row r="2329" spans="1:11" ht="20" customHeight="1">
      <c r="A2329" t="s">
        <v>4628</v>
      </c>
      <c r="B2329" t="s">
        <v>2423</v>
      </c>
      <c r="C2329">
        <v>419.6099853515625</v>
      </c>
      <c r="D2329">
        <v>424.4500122070312</v>
      </c>
      <c r="E2329">
        <v>417.7999877929688</v>
      </c>
      <c r="F2329">
        <v>420.4599914550781</v>
      </c>
      <c r="G2329">
        <v>405.4924621582031</v>
      </c>
      <c r="H2329">
        <v>92035100</v>
      </c>
      <c r="I2329" t="s">
        <v>2424</v>
      </c>
      <c r="J2329" t="s">
        <v>2425</v>
      </c>
      <c r="K2329" t="s">
        <v>4629</v>
      </c>
    </row>
    <row r="2330" spans="1:11" ht="20" customHeight="1">
      <c r="A2330" t="s">
        <v>4628</v>
      </c>
      <c r="B2330" t="s">
        <v>2426</v>
      </c>
      <c r="C2330">
        <v>422.6499938964844</v>
      </c>
      <c r="D2330">
        <v>424.8200073242188</v>
      </c>
      <c r="E2330">
        <v>420.739990234375</v>
      </c>
      <c r="F2330">
        <v>423.6300048828125</v>
      </c>
      <c r="G2330">
        <v>408.5496826171875</v>
      </c>
      <c r="H2330">
        <v>78564200</v>
      </c>
      <c r="I2330" t="s">
        <v>2427</v>
      </c>
      <c r="J2330" t="s">
        <v>2428</v>
      </c>
      <c r="K2330" t="s">
        <v>4629</v>
      </c>
    </row>
    <row r="2331" spans="1:11" ht="20" customHeight="1">
      <c r="A2331" t="s">
        <v>4628</v>
      </c>
      <c r="B2331" t="s">
        <v>2429</v>
      </c>
      <c r="C2331">
        <v>421.8900146484375</v>
      </c>
      <c r="D2331">
        <v>421.9200134277344</v>
      </c>
      <c r="E2331">
        <v>417.0199890136719</v>
      </c>
      <c r="F2331">
        <v>417.5499877929688</v>
      </c>
      <c r="G2331">
        <v>402.68603515625</v>
      </c>
      <c r="H2331">
        <v>94223200</v>
      </c>
      <c r="I2331" t="s">
        <v>2430</v>
      </c>
      <c r="J2331" t="s">
        <v>2431</v>
      </c>
      <c r="K2331" t="s">
        <v>4629</v>
      </c>
    </row>
    <row r="2332" spans="1:11" ht="20" customHeight="1">
      <c r="A2332" t="s">
        <v>4628</v>
      </c>
      <c r="B2332" t="s">
        <v>2432</v>
      </c>
      <c r="C2332">
        <v>416.4500122070312</v>
      </c>
      <c r="D2332">
        <v>417.3299865722656</v>
      </c>
      <c r="E2332">
        <v>411.6000061035156</v>
      </c>
      <c r="F2332">
        <v>412.5499877929688</v>
      </c>
      <c r="G2332">
        <v>397.8639831542969</v>
      </c>
      <c r="H2332">
        <v>115156800</v>
      </c>
      <c r="I2332" t="s">
        <v>2433</v>
      </c>
      <c r="J2332" t="s">
        <v>2434</v>
      </c>
      <c r="K2332" t="s">
        <v>4629</v>
      </c>
    </row>
    <row r="2333" spans="1:11" ht="20" customHeight="1">
      <c r="A2333" t="s">
        <v>4628</v>
      </c>
      <c r="B2333" t="s">
        <v>2435</v>
      </c>
      <c r="C2333">
        <v>414.1900024414062</v>
      </c>
      <c r="D2333">
        <v>414.6000061035156</v>
      </c>
      <c r="E2333">
        <v>409.2099914550781</v>
      </c>
      <c r="F2333">
        <v>410.6799926757812</v>
      </c>
      <c r="G2333">
        <v>396.0606079101562</v>
      </c>
      <c r="H2333">
        <v>107367700</v>
      </c>
      <c r="I2333" t="s">
        <v>2436</v>
      </c>
      <c r="J2333" t="s">
        <v>2437</v>
      </c>
      <c r="K2333" t="s">
        <v>4629</v>
      </c>
    </row>
    <row r="2334" spans="1:11" ht="20" customHeight="1">
      <c r="A2334" t="s">
        <v>4628</v>
      </c>
      <c r="B2334" t="s">
        <v>2438</v>
      </c>
      <c r="C2334">
        <v>413.5599975585938</v>
      </c>
      <c r="D2334">
        <v>416.6799926757812</v>
      </c>
      <c r="E2334">
        <v>412.2200012207031</v>
      </c>
      <c r="F2334">
        <v>415.5899963378906</v>
      </c>
      <c r="G2334">
        <v>400.7958374023438</v>
      </c>
      <c r="H2334">
        <v>86562700</v>
      </c>
      <c r="I2334" t="s">
        <v>2439</v>
      </c>
      <c r="J2334" t="s">
        <v>2440</v>
      </c>
      <c r="K2334" t="s">
        <v>4629</v>
      </c>
    </row>
    <row r="2335" spans="1:11" ht="20" customHeight="1">
      <c r="A2335" t="s">
        <v>4628</v>
      </c>
      <c r="B2335" t="s">
        <v>2441</v>
      </c>
      <c r="C2335">
        <v>416.1799926757812</v>
      </c>
      <c r="D2335">
        <v>418.5299987792969</v>
      </c>
      <c r="E2335">
        <v>414.2099914550781</v>
      </c>
      <c r="F2335">
        <v>418.2000122070312</v>
      </c>
      <c r="G2335">
        <v>403.3129272460938</v>
      </c>
      <c r="H2335">
        <v>79665200</v>
      </c>
      <c r="I2335" t="s">
        <v>2442</v>
      </c>
      <c r="J2335" t="s">
        <v>2443</v>
      </c>
      <c r="K2335" t="s">
        <v>4629</v>
      </c>
    </row>
    <row r="2336" spans="1:11" ht="20" customHeight="1">
      <c r="A2336" t="s">
        <v>4628</v>
      </c>
      <c r="B2336" t="s">
        <v>2444</v>
      </c>
      <c r="C2336">
        <v>419.2000122070312</v>
      </c>
      <c r="D2336">
        <v>423.5</v>
      </c>
      <c r="E2336">
        <v>418.6499938964844</v>
      </c>
      <c r="F2336">
        <v>422.6600036621094</v>
      </c>
      <c r="G2336">
        <v>407.6141357421875</v>
      </c>
      <c r="H2336">
        <v>98068100</v>
      </c>
      <c r="I2336" t="s">
        <v>2445</v>
      </c>
      <c r="J2336" t="s">
        <v>2446</v>
      </c>
      <c r="K2336" t="s">
        <v>4629</v>
      </c>
    </row>
    <row r="2337" spans="1:11" ht="20" customHeight="1">
      <c r="A2337" t="s">
        <v>4628</v>
      </c>
      <c r="B2337" t="s">
        <v>2447</v>
      </c>
      <c r="C2337">
        <v>426.5799865722656</v>
      </c>
      <c r="D2337">
        <v>430.9200134277344</v>
      </c>
      <c r="E2337">
        <v>426.5599975585938</v>
      </c>
      <c r="F2337">
        <v>430.760009765625</v>
      </c>
      <c r="G2337">
        <v>415.4258422851562</v>
      </c>
      <c r="H2337">
        <v>94938900</v>
      </c>
      <c r="I2337" t="s">
        <v>2448</v>
      </c>
      <c r="J2337" t="s">
        <v>2449</v>
      </c>
      <c r="K2337" t="s">
        <v>4629</v>
      </c>
    </row>
    <row r="2338" spans="1:11" ht="20" customHeight="1">
      <c r="A2338" t="s">
        <v>4628</v>
      </c>
      <c r="B2338" t="s">
        <v>2450</v>
      </c>
      <c r="C2338">
        <v>433.1400146484375</v>
      </c>
      <c r="D2338">
        <v>436.2900085449219</v>
      </c>
      <c r="E2338">
        <v>433.010009765625</v>
      </c>
      <c r="F2338">
        <v>434.6900024414062</v>
      </c>
      <c r="G2338">
        <v>419.2159423828125</v>
      </c>
      <c r="H2338">
        <v>100167800</v>
      </c>
      <c r="I2338" t="s">
        <v>2451</v>
      </c>
      <c r="J2338" t="s">
        <v>2452</v>
      </c>
      <c r="K2338" t="s">
        <v>4629</v>
      </c>
    </row>
    <row r="2339" spans="1:11" ht="20" customHeight="1">
      <c r="A2339" t="s">
        <v>4628</v>
      </c>
      <c r="B2339" t="s">
        <v>2453</v>
      </c>
      <c r="C2339">
        <v>435.4700012207031</v>
      </c>
      <c r="D2339">
        <v>436.1499938964844</v>
      </c>
      <c r="E2339">
        <v>433.6799926757812</v>
      </c>
      <c r="F2339">
        <v>435.6900024414062</v>
      </c>
      <c r="G2339">
        <v>420.1803588867188</v>
      </c>
      <c r="H2339">
        <v>67831700</v>
      </c>
      <c r="I2339" t="s">
        <v>2454</v>
      </c>
      <c r="J2339" t="s">
        <v>2455</v>
      </c>
      <c r="K2339" t="s">
        <v>4629</v>
      </c>
    </row>
    <row r="2340" spans="1:11" ht="20" customHeight="1">
      <c r="A2340" t="s">
        <v>4628</v>
      </c>
      <c r="B2340" t="s">
        <v>2456</v>
      </c>
      <c r="C2340">
        <v>435.6900024414062</v>
      </c>
      <c r="D2340">
        <v>437.5899963378906</v>
      </c>
      <c r="E2340">
        <v>434.510009765625</v>
      </c>
      <c r="F2340">
        <v>436.9299926757812</v>
      </c>
      <c r="G2340">
        <v>421.3761901855469</v>
      </c>
      <c r="H2340">
        <v>64256100</v>
      </c>
      <c r="I2340" t="s">
        <v>2457</v>
      </c>
      <c r="J2340" t="s">
        <v>2458</v>
      </c>
      <c r="K2340" t="s">
        <v>4629</v>
      </c>
    </row>
    <row r="2341" spans="1:11" ht="20" customHeight="1">
      <c r="A2341" t="s">
        <v>4628</v>
      </c>
      <c r="B2341" t="s">
        <v>2459</v>
      </c>
      <c r="C2341">
        <v>437.5499877929688</v>
      </c>
      <c r="D2341">
        <v>438.0899963378906</v>
      </c>
      <c r="E2341">
        <v>434.8699951171875</v>
      </c>
      <c r="F2341">
        <v>437.25</v>
      </c>
      <c r="G2341">
        <v>421.684814453125</v>
      </c>
      <c r="H2341">
        <v>61746000</v>
      </c>
      <c r="I2341" t="s">
        <v>2460</v>
      </c>
      <c r="J2341" t="s">
        <v>2461</v>
      </c>
      <c r="K2341" t="s">
        <v>4629</v>
      </c>
    </row>
    <row r="2342" spans="1:11" ht="20" customHeight="1">
      <c r="A2342" t="s">
        <v>4628</v>
      </c>
      <c r="B2342" t="s">
        <v>2462</v>
      </c>
      <c r="C2342">
        <v>438.4299926757812</v>
      </c>
      <c r="D2342">
        <v>438.4700012207031</v>
      </c>
      <c r="E2342">
        <v>433.3999938964844</v>
      </c>
      <c r="F2342">
        <v>433.8399963378906</v>
      </c>
      <c r="G2342">
        <v>418.3961791992188</v>
      </c>
      <c r="H2342">
        <v>83174400</v>
      </c>
      <c r="I2342" t="s">
        <v>2463</v>
      </c>
      <c r="J2342" t="s">
        <v>2464</v>
      </c>
      <c r="K2342" t="s">
        <v>4629</v>
      </c>
    </row>
    <row r="2343" spans="1:11" ht="20" customHeight="1">
      <c r="A2343" t="s">
        <v>4628</v>
      </c>
      <c r="B2343" t="s">
        <v>2465</v>
      </c>
      <c r="C2343">
        <v>435.9800109863281</v>
      </c>
      <c r="D2343">
        <v>440.9299926757812</v>
      </c>
      <c r="E2343">
        <v>433.8299865722656</v>
      </c>
      <c r="F2343">
        <v>440.6099853515625</v>
      </c>
      <c r="G2343">
        <v>424.9252014160156</v>
      </c>
      <c r="H2343">
        <v>89462200</v>
      </c>
      <c r="I2343" t="s">
        <v>2466</v>
      </c>
      <c r="J2343" t="s">
        <v>2467</v>
      </c>
      <c r="K2343" t="s">
        <v>4629</v>
      </c>
    </row>
    <row r="2344" spans="1:11" ht="20" customHeight="1">
      <c r="A2344" t="s">
        <v>4628</v>
      </c>
      <c r="B2344" t="s">
        <v>2468</v>
      </c>
      <c r="C2344">
        <v>439.2300109863281</v>
      </c>
      <c r="D2344">
        <v>441.3299865722656</v>
      </c>
      <c r="E2344">
        <v>438.4200134277344</v>
      </c>
      <c r="F2344">
        <v>440.1900024414062</v>
      </c>
      <c r="G2344">
        <v>424.5201110839844</v>
      </c>
      <c r="H2344">
        <v>52236100</v>
      </c>
      <c r="I2344" t="s">
        <v>2469</v>
      </c>
      <c r="J2344" t="s">
        <v>2470</v>
      </c>
      <c r="K2344" t="s">
        <v>4629</v>
      </c>
    </row>
    <row r="2345" spans="1:11" ht="20" customHeight="1">
      <c r="A2345" t="s">
        <v>4628</v>
      </c>
      <c r="B2345" t="s">
        <v>2471</v>
      </c>
      <c r="C2345">
        <v>446.3200073242188</v>
      </c>
      <c r="D2345">
        <v>450.0599975585938</v>
      </c>
      <c r="E2345">
        <v>446.0899963378906</v>
      </c>
      <c r="F2345">
        <v>448.7300109863281</v>
      </c>
      <c r="G2345">
        <v>432.7561645507812</v>
      </c>
      <c r="H2345">
        <v>97176900</v>
      </c>
      <c r="I2345" t="s">
        <v>2472</v>
      </c>
      <c r="J2345" t="s">
        <v>2473</v>
      </c>
      <c r="K2345" t="s">
        <v>4629</v>
      </c>
    </row>
    <row r="2346" spans="1:11" ht="20" customHeight="1">
      <c r="A2346" t="s">
        <v>4628</v>
      </c>
      <c r="B2346" t="s">
        <v>2474</v>
      </c>
      <c r="C2346">
        <v>450.1099853515625</v>
      </c>
      <c r="D2346">
        <v>451.3800048828125</v>
      </c>
      <c r="E2346">
        <v>448.7999877929688</v>
      </c>
      <c r="F2346">
        <v>449.6799926757812</v>
      </c>
      <c r="G2346">
        <v>433.6722717285156</v>
      </c>
      <c r="H2346">
        <v>77327600</v>
      </c>
      <c r="I2346" t="s">
        <v>2475</v>
      </c>
      <c r="J2346" t="s">
        <v>2476</v>
      </c>
      <c r="K2346" t="s">
        <v>4629</v>
      </c>
    </row>
    <row r="2347" spans="1:11" ht="20" customHeight="1">
      <c r="A2347" t="s">
        <v>4628</v>
      </c>
      <c r="B2347" t="s">
        <v>2477</v>
      </c>
      <c r="C2347">
        <v>449.2200012207031</v>
      </c>
      <c r="D2347">
        <v>450.5599975585938</v>
      </c>
      <c r="E2347">
        <v>448.1199951171875</v>
      </c>
      <c r="F2347">
        <v>450.2300109863281</v>
      </c>
      <c r="G2347">
        <v>434.2027893066406</v>
      </c>
      <c r="H2347">
        <v>66665800</v>
      </c>
      <c r="I2347" t="s">
        <v>2478</v>
      </c>
      <c r="J2347" t="s">
        <v>2479</v>
      </c>
      <c r="K2347" t="s">
        <v>4629</v>
      </c>
    </row>
    <row r="2348" spans="1:11" ht="20" customHeight="1">
      <c r="A2348" t="s">
        <v>4628</v>
      </c>
      <c r="B2348" t="s">
        <v>2480</v>
      </c>
      <c r="C2348">
        <v>450.239990234375</v>
      </c>
      <c r="D2348">
        <v>451.4200134277344</v>
      </c>
      <c r="E2348">
        <v>449.2900085449219</v>
      </c>
      <c r="F2348">
        <v>450.7900085449219</v>
      </c>
      <c r="G2348">
        <v>434.7428283691406</v>
      </c>
      <c r="H2348">
        <v>83133200</v>
      </c>
      <c r="I2348" t="s">
        <v>2481</v>
      </c>
      <c r="J2348" t="s">
        <v>2482</v>
      </c>
      <c r="K2348" t="s">
        <v>4629</v>
      </c>
    </row>
    <row r="2349" spans="1:11" ht="20" customHeight="1">
      <c r="A2349" t="s">
        <v>4628</v>
      </c>
      <c r="B2349" t="s">
        <v>2483</v>
      </c>
      <c r="C2349">
        <v>450.5299987792969</v>
      </c>
      <c r="D2349">
        <v>455.1300048828125</v>
      </c>
      <c r="E2349">
        <v>450.5199890136719</v>
      </c>
      <c r="F2349">
        <v>454.260009765625</v>
      </c>
      <c r="G2349">
        <v>438.0893249511719</v>
      </c>
      <c r="H2349">
        <v>69936200</v>
      </c>
      <c r="I2349" t="s">
        <v>2484</v>
      </c>
      <c r="J2349" t="s">
        <v>2485</v>
      </c>
      <c r="K2349" t="s">
        <v>4629</v>
      </c>
    </row>
    <row r="2350" spans="1:11" ht="20" customHeight="1">
      <c r="A2350" t="s">
        <v>4628</v>
      </c>
      <c r="B2350" t="s">
        <v>2486</v>
      </c>
      <c r="C2350">
        <v>453.1799926757812</v>
      </c>
      <c r="D2350">
        <v>454.1300048828125</v>
      </c>
      <c r="E2350">
        <v>451.9599914550781</v>
      </c>
      <c r="F2350">
        <v>453.2699890136719</v>
      </c>
      <c r="G2350">
        <v>437.1344909667969</v>
      </c>
      <c r="H2350">
        <v>49244600</v>
      </c>
      <c r="I2350" t="s">
        <v>2487</v>
      </c>
      <c r="J2350" t="s">
        <v>2488</v>
      </c>
      <c r="K2350" t="s">
        <v>4629</v>
      </c>
    </row>
    <row r="2351" spans="1:11" ht="20" customHeight="1">
      <c r="A2351" t="s">
        <v>4628</v>
      </c>
      <c r="B2351" t="s">
        <v>2489</v>
      </c>
      <c r="C2351">
        <v>454.9800109863281</v>
      </c>
      <c r="D2351">
        <v>456.3800048828125</v>
      </c>
      <c r="E2351">
        <v>453.8900146484375</v>
      </c>
      <c r="F2351">
        <v>455.0199890136719</v>
      </c>
      <c r="G2351">
        <v>438.8221740722656</v>
      </c>
      <c r="H2351">
        <v>59394900</v>
      </c>
      <c r="I2351" t="s">
        <v>2490</v>
      </c>
      <c r="J2351" t="s">
        <v>2491</v>
      </c>
      <c r="K2351" t="s">
        <v>4629</v>
      </c>
    </row>
    <row r="2352" spans="1:11" ht="20" customHeight="1">
      <c r="A2352" t="s">
        <v>4628</v>
      </c>
      <c r="B2352" t="s">
        <v>2492</v>
      </c>
      <c r="C2352">
        <v>455.0700073242188</v>
      </c>
      <c r="D2352">
        <v>455.5</v>
      </c>
      <c r="E2352">
        <v>454.7300109863281</v>
      </c>
      <c r="F2352">
        <v>455.2999877929688</v>
      </c>
      <c r="G2352">
        <v>439.0922241210938</v>
      </c>
      <c r="H2352">
        <v>29737400</v>
      </c>
      <c r="I2352" t="s">
        <v>2493</v>
      </c>
      <c r="J2352" t="s">
        <v>2494</v>
      </c>
      <c r="K2352" t="s">
        <v>4629</v>
      </c>
    </row>
    <row r="2353" spans="1:11" ht="20" customHeight="1">
      <c r="A2353" t="s">
        <v>4628</v>
      </c>
      <c r="B2353" t="s">
        <v>2495</v>
      </c>
      <c r="C2353">
        <v>454.6499938964844</v>
      </c>
      <c r="D2353">
        <v>455.489990234375</v>
      </c>
      <c r="E2353">
        <v>454.0799865722656</v>
      </c>
      <c r="F2353">
        <v>454.4800109863281</v>
      </c>
      <c r="G2353">
        <v>438.3014831542969</v>
      </c>
      <c r="H2353">
        <v>50506000</v>
      </c>
      <c r="I2353" t="s">
        <v>2496</v>
      </c>
      <c r="J2353" t="s">
        <v>2497</v>
      </c>
      <c r="K2353" t="s">
        <v>4629</v>
      </c>
    </row>
    <row r="2354" spans="1:11" ht="20" customHeight="1">
      <c r="A2354" t="s">
        <v>4628</v>
      </c>
      <c r="B2354" t="s">
        <v>2498</v>
      </c>
      <c r="C2354">
        <v>454.0799865722656</v>
      </c>
      <c r="D2354">
        <v>456.2699890136719</v>
      </c>
      <c r="E2354">
        <v>453.5</v>
      </c>
      <c r="F2354">
        <v>454.9299926757812</v>
      </c>
      <c r="G2354">
        <v>438.7353820800781</v>
      </c>
      <c r="H2354">
        <v>62115000</v>
      </c>
      <c r="I2354" t="s">
        <v>2499</v>
      </c>
      <c r="J2354" t="s">
        <v>2500</v>
      </c>
      <c r="K2354" t="s">
        <v>4629</v>
      </c>
    </row>
    <row r="2355" spans="1:11" ht="20" customHeight="1">
      <c r="A2355" t="s">
        <v>4628</v>
      </c>
      <c r="B2355" t="s">
        <v>2501</v>
      </c>
      <c r="C2355">
        <v>457.1499938964844</v>
      </c>
      <c r="D2355">
        <v>458.3200073242188</v>
      </c>
      <c r="E2355">
        <v>454.2000122070312</v>
      </c>
      <c r="F2355">
        <v>454.6099853515625</v>
      </c>
      <c r="G2355">
        <v>438.4268188476562</v>
      </c>
      <c r="H2355">
        <v>63146000</v>
      </c>
      <c r="I2355" t="s">
        <v>2502</v>
      </c>
      <c r="J2355" t="s">
        <v>2503</v>
      </c>
      <c r="K2355" t="s">
        <v>4629</v>
      </c>
    </row>
    <row r="2356" spans="1:11" ht="20" customHeight="1">
      <c r="A2356" t="s">
        <v>4628</v>
      </c>
      <c r="B2356" t="s">
        <v>2504</v>
      </c>
      <c r="C2356">
        <v>455.4800109863281</v>
      </c>
      <c r="D2356">
        <v>456.760009765625</v>
      </c>
      <c r="E2356">
        <v>453.3399963378906</v>
      </c>
      <c r="F2356">
        <v>456.3999938964844</v>
      </c>
      <c r="G2356">
        <v>440.1530456542969</v>
      </c>
      <c r="H2356">
        <v>79752700</v>
      </c>
      <c r="I2356" t="s">
        <v>2505</v>
      </c>
      <c r="J2356" t="s">
        <v>2506</v>
      </c>
      <c r="K2356" t="s">
        <v>4629</v>
      </c>
    </row>
    <row r="2357" spans="1:11" ht="20" customHeight="1">
      <c r="A2357" t="s">
        <v>4628</v>
      </c>
      <c r="B2357" t="s">
        <v>2507</v>
      </c>
      <c r="C2357">
        <v>455.7699890136719</v>
      </c>
      <c r="D2357">
        <v>459.6499938964844</v>
      </c>
      <c r="E2357">
        <v>455.1600036621094</v>
      </c>
      <c r="F2357">
        <v>459.1000061035156</v>
      </c>
      <c r="G2357">
        <v>442.7570190429688</v>
      </c>
      <c r="H2357">
        <v>89183400</v>
      </c>
      <c r="I2357" t="s">
        <v>2508</v>
      </c>
      <c r="J2357" t="s">
        <v>2509</v>
      </c>
      <c r="K2357" t="s">
        <v>4629</v>
      </c>
    </row>
    <row r="2358" spans="1:11" ht="20" customHeight="1">
      <c r="A2358" t="s">
        <v>4628</v>
      </c>
      <c r="B2358" t="s">
        <v>2510</v>
      </c>
      <c r="C2358">
        <v>455.6000061035156</v>
      </c>
      <c r="D2358">
        <v>459.1199951171875</v>
      </c>
      <c r="E2358">
        <v>454.3399963378906</v>
      </c>
      <c r="F2358">
        <v>456.6900024414062</v>
      </c>
      <c r="G2358">
        <v>440.4327392578125</v>
      </c>
      <c r="H2358">
        <v>72430900</v>
      </c>
      <c r="I2358" t="s">
        <v>2511</v>
      </c>
      <c r="J2358" t="s">
        <v>2512</v>
      </c>
      <c r="K2358" t="s">
        <v>4629</v>
      </c>
    </row>
    <row r="2359" spans="1:11" ht="20" customHeight="1">
      <c r="A2359" t="s">
        <v>4628</v>
      </c>
      <c r="B2359" t="s">
        <v>2513</v>
      </c>
      <c r="C2359">
        <v>455.260009765625</v>
      </c>
      <c r="D2359">
        <v>457.5899963378906</v>
      </c>
      <c r="E2359">
        <v>454.8699951171875</v>
      </c>
      <c r="F2359">
        <v>456.6000061035156</v>
      </c>
      <c r="G2359">
        <v>440.3460083007812</v>
      </c>
      <c r="H2359">
        <v>69793500</v>
      </c>
      <c r="I2359" t="s">
        <v>2514</v>
      </c>
      <c r="J2359" t="s">
        <v>2515</v>
      </c>
      <c r="K2359" t="s">
        <v>4629</v>
      </c>
    </row>
    <row r="2360" spans="1:11" ht="20" customHeight="1">
      <c r="A2360" t="s">
        <v>4628</v>
      </c>
      <c r="B2360" t="s">
        <v>2516</v>
      </c>
      <c r="C2360">
        <v>458.8099975585938</v>
      </c>
      <c r="D2360">
        <v>458.8399963378906</v>
      </c>
      <c r="E2360">
        <v>454.3099975585938</v>
      </c>
      <c r="F2360">
        <v>454.760009765625</v>
      </c>
      <c r="G2360">
        <v>438.5714416503906</v>
      </c>
      <c r="H2360">
        <v>69124700</v>
      </c>
      <c r="I2360" t="s">
        <v>2517</v>
      </c>
      <c r="J2360" t="s">
        <v>2518</v>
      </c>
      <c r="K2360" t="s">
        <v>4629</v>
      </c>
    </row>
    <row r="2361" spans="1:11" ht="20" customHeight="1">
      <c r="A2361" t="s">
        <v>4628</v>
      </c>
      <c r="B2361" t="s">
        <v>2519</v>
      </c>
      <c r="C2361">
        <v>456.9100036621094</v>
      </c>
      <c r="D2361">
        <v>458.8999938964844</v>
      </c>
      <c r="E2361">
        <v>456.2900085449219</v>
      </c>
      <c r="F2361">
        <v>458.2300109863281</v>
      </c>
      <c r="G2361">
        <v>441.9179992675781</v>
      </c>
      <c r="H2361">
        <v>66995400</v>
      </c>
      <c r="I2361" t="s">
        <v>2520</v>
      </c>
      <c r="J2361" t="s">
        <v>2521</v>
      </c>
      <c r="K2361" t="s">
        <v>4629</v>
      </c>
    </row>
    <row r="2362" spans="1:11" ht="20" customHeight="1">
      <c r="A2362" t="s">
        <v>4628</v>
      </c>
      <c r="B2362" t="s">
        <v>2522</v>
      </c>
      <c r="C2362">
        <v>457.4599914550781</v>
      </c>
      <c r="D2362">
        <v>460.75</v>
      </c>
      <c r="E2362">
        <v>457.2099914550781</v>
      </c>
      <c r="F2362">
        <v>460.2000122070312</v>
      </c>
      <c r="G2362">
        <v>443.8178405761719</v>
      </c>
      <c r="H2362">
        <v>83194400</v>
      </c>
      <c r="I2362" t="s">
        <v>2523</v>
      </c>
      <c r="J2362" t="s">
        <v>2524</v>
      </c>
      <c r="K2362" t="s">
        <v>4629</v>
      </c>
    </row>
    <row r="2363" spans="1:11" ht="20" customHeight="1">
      <c r="A2363" t="s">
        <v>4628</v>
      </c>
      <c r="B2363" t="s">
        <v>2525</v>
      </c>
      <c r="C2363">
        <v>459.6900024414062</v>
      </c>
      <c r="D2363">
        <v>462.1700134277344</v>
      </c>
      <c r="E2363">
        <v>459.4700012207031</v>
      </c>
      <c r="F2363">
        <v>461.989990234375</v>
      </c>
      <c r="G2363">
        <v>445.5440673828125</v>
      </c>
      <c r="H2363">
        <v>65002200</v>
      </c>
      <c r="I2363" t="s">
        <v>2526</v>
      </c>
      <c r="J2363" t="s">
        <v>2527</v>
      </c>
      <c r="K2363" t="s">
        <v>4629</v>
      </c>
    </row>
    <row r="2364" spans="1:11" ht="20" customHeight="1">
      <c r="A2364" t="s">
        <v>4628</v>
      </c>
      <c r="B2364" t="s">
        <v>2528</v>
      </c>
      <c r="C2364">
        <v>461.6300048828125</v>
      </c>
      <c r="D2364">
        <v>464.2000122070312</v>
      </c>
      <c r="E2364">
        <v>460.6000061035156</v>
      </c>
      <c r="F2364">
        <v>464.1000061035156</v>
      </c>
      <c r="G2364">
        <v>447.5789489746094</v>
      </c>
      <c r="H2364">
        <v>68327600</v>
      </c>
      <c r="I2364" t="s">
        <v>2529</v>
      </c>
      <c r="J2364" t="s">
        <v>2530</v>
      </c>
      <c r="K2364" t="s">
        <v>4629</v>
      </c>
    </row>
    <row r="2365" spans="1:11" ht="20" customHeight="1">
      <c r="A2365" t="s">
        <v>4628</v>
      </c>
      <c r="B2365" t="s">
        <v>2531</v>
      </c>
      <c r="C2365">
        <v>464.489990234375</v>
      </c>
      <c r="D2365">
        <v>470.760009765625</v>
      </c>
      <c r="E2365">
        <v>464.1199951171875</v>
      </c>
      <c r="F2365">
        <v>470.5</v>
      </c>
      <c r="G2365">
        <v>453.7511901855469</v>
      </c>
      <c r="H2365">
        <v>93278000</v>
      </c>
      <c r="I2365" t="s">
        <v>2532</v>
      </c>
      <c r="J2365" t="s">
        <v>2533</v>
      </c>
      <c r="K2365" t="s">
        <v>4629</v>
      </c>
    </row>
    <row r="2366" spans="1:11" ht="20" customHeight="1">
      <c r="A2366" t="s">
        <v>4628</v>
      </c>
      <c r="B2366" t="s">
        <v>2534</v>
      </c>
      <c r="C2366">
        <v>472.5</v>
      </c>
      <c r="D2366">
        <v>473.7300109863281</v>
      </c>
      <c r="E2366">
        <v>469.25</v>
      </c>
      <c r="F2366">
        <v>472.010009765625</v>
      </c>
      <c r="G2366">
        <v>455.2073974609375</v>
      </c>
      <c r="H2366">
        <v>119026000</v>
      </c>
      <c r="I2366" t="s">
        <v>2535</v>
      </c>
      <c r="J2366" t="s">
        <v>2536</v>
      </c>
      <c r="K2366" t="s">
        <v>4629</v>
      </c>
    </row>
    <row r="2367" spans="1:11" ht="20" customHeight="1">
      <c r="A2367" t="s">
        <v>4628</v>
      </c>
      <c r="B2367" t="s">
        <v>2537</v>
      </c>
      <c r="C2367">
        <v>469.489990234375</v>
      </c>
      <c r="D2367">
        <v>470.7000122070312</v>
      </c>
      <c r="E2367">
        <v>467.4299926757812</v>
      </c>
      <c r="F2367">
        <v>469.3299865722656</v>
      </c>
      <c r="G2367">
        <v>454.4579162597656</v>
      </c>
      <c r="H2367">
        <v>141553700</v>
      </c>
      <c r="I2367" t="s">
        <v>2538</v>
      </c>
      <c r="J2367" t="s">
        <v>2539</v>
      </c>
      <c r="K2367" t="s">
        <v>4629</v>
      </c>
    </row>
    <row r="2368" spans="1:11" ht="20" customHeight="1">
      <c r="A2368" t="s">
        <v>4628</v>
      </c>
      <c r="B2368" t="s">
        <v>2540</v>
      </c>
      <c r="C2368">
        <v>470.9800109863281</v>
      </c>
      <c r="D2368">
        <v>472.9800109863281</v>
      </c>
      <c r="E2368">
        <v>469.8900146484375</v>
      </c>
      <c r="F2368">
        <v>471.9700012207031</v>
      </c>
      <c r="G2368">
        <v>457.0142517089844</v>
      </c>
      <c r="H2368">
        <v>70375300</v>
      </c>
      <c r="I2368" t="s">
        <v>2541</v>
      </c>
      <c r="J2368" t="s">
        <v>2542</v>
      </c>
      <c r="K2368" t="s">
        <v>4629</v>
      </c>
    </row>
    <row r="2369" spans="1:11" ht="20" customHeight="1">
      <c r="A2369" t="s">
        <v>4628</v>
      </c>
      <c r="B2369" t="s">
        <v>2543</v>
      </c>
      <c r="C2369">
        <v>472.5299987792969</v>
      </c>
      <c r="D2369">
        <v>474.9200134277344</v>
      </c>
      <c r="E2369">
        <v>472.4500122070312</v>
      </c>
      <c r="F2369">
        <v>474.8399963378906</v>
      </c>
      <c r="G2369">
        <v>459.7932739257812</v>
      </c>
      <c r="H2369">
        <v>55761800</v>
      </c>
      <c r="I2369" t="s">
        <v>2544</v>
      </c>
      <c r="J2369" t="s">
        <v>2545</v>
      </c>
      <c r="K2369" t="s">
        <v>4629</v>
      </c>
    </row>
    <row r="2370" spans="1:11" ht="20" customHeight="1">
      <c r="A2370" t="s">
        <v>4628</v>
      </c>
      <c r="B2370" t="s">
        <v>2546</v>
      </c>
      <c r="C2370">
        <v>473.9599914550781</v>
      </c>
      <c r="D2370">
        <v>475.8999938964844</v>
      </c>
      <c r="E2370">
        <v>467.8200073242188</v>
      </c>
      <c r="F2370">
        <v>468.260009765625</v>
      </c>
      <c r="G2370">
        <v>453.4218444824219</v>
      </c>
      <c r="H2370">
        <v>102921000</v>
      </c>
      <c r="I2370" t="s">
        <v>2547</v>
      </c>
      <c r="J2370" t="s">
        <v>2548</v>
      </c>
      <c r="K2370" t="s">
        <v>4629</v>
      </c>
    </row>
    <row r="2371" spans="1:11" ht="20" customHeight="1">
      <c r="A2371" t="s">
        <v>4628</v>
      </c>
      <c r="B2371" t="s">
        <v>2549</v>
      </c>
      <c r="C2371">
        <v>471.3299865722656</v>
      </c>
      <c r="D2371">
        <v>472.9800109863281</v>
      </c>
      <c r="E2371">
        <v>468.8399963378906</v>
      </c>
      <c r="F2371">
        <v>472.7000122070312</v>
      </c>
      <c r="G2371">
        <v>457.72119140625</v>
      </c>
      <c r="H2371">
        <v>86667500</v>
      </c>
      <c r="I2371" t="s">
        <v>2550</v>
      </c>
      <c r="J2371" t="s">
        <v>2551</v>
      </c>
      <c r="K2371" t="s">
        <v>4629</v>
      </c>
    </row>
    <row r="2372" spans="1:11" ht="20" customHeight="1">
      <c r="A2372" t="s">
        <v>4628</v>
      </c>
      <c r="B2372" t="s">
        <v>2552</v>
      </c>
      <c r="C2372">
        <v>473.8599853515625</v>
      </c>
      <c r="D2372">
        <v>475.3800048828125</v>
      </c>
      <c r="E2372">
        <v>471.7000122070312</v>
      </c>
      <c r="F2372">
        <v>473.6499938964844</v>
      </c>
      <c r="G2372">
        <v>458.6410217285156</v>
      </c>
      <c r="H2372">
        <v>67160400</v>
      </c>
      <c r="I2372" t="s">
        <v>2553</v>
      </c>
      <c r="J2372" t="s">
        <v>2554</v>
      </c>
      <c r="K2372" t="s">
        <v>4629</v>
      </c>
    </row>
    <row r="2373" spans="1:11" ht="20" customHeight="1">
      <c r="A2373" t="s">
        <v>4628</v>
      </c>
      <c r="B2373" t="s">
        <v>2555</v>
      </c>
      <c r="C2373">
        <v>474.0700073242188</v>
      </c>
      <c r="D2373">
        <v>476.5799865722656</v>
      </c>
      <c r="E2373">
        <v>473.989990234375</v>
      </c>
      <c r="F2373">
        <v>475.6499938964844</v>
      </c>
      <c r="G2373">
        <v>460.5776672363281</v>
      </c>
      <c r="H2373">
        <v>55387000</v>
      </c>
      <c r="I2373" t="s">
        <v>2556</v>
      </c>
      <c r="J2373" t="s">
        <v>2557</v>
      </c>
      <c r="K2373" t="s">
        <v>4629</v>
      </c>
    </row>
    <row r="2374" spans="1:11" ht="20" customHeight="1">
      <c r="A2374" t="s">
        <v>4628</v>
      </c>
      <c r="B2374" t="s">
        <v>2558</v>
      </c>
      <c r="C2374">
        <v>475.4400024414062</v>
      </c>
      <c r="D2374">
        <v>476.6600036621094</v>
      </c>
      <c r="E2374">
        <v>474.8900146484375</v>
      </c>
      <c r="F2374">
        <v>476.510009765625</v>
      </c>
      <c r="G2374">
        <v>461.4104614257812</v>
      </c>
      <c r="H2374">
        <v>68000300</v>
      </c>
      <c r="I2374" t="s">
        <v>2559</v>
      </c>
      <c r="J2374" t="s">
        <v>2560</v>
      </c>
      <c r="K2374" t="s">
        <v>4629</v>
      </c>
    </row>
    <row r="2375" spans="1:11" ht="20" customHeight="1">
      <c r="A2375" t="s">
        <v>4628</v>
      </c>
      <c r="B2375" t="s">
        <v>2561</v>
      </c>
      <c r="C2375">
        <v>476.8800048828125</v>
      </c>
      <c r="D2375">
        <v>477.5499877929688</v>
      </c>
      <c r="E2375">
        <v>476.260009765625</v>
      </c>
      <c r="F2375">
        <v>476.6900024414062</v>
      </c>
      <c r="G2375">
        <v>461.584716796875</v>
      </c>
      <c r="H2375">
        <v>77158100</v>
      </c>
      <c r="I2375" t="s">
        <v>2562</v>
      </c>
      <c r="J2375" t="s">
        <v>2563</v>
      </c>
      <c r="K2375" t="s">
        <v>4629</v>
      </c>
    </row>
    <row r="2376" spans="1:11" ht="20" customHeight="1">
      <c r="A2376" t="s">
        <v>4628</v>
      </c>
      <c r="B2376" t="s">
        <v>2564</v>
      </c>
      <c r="C2376">
        <v>476.489990234375</v>
      </c>
      <c r="D2376">
        <v>477.0299987792969</v>
      </c>
      <c r="E2376">
        <v>473.2999877929688</v>
      </c>
      <c r="F2376">
        <v>475.3099975585938</v>
      </c>
      <c r="G2376">
        <v>460.2484130859375</v>
      </c>
      <c r="H2376">
        <v>122283100</v>
      </c>
      <c r="I2376" t="s">
        <v>2565</v>
      </c>
      <c r="J2376" t="s">
        <v>2566</v>
      </c>
      <c r="K2376" t="s">
        <v>4629</v>
      </c>
    </row>
    <row r="2377" spans="1:11" ht="20" customHeight="1">
      <c r="A2377" t="s">
        <v>4628</v>
      </c>
      <c r="B2377" t="s">
        <v>2567</v>
      </c>
      <c r="C2377">
        <v>472.1600036621094</v>
      </c>
      <c r="D2377">
        <v>473.6700134277344</v>
      </c>
      <c r="E2377">
        <v>470.489990234375</v>
      </c>
      <c r="F2377">
        <v>472.6499938964844</v>
      </c>
      <c r="G2377">
        <v>457.6726989746094</v>
      </c>
      <c r="H2377">
        <v>123623700</v>
      </c>
      <c r="I2377" t="s">
        <v>2568</v>
      </c>
      <c r="J2377" t="s">
        <v>2569</v>
      </c>
      <c r="K2377" t="s">
        <v>4629</v>
      </c>
    </row>
    <row r="2378" spans="1:11" ht="20" customHeight="1">
      <c r="A2378" t="s">
        <v>4628</v>
      </c>
      <c r="B2378" t="s">
        <v>2570</v>
      </c>
      <c r="C2378">
        <v>470.4299926757812</v>
      </c>
      <c r="D2378">
        <v>471.1900024414062</v>
      </c>
      <c r="E2378">
        <v>468.1700134277344</v>
      </c>
      <c r="F2378">
        <v>468.7900085449219</v>
      </c>
      <c r="G2378">
        <v>453.93505859375</v>
      </c>
      <c r="H2378">
        <v>103585900</v>
      </c>
      <c r="I2378" t="s">
        <v>2571</v>
      </c>
      <c r="J2378" t="s">
        <v>2572</v>
      </c>
      <c r="K2378" t="s">
        <v>4629</v>
      </c>
    </row>
    <row r="2379" spans="1:11" ht="20" customHeight="1">
      <c r="A2379" t="s">
        <v>4628</v>
      </c>
      <c r="B2379" t="s">
        <v>2573</v>
      </c>
      <c r="C2379">
        <v>468.2999877929688</v>
      </c>
      <c r="D2379">
        <v>470.9599914550781</v>
      </c>
      <c r="E2379">
        <v>467.0499877929688</v>
      </c>
      <c r="F2379">
        <v>467.2799987792969</v>
      </c>
      <c r="G2379">
        <v>452.472900390625</v>
      </c>
      <c r="H2379">
        <v>84232200</v>
      </c>
      <c r="I2379" t="s">
        <v>2574</v>
      </c>
      <c r="J2379" t="s">
        <v>2575</v>
      </c>
      <c r="K2379" t="s">
        <v>4629</v>
      </c>
    </row>
    <row r="2380" spans="1:11" ht="20" customHeight="1">
      <c r="A2380" t="s">
        <v>4628</v>
      </c>
      <c r="B2380" t="s">
        <v>2576</v>
      </c>
      <c r="C2380">
        <v>467.489990234375</v>
      </c>
      <c r="D2380">
        <v>470.4400024414062</v>
      </c>
      <c r="E2380">
        <v>466.4299926757812</v>
      </c>
      <c r="F2380">
        <v>467.9200134277344</v>
      </c>
      <c r="G2380">
        <v>453.0926513671875</v>
      </c>
      <c r="H2380">
        <v>86118900</v>
      </c>
      <c r="I2380" t="s">
        <v>2577</v>
      </c>
      <c r="J2380" t="s">
        <v>2578</v>
      </c>
      <c r="K2380" t="s">
        <v>4629</v>
      </c>
    </row>
    <row r="2381" spans="1:11" ht="20" customHeight="1">
      <c r="A2381" t="s">
        <v>4628</v>
      </c>
      <c r="B2381" t="s">
        <v>2579</v>
      </c>
      <c r="C2381">
        <v>468.4299926757812</v>
      </c>
      <c r="D2381">
        <v>474.75</v>
      </c>
      <c r="E2381">
        <v>468.2999877929688</v>
      </c>
      <c r="F2381">
        <v>474.6000061035156</v>
      </c>
      <c r="G2381">
        <v>459.5609436035156</v>
      </c>
      <c r="H2381">
        <v>74879100</v>
      </c>
      <c r="I2381" t="s">
        <v>2580</v>
      </c>
      <c r="J2381" t="s">
        <v>2581</v>
      </c>
      <c r="K2381" t="s">
        <v>4629</v>
      </c>
    </row>
    <row r="2382" spans="1:11" ht="20" customHeight="1">
      <c r="A2382" t="s">
        <v>4628</v>
      </c>
      <c r="B2382" t="s">
        <v>2582</v>
      </c>
      <c r="C2382">
        <v>471.8699951171875</v>
      </c>
      <c r="D2382">
        <v>474.9299926757812</v>
      </c>
      <c r="E2382">
        <v>471.3500061035156</v>
      </c>
      <c r="F2382">
        <v>473.8800048828125</v>
      </c>
      <c r="G2382">
        <v>458.8637390136719</v>
      </c>
      <c r="H2382">
        <v>65931400</v>
      </c>
      <c r="I2382" t="s">
        <v>2583</v>
      </c>
      <c r="J2382" t="s">
        <v>2584</v>
      </c>
      <c r="K2382" t="s">
        <v>4629</v>
      </c>
    </row>
    <row r="2383" spans="1:11" ht="20" customHeight="1">
      <c r="A2383" t="s">
        <v>4628</v>
      </c>
      <c r="B2383" t="s">
        <v>2585</v>
      </c>
      <c r="C2383">
        <v>474.1600036621094</v>
      </c>
      <c r="D2383">
        <v>477.4500122070312</v>
      </c>
      <c r="E2383">
        <v>473.8699951171875</v>
      </c>
      <c r="F2383">
        <v>476.5599975585938</v>
      </c>
      <c r="G2383">
        <v>461.4588012695312</v>
      </c>
      <c r="H2383">
        <v>67310600</v>
      </c>
      <c r="I2383" t="s">
        <v>2586</v>
      </c>
      <c r="J2383" t="s">
        <v>2587</v>
      </c>
      <c r="K2383" t="s">
        <v>4629</v>
      </c>
    </row>
    <row r="2384" spans="1:11" ht="20" customHeight="1">
      <c r="A2384" t="s">
        <v>4628</v>
      </c>
      <c r="B2384" t="s">
        <v>2588</v>
      </c>
      <c r="C2384">
        <v>477.5899963378906</v>
      </c>
      <c r="D2384">
        <v>478.1199951171875</v>
      </c>
      <c r="E2384">
        <v>472.260009765625</v>
      </c>
      <c r="F2384">
        <v>476.3500061035156</v>
      </c>
      <c r="G2384">
        <v>461.2554626464844</v>
      </c>
      <c r="H2384">
        <v>77940700</v>
      </c>
      <c r="I2384" t="s">
        <v>2589</v>
      </c>
      <c r="J2384" t="s">
        <v>2590</v>
      </c>
      <c r="K2384" t="s">
        <v>4629</v>
      </c>
    </row>
    <row r="2385" spans="1:11" ht="20" customHeight="1">
      <c r="A2385" t="s">
        <v>4628</v>
      </c>
      <c r="B2385" t="s">
        <v>2591</v>
      </c>
      <c r="C2385">
        <v>477.8399963378906</v>
      </c>
      <c r="D2385">
        <v>478.6000061035156</v>
      </c>
      <c r="E2385">
        <v>475.2300109863281</v>
      </c>
      <c r="F2385">
        <v>476.6799926757812</v>
      </c>
      <c r="G2385">
        <v>461.5750122070312</v>
      </c>
      <c r="H2385">
        <v>58026400</v>
      </c>
      <c r="I2385" t="s">
        <v>2592</v>
      </c>
      <c r="J2385" t="s">
        <v>2593</v>
      </c>
      <c r="K2385" t="s">
        <v>4629</v>
      </c>
    </row>
    <row r="2386" spans="1:11" ht="20" customHeight="1">
      <c r="A2386" t="s">
        <v>4628</v>
      </c>
      <c r="B2386" t="s">
        <v>2594</v>
      </c>
      <c r="C2386">
        <v>475.260009765625</v>
      </c>
      <c r="D2386">
        <v>476.6099853515625</v>
      </c>
      <c r="E2386">
        <v>473.0599975585938</v>
      </c>
      <c r="F2386">
        <v>474.9299926757812</v>
      </c>
      <c r="G2386">
        <v>459.8804931640625</v>
      </c>
      <c r="H2386">
        <v>85014900</v>
      </c>
      <c r="I2386" t="s">
        <v>2595</v>
      </c>
      <c r="J2386" t="s">
        <v>2596</v>
      </c>
      <c r="K2386" t="s">
        <v>4629</v>
      </c>
    </row>
    <row r="2387" spans="1:11" ht="20" customHeight="1">
      <c r="A2387" t="s">
        <v>4628</v>
      </c>
      <c r="B2387" t="s">
        <v>2597</v>
      </c>
      <c r="C2387">
        <v>471.8200073242188</v>
      </c>
      <c r="D2387">
        <v>472.7900085449219</v>
      </c>
      <c r="E2387">
        <v>469.8699951171875</v>
      </c>
      <c r="F2387">
        <v>472.2900085449219</v>
      </c>
      <c r="G2387">
        <v>457.3240966796875</v>
      </c>
      <c r="H2387">
        <v>68843900</v>
      </c>
      <c r="I2387" t="s">
        <v>2598</v>
      </c>
      <c r="J2387" t="s">
        <v>2599</v>
      </c>
      <c r="K2387" t="s">
        <v>4629</v>
      </c>
    </row>
    <row r="2388" spans="1:11" ht="20" customHeight="1">
      <c r="A2388" t="s">
        <v>4628</v>
      </c>
      <c r="B2388" t="s">
        <v>2600</v>
      </c>
      <c r="C2388">
        <v>474.010009765625</v>
      </c>
      <c r="D2388">
        <v>477.0599975585938</v>
      </c>
      <c r="E2388">
        <v>472.4200134277344</v>
      </c>
      <c r="F2388">
        <v>476.489990234375</v>
      </c>
      <c r="G2388">
        <v>461.3910522460938</v>
      </c>
      <c r="H2388">
        <v>91856200</v>
      </c>
      <c r="I2388" t="s">
        <v>2601</v>
      </c>
      <c r="J2388" t="s">
        <v>2602</v>
      </c>
      <c r="K2388" t="s">
        <v>4629</v>
      </c>
    </row>
    <row r="2389" spans="1:11" ht="20" customHeight="1">
      <c r="A2389" t="s">
        <v>4628</v>
      </c>
      <c r="B2389" t="s">
        <v>2603</v>
      </c>
      <c r="C2389">
        <v>477.6499938964844</v>
      </c>
      <c r="D2389">
        <v>482.7200012207031</v>
      </c>
      <c r="E2389">
        <v>476.5400085449219</v>
      </c>
      <c r="F2389">
        <v>482.4299926757812</v>
      </c>
      <c r="G2389">
        <v>467.142822265625</v>
      </c>
      <c r="H2389">
        <v>110834500</v>
      </c>
      <c r="I2389" t="s">
        <v>2604</v>
      </c>
      <c r="J2389" t="s">
        <v>2605</v>
      </c>
      <c r="K2389" t="s">
        <v>4629</v>
      </c>
    </row>
    <row r="2390" spans="1:11" ht="20" customHeight="1">
      <c r="A2390" t="s">
        <v>4628</v>
      </c>
      <c r="B2390" t="s">
        <v>2606</v>
      </c>
      <c r="C2390">
        <v>484.010009765625</v>
      </c>
      <c r="D2390">
        <v>485.2200012207031</v>
      </c>
      <c r="E2390">
        <v>482.7799987792969</v>
      </c>
      <c r="F2390">
        <v>483.4500122070312</v>
      </c>
      <c r="G2390">
        <v>468.1304931640625</v>
      </c>
      <c r="H2390">
        <v>75844900</v>
      </c>
      <c r="I2390" t="s">
        <v>2607</v>
      </c>
      <c r="J2390" t="s">
        <v>2608</v>
      </c>
      <c r="K2390" t="s">
        <v>4629</v>
      </c>
    </row>
    <row r="2391" spans="1:11" ht="20" customHeight="1">
      <c r="A2391" t="s">
        <v>4628</v>
      </c>
      <c r="B2391" t="s">
        <v>2609</v>
      </c>
      <c r="C2391">
        <v>484.010009765625</v>
      </c>
      <c r="D2391">
        <v>485.1099853515625</v>
      </c>
      <c r="E2391">
        <v>482.8900146484375</v>
      </c>
      <c r="F2391">
        <v>484.8599853515625</v>
      </c>
      <c r="G2391">
        <v>469.4958190917969</v>
      </c>
      <c r="H2391">
        <v>49945300</v>
      </c>
      <c r="I2391" t="s">
        <v>2610</v>
      </c>
      <c r="J2391" t="s">
        <v>2611</v>
      </c>
      <c r="K2391" t="s">
        <v>4629</v>
      </c>
    </row>
    <row r="2392" spans="1:11" ht="20" customHeight="1">
      <c r="A2392" t="s">
        <v>4628</v>
      </c>
      <c r="B2392" t="s">
        <v>2612</v>
      </c>
      <c r="C2392">
        <v>487.8099975585938</v>
      </c>
      <c r="D2392">
        <v>488.7699890136719</v>
      </c>
      <c r="E2392">
        <v>484.8800048828125</v>
      </c>
      <c r="F2392">
        <v>485.3900146484375</v>
      </c>
      <c r="G2392">
        <v>470.0090026855469</v>
      </c>
      <c r="H2392">
        <v>81765000</v>
      </c>
      <c r="I2392" t="s">
        <v>2613</v>
      </c>
      <c r="J2392" t="s">
        <v>2614</v>
      </c>
      <c r="K2392" t="s">
        <v>4629</v>
      </c>
    </row>
    <row r="2393" spans="1:11" ht="20" customHeight="1">
      <c r="A2393" t="s">
        <v>4628</v>
      </c>
      <c r="B2393" t="s">
        <v>2615</v>
      </c>
      <c r="C2393">
        <v>487.5799865722656</v>
      </c>
      <c r="D2393">
        <v>488.3099975585938</v>
      </c>
      <c r="E2393">
        <v>485.3900146484375</v>
      </c>
      <c r="F2393">
        <v>488.0299987792969</v>
      </c>
      <c r="G2393">
        <v>472.5653991699219</v>
      </c>
      <c r="H2393">
        <v>72525000</v>
      </c>
      <c r="I2393" t="s">
        <v>2616</v>
      </c>
      <c r="J2393" t="s">
        <v>2617</v>
      </c>
      <c r="K2393" t="s">
        <v>4629</v>
      </c>
    </row>
    <row r="2394" spans="1:11" ht="20" customHeight="1">
      <c r="A2394" t="s">
        <v>4628</v>
      </c>
      <c r="B2394" t="s">
        <v>2618</v>
      </c>
      <c r="C2394">
        <v>487.5899963378906</v>
      </c>
      <c r="D2394">
        <v>489.1199951171875</v>
      </c>
      <c r="E2394">
        <v>486.5400085449219</v>
      </c>
      <c r="F2394">
        <v>487.4100036621094</v>
      </c>
      <c r="G2394">
        <v>471.9650573730469</v>
      </c>
      <c r="H2394">
        <v>76641600</v>
      </c>
      <c r="I2394" t="s">
        <v>2619</v>
      </c>
      <c r="J2394" t="s">
        <v>2620</v>
      </c>
      <c r="K2394" t="s">
        <v>4629</v>
      </c>
    </row>
    <row r="2395" spans="1:11" ht="20" customHeight="1">
      <c r="A2395" t="s">
        <v>4628</v>
      </c>
      <c r="B2395" t="s">
        <v>2621</v>
      </c>
      <c r="C2395">
        <v>487.7300109863281</v>
      </c>
      <c r="D2395">
        <v>491.4200134277344</v>
      </c>
      <c r="E2395">
        <v>487.1700134277344</v>
      </c>
      <c r="F2395">
        <v>491.2699890136719</v>
      </c>
      <c r="G2395">
        <v>475.7026672363281</v>
      </c>
      <c r="H2395">
        <v>61322800</v>
      </c>
      <c r="I2395" t="s">
        <v>2622</v>
      </c>
      <c r="J2395" t="s">
        <v>2623</v>
      </c>
      <c r="K2395" t="s">
        <v>4629</v>
      </c>
    </row>
    <row r="2396" spans="1:11" ht="20" customHeight="1">
      <c r="A2396" t="s">
        <v>4628</v>
      </c>
      <c r="B2396" t="s">
        <v>2624</v>
      </c>
      <c r="C2396">
        <v>490.5599975585938</v>
      </c>
      <c r="D2396">
        <v>491.6199951171875</v>
      </c>
      <c r="E2396">
        <v>490.1099853515625</v>
      </c>
      <c r="F2396">
        <v>490.8900146484375</v>
      </c>
      <c r="G2396">
        <v>475.334716796875</v>
      </c>
      <c r="H2396">
        <v>58618400</v>
      </c>
      <c r="I2396" t="s">
        <v>2625</v>
      </c>
      <c r="J2396" t="s">
        <v>2626</v>
      </c>
      <c r="K2396" t="s">
        <v>4629</v>
      </c>
    </row>
    <row r="2397" spans="1:11" ht="20" customHeight="1">
      <c r="A2397" t="s">
        <v>4628</v>
      </c>
      <c r="B2397" t="s">
        <v>2627</v>
      </c>
      <c r="C2397">
        <v>488.6199951171875</v>
      </c>
      <c r="D2397">
        <v>489.0799865722656</v>
      </c>
      <c r="E2397">
        <v>482.8599853515625</v>
      </c>
      <c r="F2397">
        <v>482.8800048828125</v>
      </c>
      <c r="G2397">
        <v>467.5785827636719</v>
      </c>
      <c r="H2397">
        <v>126011100</v>
      </c>
      <c r="I2397" t="s">
        <v>2628</v>
      </c>
      <c r="J2397" t="s">
        <v>2629</v>
      </c>
      <c r="K2397" t="s">
        <v>4629</v>
      </c>
    </row>
    <row r="2398" spans="1:11" ht="20" customHeight="1">
      <c r="A2398" t="s">
        <v>4628</v>
      </c>
      <c r="B2398" t="s">
        <v>2630</v>
      </c>
      <c r="C2398">
        <v>484.6300048828125</v>
      </c>
      <c r="D2398">
        <v>489.2300109863281</v>
      </c>
      <c r="E2398">
        <v>483.7999877929688</v>
      </c>
      <c r="F2398">
        <v>489.2000122070312</v>
      </c>
      <c r="G2398">
        <v>473.6982727050781</v>
      </c>
      <c r="H2398">
        <v>91891600</v>
      </c>
      <c r="I2398" t="s">
        <v>2631</v>
      </c>
      <c r="J2398" t="s">
        <v>2632</v>
      </c>
      <c r="K2398" t="s">
        <v>4629</v>
      </c>
    </row>
    <row r="2399" spans="1:11" ht="20" customHeight="1">
      <c r="A2399" t="s">
        <v>4628</v>
      </c>
      <c r="B2399" t="s">
        <v>2633</v>
      </c>
      <c r="C2399">
        <v>489.6499938964844</v>
      </c>
      <c r="D2399">
        <v>496.0499877929688</v>
      </c>
      <c r="E2399">
        <v>489.2999877929688</v>
      </c>
      <c r="F2399">
        <v>494.3500061035156</v>
      </c>
      <c r="G2399">
        <v>478.6850891113281</v>
      </c>
      <c r="H2399">
        <v>99228200</v>
      </c>
      <c r="I2399" t="s">
        <v>2634</v>
      </c>
      <c r="J2399" t="s">
        <v>2635</v>
      </c>
      <c r="K2399" t="s">
        <v>4629</v>
      </c>
    </row>
    <row r="2400" spans="1:11" ht="20" customHeight="1">
      <c r="A2400" t="s">
        <v>4628</v>
      </c>
      <c r="B2400" t="s">
        <v>2636</v>
      </c>
      <c r="C2400">
        <v>493.7000122070312</v>
      </c>
      <c r="D2400">
        <v>494.3800048828125</v>
      </c>
      <c r="E2400">
        <v>490.2300109863281</v>
      </c>
      <c r="F2400">
        <v>492.5499877929688</v>
      </c>
      <c r="G2400">
        <v>476.942138671875</v>
      </c>
      <c r="H2400">
        <v>75757100</v>
      </c>
      <c r="I2400" t="s">
        <v>2637</v>
      </c>
      <c r="J2400" t="s">
        <v>2638</v>
      </c>
      <c r="K2400" t="s">
        <v>4629</v>
      </c>
    </row>
    <row r="2401" spans="1:11" ht="20" customHeight="1">
      <c r="A2401" t="s">
        <v>4628</v>
      </c>
      <c r="B2401" t="s">
        <v>2639</v>
      </c>
      <c r="C2401">
        <v>493.5199890136719</v>
      </c>
      <c r="D2401">
        <v>494.3200073242188</v>
      </c>
      <c r="E2401">
        <v>492.0499877929688</v>
      </c>
      <c r="F2401">
        <v>493.9800109863281</v>
      </c>
      <c r="G2401">
        <v>478.3268432617188</v>
      </c>
      <c r="H2401">
        <v>55918600</v>
      </c>
      <c r="I2401" t="s">
        <v>2640</v>
      </c>
      <c r="J2401" t="s">
        <v>2641</v>
      </c>
      <c r="K2401" t="s">
        <v>4629</v>
      </c>
    </row>
    <row r="2402" spans="1:11" ht="20" customHeight="1">
      <c r="A2402" t="s">
        <v>4628</v>
      </c>
      <c r="B2402" t="s">
        <v>2642</v>
      </c>
      <c r="C2402">
        <v>496.2900085449219</v>
      </c>
      <c r="D2402">
        <v>498.5299987792969</v>
      </c>
      <c r="E2402">
        <v>495.3599853515625</v>
      </c>
      <c r="F2402">
        <v>498.1000061035156</v>
      </c>
      <c r="G2402">
        <v>482.3162841796875</v>
      </c>
      <c r="H2402">
        <v>70556500</v>
      </c>
      <c r="I2402" t="s">
        <v>2643</v>
      </c>
      <c r="J2402" t="s">
        <v>2644</v>
      </c>
      <c r="K2402" t="s">
        <v>4629</v>
      </c>
    </row>
    <row r="2403" spans="1:11" ht="20" customHeight="1">
      <c r="A2403" t="s">
        <v>4628</v>
      </c>
      <c r="B2403" t="s">
        <v>2645</v>
      </c>
      <c r="C2403">
        <v>498.1000061035156</v>
      </c>
      <c r="D2403">
        <v>498.7099914550781</v>
      </c>
      <c r="E2403">
        <v>497.260009765625</v>
      </c>
      <c r="F2403">
        <v>498.3200073242188</v>
      </c>
      <c r="G2403">
        <v>482.5293273925781</v>
      </c>
      <c r="H2403">
        <v>52343600</v>
      </c>
      <c r="I2403" t="s">
        <v>2646</v>
      </c>
      <c r="J2403" t="s">
        <v>2647</v>
      </c>
      <c r="K2403" t="s">
        <v>4629</v>
      </c>
    </row>
    <row r="2404" spans="1:11" ht="20" customHeight="1">
      <c r="A2404" t="s">
        <v>4628</v>
      </c>
      <c r="B2404" t="s">
        <v>2648</v>
      </c>
      <c r="C2404">
        <v>498.8399963378906</v>
      </c>
      <c r="D2404">
        <v>501.6499938964844</v>
      </c>
      <c r="E2404">
        <v>498.489990234375</v>
      </c>
      <c r="F2404">
        <v>501.2000122070312</v>
      </c>
      <c r="G2404">
        <v>485.3180236816406</v>
      </c>
      <c r="H2404">
        <v>63979400</v>
      </c>
      <c r="I2404" t="s">
        <v>2649</v>
      </c>
      <c r="J2404" t="s">
        <v>2650</v>
      </c>
      <c r="K2404" t="s">
        <v>4629</v>
      </c>
    </row>
    <row r="2405" spans="1:11" ht="20" customHeight="1">
      <c r="A2405" t="s">
        <v>4628</v>
      </c>
      <c r="B2405" t="s">
        <v>2651</v>
      </c>
      <c r="C2405">
        <v>501.1700134277344</v>
      </c>
      <c r="D2405">
        <v>503.5</v>
      </c>
      <c r="E2405">
        <v>500.239990234375</v>
      </c>
      <c r="F2405">
        <v>500.9800109863281</v>
      </c>
      <c r="G2405">
        <v>485.1050109863281</v>
      </c>
      <c r="H2405">
        <v>56502300</v>
      </c>
      <c r="I2405" t="s">
        <v>2652</v>
      </c>
      <c r="J2405" t="s">
        <v>2653</v>
      </c>
      <c r="K2405" t="s">
        <v>4629</v>
      </c>
    </row>
    <row r="2406" spans="1:11" ht="20" customHeight="1">
      <c r="A2406" t="s">
        <v>4628</v>
      </c>
      <c r="B2406" t="s">
        <v>2654</v>
      </c>
      <c r="C2406">
        <v>494.5299987792969</v>
      </c>
      <c r="D2406">
        <v>497.0899963378906</v>
      </c>
      <c r="E2406">
        <v>490.7200012207031</v>
      </c>
      <c r="F2406">
        <v>494.0799865722656</v>
      </c>
      <c r="G2406">
        <v>478.4236450195312</v>
      </c>
      <c r="H2406">
        <v>113099200</v>
      </c>
      <c r="I2406" t="s">
        <v>2655</v>
      </c>
      <c r="J2406" t="s">
        <v>2656</v>
      </c>
      <c r="K2406" t="s">
        <v>4629</v>
      </c>
    </row>
    <row r="2407" spans="1:11" ht="20" customHeight="1">
      <c r="A2407" t="s">
        <v>4628</v>
      </c>
      <c r="B2407" t="s">
        <v>2657</v>
      </c>
      <c r="C2407">
        <v>496.7900085449219</v>
      </c>
      <c r="D2407">
        <v>499.0700073242188</v>
      </c>
      <c r="E2407">
        <v>494.3999938964844</v>
      </c>
      <c r="F2407">
        <v>498.5700073242188</v>
      </c>
      <c r="G2407">
        <v>482.7713928222656</v>
      </c>
      <c r="H2407">
        <v>68387800</v>
      </c>
      <c r="I2407" t="s">
        <v>2658</v>
      </c>
      <c r="J2407" t="s">
        <v>2659</v>
      </c>
      <c r="K2407" t="s">
        <v>4629</v>
      </c>
    </row>
    <row r="2408" spans="1:11" ht="20" customHeight="1">
      <c r="A2408" t="s">
        <v>4628</v>
      </c>
      <c r="B2408" t="s">
        <v>2660</v>
      </c>
      <c r="C2408">
        <v>499.2900085449219</v>
      </c>
      <c r="D2408">
        <v>502.2000122070312</v>
      </c>
      <c r="E2408">
        <v>498.7999877929688</v>
      </c>
      <c r="F2408">
        <v>502.010009765625</v>
      </c>
      <c r="G2408">
        <v>486.1023864746094</v>
      </c>
      <c r="H2408">
        <v>61683000</v>
      </c>
      <c r="I2408" t="s">
        <v>2661</v>
      </c>
      <c r="J2408" t="s">
        <v>2662</v>
      </c>
      <c r="K2408" t="s">
        <v>4629</v>
      </c>
    </row>
    <row r="2409" spans="1:11" ht="20" customHeight="1">
      <c r="A2409" t="s">
        <v>4628</v>
      </c>
      <c r="B2409" t="s">
        <v>2663</v>
      </c>
      <c r="C2409">
        <v>501.7000122070312</v>
      </c>
      <c r="D2409">
        <v>502.8699951171875</v>
      </c>
      <c r="E2409">
        <v>498.75</v>
      </c>
      <c r="F2409">
        <v>499.510009765625</v>
      </c>
      <c r="G2409">
        <v>483.681640625</v>
      </c>
      <c r="H2409">
        <v>75532900</v>
      </c>
      <c r="I2409" t="s">
        <v>2664</v>
      </c>
      <c r="J2409" t="s">
        <v>2665</v>
      </c>
      <c r="K2409" t="s">
        <v>4629</v>
      </c>
    </row>
    <row r="2410" spans="1:11" ht="20" customHeight="1">
      <c r="A2410" t="s">
        <v>4628</v>
      </c>
      <c r="B2410" t="s">
        <v>2666</v>
      </c>
      <c r="C2410">
        <v>497.7200012207031</v>
      </c>
      <c r="D2410">
        <v>498.4100036621094</v>
      </c>
      <c r="E2410">
        <v>494.4500122070312</v>
      </c>
      <c r="F2410">
        <v>496.760009765625</v>
      </c>
      <c r="G2410">
        <v>481.0187377929688</v>
      </c>
      <c r="H2410">
        <v>71736700</v>
      </c>
      <c r="I2410" t="s">
        <v>2667</v>
      </c>
      <c r="J2410" t="s">
        <v>2668</v>
      </c>
      <c r="K2410" t="s">
        <v>4629</v>
      </c>
    </row>
    <row r="2411" spans="1:11" ht="20" customHeight="1">
      <c r="A2411" t="s">
        <v>4628</v>
      </c>
      <c r="B2411" t="s">
        <v>2669</v>
      </c>
      <c r="C2411">
        <v>495.4200134277344</v>
      </c>
      <c r="D2411">
        <v>497.3699951171875</v>
      </c>
      <c r="E2411">
        <v>493.5599975585938</v>
      </c>
      <c r="F2411">
        <v>497.2099914550781</v>
      </c>
      <c r="G2411">
        <v>481.4544982910156</v>
      </c>
      <c r="H2411">
        <v>59293400</v>
      </c>
      <c r="I2411" t="s">
        <v>2670</v>
      </c>
      <c r="J2411" t="s">
        <v>2671</v>
      </c>
      <c r="K2411" t="s">
        <v>4629</v>
      </c>
    </row>
    <row r="2412" spans="1:11" ht="20" customHeight="1">
      <c r="A2412" t="s">
        <v>4628</v>
      </c>
      <c r="B2412" t="s">
        <v>2672</v>
      </c>
      <c r="C2412">
        <v>504.010009765625</v>
      </c>
      <c r="D2412">
        <v>508.489990234375</v>
      </c>
      <c r="E2412">
        <v>503.0199890136719</v>
      </c>
      <c r="F2412">
        <v>507.5</v>
      </c>
      <c r="G2412">
        <v>491.41845703125</v>
      </c>
      <c r="H2412">
        <v>76402500</v>
      </c>
      <c r="I2412" t="s">
        <v>2673</v>
      </c>
      <c r="J2412" t="s">
        <v>2674</v>
      </c>
      <c r="K2412" t="s">
        <v>4629</v>
      </c>
    </row>
    <row r="2413" spans="1:11" ht="20" customHeight="1">
      <c r="A2413" t="s">
        <v>4628</v>
      </c>
      <c r="B2413" t="s">
        <v>2675</v>
      </c>
      <c r="C2413">
        <v>509.2699890136719</v>
      </c>
      <c r="D2413">
        <v>510.1300048828125</v>
      </c>
      <c r="E2413">
        <v>507.1000061035156</v>
      </c>
      <c r="F2413">
        <v>507.8500061035156</v>
      </c>
      <c r="G2413">
        <v>491.75732421875</v>
      </c>
      <c r="H2413">
        <v>61321800</v>
      </c>
      <c r="I2413" t="s">
        <v>2676</v>
      </c>
      <c r="J2413" t="s">
        <v>2677</v>
      </c>
      <c r="K2413" t="s">
        <v>4629</v>
      </c>
    </row>
    <row r="2414" spans="1:11" ht="20" customHeight="1">
      <c r="A2414" t="s">
        <v>4628</v>
      </c>
      <c r="B2414" t="s">
        <v>2678</v>
      </c>
      <c r="C2414">
        <v>508.2999877929688</v>
      </c>
      <c r="D2414">
        <v>508.75</v>
      </c>
      <c r="E2414">
        <v>505.8599853515625</v>
      </c>
      <c r="F2414">
        <v>505.989990234375</v>
      </c>
      <c r="G2414">
        <v>489.9562377929688</v>
      </c>
      <c r="H2414">
        <v>50386700</v>
      </c>
      <c r="I2414" t="s">
        <v>2679</v>
      </c>
      <c r="J2414" t="s">
        <v>2680</v>
      </c>
      <c r="K2414" t="s">
        <v>4629</v>
      </c>
    </row>
    <row r="2415" spans="1:11" ht="20" customHeight="1">
      <c r="A2415" t="s">
        <v>4628</v>
      </c>
      <c r="B2415" t="s">
        <v>2681</v>
      </c>
      <c r="C2415">
        <v>506.7000122070312</v>
      </c>
      <c r="D2415">
        <v>507.1600036621094</v>
      </c>
      <c r="E2415">
        <v>504.75</v>
      </c>
      <c r="F2415">
        <v>506.9299926757812</v>
      </c>
      <c r="G2415">
        <v>490.866455078125</v>
      </c>
      <c r="H2415">
        <v>48854500</v>
      </c>
      <c r="I2415" t="s">
        <v>2682</v>
      </c>
      <c r="J2415" t="s">
        <v>2683</v>
      </c>
      <c r="K2415" t="s">
        <v>4629</v>
      </c>
    </row>
    <row r="2416" spans="1:11" ht="20" customHeight="1">
      <c r="A2416" t="s">
        <v>4628</v>
      </c>
      <c r="B2416" t="s">
        <v>2684</v>
      </c>
      <c r="C2416">
        <v>505.3299865722656</v>
      </c>
      <c r="D2416">
        <v>506.8599853515625</v>
      </c>
      <c r="E2416">
        <v>504.9599914550781</v>
      </c>
      <c r="F2416">
        <v>506.260009765625</v>
      </c>
      <c r="G2416">
        <v>490.2176818847656</v>
      </c>
      <c r="H2416">
        <v>56506600</v>
      </c>
      <c r="I2416" t="s">
        <v>2685</v>
      </c>
      <c r="J2416" t="s">
        <v>2686</v>
      </c>
      <c r="K2416" t="s">
        <v>4629</v>
      </c>
    </row>
    <row r="2417" spans="1:11" ht="20" customHeight="1">
      <c r="A2417" t="s">
        <v>4628</v>
      </c>
      <c r="B2417" t="s">
        <v>2687</v>
      </c>
      <c r="C2417">
        <v>508.0700073242188</v>
      </c>
      <c r="D2417">
        <v>509.739990234375</v>
      </c>
      <c r="E2417">
        <v>505.3500061035156</v>
      </c>
      <c r="F2417">
        <v>508.0799865722656</v>
      </c>
      <c r="G2417">
        <v>491.9800109863281</v>
      </c>
      <c r="H2417">
        <v>83924800</v>
      </c>
      <c r="I2417" t="s">
        <v>2688</v>
      </c>
      <c r="J2417" t="s">
        <v>2689</v>
      </c>
      <c r="K2417" t="s">
        <v>4629</v>
      </c>
    </row>
    <row r="2418" spans="1:11" ht="20" customHeight="1">
      <c r="A2418" t="s">
        <v>4628</v>
      </c>
      <c r="B2418" t="s">
        <v>2690</v>
      </c>
      <c r="C2418">
        <v>508.9800109863281</v>
      </c>
      <c r="D2418">
        <v>513.2899780273438</v>
      </c>
      <c r="E2418">
        <v>508.5599975585938</v>
      </c>
      <c r="F2418">
        <v>512.8499755859375</v>
      </c>
      <c r="G2418">
        <v>496.5989074707031</v>
      </c>
      <c r="H2418">
        <v>76844800</v>
      </c>
      <c r="I2418" t="s">
        <v>2691</v>
      </c>
      <c r="J2418" t="s">
        <v>2692</v>
      </c>
      <c r="K2418" t="s">
        <v>4629</v>
      </c>
    </row>
    <row r="2419" spans="1:11" ht="20" customHeight="1">
      <c r="A2419" t="s">
        <v>4628</v>
      </c>
      <c r="B2419" t="s">
        <v>2693</v>
      </c>
      <c r="C2419">
        <v>512.030029296875</v>
      </c>
      <c r="D2419">
        <v>514.2000122070312</v>
      </c>
      <c r="E2419">
        <v>512</v>
      </c>
      <c r="F2419">
        <v>512.2999877929688</v>
      </c>
      <c r="G2419">
        <v>496.0662536621094</v>
      </c>
      <c r="H2419">
        <v>49799300</v>
      </c>
      <c r="I2419" t="s">
        <v>2694</v>
      </c>
      <c r="J2419" t="s">
        <v>2695</v>
      </c>
      <c r="K2419" t="s">
        <v>4629</v>
      </c>
    </row>
    <row r="2420" spans="1:11" ht="20" customHeight="1">
      <c r="A2420" t="s">
        <v>4628</v>
      </c>
      <c r="B2420" t="s">
        <v>2696</v>
      </c>
      <c r="C2420">
        <v>510.239990234375</v>
      </c>
      <c r="D2420">
        <v>510.7000122070312</v>
      </c>
      <c r="E2420">
        <v>504.9100036621094</v>
      </c>
      <c r="F2420">
        <v>507.1799926757812</v>
      </c>
      <c r="G2420">
        <v>491.1085510253906</v>
      </c>
      <c r="H2420">
        <v>72855600</v>
      </c>
      <c r="I2420" t="s">
        <v>2697</v>
      </c>
      <c r="J2420" t="s">
        <v>2698</v>
      </c>
      <c r="K2420" t="s">
        <v>4629</v>
      </c>
    </row>
    <row r="2421" spans="1:11" ht="20" customHeight="1">
      <c r="A2421" t="s">
        <v>4628</v>
      </c>
      <c r="B2421" t="s">
        <v>2699</v>
      </c>
      <c r="C2421">
        <v>510.5499877929688</v>
      </c>
      <c r="D2421">
        <v>512.0700073242188</v>
      </c>
      <c r="E2421">
        <v>508.4200134277344</v>
      </c>
      <c r="F2421">
        <v>509.75</v>
      </c>
      <c r="G2421">
        <v>493.5971374511719</v>
      </c>
      <c r="H2421">
        <v>68382400</v>
      </c>
      <c r="I2421" t="s">
        <v>2700</v>
      </c>
      <c r="J2421" t="s">
        <v>2701</v>
      </c>
      <c r="K2421" t="s">
        <v>4629</v>
      </c>
    </row>
    <row r="2422" spans="1:11" ht="20" customHeight="1">
      <c r="A2422" t="s">
        <v>4628</v>
      </c>
      <c r="B2422" t="s">
        <v>2702</v>
      </c>
      <c r="C2422">
        <v>513.1400146484375</v>
      </c>
      <c r="D2422">
        <v>515.8900146484375</v>
      </c>
      <c r="E2422">
        <v>509.8099975585938</v>
      </c>
      <c r="F2422">
        <v>514.8099975585938</v>
      </c>
      <c r="G2422">
        <v>498.4967346191406</v>
      </c>
      <c r="H2422">
        <v>58652100</v>
      </c>
      <c r="I2422" t="s">
        <v>2703</v>
      </c>
      <c r="J2422" t="s">
        <v>2704</v>
      </c>
      <c r="K2422" t="s">
        <v>4629</v>
      </c>
    </row>
    <row r="2423" spans="1:11" ht="20" customHeight="1">
      <c r="A2423" t="s">
        <v>4628</v>
      </c>
      <c r="B2423" t="s">
        <v>2705</v>
      </c>
      <c r="C2423">
        <v>515.4600219726562</v>
      </c>
      <c r="D2423">
        <v>518.219970703125</v>
      </c>
      <c r="E2423">
        <v>511.1300048828125</v>
      </c>
      <c r="F2423">
        <v>511.7200012207031</v>
      </c>
      <c r="G2423">
        <v>495.5046997070312</v>
      </c>
      <c r="H2423">
        <v>86532500</v>
      </c>
      <c r="I2423" t="s">
        <v>2706</v>
      </c>
      <c r="J2423" t="s">
        <v>2707</v>
      </c>
      <c r="K2423" t="s">
        <v>4629</v>
      </c>
    </row>
    <row r="2424" spans="1:11" ht="20" customHeight="1">
      <c r="A2424" t="s">
        <v>4628</v>
      </c>
      <c r="B2424" t="s">
        <v>2708</v>
      </c>
      <c r="C2424">
        <v>510.4800109863281</v>
      </c>
      <c r="D2424">
        <v>511.8800048828125</v>
      </c>
      <c r="E2424">
        <v>508.5</v>
      </c>
      <c r="F2424">
        <v>511.2799987792969</v>
      </c>
      <c r="G2424">
        <v>495.0786437988281</v>
      </c>
      <c r="H2424">
        <v>62557200</v>
      </c>
      <c r="I2424" t="s">
        <v>2709</v>
      </c>
      <c r="J2424" t="s">
        <v>2710</v>
      </c>
      <c r="K2424" t="s">
        <v>4629</v>
      </c>
    </row>
    <row r="2425" spans="1:11" ht="20" customHeight="1">
      <c r="A2425" t="s">
        <v>4628</v>
      </c>
      <c r="B2425" t="s">
        <v>2711</v>
      </c>
      <c r="C2425">
        <v>513.4500122070312</v>
      </c>
      <c r="D2425">
        <v>517.3800048828125</v>
      </c>
      <c r="E2425">
        <v>510.8599853515625</v>
      </c>
      <c r="F2425">
        <v>516.780029296875</v>
      </c>
      <c r="G2425">
        <v>500.4043579101562</v>
      </c>
      <c r="H2425">
        <v>73114400</v>
      </c>
      <c r="I2425" t="s">
        <v>2712</v>
      </c>
      <c r="J2425" t="s">
        <v>2713</v>
      </c>
      <c r="K2425" t="s">
        <v>4629</v>
      </c>
    </row>
    <row r="2426" spans="1:11" ht="20" customHeight="1">
      <c r="A2426" t="s">
        <v>4628</v>
      </c>
      <c r="B2426" t="s">
        <v>2714</v>
      </c>
      <c r="C2426">
        <v>517.1099853515625</v>
      </c>
      <c r="D2426">
        <v>517.2899780273438</v>
      </c>
      <c r="E2426">
        <v>514.489990234375</v>
      </c>
      <c r="F2426">
        <v>515.969970703125</v>
      </c>
      <c r="G2426">
        <v>499.6199645996094</v>
      </c>
      <c r="H2426">
        <v>55104100</v>
      </c>
      <c r="I2426" t="s">
        <v>2715</v>
      </c>
      <c r="J2426" t="s">
        <v>2716</v>
      </c>
      <c r="K2426" t="s">
        <v>4629</v>
      </c>
    </row>
    <row r="2427" spans="1:11" ht="20" customHeight="1">
      <c r="A2427" t="s">
        <v>4628</v>
      </c>
      <c r="B2427" t="s">
        <v>2717</v>
      </c>
      <c r="C2427">
        <v>516.969970703125</v>
      </c>
      <c r="D2427">
        <v>517.1300048828125</v>
      </c>
      <c r="E2427">
        <v>511.8200073242188</v>
      </c>
      <c r="F2427">
        <v>514.9500122070312</v>
      </c>
      <c r="G2427">
        <v>498.6323852539062</v>
      </c>
      <c r="H2427">
        <v>110171800</v>
      </c>
      <c r="I2427" t="s">
        <v>2718</v>
      </c>
      <c r="J2427" t="s">
        <v>2719</v>
      </c>
      <c r="K2427" t="s">
        <v>4629</v>
      </c>
    </row>
    <row r="2428" spans="1:11" ht="20" customHeight="1">
      <c r="A2428" t="s">
        <v>4628</v>
      </c>
      <c r="B2428" t="s">
        <v>2720</v>
      </c>
      <c r="C2428">
        <v>510.2099914550781</v>
      </c>
      <c r="D2428">
        <v>511.7000122070312</v>
      </c>
      <c r="E2428">
        <v>508.1199951171875</v>
      </c>
      <c r="F2428">
        <v>509.8299865722656</v>
      </c>
      <c r="G2428">
        <v>495.2084045410156</v>
      </c>
      <c r="H2428">
        <v>107646300</v>
      </c>
      <c r="I2428" t="s">
        <v>2721</v>
      </c>
      <c r="J2428" t="s">
        <v>2722</v>
      </c>
      <c r="K2428" t="s">
        <v>4629</v>
      </c>
    </row>
    <row r="2429" spans="1:11" ht="20" customHeight="1">
      <c r="A2429" t="s">
        <v>4628</v>
      </c>
      <c r="B2429" t="s">
        <v>2723</v>
      </c>
      <c r="C2429">
        <v>514</v>
      </c>
      <c r="D2429">
        <v>515.47998046875</v>
      </c>
      <c r="E2429">
        <v>512.4400024414062</v>
      </c>
      <c r="F2429">
        <v>512.8599853515625</v>
      </c>
      <c r="G2429">
        <v>498.1514892578125</v>
      </c>
      <c r="H2429">
        <v>88893300</v>
      </c>
      <c r="I2429" t="s">
        <v>2724</v>
      </c>
      <c r="J2429" t="s">
        <v>2725</v>
      </c>
      <c r="K2429" t="s">
        <v>4629</v>
      </c>
    </row>
    <row r="2430" spans="1:11" ht="20" customHeight="1">
      <c r="A2430" t="s">
        <v>4628</v>
      </c>
      <c r="B2430" t="s">
        <v>2726</v>
      </c>
      <c r="C2430">
        <v>512.1500244140625</v>
      </c>
      <c r="D2430">
        <v>516</v>
      </c>
      <c r="E2430">
        <v>511.1199951171875</v>
      </c>
      <c r="F2430">
        <v>515.7100219726562</v>
      </c>
      <c r="G2430">
        <v>500.9197998046875</v>
      </c>
      <c r="H2430">
        <v>60755300</v>
      </c>
      <c r="I2430" t="s">
        <v>2727</v>
      </c>
      <c r="J2430" t="s">
        <v>2728</v>
      </c>
      <c r="K2430" t="s">
        <v>4629</v>
      </c>
    </row>
    <row r="2431" spans="1:11" ht="20" customHeight="1">
      <c r="A2431" t="s">
        <v>4628</v>
      </c>
      <c r="B2431" t="s">
        <v>2729</v>
      </c>
      <c r="C2431">
        <v>515.77001953125</v>
      </c>
      <c r="D2431">
        <v>520.6199951171875</v>
      </c>
      <c r="E2431">
        <v>515.0800170898438</v>
      </c>
      <c r="F2431">
        <v>520.47998046875</v>
      </c>
      <c r="G2431">
        <v>505.5530700683594</v>
      </c>
      <c r="H2431">
        <v>69594600</v>
      </c>
      <c r="I2431" t="s">
        <v>2730</v>
      </c>
      <c r="J2431" t="s">
        <v>2731</v>
      </c>
      <c r="K2431" t="s">
        <v>4629</v>
      </c>
    </row>
    <row r="2432" spans="1:11" ht="20" customHeight="1">
      <c r="A2432" t="s">
        <v>4628</v>
      </c>
      <c r="B2432" t="s">
        <v>2732</v>
      </c>
      <c r="C2432">
        <v>523.3900146484375</v>
      </c>
      <c r="D2432">
        <v>524.1099853515625</v>
      </c>
      <c r="E2432">
        <v>521.9099731445312</v>
      </c>
      <c r="F2432">
        <v>522.2000122070312</v>
      </c>
      <c r="G2432">
        <v>507.2236328125</v>
      </c>
      <c r="H2432">
        <v>60256100</v>
      </c>
      <c r="I2432" t="s">
        <v>2733</v>
      </c>
      <c r="J2432" t="s">
        <v>2734</v>
      </c>
      <c r="K2432" t="s">
        <v>4629</v>
      </c>
    </row>
    <row r="2433" spans="1:11" ht="20" customHeight="1">
      <c r="A2433" t="s">
        <v>4628</v>
      </c>
      <c r="B2433" t="s">
        <v>2735</v>
      </c>
      <c r="C2433">
        <v>522.1099853515625</v>
      </c>
      <c r="D2433">
        <v>522.6099853515625</v>
      </c>
      <c r="E2433">
        <v>520.969970703125</v>
      </c>
      <c r="F2433">
        <v>521.2100219726562</v>
      </c>
      <c r="G2433">
        <v>506.2620849609375</v>
      </c>
      <c r="H2433">
        <v>79070800</v>
      </c>
      <c r="I2433" t="s">
        <v>2736</v>
      </c>
      <c r="J2433" t="s">
        <v>2737</v>
      </c>
      <c r="K2433" t="s">
        <v>4629</v>
      </c>
    </row>
    <row r="2434" spans="1:11" ht="20" customHeight="1">
      <c r="A2434" t="s">
        <v>4628</v>
      </c>
      <c r="B2434" t="s">
        <v>2738</v>
      </c>
      <c r="C2434">
        <v>519.7999877929688</v>
      </c>
      <c r="D2434">
        <v>520.9500122070312</v>
      </c>
      <c r="E2434">
        <v>519.6099853515625</v>
      </c>
      <c r="F2434">
        <v>519.77001953125</v>
      </c>
      <c r="G2434">
        <v>504.8633117675781</v>
      </c>
      <c r="H2434">
        <v>48512100</v>
      </c>
      <c r="I2434" t="s">
        <v>2739</v>
      </c>
      <c r="J2434" t="s">
        <v>2740</v>
      </c>
      <c r="K2434" t="s">
        <v>4629</v>
      </c>
    </row>
    <row r="2435" spans="1:11" ht="20" customHeight="1">
      <c r="A2435" t="s">
        <v>4628</v>
      </c>
      <c r="B2435" t="s">
        <v>2741</v>
      </c>
      <c r="C2435">
        <v>521.22998046875</v>
      </c>
      <c r="D2435">
        <v>521.5800170898438</v>
      </c>
      <c r="E2435">
        <v>518.4000244140625</v>
      </c>
      <c r="F2435">
        <v>518.8099975585938</v>
      </c>
      <c r="G2435">
        <v>503.930908203125</v>
      </c>
      <c r="H2435">
        <v>65463700</v>
      </c>
      <c r="I2435" t="s">
        <v>2742</v>
      </c>
      <c r="J2435" t="s">
        <v>2743</v>
      </c>
      <c r="K2435" t="s">
        <v>4629</v>
      </c>
    </row>
    <row r="2436" spans="1:11" ht="20" customHeight="1">
      <c r="A2436" t="s">
        <v>4628</v>
      </c>
      <c r="B2436" t="s">
        <v>2744</v>
      </c>
      <c r="C2436">
        <v>521.7100219726562</v>
      </c>
      <c r="D2436">
        <v>523.2100219726562</v>
      </c>
      <c r="E2436">
        <v>519.489990234375</v>
      </c>
      <c r="F2436">
        <v>523.1699829101562</v>
      </c>
      <c r="G2436">
        <v>508.165771484375</v>
      </c>
      <c r="H2436">
        <v>82999800</v>
      </c>
      <c r="I2436" t="s">
        <v>2745</v>
      </c>
      <c r="J2436" t="s">
        <v>2746</v>
      </c>
      <c r="K2436" t="s">
        <v>4629</v>
      </c>
    </row>
    <row r="2437" spans="1:11" ht="20" customHeight="1">
      <c r="A2437" t="s">
        <v>4628</v>
      </c>
      <c r="B2437" t="s">
        <v>2747</v>
      </c>
      <c r="C2437">
        <v>523.2100219726562</v>
      </c>
      <c r="D2437">
        <v>524.6099853515625</v>
      </c>
      <c r="E2437">
        <v>522.780029296875</v>
      </c>
      <c r="F2437">
        <v>523.0700073242188</v>
      </c>
      <c r="G2437">
        <v>508.0686950683594</v>
      </c>
      <c r="H2437">
        <v>96294900</v>
      </c>
      <c r="I2437" t="s">
        <v>2748</v>
      </c>
      <c r="J2437" t="s">
        <v>2749</v>
      </c>
      <c r="K2437" t="s">
        <v>4629</v>
      </c>
    </row>
    <row r="2438" spans="1:11" ht="20" customHeight="1">
      <c r="A2438" t="s">
        <v>4628</v>
      </c>
      <c r="B2438" t="s">
        <v>2750</v>
      </c>
      <c r="C2438">
        <v>523.8300170898438</v>
      </c>
      <c r="D2438">
        <v>524.3800048828125</v>
      </c>
      <c r="E2438">
        <v>520.969970703125</v>
      </c>
      <c r="F2438">
        <v>522.1599731445312</v>
      </c>
      <c r="G2438">
        <v>507.1847229003906</v>
      </c>
      <c r="H2438">
        <v>62477500</v>
      </c>
      <c r="I2438" t="s">
        <v>2751</v>
      </c>
      <c r="J2438" t="s">
        <v>2752</v>
      </c>
      <c r="K2438" t="s">
        <v>4629</v>
      </c>
    </row>
    <row r="2439" spans="1:11" ht="20" customHeight="1">
      <c r="A2439" t="s">
        <v>4628</v>
      </c>
      <c r="B2439" t="s">
        <v>2753</v>
      </c>
      <c r="C2439">
        <v>518.239990234375</v>
      </c>
      <c r="D2439">
        <v>518.97998046875</v>
      </c>
      <c r="E2439">
        <v>516.47998046875</v>
      </c>
      <c r="F2439">
        <v>518.8400268554688</v>
      </c>
      <c r="G2439">
        <v>503.9600830078125</v>
      </c>
      <c r="H2439">
        <v>74230300</v>
      </c>
      <c r="I2439" t="s">
        <v>2754</v>
      </c>
      <c r="J2439" t="s">
        <v>2755</v>
      </c>
      <c r="K2439" t="s">
        <v>4629</v>
      </c>
    </row>
    <row r="2440" spans="1:11" ht="20" customHeight="1">
      <c r="A2440" t="s">
        <v>4628</v>
      </c>
      <c r="B2440" t="s">
        <v>2756</v>
      </c>
      <c r="C2440">
        <v>517.719970703125</v>
      </c>
      <c r="D2440">
        <v>520.9500122070312</v>
      </c>
      <c r="E2440">
        <v>517.6699829101562</v>
      </c>
      <c r="F2440">
        <v>519.4099731445312</v>
      </c>
      <c r="G2440">
        <v>504.5136413574219</v>
      </c>
      <c r="H2440">
        <v>59155800</v>
      </c>
      <c r="I2440" t="s">
        <v>2757</v>
      </c>
      <c r="J2440" t="s">
        <v>2758</v>
      </c>
      <c r="K2440" t="s">
        <v>4629</v>
      </c>
    </row>
    <row r="2441" spans="1:11" ht="20" customHeight="1">
      <c r="A2441" t="s">
        <v>4628</v>
      </c>
      <c r="B2441" t="s">
        <v>2759</v>
      </c>
      <c r="C2441">
        <v>523.52001953125</v>
      </c>
      <c r="D2441">
        <v>523.8699951171875</v>
      </c>
      <c r="E2441">
        <v>512.760009765625</v>
      </c>
      <c r="F2441">
        <v>513.0700073242188</v>
      </c>
      <c r="G2441">
        <v>498.35546875</v>
      </c>
      <c r="H2441">
        <v>96858100</v>
      </c>
      <c r="I2441" t="s">
        <v>2760</v>
      </c>
      <c r="J2441" t="s">
        <v>2761</v>
      </c>
      <c r="K2441" t="s">
        <v>4629</v>
      </c>
    </row>
    <row r="2442" spans="1:11" ht="20" customHeight="1">
      <c r="A2442" t="s">
        <v>4628</v>
      </c>
      <c r="B2442" t="s">
        <v>2762</v>
      </c>
      <c r="C2442">
        <v>514.4600219726562</v>
      </c>
      <c r="D2442">
        <v>520.4400024414062</v>
      </c>
      <c r="E2442">
        <v>514.010009765625</v>
      </c>
      <c r="F2442">
        <v>518.4299926757812</v>
      </c>
      <c r="G2442">
        <v>503.5617370605469</v>
      </c>
      <c r="H2442">
        <v>74546500</v>
      </c>
      <c r="I2442" t="s">
        <v>2763</v>
      </c>
      <c r="J2442" t="s">
        <v>2764</v>
      </c>
      <c r="K2442" t="s">
        <v>4629</v>
      </c>
    </row>
    <row r="2443" spans="1:11" ht="20" customHeight="1">
      <c r="A2443" t="s">
        <v>4628</v>
      </c>
      <c r="B2443" t="s">
        <v>2765</v>
      </c>
      <c r="C2443">
        <v>519.1500244140625</v>
      </c>
      <c r="D2443">
        <v>520.1799926757812</v>
      </c>
      <c r="E2443">
        <v>517.8900146484375</v>
      </c>
      <c r="F2443">
        <v>518.719970703125</v>
      </c>
      <c r="G2443">
        <v>503.8434753417969</v>
      </c>
      <c r="H2443">
        <v>48401800</v>
      </c>
      <c r="I2443" t="s">
        <v>2766</v>
      </c>
      <c r="J2443" t="s">
        <v>2767</v>
      </c>
      <c r="K2443" t="s">
        <v>4629</v>
      </c>
    </row>
    <row r="2444" spans="1:11" ht="20" customHeight="1">
      <c r="A2444" t="s">
        <v>4628</v>
      </c>
      <c r="B2444" t="s">
        <v>2768</v>
      </c>
      <c r="C2444">
        <v>520.5</v>
      </c>
      <c r="D2444">
        <v>520.75</v>
      </c>
      <c r="E2444">
        <v>514.3499755859375</v>
      </c>
      <c r="F2444">
        <v>519.3200073242188</v>
      </c>
      <c r="G2444">
        <v>504.4263000488281</v>
      </c>
      <c r="H2444">
        <v>68049200</v>
      </c>
      <c r="I2444" t="s">
        <v>2769</v>
      </c>
      <c r="J2444" t="s">
        <v>2770</v>
      </c>
      <c r="K2444" t="s">
        <v>4629</v>
      </c>
    </row>
    <row r="2445" spans="1:11" ht="20" customHeight="1">
      <c r="A2445" t="s">
        <v>4628</v>
      </c>
      <c r="B2445" t="s">
        <v>2771</v>
      </c>
      <c r="C2445">
        <v>513.47998046875</v>
      </c>
      <c r="D2445">
        <v>516.1599731445312</v>
      </c>
      <c r="E2445">
        <v>512.0900268554688</v>
      </c>
      <c r="F2445">
        <v>514.1199951171875</v>
      </c>
      <c r="G2445">
        <v>499.3754272460938</v>
      </c>
      <c r="H2445">
        <v>82652800</v>
      </c>
      <c r="I2445" t="s">
        <v>2772</v>
      </c>
      <c r="J2445" t="s">
        <v>2773</v>
      </c>
      <c r="K2445" t="s">
        <v>4629</v>
      </c>
    </row>
    <row r="2446" spans="1:11" ht="20" customHeight="1">
      <c r="A2446" t="s">
        <v>4628</v>
      </c>
      <c r="B2446" t="s">
        <v>2774</v>
      </c>
      <c r="C2446">
        <v>515.6799926757812</v>
      </c>
      <c r="D2446">
        <v>519.47998046875</v>
      </c>
      <c r="E2446">
        <v>512.0800170898438</v>
      </c>
      <c r="F2446">
        <v>518</v>
      </c>
      <c r="G2446">
        <v>503.1441650390625</v>
      </c>
      <c r="H2446">
        <v>70099000</v>
      </c>
      <c r="I2446" t="s">
        <v>2775</v>
      </c>
      <c r="J2446" t="s">
        <v>2776</v>
      </c>
      <c r="K2446" t="s">
        <v>4629</v>
      </c>
    </row>
    <row r="2447" spans="1:11" ht="20" customHeight="1">
      <c r="A2447" t="s">
        <v>4628</v>
      </c>
      <c r="B2447" t="s">
        <v>2777</v>
      </c>
      <c r="C2447">
        <v>514.3699951171875</v>
      </c>
      <c r="D2447">
        <v>515.8200073242188</v>
      </c>
      <c r="E2447">
        <v>509.0799865722656</v>
      </c>
      <c r="F2447">
        <v>510.8500061035156</v>
      </c>
      <c r="G2447">
        <v>496.1991577148438</v>
      </c>
      <c r="H2447">
        <v>92561100</v>
      </c>
      <c r="I2447" t="s">
        <v>2778</v>
      </c>
      <c r="J2447" t="s">
        <v>2779</v>
      </c>
      <c r="K2447" t="s">
        <v>4629</v>
      </c>
    </row>
    <row r="2448" spans="1:11" ht="20" customHeight="1">
      <c r="A2448" t="s">
        <v>4628</v>
      </c>
      <c r="B2448" t="s">
        <v>2780</v>
      </c>
      <c r="C2448">
        <v>515.1300048828125</v>
      </c>
      <c r="D2448">
        <v>515.2999877929688</v>
      </c>
      <c r="E2448">
        <v>503.5799865722656</v>
      </c>
      <c r="F2448">
        <v>504.4500122070312</v>
      </c>
      <c r="G2448">
        <v>489.9827575683594</v>
      </c>
      <c r="H2448">
        <v>92101400</v>
      </c>
      <c r="I2448" t="s">
        <v>2781</v>
      </c>
      <c r="J2448" t="s">
        <v>2782</v>
      </c>
      <c r="K2448" t="s">
        <v>4629</v>
      </c>
    </row>
    <row r="2449" spans="1:11" ht="20" customHeight="1">
      <c r="A2449" t="s">
        <v>4628</v>
      </c>
      <c r="B2449" t="s">
        <v>2783</v>
      </c>
      <c r="C2449">
        <v>504.9400024414062</v>
      </c>
      <c r="D2449">
        <v>506.5</v>
      </c>
      <c r="E2449">
        <v>502.2099914550781</v>
      </c>
      <c r="F2449">
        <v>503.5299987792969</v>
      </c>
      <c r="G2449">
        <v>489.0890808105469</v>
      </c>
      <c r="H2449">
        <v>73484000</v>
      </c>
      <c r="I2449" t="s">
        <v>2784</v>
      </c>
      <c r="J2449" t="s">
        <v>2785</v>
      </c>
      <c r="K2449" t="s">
        <v>4629</v>
      </c>
    </row>
    <row r="2450" spans="1:11" ht="20" customHeight="1">
      <c r="A2450" t="s">
        <v>4628</v>
      </c>
      <c r="B2450" t="s">
        <v>2786</v>
      </c>
      <c r="C2450">
        <v>506.0499877929688</v>
      </c>
      <c r="D2450">
        <v>506.2200012207031</v>
      </c>
      <c r="E2450">
        <v>499.1199951171875</v>
      </c>
      <c r="F2450">
        <v>500.5499877929688</v>
      </c>
      <c r="G2450">
        <v>486.194580078125</v>
      </c>
      <c r="H2450">
        <v>75910300</v>
      </c>
      <c r="I2450" t="s">
        <v>2787</v>
      </c>
      <c r="J2450" t="s">
        <v>2788</v>
      </c>
      <c r="K2450" t="s">
        <v>4629</v>
      </c>
    </row>
    <row r="2451" spans="1:11" ht="20" customHeight="1">
      <c r="A2451" t="s">
        <v>4628</v>
      </c>
      <c r="B2451" t="s">
        <v>2789</v>
      </c>
      <c r="C2451">
        <v>501.9800109863281</v>
      </c>
      <c r="D2451">
        <v>504.1300048828125</v>
      </c>
      <c r="E2451">
        <v>498.5599975585938</v>
      </c>
      <c r="F2451">
        <v>499.5199890136719</v>
      </c>
      <c r="G2451">
        <v>485.194091796875</v>
      </c>
      <c r="H2451">
        <v>74548100</v>
      </c>
      <c r="I2451" t="s">
        <v>2790</v>
      </c>
      <c r="J2451" t="s">
        <v>2791</v>
      </c>
      <c r="K2451" t="s">
        <v>4629</v>
      </c>
    </row>
    <row r="2452" spans="1:11" ht="20" customHeight="1">
      <c r="A2452" t="s">
        <v>4628</v>
      </c>
      <c r="B2452" t="s">
        <v>2792</v>
      </c>
      <c r="C2452">
        <v>499.4400024414062</v>
      </c>
      <c r="D2452">
        <v>500.4599914550781</v>
      </c>
      <c r="E2452">
        <v>493.8599853515625</v>
      </c>
      <c r="F2452">
        <v>495.1600036621094</v>
      </c>
      <c r="G2452">
        <v>480.9591674804688</v>
      </c>
      <c r="H2452">
        <v>102212600</v>
      </c>
      <c r="I2452" t="s">
        <v>2793</v>
      </c>
      <c r="J2452" t="s">
        <v>2794</v>
      </c>
      <c r="K2452" t="s">
        <v>4629</v>
      </c>
    </row>
    <row r="2453" spans="1:11" ht="20" customHeight="1">
      <c r="A2453" t="s">
        <v>4628</v>
      </c>
      <c r="B2453" t="s">
        <v>2795</v>
      </c>
      <c r="C2453">
        <v>497.8299865722656</v>
      </c>
      <c r="D2453">
        <v>502.3800048828125</v>
      </c>
      <c r="E2453">
        <v>495.4299926757812</v>
      </c>
      <c r="F2453">
        <v>499.7200012207031</v>
      </c>
      <c r="G2453">
        <v>485.3883972167969</v>
      </c>
      <c r="H2453">
        <v>67961000</v>
      </c>
      <c r="I2453" t="s">
        <v>2796</v>
      </c>
      <c r="J2453" t="s">
        <v>2797</v>
      </c>
      <c r="K2453" t="s">
        <v>4629</v>
      </c>
    </row>
    <row r="2454" spans="1:11" ht="20" customHeight="1">
      <c r="A2454" t="s">
        <v>4628</v>
      </c>
      <c r="B2454" t="s">
        <v>2798</v>
      </c>
      <c r="C2454">
        <v>501.7799987792969</v>
      </c>
      <c r="D2454">
        <v>506.0899963378906</v>
      </c>
      <c r="E2454">
        <v>499.5299987792969</v>
      </c>
      <c r="F2454">
        <v>505.6499938964844</v>
      </c>
      <c r="G2454">
        <v>491.1483459472656</v>
      </c>
      <c r="H2454">
        <v>64633600</v>
      </c>
      <c r="I2454" t="s">
        <v>2799</v>
      </c>
      <c r="J2454" t="s">
        <v>2800</v>
      </c>
      <c r="K2454" t="s">
        <v>4629</v>
      </c>
    </row>
    <row r="2455" spans="1:11" ht="20" customHeight="1">
      <c r="A2455" t="s">
        <v>4628</v>
      </c>
      <c r="B2455" t="s">
        <v>2801</v>
      </c>
      <c r="C2455">
        <v>506.5599975585938</v>
      </c>
      <c r="D2455">
        <v>507.3699951171875</v>
      </c>
      <c r="E2455">
        <v>503.1300048828125</v>
      </c>
      <c r="F2455">
        <v>505.4100036621094</v>
      </c>
      <c r="G2455">
        <v>490.9151916503906</v>
      </c>
      <c r="H2455">
        <v>55928100</v>
      </c>
      <c r="I2455" t="s">
        <v>2802</v>
      </c>
      <c r="J2455" t="s">
        <v>2803</v>
      </c>
      <c r="K2455" t="s">
        <v>4629</v>
      </c>
    </row>
    <row r="2456" spans="1:11" ht="20" customHeight="1">
      <c r="A2456" t="s">
        <v>4628</v>
      </c>
      <c r="B2456" t="s">
        <v>2804</v>
      </c>
      <c r="C2456">
        <v>499.1799926757812</v>
      </c>
      <c r="D2456">
        <v>504.2699890136719</v>
      </c>
      <c r="E2456">
        <v>497.489990234375</v>
      </c>
      <c r="F2456">
        <v>503.489990234375</v>
      </c>
      <c r="G2456">
        <v>489.0502014160156</v>
      </c>
      <c r="H2456">
        <v>69122400</v>
      </c>
      <c r="I2456" t="s">
        <v>2805</v>
      </c>
      <c r="J2456" t="s">
        <v>2806</v>
      </c>
      <c r="K2456" t="s">
        <v>4629</v>
      </c>
    </row>
    <row r="2457" spans="1:11" ht="20" customHeight="1">
      <c r="A2457" t="s">
        <v>4628</v>
      </c>
      <c r="B2457" t="s">
        <v>2807</v>
      </c>
      <c r="C2457">
        <v>506.3500061035156</v>
      </c>
      <c r="D2457">
        <v>509.8800048828125</v>
      </c>
      <c r="E2457">
        <v>505.7000122070312</v>
      </c>
      <c r="F2457">
        <v>508.260009765625</v>
      </c>
      <c r="G2457">
        <v>493.6834716796875</v>
      </c>
      <c r="H2457">
        <v>64306100</v>
      </c>
      <c r="I2457" t="s">
        <v>2808</v>
      </c>
      <c r="J2457" t="s">
        <v>2809</v>
      </c>
      <c r="K2457" t="s">
        <v>4629</v>
      </c>
    </row>
    <row r="2458" spans="1:11" ht="20" customHeight="1">
      <c r="A2458" t="s">
        <v>4628</v>
      </c>
      <c r="B2458" t="s">
        <v>2810</v>
      </c>
      <c r="C2458">
        <v>510.0899963378906</v>
      </c>
      <c r="D2458">
        <v>510.75</v>
      </c>
      <c r="E2458">
        <v>507.25</v>
      </c>
      <c r="F2458">
        <v>510.0599975585938</v>
      </c>
      <c r="G2458">
        <v>495.4317932128906</v>
      </c>
      <c r="H2458">
        <v>46415400</v>
      </c>
      <c r="I2458" t="s">
        <v>2811</v>
      </c>
      <c r="J2458" t="s">
        <v>2812</v>
      </c>
      <c r="K2458" t="s">
        <v>4629</v>
      </c>
    </row>
    <row r="2459" spans="1:11" ht="20" customHeight="1">
      <c r="A2459" t="s">
        <v>4628</v>
      </c>
      <c r="B2459" t="s">
        <v>2813</v>
      </c>
      <c r="C2459">
        <v>508.5599975585938</v>
      </c>
      <c r="D2459">
        <v>509.5599975585938</v>
      </c>
      <c r="E2459">
        <v>501.9800109863281</v>
      </c>
      <c r="F2459">
        <v>501.9800109863281</v>
      </c>
      <c r="G2459">
        <v>487.5835571289062</v>
      </c>
      <c r="H2459">
        <v>77483600</v>
      </c>
      <c r="I2459" t="s">
        <v>2814</v>
      </c>
      <c r="J2459" t="s">
        <v>2815</v>
      </c>
      <c r="K2459" t="s">
        <v>4629</v>
      </c>
    </row>
    <row r="2460" spans="1:11" ht="20" customHeight="1">
      <c r="A2460" t="s">
        <v>4628</v>
      </c>
      <c r="B2460" t="s">
        <v>2816</v>
      </c>
      <c r="C2460">
        <v>501.3800048828125</v>
      </c>
      <c r="D2460">
        <v>508.1900024414062</v>
      </c>
      <c r="E2460">
        <v>499.8699951171875</v>
      </c>
      <c r="F2460">
        <v>500.3500061035156</v>
      </c>
      <c r="G2460">
        <v>486.0003356933594</v>
      </c>
      <c r="H2460">
        <v>80242800</v>
      </c>
      <c r="I2460" t="s">
        <v>2817</v>
      </c>
      <c r="J2460" t="s">
        <v>2818</v>
      </c>
      <c r="K2460" t="s">
        <v>4629</v>
      </c>
    </row>
    <row r="2461" spans="1:11" ht="20" customHeight="1">
      <c r="A2461" t="s">
        <v>4628</v>
      </c>
      <c r="B2461" t="s">
        <v>2819</v>
      </c>
      <c r="C2461">
        <v>504.1499938964844</v>
      </c>
      <c r="D2461">
        <v>505.8900146484375</v>
      </c>
      <c r="E2461">
        <v>499.5499877929688</v>
      </c>
      <c r="F2461">
        <v>505.0299987792969</v>
      </c>
      <c r="G2461">
        <v>490.5461120605469</v>
      </c>
      <c r="H2461">
        <v>62550200</v>
      </c>
      <c r="I2461" t="s">
        <v>2820</v>
      </c>
      <c r="J2461" t="s">
        <v>2821</v>
      </c>
      <c r="K2461" t="s">
        <v>4629</v>
      </c>
    </row>
    <row r="2462" spans="1:11" ht="20" customHeight="1">
      <c r="A2462" t="s">
        <v>4628</v>
      </c>
      <c r="B2462" t="s">
        <v>2822</v>
      </c>
      <c r="C2462">
        <v>511.1600036621094</v>
      </c>
      <c r="D2462">
        <v>512.5499877929688</v>
      </c>
      <c r="E2462">
        <v>508.5599975585938</v>
      </c>
      <c r="F2462">
        <v>511.2900085449219</v>
      </c>
      <c r="G2462">
        <v>496.6265869140625</v>
      </c>
      <c r="H2462">
        <v>72756700</v>
      </c>
      <c r="I2462" t="s">
        <v>2823</v>
      </c>
      <c r="J2462" t="s">
        <v>2824</v>
      </c>
      <c r="K2462" t="s">
        <v>4629</v>
      </c>
    </row>
    <row r="2463" spans="1:11" ht="20" customHeight="1">
      <c r="A2463" t="s">
        <v>4628</v>
      </c>
      <c r="B2463" t="s">
        <v>2825</v>
      </c>
      <c r="C2463">
        <v>513.75</v>
      </c>
      <c r="D2463">
        <v>516.6099853515625</v>
      </c>
      <c r="E2463">
        <v>513.2999877929688</v>
      </c>
      <c r="F2463">
        <v>516.5700073242188</v>
      </c>
      <c r="G2463">
        <v>501.7550964355469</v>
      </c>
      <c r="H2463">
        <v>47264700</v>
      </c>
      <c r="I2463" t="s">
        <v>2826</v>
      </c>
      <c r="J2463" t="s">
        <v>2827</v>
      </c>
      <c r="K2463" t="s">
        <v>4629</v>
      </c>
    </row>
    <row r="2464" spans="1:11" ht="20" customHeight="1">
      <c r="A2464" t="s">
        <v>4628</v>
      </c>
      <c r="B2464" t="s">
        <v>2828</v>
      </c>
      <c r="C2464">
        <v>517.5599975585938</v>
      </c>
      <c r="D2464">
        <v>518.5700073242188</v>
      </c>
      <c r="E2464">
        <v>516.4500122070312</v>
      </c>
      <c r="F2464">
        <v>517.1400146484375</v>
      </c>
      <c r="G2464">
        <v>502.3088073730469</v>
      </c>
      <c r="H2464">
        <v>52561300</v>
      </c>
      <c r="I2464" t="s">
        <v>2829</v>
      </c>
      <c r="J2464" t="s">
        <v>2830</v>
      </c>
      <c r="K2464" t="s">
        <v>4629</v>
      </c>
    </row>
    <row r="2465" spans="1:11" ht="20" customHeight="1">
      <c r="A2465" t="s">
        <v>4628</v>
      </c>
      <c r="B2465" t="s">
        <v>2831</v>
      </c>
      <c r="C2465">
        <v>515.260009765625</v>
      </c>
      <c r="D2465">
        <v>517.739990234375</v>
      </c>
      <c r="E2465">
        <v>515.1400146484375</v>
      </c>
      <c r="F2465">
        <v>517.1900024414062</v>
      </c>
      <c r="G2465">
        <v>502.3572998046875</v>
      </c>
      <c r="H2465">
        <v>42047200</v>
      </c>
      <c r="I2465" t="s">
        <v>2832</v>
      </c>
      <c r="J2465" t="s">
        <v>2833</v>
      </c>
      <c r="K2465" t="s">
        <v>4629</v>
      </c>
    </row>
    <row r="2466" spans="1:11" ht="20" customHeight="1">
      <c r="A2466" t="s">
        <v>4628</v>
      </c>
      <c r="B2466" t="s">
        <v>2834</v>
      </c>
      <c r="C2466">
        <v>517.3800048828125</v>
      </c>
      <c r="D2466">
        <v>520.2100219726562</v>
      </c>
      <c r="E2466">
        <v>516.7100219726562</v>
      </c>
      <c r="F2466">
        <v>520.1699829101562</v>
      </c>
      <c r="G2466">
        <v>505.2517700195312</v>
      </c>
      <c r="H2466">
        <v>43643700</v>
      </c>
      <c r="I2466" t="s">
        <v>2835</v>
      </c>
      <c r="J2466" t="s">
        <v>2836</v>
      </c>
      <c r="K2466" t="s">
        <v>4629</v>
      </c>
    </row>
    <row r="2467" spans="1:11" ht="20" customHeight="1">
      <c r="A2467" t="s">
        <v>4628</v>
      </c>
      <c r="B2467" t="s">
        <v>2837</v>
      </c>
      <c r="C2467">
        <v>521.8099975585938</v>
      </c>
      <c r="D2467">
        <v>522.6400146484375</v>
      </c>
      <c r="E2467">
        <v>519.5900268554688</v>
      </c>
      <c r="F2467">
        <v>520.8400268554688</v>
      </c>
      <c r="G2467">
        <v>505.9027099609375</v>
      </c>
      <c r="H2467">
        <v>52233200</v>
      </c>
      <c r="I2467" t="s">
        <v>2838</v>
      </c>
      <c r="J2467" t="s">
        <v>2839</v>
      </c>
      <c r="K2467" t="s">
        <v>4629</v>
      </c>
    </row>
    <row r="2468" spans="1:11" ht="20" customHeight="1">
      <c r="A2468" t="s">
        <v>4628</v>
      </c>
      <c r="B2468" t="s">
        <v>2840</v>
      </c>
      <c r="C2468">
        <v>522.5599975585938</v>
      </c>
      <c r="D2468">
        <v>522.6699829101562</v>
      </c>
      <c r="E2468">
        <v>519.739990234375</v>
      </c>
      <c r="F2468">
        <v>520.9099731445312</v>
      </c>
      <c r="G2468">
        <v>505.9706420898438</v>
      </c>
      <c r="H2468">
        <v>36716400</v>
      </c>
      <c r="I2468" t="s">
        <v>2841</v>
      </c>
      <c r="J2468" t="s">
        <v>2842</v>
      </c>
      <c r="K2468" t="s">
        <v>4629</v>
      </c>
    </row>
    <row r="2469" spans="1:11" ht="20" customHeight="1">
      <c r="A2469" t="s">
        <v>4628</v>
      </c>
      <c r="B2469" t="s">
        <v>2843</v>
      </c>
      <c r="C2469">
        <v>521.1099853515625</v>
      </c>
      <c r="D2469">
        <v>523.8300170898438</v>
      </c>
      <c r="E2469">
        <v>520.5599975585938</v>
      </c>
      <c r="F2469">
        <v>523.2999877929688</v>
      </c>
      <c r="G2469">
        <v>508.2920532226562</v>
      </c>
      <c r="H2469">
        <v>57535900</v>
      </c>
      <c r="I2469" t="s">
        <v>2844</v>
      </c>
      <c r="J2469" t="s">
        <v>2845</v>
      </c>
      <c r="K2469" t="s">
        <v>4629</v>
      </c>
    </row>
    <row r="2470" spans="1:11" ht="20" customHeight="1">
      <c r="A2470" t="s">
        <v>4628</v>
      </c>
      <c r="B2470" t="s">
        <v>2846</v>
      </c>
      <c r="C2470">
        <v>525.8300170898438</v>
      </c>
      <c r="D2470">
        <v>530.0800170898438</v>
      </c>
      <c r="E2470">
        <v>525.1799926757812</v>
      </c>
      <c r="F2470">
        <v>529.780029296875</v>
      </c>
      <c r="G2470">
        <v>514.5863037109375</v>
      </c>
      <c r="H2470">
        <v>59504900</v>
      </c>
      <c r="I2470" t="s">
        <v>2847</v>
      </c>
      <c r="J2470" t="s">
        <v>2848</v>
      </c>
      <c r="K2470" t="s">
        <v>4629</v>
      </c>
    </row>
    <row r="2471" spans="1:11" ht="20" customHeight="1">
      <c r="A2471" t="s">
        <v>4628</v>
      </c>
      <c r="B2471" t="s">
        <v>2849</v>
      </c>
      <c r="C2471">
        <v>529.8800048828125</v>
      </c>
      <c r="D2471">
        <v>531.52001953125</v>
      </c>
      <c r="E2471">
        <v>528.5399780273438</v>
      </c>
      <c r="F2471">
        <v>528.6900024414062</v>
      </c>
      <c r="G2471">
        <v>513.5275268554688</v>
      </c>
      <c r="H2471">
        <v>50244800</v>
      </c>
      <c r="I2471" t="s">
        <v>2850</v>
      </c>
      <c r="J2471" t="s">
        <v>2851</v>
      </c>
      <c r="K2471" t="s">
        <v>4629</v>
      </c>
    </row>
    <row r="2472" spans="1:11" ht="20" customHeight="1">
      <c r="A2472" t="s">
        <v>4628</v>
      </c>
      <c r="B2472" t="s">
        <v>2852</v>
      </c>
      <c r="C2472">
        <v>528.8099975585938</v>
      </c>
      <c r="D2472">
        <v>529.52001953125</v>
      </c>
      <c r="E2472">
        <v>527.3200073242188</v>
      </c>
      <c r="F2472">
        <v>529.4500122070312</v>
      </c>
      <c r="G2472">
        <v>514.2658081054688</v>
      </c>
      <c r="H2472">
        <v>59187600</v>
      </c>
      <c r="I2472" t="s">
        <v>2853</v>
      </c>
      <c r="J2472" t="s">
        <v>2854</v>
      </c>
      <c r="K2472" t="s">
        <v>4629</v>
      </c>
    </row>
    <row r="2473" spans="1:11" ht="20" customHeight="1">
      <c r="A2473" t="s">
        <v>4628</v>
      </c>
      <c r="B2473" t="s">
        <v>2855</v>
      </c>
      <c r="C2473">
        <v>529.5700073242188</v>
      </c>
      <c r="D2473">
        <v>531.5599975585938</v>
      </c>
      <c r="E2473">
        <v>529.1699829101562</v>
      </c>
      <c r="F2473">
        <v>530.0599975585938</v>
      </c>
      <c r="G2473">
        <v>514.858154296875</v>
      </c>
      <c r="H2473">
        <v>37764200</v>
      </c>
      <c r="I2473" t="s">
        <v>2856</v>
      </c>
      <c r="J2473" t="s">
        <v>2857</v>
      </c>
      <c r="K2473" t="s">
        <v>4629</v>
      </c>
    </row>
    <row r="2474" spans="1:11" ht="20" customHeight="1">
      <c r="A2474" t="s">
        <v>4628</v>
      </c>
      <c r="B2474" t="s">
        <v>2858</v>
      </c>
      <c r="C2474">
        <v>529.280029296875</v>
      </c>
      <c r="D2474">
        <v>531.52001953125</v>
      </c>
      <c r="E2474">
        <v>529.0700073242188</v>
      </c>
      <c r="F2474">
        <v>531.3599853515625</v>
      </c>
      <c r="G2474">
        <v>516.1210327148438</v>
      </c>
      <c r="H2474">
        <v>33437000</v>
      </c>
      <c r="I2474" t="s">
        <v>2859</v>
      </c>
      <c r="J2474" t="s">
        <v>2860</v>
      </c>
      <c r="K2474" t="s">
        <v>4629</v>
      </c>
    </row>
    <row r="2475" spans="1:11" ht="20" customHeight="1">
      <c r="A2475" t="s">
        <v>4628</v>
      </c>
      <c r="B2475" t="s">
        <v>2861</v>
      </c>
      <c r="C2475">
        <v>530.6500244140625</v>
      </c>
      <c r="D2475">
        <v>531.3800048828125</v>
      </c>
      <c r="E2475">
        <v>527.5999755859375</v>
      </c>
      <c r="F2475">
        <v>529.8300170898438</v>
      </c>
      <c r="G2475">
        <v>514.6348876953125</v>
      </c>
      <c r="H2475">
        <v>48390000</v>
      </c>
      <c r="I2475" t="s">
        <v>2862</v>
      </c>
      <c r="J2475" t="s">
        <v>2863</v>
      </c>
      <c r="K2475" t="s">
        <v>4629</v>
      </c>
    </row>
    <row r="2476" spans="1:11" ht="20" customHeight="1">
      <c r="A2476" t="s">
        <v>4628</v>
      </c>
      <c r="B2476" t="s">
        <v>2864</v>
      </c>
      <c r="C2476">
        <v>532.9600219726562</v>
      </c>
      <c r="D2476">
        <v>533.0700073242188</v>
      </c>
      <c r="E2476">
        <v>524.719970703125</v>
      </c>
      <c r="F2476">
        <v>525.9600219726562</v>
      </c>
      <c r="G2476">
        <v>510.8758544921875</v>
      </c>
      <c r="H2476">
        <v>57211200</v>
      </c>
      <c r="I2476" t="s">
        <v>2865</v>
      </c>
      <c r="J2476" t="s">
        <v>2866</v>
      </c>
      <c r="K2476" t="s">
        <v>4629</v>
      </c>
    </row>
    <row r="2477" spans="1:11" ht="20" customHeight="1">
      <c r="A2477" t="s">
        <v>4628</v>
      </c>
      <c r="B2477" t="s">
        <v>2867</v>
      </c>
      <c r="C2477">
        <v>527.8499755859375</v>
      </c>
      <c r="D2477">
        <v>530.27001953125</v>
      </c>
      <c r="E2477">
        <v>526.8800048828125</v>
      </c>
      <c r="F2477">
        <v>529.4400024414062</v>
      </c>
      <c r="G2477">
        <v>514.2560424804688</v>
      </c>
      <c r="H2477">
        <v>41291100</v>
      </c>
      <c r="I2477" t="s">
        <v>2868</v>
      </c>
      <c r="J2477" t="s">
        <v>2869</v>
      </c>
      <c r="K2477" t="s">
        <v>4629</v>
      </c>
    </row>
    <row r="2478" spans="1:11" ht="20" customHeight="1">
      <c r="A2478" t="s">
        <v>4628</v>
      </c>
      <c r="B2478" t="s">
        <v>2870</v>
      </c>
      <c r="C2478">
        <v>530.27001953125</v>
      </c>
      <c r="D2478">
        <v>530.510009765625</v>
      </c>
      <c r="E2478">
        <v>527.1099853515625</v>
      </c>
      <c r="F2478">
        <v>529.8099975585938</v>
      </c>
      <c r="G2478">
        <v>514.6154174804688</v>
      </c>
      <c r="H2478">
        <v>36269600</v>
      </c>
      <c r="I2478" t="s">
        <v>2871</v>
      </c>
      <c r="J2478" t="s">
        <v>2872</v>
      </c>
      <c r="K2478" t="s">
        <v>4629</v>
      </c>
    </row>
    <row r="2479" spans="1:11" ht="20" customHeight="1">
      <c r="A2479" t="s">
        <v>4628</v>
      </c>
      <c r="B2479" t="s">
        <v>2873</v>
      </c>
      <c r="C2479">
        <v>525.6799926757812</v>
      </c>
      <c r="D2479">
        <v>527.3099975585938</v>
      </c>
      <c r="E2479">
        <v>525.3699951171875</v>
      </c>
      <c r="F2479">
        <v>526.0999755859375</v>
      </c>
      <c r="G2479">
        <v>511.0117492675781</v>
      </c>
      <c r="H2479">
        <v>45190300</v>
      </c>
      <c r="I2479" t="s">
        <v>2874</v>
      </c>
      <c r="J2479" t="s">
        <v>2875</v>
      </c>
      <c r="K2479" t="s">
        <v>4629</v>
      </c>
    </row>
    <row r="2480" spans="1:11" ht="20" customHeight="1">
      <c r="A2480" t="s">
        <v>4628</v>
      </c>
      <c r="B2480" t="s">
        <v>2876</v>
      </c>
      <c r="C2480">
        <v>524.52001953125</v>
      </c>
      <c r="D2480">
        <v>525.2000122070312</v>
      </c>
      <c r="E2480">
        <v>521.3300170898438</v>
      </c>
      <c r="F2480">
        <v>522.6099853515625</v>
      </c>
      <c r="G2480">
        <v>507.621826171875</v>
      </c>
      <c r="H2480">
        <v>46377600</v>
      </c>
      <c r="I2480" t="s">
        <v>2877</v>
      </c>
      <c r="J2480" t="s">
        <v>2878</v>
      </c>
      <c r="K2480" t="s">
        <v>4629</v>
      </c>
    </row>
    <row r="2481" spans="1:11" ht="20" customHeight="1">
      <c r="A2481" t="s">
        <v>4628</v>
      </c>
      <c r="B2481" t="s">
        <v>2879</v>
      </c>
      <c r="C2481">
        <v>523.5900268554688</v>
      </c>
      <c r="D2481">
        <v>527.5</v>
      </c>
      <c r="E2481">
        <v>518.3599853515625</v>
      </c>
      <c r="F2481">
        <v>527.3699951171875</v>
      </c>
      <c r="G2481">
        <v>512.2454223632812</v>
      </c>
      <c r="H2481">
        <v>90785800</v>
      </c>
      <c r="I2481" t="s">
        <v>2880</v>
      </c>
      <c r="J2481" t="s">
        <v>2881</v>
      </c>
      <c r="K2481" t="s">
        <v>4629</v>
      </c>
    </row>
    <row r="2482" spans="1:11" ht="20" customHeight="1">
      <c r="A2482" t="s">
        <v>4628</v>
      </c>
      <c r="B2482" t="s">
        <v>2882</v>
      </c>
      <c r="C2482">
        <v>529.02001953125</v>
      </c>
      <c r="D2482">
        <v>529.3099975585938</v>
      </c>
      <c r="E2482">
        <v>522.5999755859375</v>
      </c>
      <c r="F2482">
        <v>527.7999877929688</v>
      </c>
      <c r="G2482">
        <v>512.6630249023438</v>
      </c>
      <c r="H2482">
        <v>46835700</v>
      </c>
      <c r="I2482" t="s">
        <v>2883</v>
      </c>
      <c r="J2482" t="s">
        <v>2884</v>
      </c>
      <c r="K2482" t="s">
        <v>4629</v>
      </c>
    </row>
    <row r="2483" spans="1:11" ht="20" customHeight="1">
      <c r="A2483" t="s">
        <v>4628</v>
      </c>
      <c r="B2483" t="s">
        <v>2885</v>
      </c>
      <c r="C2483">
        <v>526.4600219726562</v>
      </c>
      <c r="D2483">
        <v>529.1500244140625</v>
      </c>
      <c r="E2483">
        <v>524.9600219726562</v>
      </c>
      <c r="F2483">
        <v>528.3900146484375</v>
      </c>
      <c r="G2483">
        <v>513.2361450195312</v>
      </c>
      <c r="H2483">
        <v>34632700</v>
      </c>
      <c r="I2483" t="s">
        <v>2886</v>
      </c>
      <c r="J2483" t="s">
        <v>2887</v>
      </c>
      <c r="K2483" t="s">
        <v>4629</v>
      </c>
    </row>
    <row r="2484" spans="1:11" ht="20" customHeight="1">
      <c r="A2484" t="s">
        <v>4628</v>
      </c>
      <c r="B2484" t="s">
        <v>2888</v>
      </c>
      <c r="C2484">
        <v>530.77001953125</v>
      </c>
      <c r="D2484">
        <v>534.6900024414062</v>
      </c>
      <c r="E2484">
        <v>528.72998046875</v>
      </c>
      <c r="F2484">
        <v>534.6699829101562</v>
      </c>
      <c r="G2484">
        <v>519.3359985351562</v>
      </c>
      <c r="H2484">
        <v>47610400</v>
      </c>
      <c r="I2484" t="s">
        <v>2889</v>
      </c>
      <c r="J2484" t="s">
        <v>2890</v>
      </c>
      <c r="K2484" t="s">
        <v>4629</v>
      </c>
    </row>
    <row r="2485" spans="1:11" ht="20" customHeight="1">
      <c r="A2485" t="s">
        <v>4628</v>
      </c>
      <c r="B2485" t="s">
        <v>2891</v>
      </c>
      <c r="C2485">
        <v>534.97998046875</v>
      </c>
      <c r="D2485">
        <v>535.4199829101562</v>
      </c>
      <c r="E2485">
        <v>532.6799926757812</v>
      </c>
      <c r="F2485">
        <v>534.6599731445312</v>
      </c>
      <c r="G2485">
        <v>519.3263549804688</v>
      </c>
      <c r="H2485">
        <v>30808500</v>
      </c>
      <c r="I2485" t="s">
        <v>2892</v>
      </c>
      <c r="J2485" t="s">
        <v>2893</v>
      </c>
      <c r="K2485" t="s">
        <v>4629</v>
      </c>
    </row>
    <row r="2486" spans="1:11" ht="20" customHeight="1">
      <c r="A2486" t="s">
        <v>4628</v>
      </c>
      <c r="B2486" t="s">
        <v>2894</v>
      </c>
      <c r="C2486">
        <v>533.6599731445312</v>
      </c>
      <c r="D2486">
        <v>536.8900146484375</v>
      </c>
      <c r="E2486">
        <v>532.5399780273438</v>
      </c>
      <c r="F2486">
        <v>534.010009765625</v>
      </c>
      <c r="G2486">
        <v>518.6949462890625</v>
      </c>
      <c r="H2486">
        <v>43224500</v>
      </c>
      <c r="I2486" t="s">
        <v>2895</v>
      </c>
      <c r="J2486" t="s">
        <v>2896</v>
      </c>
      <c r="K2486" t="s">
        <v>4629</v>
      </c>
    </row>
    <row r="2487" spans="1:11" ht="20" customHeight="1">
      <c r="A2487" t="s">
        <v>4628</v>
      </c>
      <c r="B2487" t="s">
        <v>2897</v>
      </c>
      <c r="C2487">
        <v>533.1799926757812</v>
      </c>
      <c r="D2487">
        <v>535.989990234375</v>
      </c>
      <c r="E2487">
        <v>532.5700073242188</v>
      </c>
      <c r="F2487">
        <v>535.6599731445312</v>
      </c>
      <c r="G2487">
        <v>520.297607421875</v>
      </c>
      <c r="H2487">
        <v>35686100</v>
      </c>
      <c r="I2487" t="s">
        <v>2898</v>
      </c>
      <c r="J2487" t="s">
        <v>2899</v>
      </c>
      <c r="K2487" t="s">
        <v>4629</v>
      </c>
    </row>
    <row r="2488" spans="1:11" ht="20" customHeight="1">
      <c r="A2488" t="s">
        <v>4628</v>
      </c>
      <c r="B2488" t="s">
        <v>2900</v>
      </c>
      <c r="C2488">
        <v>534.0700073242188</v>
      </c>
      <c r="D2488">
        <v>537.010009765625</v>
      </c>
      <c r="E2488">
        <v>532.0499877929688</v>
      </c>
      <c r="F2488">
        <v>536.9500122070312</v>
      </c>
      <c r="G2488">
        <v>521.5507202148438</v>
      </c>
      <c r="H2488">
        <v>36383400</v>
      </c>
      <c r="I2488" t="s">
        <v>2901</v>
      </c>
      <c r="J2488" t="s">
        <v>2902</v>
      </c>
      <c r="K2488" t="s">
        <v>4629</v>
      </c>
    </row>
    <row r="2489" spans="1:11" ht="20" customHeight="1">
      <c r="A2489" t="s">
        <v>4628</v>
      </c>
      <c r="B2489" t="s">
        <v>2903</v>
      </c>
      <c r="C2489">
        <v>541.6300048828125</v>
      </c>
      <c r="D2489">
        <v>544.1199951171875</v>
      </c>
      <c r="E2489">
        <v>540.2999877929688</v>
      </c>
      <c r="F2489">
        <v>541.3599853515625</v>
      </c>
      <c r="G2489">
        <v>525.8340454101562</v>
      </c>
      <c r="H2489">
        <v>63251300</v>
      </c>
      <c r="I2489" t="s">
        <v>2904</v>
      </c>
      <c r="J2489" t="s">
        <v>2905</v>
      </c>
      <c r="K2489" t="s">
        <v>4629</v>
      </c>
    </row>
    <row r="2490" spans="1:11" ht="20" customHeight="1">
      <c r="A2490" t="s">
        <v>4628</v>
      </c>
      <c r="B2490" t="s">
        <v>2906</v>
      </c>
      <c r="C2490">
        <v>543.1500244140625</v>
      </c>
      <c r="D2490">
        <v>543.3300170898438</v>
      </c>
      <c r="E2490">
        <v>539.5900268554688</v>
      </c>
      <c r="F2490">
        <v>542.4500122070312</v>
      </c>
      <c r="G2490">
        <v>526.8929443359375</v>
      </c>
      <c r="H2490">
        <v>44760900</v>
      </c>
      <c r="I2490" t="s">
        <v>2907</v>
      </c>
      <c r="J2490" t="s">
        <v>2908</v>
      </c>
      <c r="K2490" t="s">
        <v>4629</v>
      </c>
    </row>
    <row r="2491" spans="1:11" ht="20" customHeight="1">
      <c r="A2491" t="s">
        <v>4628</v>
      </c>
      <c r="B2491" t="s">
        <v>2909</v>
      </c>
      <c r="C2491">
        <v>540.8800048828125</v>
      </c>
      <c r="D2491">
        <v>542.8099975585938</v>
      </c>
      <c r="E2491">
        <v>539.8499755859375</v>
      </c>
      <c r="F2491">
        <v>542.780029296875</v>
      </c>
      <c r="G2491">
        <v>527.2135009765625</v>
      </c>
      <c r="H2491">
        <v>40089900</v>
      </c>
      <c r="I2491" t="s">
        <v>2910</v>
      </c>
      <c r="J2491" t="s">
        <v>2911</v>
      </c>
      <c r="K2491" t="s">
        <v>4629</v>
      </c>
    </row>
    <row r="2492" spans="1:11" ht="20" customHeight="1">
      <c r="A2492" t="s">
        <v>4628</v>
      </c>
      <c r="B2492" t="s">
        <v>2912</v>
      </c>
      <c r="C2492">
        <v>542.0800170898438</v>
      </c>
      <c r="D2492">
        <v>548.530029296875</v>
      </c>
      <c r="E2492">
        <v>541.6099853515625</v>
      </c>
      <c r="F2492">
        <v>547.0999755859375</v>
      </c>
      <c r="G2492">
        <v>531.4094848632812</v>
      </c>
      <c r="H2492">
        <v>55839500</v>
      </c>
      <c r="I2492" t="s">
        <v>2913</v>
      </c>
      <c r="J2492" t="s">
        <v>2914</v>
      </c>
      <c r="K2492" t="s">
        <v>4629</v>
      </c>
    </row>
    <row r="2493" spans="1:11" ht="20" customHeight="1">
      <c r="A2493" t="s">
        <v>4628</v>
      </c>
      <c r="B2493" t="s">
        <v>2915</v>
      </c>
      <c r="C2493">
        <v>547.1599731445312</v>
      </c>
      <c r="D2493">
        <v>548.6199951171875</v>
      </c>
      <c r="E2493">
        <v>546.72998046875</v>
      </c>
      <c r="F2493">
        <v>548.489990234375</v>
      </c>
      <c r="G2493">
        <v>532.7596435546875</v>
      </c>
      <c r="H2493">
        <v>41376400</v>
      </c>
      <c r="I2493" t="s">
        <v>2916</v>
      </c>
      <c r="J2493" t="s">
        <v>2917</v>
      </c>
      <c r="K2493" t="s">
        <v>4629</v>
      </c>
    </row>
    <row r="2494" spans="1:11" ht="20" customHeight="1">
      <c r="A2494" t="s">
        <v>4628</v>
      </c>
      <c r="B2494" t="s">
        <v>2918</v>
      </c>
      <c r="C2494">
        <v>549.4400024414062</v>
      </c>
      <c r="D2494">
        <v>550.1199951171875</v>
      </c>
      <c r="E2494">
        <v>545.1799926757812</v>
      </c>
      <c r="F2494">
        <v>547</v>
      </c>
      <c r="G2494">
        <v>531.3123779296875</v>
      </c>
      <c r="H2494">
        <v>70328200</v>
      </c>
      <c r="I2494" t="s">
        <v>2919</v>
      </c>
      <c r="J2494" t="s">
        <v>2920</v>
      </c>
      <c r="K2494" t="s">
        <v>4629</v>
      </c>
    </row>
    <row r="2495" spans="1:11" ht="20" customHeight="1">
      <c r="A2495" t="s">
        <v>4628</v>
      </c>
      <c r="B2495" t="s">
        <v>2921</v>
      </c>
      <c r="C2495">
        <v>544.4000244140625</v>
      </c>
      <c r="D2495">
        <v>545.6500244140625</v>
      </c>
      <c r="E2495">
        <v>543.02001953125</v>
      </c>
      <c r="F2495">
        <v>544.510009765625</v>
      </c>
      <c r="G2495">
        <v>530.60009765625</v>
      </c>
      <c r="H2495">
        <v>64338600</v>
      </c>
      <c r="I2495" t="s">
        <v>2922</v>
      </c>
      <c r="J2495" t="s">
        <v>2923</v>
      </c>
      <c r="K2495" t="s">
        <v>4629</v>
      </c>
    </row>
    <row r="2496" spans="1:11" ht="20" customHeight="1">
      <c r="A2496" t="s">
        <v>4628</v>
      </c>
      <c r="B2496" t="s">
        <v>2924</v>
      </c>
      <c r="C2496">
        <v>544.3300170898438</v>
      </c>
      <c r="D2496">
        <v>546.9500122070312</v>
      </c>
      <c r="E2496">
        <v>542.6199951171875</v>
      </c>
      <c r="F2496">
        <v>542.739990234375</v>
      </c>
      <c r="G2496">
        <v>528.8753051757812</v>
      </c>
      <c r="H2496">
        <v>45528700</v>
      </c>
      <c r="I2496" t="s">
        <v>2925</v>
      </c>
      <c r="J2496" t="s">
        <v>2926</v>
      </c>
      <c r="K2496" t="s">
        <v>4629</v>
      </c>
    </row>
    <row r="2497" spans="1:11" ht="20" customHeight="1">
      <c r="A2497" t="s">
        <v>4628</v>
      </c>
      <c r="B2497" t="s">
        <v>2927</v>
      </c>
      <c r="C2497">
        <v>543.989990234375</v>
      </c>
      <c r="D2497">
        <v>545.2000122070312</v>
      </c>
      <c r="E2497">
        <v>542.4400024414062</v>
      </c>
      <c r="F2497">
        <v>544.8300170898438</v>
      </c>
      <c r="G2497">
        <v>530.9119262695312</v>
      </c>
      <c r="H2497">
        <v>37936200</v>
      </c>
      <c r="I2497" t="s">
        <v>2928</v>
      </c>
      <c r="J2497" t="s">
        <v>2929</v>
      </c>
      <c r="K2497" t="s">
        <v>4629</v>
      </c>
    </row>
    <row r="2498" spans="1:11" ht="20" customHeight="1">
      <c r="A2498" t="s">
        <v>4628</v>
      </c>
      <c r="B2498" t="s">
        <v>2930</v>
      </c>
      <c r="C2498">
        <v>543.6900024414062</v>
      </c>
      <c r="D2498">
        <v>546.239990234375</v>
      </c>
      <c r="E2498">
        <v>543.030029296875</v>
      </c>
      <c r="F2498">
        <v>545.510009765625</v>
      </c>
      <c r="G2498">
        <v>531.574462890625</v>
      </c>
      <c r="H2498">
        <v>38550600</v>
      </c>
      <c r="I2498" t="s">
        <v>2931</v>
      </c>
      <c r="J2498" t="s">
        <v>2932</v>
      </c>
      <c r="K2498" t="s">
        <v>4629</v>
      </c>
    </row>
    <row r="2499" spans="1:11" ht="20" customHeight="1">
      <c r="A2499" t="s">
        <v>4628</v>
      </c>
      <c r="B2499" t="s">
        <v>2933</v>
      </c>
      <c r="C2499">
        <v>545.3699951171875</v>
      </c>
      <c r="D2499">
        <v>546.9600219726562</v>
      </c>
      <c r="E2499">
        <v>544.6099853515625</v>
      </c>
      <c r="F2499">
        <v>546.3699951171875</v>
      </c>
      <c r="G2499">
        <v>532.4125366210938</v>
      </c>
      <c r="H2499">
        <v>35041500</v>
      </c>
      <c r="I2499" t="s">
        <v>2934</v>
      </c>
      <c r="J2499" t="s">
        <v>2935</v>
      </c>
      <c r="K2499" t="s">
        <v>4629</v>
      </c>
    </row>
    <row r="2500" spans="1:11" ht="20" customHeight="1">
      <c r="A2500" t="s">
        <v>4628</v>
      </c>
      <c r="B2500" t="s">
        <v>2936</v>
      </c>
      <c r="C2500">
        <v>547.1599731445312</v>
      </c>
      <c r="D2500">
        <v>550.280029296875</v>
      </c>
      <c r="E2500">
        <v>542.9500122070312</v>
      </c>
      <c r="F2500">
        <v>544.219970703125</v>
      </c>
      <c r="G2500">
        <v>530.3175048828125</v>
      </c>
      <c r="H2500">
        <v>76144500</v>
      </c>
      <c r="I2500" t="s">
        <v>2937</v>
      </c>
      <c r="J2500" t="s">
        <v>2938</v>
      </c>
      <c r="K2500" t="s">
        <v>4629</v>
      </c>
    </row>
    <row r="2501" spans="1:11" ht="20" customHeight="1">
      <c r="A2501" t="s">
        <v>4628</v>
      </c>
      <c r="B2501" t="s">
        <v>2939</v>
      </c>
      <c r="C2501">
        <v>545.6300048828125</v>
      </c>
      <c r="D2501">
        <v>545.8800048828125</v>
      </c>
      <c r="E2501">
        <v>542.52001953125</v>
      </c>
      <c r="F2501">
        <v>545.3400268554688</v>
      </c>
      <c r="G2501">
        <v>531.4089965820312</v>
      </c>
      <c r="H2501">
        <v>40297800</v>
      </c>
      <c r="I2501" t="s">
        <v>2940</v>
      </c>
      <c r="J2501" t="s">
        <v>2941</v>
      </c>
      <c r="K2501" t="s">
        <v>4629</v>
      </c>
    </row>
    <row r="2502" spans="1:11" ht="20" customHeight="1">
      <c r="A2502" t="s">
        <v>4628</v>
      </c>
      <c r="B2502" t="s">
        <v>2942</v>
      </c>
      <c r="C2502">
        <v>543.7000122070312</v>
      </c>
      <c r="D2502">
        <v>549.010009765625</v>
      </c>
      <c r="E2502">
        <v>543.6500244140625</v>
      </c>
      <c r="F2502">
        <v>549.010009765625</v>
      </c>
      <c r="G2502">
        <v>534.9851684570312</v>
      </c>
      <c r="H2502">
        <v>40434800</v>
      </c>
      <c r="I2502" t="s">
        <v>2943</v>
      </c>
      <c r="J2502" t="s">
        <v>2944</v>
      </c>
      <c r="K2502" t="s">
        <v>4629</v>
      </c>
    </row>
    <row r="2503" spans="1:11" ht="20" customHeight="1">
      <c r="A2503" t="s">
        <v>4628</v>
      </c>
      <c r="B2503" t="s">
        <v>2945</v>
      </c>
      <c r="C2503">
        <v>548.6900024414062</v>
      </c>
      <c r="D2503">
        <v>551.8300170898438</v>
      </c>
      <c r="E2503">
        <v>548.6500244140625</v>
      </c>
      <c r="F2503">
        <v>551.4600219726562</v>
      </c>
      <c r="G2503">
        <v>537.37255859375</v>
      </c>
      <c r="H2503">
        <v>32789900</v>
      </c>
      <c r="I2503" t="s">
        <v>2946</v>
      </c>
      <c r="J2503" t="s">
        <v>2947</v>
      </c>
      <c r="K2503" t="s">
        <v>4629</v>
      </c>
    </row>
    <row r="2504" spans="1:11" ht="20" customHeight="1">
      <c r="A2504" t="s">
        <v>4628</v>
      </c>
      <c r="B2504" t="s">
        <v>2948</v>
      </c>
      <c r="C2504">
        <v>551.77001953125</v>
      </c>
      <c r="D2504">
        <v>555.0499877929688</v>
      </c>
      <c r="E2504">
        <v>551.1199951171875</v>
      </c>
      <c r="F2504">
        <v>554.6400146484375</v>
      </c>
      <c r="G2504">
        <v>540.4713134765625</v>
      </c>
      <c r="H2504">
        <v>41488400</v>
      </c>
      <c r="I2504" t="s">
        <v>2949</v>
      </c>
      <c r="J2504" t="s">
        <v>2950</v>
      </c>
      <c r="K2504" t="s">
        <v>4629</v>
      </c>
    </row>
    <row r="2505" spans="1:11" ht="20" customHeight="1">
      <c r="A2505" t="s">
        <v>4628</v>
      </c>
      <c r="B2505" t="s">
        <v>2951</v>
      </c>
      <c r="C2505">
        <v>555.4400024414062</v>
      </c>
      <c r="D2505">
        <v>556.25</v>
      </c>
      <c r="E2505">
        <v>554.1900024414062</v>
      </c>
      <c r="F2505">
        <v>555.280029296875</v>
      </c>
      <c r="G2505">
        <v>541.0950317382812</v>
      </c>
      <c r="H2505">
        <v>36110500</v>
      </c>
      <c r="I2505" t="s">
        <v>2952</v>
      </c>
      <c r="J2505" t="s">
        <v>2953</v>
      </c>
      <c r="K2505" t="s">
        <v>4629</v>
      </c>
    </row>
    <row r="2506" spans="1:11" ht="20" customHeight="1">
      <c r="A2506" t="s">
        <v>4628</v>
      </c>
      <c r="B2506" t="s">
        <v>2954</v>
      </c>
      <c r="C2506">
        <v>556.260009765625</v>
      </c>
      <c r="D2506">
        <v>557.1799926757812</v>
      </c>
      <c r="E2506">
        <v>555.52001953125</v>
      </c>
      <c r="F2506">
        <v>555.8200073242188</v>
      </c>
      <c r="G2506">
        <v>541.6212158203125</v>
      </c>
      <c r="H2506">
        <v>27289700</v>
      </c>
      <c r="I2506" t="s">
        <v>2955</v>
      </c>
      <c r="J2506" t="s">
        <v>2956</v>
      </c>
      <c r="K2506" t="s">
        <v>4629</v>
      </c>
    </row>
    <row r="2507" spans="1:11" ht="20" customHeight="1">
      <c r="A2507" t="s">
        <v>4628</v>
      </c>
      <c r="B2507" t="s">
        <v>2957</v>
      </c>
      <c r="C2507">
        <v>557.0700073242188</v>
      </c>
      <c r="D2507">
        <v>561.6699829101562</v>
      </c>
      <c r="E2507">
        <v>556.77001953125</v>
      </c>
      <c r="F2507">
        <v>561.3200073242188</v>
      </c>
      <c r="G2507">
        <v>546.980712890625</v>
      </c>
      <c r="H2507">
        <v>38701200</v>
      </c>
      <c r="I2507" t="s">
        <v>2958</v>
      </c>
      <c r="J2507" t="s">
        <v>2959</v>
      </c>
      <c r="K2507" t="s">
        <v>4629</v>
      </c>
    </row>
    <row r="2508" spans="1:11" ht="20" customHeight="1">
      <c r="A2508" t="s">
        <v>4628</v>
      </c>
      <c r="B2508" t="s">
        <v>2960</v>
      </c>
      <c r="C2508">
        <v>561.4400024414062</v>
      </c>
      <c r="D2508">
        <v>562.3300170898438</v>
      </c>
      <c r="E2508">
        <v>555.8300170898438</v>
      </c>
      <c r="F2508">
        <v>556.47998046875</v>
      </c>
      <c r="G2508">
        <v>542.2643432617188</v>
      </c>
      <c r="H2508">
        <v>53054200</v>
      </c>
      <c r="I2508" t="s">
        <v>2961</v>
      </c>
      <c r="J2508" t="s">
        <v>2962</v>
      </c>
      <c r="K2508" t="s">
        <v>4629</v>
      </c>
    </row>
    <row r="2509" spans="1:11" ht="20" customHeight="1">
      <c r="A2509" t="s">
        <v>4628</v>
      </c>
      <c r="B2509" t="s">
        <v>2963</v>
      </c>
      <c r="C2509">
        <v>557.6300048828125</v>
      </c>
      <c r="D2509">
        <v>563.6699829101562</v>
      </c>
      <c r="E2509">
        <v>557.1500244140625</v>
      </c>
      <c r="F2509">
        <v>559.989990234375</v>
      </c>
      <c r="G2509">
        <v>545.6846923828125</v>
      </c>
      <c r="H2509">
        <v>53084400</v>
      </c>
      <c r="I2509" t="s">
        <v>2964</v>
      </c>
      <c r="J2509" t="s">
        <v>2965</v>
      </c>
      <c r="K2509" t="s">
        <v>4629</v>
      </c>
    </row>
    <row r="2510" spans="1:11" ht="20" customHeight="1">
      <c r="A2510" t="s">
        <v>4628</v>
      </c>
      <c r="B2510" t="s">
        <v>2966</v>
      </c>
      <c r="C2510">
        <v>562.030029296875</v>
      </c>
      <c r="D2510">
        <v>564.8400268554688</v>
      </c>
      <c r="E2510">
        <v>559.6300048828125</v>
      </c>
      <c r="F2510">
        <v>561.530029296875</v>
      </c>
      <c r="G2510">
        <v>547.185302734375</v>
      </c>
      <c r="H2510">
        <v>40584300</v>
      </c>
      <c r="I2510" t="s">
        <v>2967</v>
      </c>
      <c r="J2510" t="s">
        <v>2968</v>
      </c>
      <c r="K2510" t="s">
        <v>4629</v>
      </c>
    </row>
    <row r="2511" spans="1:11" ht="20" customHeight="1">
      <c r="A2511" t="s">
        <v>4628</v>
      </c>
      <c r="B2511" t="s">
        <v>2969</v>
      </c>
      <c r="C2511">
        <v>562.8699951171875</v>
      </c>
      <c r="D2511">
        <v>565.1599731445312</v>
      </c>
      <c r="E2511">
        <v>562.0999755859375</v>
      </c>
      <c r="F2511">
        <v>564.8599853515625</v>
      </c>
      <c r="G2511">
        <v>550.4302368164062</v>
      </c>
      <c r="H2511">
        <v>36475300</v>
      </c>
      <c r="I2511" t="s">
        <v>2970</v>
      </c>
      <c r="J2511" t="s">
        <v>2971</v>
      </c>
      <c r="K2511" t="s">
        <v>4629</v>
      </c>
    </row>
    <row r="2512" spans="1:11" ht="20" customHeight="1">
      <c r="A2512" t="s">
        <v>4628</v>
      </c>
      <c r="B2512" t="s">
        <v>2972</v>
      </c>
      <c r="C2512">
        <v>558.7999877929688</v>
      </c>
      <c r="D2512">
        <v>560.510009765625</v>
      </c>
      <c r="E2512">
        <v>556.6099853515625</v>
      </c>
      <c r="F2512">
        <v>556.9400024414062</v>
      </c>
      <c r="G2512">
        <v>542.7125244140625</v>
      </c>
      <c r="H2512">
        <v>57119000</v>
      </c>
      <c r="I2512" t="s">
        <v>2973</v>
      </c>
      <c r="J2512" t="s">
        <v>2974</v>
      </c>
      <c r="K2512" t="s">
        <v>4629</v>
      </c>
    </row>
    <row r="2513" spans="1:11" ht="20" customHeight="1">
      <c r="A2513" t="s">
        <v>4628</v>
      </c>
      <c r="B2513" t="s">
        <v>2975</v>
      </c>
      <c r="C2513">
        <v>558.510009765625</v>
      </c>
      <c r="D2513">
        <v>559.52001953125</v>
      </c>
      <c r="E2513">
        <v>550.4299926757812</v>
      </c>
      <c r="F2513">
        <v>552.6599731445312</v>
      </c>
      <c r="G2513">
        <v>538.5418090820312</v>
      </c>
      <c r="H2513">
        <v>56270400</v>
      </c>
      <c r="I2513" t="s">
        <v>2976</v>
      </c>
      <c r="J2513" t="s">
        <v>2977</v>
      </c>
      <c r="K2513" t="s">
        <v>4629</v>
      </c>
    </row>
    <row r="2514" spans="1:11" ht="20" customHeight="1">
      <c r="A2514" t="s">
        <v>4628</v>
      </c>
      <c r="B2514" t="s">
        <v>2978</v>
      </c>
      <c r="C2514">
        <v>552.4199829101562</v>
      </c>
      <c r="D2514">
        <v>554.0800170898438</v>
      </c>
      <c r="E2514">
        <v>547.9099731445312</v>
      </c>
      <c r="F2514">
        <v>548.989990234375</v>
      </c>
      <c r="G2514">
        <v>534.9656982421875</v>
      </c>
      <c r="H2514">
        <v>65509100</v>
      </c>
      <c r="I2514" t="s">
        <v>2979</v>
      </c>
      <c r="J2514" t="s">
        <v>2980</v>
      </c>
      <c r="K2514" t="s">
        <v>4629</v>
      </c>
    </row>
    <row r="2515" spans="1:11" ht="20" customHeight="1">
      <c r="A2515" t="s">
        <v>4628</v>
      </c>
      <c r="B2515" t="s">
        <v>2981</v>
      </c>
      <c r="C2515">
        <v>553</v>
      </c>
      <c r="D2515">
        <v>555.27001953125</v>
      </c>
      <c r="E2515">
        <v>551.02001953125</v>
      </c>
      <c r="F2515">
        <v>554.6500244140625</v>
      </c>
      <c r="G2515">
        <v>540.4810791015625</v>
      </c>
      <c r="H2515">
        <v>43346700</v>
      </c>
      <c r="I2515" t="s">
        <v>2982</v>
      </c>
      <c r="J2515" t="s">
        <v>2983</v>
      </c>
      <c r="K2515" t="s">
        <v>4629</v>
      </c>
    </row>
    <row r="2516" spans="1:11" ht="20" customHeight="1">
      <c r="A2516" t="s">
        <v>4628</v>
      </c>
      <c r="B2516" t="s">
        <v>2984</v>
      </c>
      <c r="C2516">
        <v>554.5399780273438</v>
      </c>
      <c r="D2516">
        <v>556.739990234375</v>
      </c>
      <c r="E2516">
        <v>553.280029296875</v>
      </c>
      <c r="F2516">
        <v>553.780029296875</v>
      </c>
      <c r="G2516">
        <v>539.63330078125</v>
      </c>
      <c r="H2516">
        <v>34439600</v>
      </c>
      <c r="I2516" t="s">
        <v>2985</v>
      </c>
      <c r="J2516" t="s">
        <v>2986</v>
      </c>
      <c r="K2516" t="s">
        <v>4629</v>
      </c>
    </row>
    <row r="2517" spans="1:11" ht="20" customHeight="1">
      <c r="A2517" t="s">
        <v>4628</v>
      </c>
      <c r="B2517" t="s">
        <v>2987</v>
      </c>
      <c r="C2517">
        <v>548.8599853515625</v>
      </c>
      <c r="D2517">
        <v>549.1699829101562</v>
      </c>
      <c r="E2517">
        <v>540.2899780273438</v>
      </c>
      <c r="F2517">
        <v>541.22998046875</v>
      </c>
      <c r="G2517">
        <v>527.40380859375</v>
      </c>
      <c r="H2517">
        <v>74515300</v>
      </c>
      <c r="I2517" t="s">
        <v>2988</v>
      </c>
      <c r="J2517" t="s">
        <v>2989</v>
      </c>
      <c r="K2517" t="s">
        <v>4629</v>
      </c>
    </row>
    <row r="2518" spans="1:11" ht="20" customHeight="1">
      <c r="A2518" t="s">
        <v>4628</v>
      </c>
      <c r="B2518" t="s">
        <v>2990</v>
      </c>
      <c r="C2518">
        <v>541.3499755859375</v>
      </c>
      <c r="D2518">
        <v>547.4600219726562</v>
      </c>
      <c r="E2518">
        <v>537.4500122070312</v>
      </c>
      <c r="F2518">
        <v>538.4099731445312</v>
      </c>
      <c r="G2518">
        <v>524.6558837890625</v>
      </c>
      <c r="H2518">
        <v>61158300</v>
      </c>
      <c r="I2518" t="s">
        <v>2991</v>
      </c>
      <c r="J2518" t="s">
        <v>2992</v>
      </c>
      <c r="K2518" t="s">
        <v>4629</v>
      </c>
    </row>
    <row r="2519" spans="1:11" ht="20" customHeight="1">
      <c r="A2519" t="s">
        <v>4628</v>
      </c>
      <c r="B2519" t="s">
        <v>2993</v>
      </c>
      <c r="C2519">
        <v>542.280029296875</v>
      </c>
      <c r="D2519">
        <v>547.1900024414062</v>
      </c>
      <c r="E2519">
        <v>541.489990234375</v>
      </c>
      <c r="F2519">
        <v>544.4400024414062</v>
      </c>
      <c r="G2519">
        <v>530.5318603515625</v>
      </c>
      <c r="H2519">
        <v>53763800</v>
      </c>
      <c r="I2519" t="s">
        <v>2994</v>
      </c>
      <c r="J2519" t="s">
        <v>2995</v>
      </c>
      <c r="K2519" t="s">
        <v>4629</v>
      </c>
    </row>
    <row r="2520" spans="1:11" ht="20" customHeight="1">
      <c r="A2520" t="s">
        <v>4628</v>
      </c>
      <c r="B2520" t="s">
        <v>2996</v>
      </c>
      <c r="C2520">
        <v>546.02001953125</v>
      </c>
      <c r="D2520">
        <v>547.0499877929688</v>
      </c>
      <c r="E2520">
        <v>542.719970703125</v>
      </c>
      <c r="F2520">
        <v>544.760009765625</v>
      </c>
      <c r="G2520">
        <v>530.8436889648438</v>
      </c>
      <c r="H2520">
        <v>39515800</v>
      </c>
      <c r="I2520" t="s">
        <v>2997</v>
      </c>
      <c r="J2520" t="s">
        <v>2998</v>
      </c>
      <c r="K2520" t="s">
        <v>4629</v>
      </c>
    </row>
    <row r="2521" spans="1:11" ht="20" customHeight="1">
      <c r="A2521" t="s">
        <v>4628</v>
      </c>
      <c r="B2521" t="s">
        <v>2999</v>
      </c>
      <c r="C2521">
        <v>546.260009765625</v>
      </c>
      <c r="D2521">
        <v>547.3400268554688</v>
      </c>
      <c r="E2521">
        <v>538.52001953125</v>
      </c>
      <c r="F2521">
        <v>542</v>
      </c>
      <c r="G2521">
        <v>528.1541748046875</v>
      </c>
      <c r="H2521">
        <v>46853600</v>
      </c>
      <c r="I2521" t="s">
        <v>3000</v>
      </c>
      <c r="J2521" t="s">
        <v>3001</v>
      </c>
      <c r="K2521" t="s">
        <v>4629</v>
      </c>
    </row>
    <row r="2522" spans="1:11" ht="20" customHeight="1">
      <c r="A2522" t="s">
        <v>4628</v>
      </c>
      <c r="B2522" t="s">
        <v>3002</v>
      </c>
      <c r="C2522">
        <v>548.97998046875</v>
      </c>
      <c r="D2522">
        <v>553.5</v>
      </c>
      <c r="E2522">
        <v>547.5800170898438</v>
      </c>
      <c r="F2522">
        <v>550.8099975585938</v>
      </c>
      <c r="G2522">
        <v>536.7391967773438</v>
      </c>
      <c r="H2522">
        <v>65663400</v>
      </c>
      <c r="I2522" t="s">
        <v>3003</v>
      </c>
      <c r="J2522" t="s">
        <v>3004</v>
      </c>
      <c r="K2522" t="s">
        <v>4629</v>
      </c>
    </row>
    <row r="2523" spans="1:11" ht="20" customHeight="1">
      <c r="A2523" t="s">
        <v>4628</v>
      </c>
      <c r="B2523" t="s">
        <v>3005</v>
      </c>
      <c r="C2523">
        <v>552.5700073242188</v>
      </c>
      <c r="D2523">
        <v>554.8699951171875</v>
      </c>
      <c r="E2523">
        <v>539.4299926757812</v>
      </c>
      <c r="F2523">
        <v>543.010009765625</v>
      </c>
      <c r="G2523">
        <v>529.138427734375</v>
      </c>
      <c r="H2523">
        <v>76428700</v>
      </c>
      <c r="I2523" t="s">
        <v>3006</v>
      </c>
      <c r="J2523" t="s">
        <v>3007</v>
      </c>
      <c r="K2523" t="s">
        <v>4629</v>
      </c>
    </row>
    <row r="2524" spans="1:11" ht="20" customHeight="1">
      <c r="A2524" t="s">
        <v>4628</v>
      </c>
      <c r="B2524" t="s">
        <v>3008</v>
      </c>
      <c r="C2524">
        <v>535.75</v>
      </c>
      <c r="D2524">
        <v>536.989990234375</v>
      </c>
      <c r="E2524">
        <v>528.5999755859375</v>
      </c>
      <c r="F2524">
        <v>532.9000244140625</v>
      </c>
      <c r="G2524">
        <v>519.2867431640625</v>
      </c>
      <c r="H2524">
        <v>82789100</v>
      </c>
      <c r="I2524" t="s">
        <v>3009</v>
      </c>
      <c r="J2524" t="s">
        <v>3010</v>
      </c>
      <c r="K2524" t="s">
        <v>4629</v>
      </c>
    </row>
    <row r="2525" spans="1:11" ht="20" customHeight="1">
      <c r="A2525" t="s">
        <v>4628</v>
      </c>
      <c r="B2525" t="s">
        <v>3011</v>
      </c>
      <c r="C2525">
        <v>511.6400146484375</v>
      </c>
      <c r="D2525">
        <v>523.5800170898438</v>
      </c>
      <c r="E2525">
        <v>510.2699890136719</v>
      </c>
      <c r="F2525">
        <v>517.3800048828125</v>
      </c>
      <c r="G2525">
        <v>504.1631469726562</v>
      </c>
      <c r="H2525">
        <v>146267400</v>
      </c>
      <c r="I2525" t="s">
        <v>3012</v>
      </c>
      <c r="J2525" t="s">
        <v>3013</v>
      </c>
      <c r="K2525" t="s">
        <v>4629</v>
      </c>
    </row>
    <row r="2526" spans="1:11" ht="20" customHeight="1">
      <c r="A2526" t="s">
        <v>4628</v>
      </c>
      <c r="B2526" t="s">
        <v>3014</v>
      </c>
      <c r="C2526">
        <v>519.219970703125</v>
      </c>
      <c r="D2526">
        <v>529.75</v>
      </c>
      <c r="E2526">
        <v>517.8699951171875</v>
      </c>
      <c r="F2526">
        <v>522.1500244140625</v>
      </c>
      <c r="G2526">
        <v>508.8113403320312</v>
      </c>
      <c r="H2526">
        <v>84826300</v>
      </c>
      <c r="I2526" t="s">
        <v>3015</v>
      </c>
      <c r="J2526" t="s">
        <v>3016</v>
      </c>
      <c r="K2526" t="s">
        <v>4629</v>
      </c>
    </row>
    <row r="2527" spans="1:11" ht="20" customHeight="1">
      <c r="A2527" t="s">
        <v>4628</v>
      </c>
      <c r="B2527" t="s">
        <v>3017</v>
      </c>
      <c r="C2527">
        <v>528.469970703125</v>
      </c>
      <c r="D2527">
        <v>531.5900268554688</v>
      </c>
      <c r="E2527">
        <v>518.0499877929688</v>
      </c>
      <c r="F2527">
        <v>518.6599731445312</v>
      </c>
      <c r="G2527">
        <v>505.4103698730469</v>
      </c>
      <c r="H2527">
        <v>70698300</v>
      </c>
      <c r="I2527" t="s">
        <v>3018</v>
      </c>
      <c r="J2527" t="s">
        <v>3019</v>
      </c>
      <c r="K2527" t="s">
        <v>4629</v>
      </c>
    </row>
    <row r="2528" spans="1:11" ht="20" customHeight="1">
      <c r="A2528" t="s">
        <v>4628</v>
      </c>
      <c r="B2528" t="s">
        <v>3020</v>
      </c>
      <c r="C2528">
        <v>523.9099731445312</v>
      </c>
      <c r="D2528">
        <v>531.2899780273438</v>
      </c>
      <c r="E2528">
        <v>521.8400268554688</v>
      </c>
      <c r="F2528">
        <v>530.6500244140625</v>
      </c>
      <c r="G2528">
        <v>517.0940551757812</v>
      </c>
      <c r="H2528">
        <v>63276600</v>
      </c>
      <c r="I2528" t="s">
        <v>3021</v>
      </c>
      <c r="J2528" t="s">
        <v>3022</v>
      </c>
      <c r="K2528" t="s">
        <v>4629</v>
      </c>
    </row>
    <row r="2529" spans="1:11" ht="20" customHeight="1">
      <c r="A2529" t="s">
        <v>4628</v>
      </c>
      <c r="B2529" t="s">
        <v>3023</v>
      </c>
      <c r="C2529">
        <v>529.8099975585938</v>
      </c>
      <c r="D2529">
        <v>534.510009765625</v>
      </c>
      <c r="E2529">
        <v>528.5599975585938</v>
      </c>
      <c r="F2529">
        <v>532.989990234375</v>
      </c>
      <c r="G2529">
        <v>519.3744506835938</v>
      </c>
      <c r="H2529">
        <v>45619600</v>
      </c>
      <c r="I2529" t="s">
        <v>3024</v>
      </c>
      <c r="J2529" t="s">
        <v>3025</v>
      </c>
      <c r="K2529" t="s">
        <v>4629</v>
      </c>
    </row>
    <row r="2530" spans="1:11" ht="20" customHeight="1">
      <c r="A2530" t="s">
        <v>4628</v>
      </c>
      <c r="B2530" t="s">
        <v>3026</v>
      </c>
      <c r="C2530">
        <v>534.2100219726562</v>
      </c>
      <c r="D2530">
        <v>535.72998046875</v>
      </c>
      <c r="E2530">
        <v>530.9500122070312</v>
      </c>
      <c r="F2530">
        <v>533.27001953125</v>
      </c>
      <c r="G2530">
        <v>519.6471557617188</v>
      </c>
      <c r="H2530">
        <v>42542100</v>
      </c>
      <c r="I2530" t="s">
        <v>3027</v>
      </c>
      <c r="J2530" t="s">
        <v>3028</v>
      </c>
      <c r="K2530" t="s">
        <v>4629</v>
      </c>
    </row>
    <row r="2531" spans="1:11" ht="20" customHeight="1">
      <c r="A2531" t="s">
        <v>4628</v>
      </c>
      <c r="B2531" t="s">
        <v>3029</v>
      </c>
      <c r="C2531">
        <v>536.530029296875</v>
      </c>
      <c r="D2531">
        <v>542.280029296875</v>
      </c>
      <c r="E2531">
        <v>536.280029296875</v>
      </c>
      <c r="F2531">
        <v>542.0399780273438</v>
      </c>
      <c r="G2531">
        <v>528.193115234375</v>
      </c>
      <c r="H2531">
        <v>52333100</v>
      </c>
      <c r="I2531" t="s">
        <v>3030</v>
      </c>
      <c r="J2531" t="s">
        <v>3031</v>
      </c>
      <c r="K2531" t="s">
        <v>4629</v>
      </c>
    </row>
    <row r="2532" spans="1:11" ht="20" customHeight="1">
      <c r="A2532" t="s">
        <v>4628</v>
      </c>
      <c r="B2532" t="s">
        <v>3032</v>
      </c>
      <c r="C2532">
        <v>542.8499755859375</v>
      </c>
      <c r="D2532">
        <v>544.9600219726562</v>
      </c>
      <c r="E2532">
        <v>540.1199951171875</v>
      </c>
      <c r="F2532">
        <v>543.75</v>
      </c>
      <c r="G2532">
        <v>529.8595581054688</v>
      </c>
      <c r="H2532">
        <v>42446900</v>
      </c>
      <c r="I2532" t="s">
        <v>3033</v>
      </c>
      <c r="J2532" t="s">
        <v>3034</v>
      </c>
      <c r="K2532" t="s">
        <v>4629</v>
      </c>
    </row>
    <row r="2533" spans="1:11" ht="20" customHeight="1">
      <c r="A2533" t="s">
        <v>4628</v>
      </c>
      <c r="B2533" t="s">
        <v>3035</v>
      </c>
      <c r="C2533">
        <v>549.5</v>
      </c>
      <c r="D2533">
        <v>553.3599853515625</v>
      </c>
      <c r="E2533">
        <v>548.8800048828125</v>
      </c>
      <c r="F2533">
        <v>553.0700073242188</v>
      </c>
      <c r="G2533">
        <v>538.9414672851562</v>
      </c>
      <c r="H2533">
        <v>60846800</v>
      </c>
      <c r="I2533" t="s">
        <v>3036</v>
      </c>
      <c r="J2533" t="s">
        <v>3037</v>
      </c>
      <c r="K2533" t="s">
        <v>4629</v>
      </c>
    </row>
    <row r="2534" spans="1:11" ht="20" customHeight="1">
      <c r="A2534" t="s">
        <v>4628</v>
      </c>
      <c r="B2534" t="s">
        <v>3038</v>
      </c>
      <c r="C2534">
        <v>551.4199829101562</v>
      </c>
      <c r="D2534">
        <v>555.02001953125</v>
      </c>
      <c r="E2534">
        <v>551.260009765625</v>
      </c>
      <c r="F2534">
        <v>554.3099975585938</v>
      </c>
      <c r="G2534">
        <v>540.1497802734375</v>
      </c>
      <c r="H2534">
        <v>44430700</v>
      </c>
      <c r="I2534" t="s">
        <v>3039</v>
      </c>
      <c r="J2534" t="s">
        <v>3040</v>
      </c>
      <c r="K2534" t="s">
        <v>4629</v>
      </c>
    </row>
    <row r="2535" spans="1:11" ht="20" customHeight="1">
      <c r="A2535" t="s">
        <v>4628</v>
      </c>
      <c r="B2535" t="s">
        <v>3041</v>
      </c>
      <c r="C2535">
        <v>554.72998046875</v>
      </c>
      <c r="D2535">
        <v>559.6099853515625</v>
      </c>
      <c r="E2535">
        <v>553.8599853515625</v>
      </c>
      <c r="F2535">
        <v>559.6099853515625</v>
      </c>
      <c r="G2535">
        <v>545.314453125</v>
      </c>
      <c r="H2535">
        <v>39121800</v>
      </c>
      <c r="I2535" t="s">
        <v>3042</v>
      </c>
      <c r="J2535" t="s">
        <v>3043</v>
      </c>
      <c r="K2535" t="s">
        <v>4629</v>
      </c>
    </row>
    <row r="2536" spans="1:11" ht="20" customHeight="1">
      <c r="A2536" t="s">
        <v>4628</v>
      </c>
      <c r="B2536" t="s">
        <v>3044</v>
      </c>
      <c r="C2536">
        <v>559.1500244140625</v>
      </c>
      <c r="D2536">
        <v>560.8400268554688</v>
      </c>
      <c r="E2536">
        <v>557.3300170898438</v>
      </c>
      <c r="F2536">
        <v>558.7000122070312</v>
      </c>
      <c r="G2536">
        <v>544.4276123046875</v>
      </c>
      <c r="H2536">
        <v>33732300</v>
      </c>
      <c r="I2536" t="s">
        <v>3045</v>
      </c>
      <c r="J2536" t="s">
        <v>3046</v>
      </c>
      <c r="K2536" t="s">
        <v>4629</v>
      </c>
    </row>
    <row r="2537" spans="1:11" ht="20" customHeight="1">
      <c r="A2537" t="s">
        <v>4628</v>
      </c>
      <c r="B2537" t="s">
        <v>3047</v>
      </c>
      <c r="C2537">
        <v>559.77001953125</v>
      </c>
      <c r="D2537">
        <v>562.1099853515625</v>
      </c>
      <c r="E2537">
        <v>554.72998046875</v>
      </c>
      <c r="F2537">
        <v>560.6199951171875</v>
      </c>
      <c r="G2537">
        <v>546.298583984375</v>
      </c>
      <c r="H2537">
        <v>41514600</v>
      </c>
      <c r="I2537" t="s">
        <v>3048</v>
      </c>
      <c r="J2537" t="s">
        <v>3049</v>
      </c>
      <c r="K2537" t="s">
        <v>4629</v>
      </c>
    </row>
    <row r="2538" spans="1:11" ht="20" customHeight="1">
      <c r="A2538" t="s">
        <v>4628</v>
      </c>
      <c r="B2538" t="s">
        <v>3050</v>
      </c>
      <c r="C2538">
        <v>562.5599975585938</v>
      </c>
      <c r="D2538">
        <v>563.1799926757812</v>
      </c>
      <c r="E2538">
        <v>554.97998046875</v>
      </c>
      <c r="F2538">
        <v>556.219970703125</v>
      </c>
      <c r="G2538">
        <v>542.0108642578125</v>
      </c>
      <c r="H2538">
        <v>56121500</v>
      </c>
      <c r="I2538" t="s">
        <v>3051</v>
      </c>
      <c r="J2538" t="s">
        <v>3052</v>
      </c>
      <c r="K2538" t="s">
        <v>4629</v>
      </c>
    </row>
    <row r="2539" spans="1:11" ht="20" customHeight="1">
      <c r="A2539" t="s">
        <v>4628</v>
      </c>
      <c r="B2539" t="s">
        <v>3053</v>
      </c>
      <c r="C2539">
        <v>559.530029296875</v>
      </c>
      <c r="D2539">
        <v>563.0900268554688</v>
      </c>
      <c r="E2539">
        <v>557.2899780273438</v>
      </c>
      <c r="F2539">
        <v>562.1300048828125</v>
      </c>
      <c r="G2539">
        <v>547.7698974609375</v>
      </c>
      <c r="H2539">
        <v>50639400</v>
      </c>
      <c r="I2539" t="s">
        <v>3054</v>
      </c>
      <c r="J2539" t="s">
        <v>3055</v>
      </c>
      <c r="K2539" t="s">
        <v>4629</v>
      </c>
    </row>
    <row r="2540" spans="1:11" ht="20" customHeight="1">
      <c r="A2540" t="s">
        <v>4628</v>
      </c>
      <c r="B2540" t="s">
        <v>3056</v>
      </c>
      <c r="C2540">
        <v>563.1799926757812</v>
      </c>
      <c r="D2540">
        <v>563.9099731445312</v>
      </c>
      <c r="E2540">
        <v>559.0499877929688</v>
      </c>
      <c r="F2540">
        <v>560.7899780273438</v>
      </c>
      <c r="G2540">
        <v>546.4641723632812</v>
      </c>
      <c r="H2540">
        <v>35788600</v>
      </c>
      <c r="I2540" t="s">
        <v>3057</v>
      </c>
      <c r="J2540" t="s">
        <v>3058</v>
      </c>
      <c r="K2540" t="s">
        <v>4629</v>
      </c>
    </row>
    <row r="2541" spans="1:11" ht="20" customHeight="1">
      <c r="A2541" t="s">
        <v>4628</v>
      </c>
      <c r="B2541" t="s">
        <v>3059</v>
      </c>
      <c r="C2541">
        <v>559.489990234375</v>
      </c>
      <c r="D2541">
        <v>562.0599975585938</v>
      </c>
      <c r="E2541">
        <v>558.3200073242188</v>
      </c>
      <c r="F2541">
        <v>561.5599975585938</v>
      </c>
      <c r="G2541">
        <v>547.214599609375</v>
      </c>
      <c r="H2541">
        <v>32693900</v>
      </c>
      <c r="I2541" t="s">
        <v>3060</v>
      </c>
      <c r="J2541" t="s">
        <v>3061</v>
      </c>
      <c r="K2541" t="s">
        <v>4629</v>
      </c>
    </row>
    <row r="2542" spans="1:11" ht="20" customHeight="1">
      <c r="A2542" t="s">
        <v>4628</v>
      </c>
      <c r="B2542" t="s">
        <v>3062</v>
      </c>
      <c r="C2542">
        <v>561.2100219726562</v>
      </c>
      <c r="D2542">
        <v>561.6500244140625</v>
      </c>
      <c r="E2542">
        <v>555.0399780273438</v>
      </c>
      <c r="F2542">
        <v>558.2999877929688</v>
      </c>
      <c r="G2542">
        <v>544.0377807617188</v>
      </c>
      <c r="H2542">
        <v>41066000</v>
      </c>
      <c r="I2542" t="s">
        <v>3063</v>
      </c>
      <c r="J2542" t="s">
        <v>3064</v>
      </c>
      <c r="K2542" t="s">
        <v>4629</v>
      </c>
    </row>
    <row r="2543" spans="1:11" ht="20" customHeight="1">
      <c r="A2543" t="s">
        <v>4628</v>
      </c>
      <c r="B2543" t="s">
        <v>3065</v>
      </c>
      <c r="C2543">
        <v>560.3099975585938</v>
      </c>
      <c r="D2543">
        <v>563.6799926757812</v>
      </c>
      <c r="E2543">
        <v>557.1799926757812</v>
      </c>
      <c r="F2543">
        <v>558.3499755859375</v>
      </c>
      <c r="G2543">
        <v>544.0864868164062</v>
      </c>
      <c r="H2543">
        <v>38715200</v>
      </c>
      <c r="I2543" t="s">
        <v>3066</v>
      </c>
      <c r="J2543" t="s">
        <v>3067</v>
      </c>
      <c r="K2543" t="s">
        <v>4629</v>
      </c>
    </row>
    <row r="2544" spans="1:11" ht="20" customHeight="1">
      <c r="A2544" t="s">
        <v>4628</v>
      </c>
      <c r="B2544" t="s">
        <v>3068</v>
      </c>
      <c r="C2544">
        <v>560.77001953125</v>
      </c>
      <c r="D2544">
        <v>564.2000122070312</v>
      </c>
      <c r="E2544">
        <v>557.1400146484375</v>
      </c>
      <c r="F2544">
        <v>563.6799926757812</v>
      </c>
      <c r="G2544">
        <v>549.2803344726562</v>
      </c>
      <c r="H2544">
        <v>62700100</v>
      </c>
      <c r="I2544" t="s">
        <v>3069</v>
      </c>
      <c r="J2544" t="s">
        <v>3070</v>
      </c>
      <c r="K2544" t="s">
        <v>4629</v>
      </c>
    </row>
    <row r="2545" spans="1:11" ht="20" customHeight="1">
      <c r="A2545" t="s">
        <v>4628</v>
      </c>
      <c r="B2545" t="s">
        <v>3071</v>
      </c>
      <c r="C2545">
        <v>560.469970703125</v>
      </c>
      <c r="D2545">
        <v>560.8099975585938</v>
      </c>
      <c r="E2545">
        <v>549.510009765625</v>
      </c>
      <c r="F2545">
        <v>552.0800170898438</v>
      </c>
      <c r="G2545">
        <v>537.9766845703125</v>
      </c>
      <c r="H2545">
        <v>60600100</v>
      </c>
      <c r="I2545" t="s">
        <v>3072</v>
      </c>
      <c r="J2545" t="s">
        <v>3073</v>
      </c>
      <c r="K2545" t="s">
        <v>4629</v>
      </c>
    </row>
    <row r="2546" spans="1:11" ht="20" customHeight="1">
      <c r="A2546" t="s">
        <v>4628</v>
      </c>
      <c r="B2546" t="s">
        <v>3074</v>
      </c>
      <c r="C2546">
        <v>550.2000122070312</v>
      </c>
      <c r="D2546">
        <v>554.4299926757812</v>
      </c>
      <c r="E2546">
        <v>549.4600219726562</v>
      </c>
      <c r="F2546">
        <v>550.9500122070312</v>
      </c>
      <c r="G2546">
        <v>536.8756103515625</v>
      </c>
      <c r="H2546">
        <v>47224900</v>
      </c>
      <c r="I2546" t="s">
        <v>3075</v>
      </c>
      <c r="J2546" t="s">
        <v>3076</v>
      </c>
      <c r="K2546" t="s">
        <v>4629</v>
      </c>
    </row>
    <row r="2547" spans="1:11" ht="20" customHeight="1">
      <c r="A2547" t="s">
        <v>4628</v>
      </c>
      <c r="B2547" t="s">
        <v>3077</v>
      </c>
      <c r="C2547">
        <v>550.8900146484375</v>
      </c>
      <c r="D2547">
        <v>553.7999877929688</v>
      </c>
      <c r="E2547">
        <v>547.0999755859375</v>
      </c>
      <c r="F2547">
        <v>549.6099853515625</v>
      </c>
      <c r="G2547">
        <v>535.5697631835938</v>
      </c>
      <c r="H2547">
        <v>44264300</v>
      </c>
      <c r="I2547" t="s">
        <v>3078</v>
      </c>
      <c r="J2547" t="s">
        <v>3079</v>
      </c>
      <c r="K2547" t="s">
        <v>4629</v>
      </c>
    </row>
    <row r="2548" spans="1:11" ht="20" customHeight="1">
      <c r="A2548" t="s">
        <v>4628</v>
      </c>
      <c r="B2548" t="s">
        <v>3080</v>
      </c>
      <c r="C2548">
        <v>549.9400024414062</v>
      </c>
      <c r="D2548">
        <v>551.5999755859375</v>
      </c>
      <c r="E2548">
        <v>539.4400024414062</v>
      </c>
      <c r="F2548">
        <v>540.3599853515625</v>
      </c>
      <c r="G2548">
        <v>526.55615234375</v>
      </c>
      <c r="H2548">
        <v>68493800</v>
      </c>
      <c r="I2548" t="s">
        <v>3081</v>
      </c>
      <c r="J2548" t="s">
        <v>3082</v>
      </c>
      <c r="K2548" t="s">
        <v>4629</v>
      </c>
    </row>
    <row r="2549" spans="1:11" ht="20" customHeight="1">
      <c r="A2549" t="s">
        <v>4628</v>
      </c>
      <c r="B2549" t="s">
        <v>3083</v>
      </c>
      <c r="C2549">
        <v>544.6500244140625</v>
      </c>
      <c r="D2549">
        <v>547.7100219726562</v>
      </c>
      <c r="E2549">
        <v>542.6799926757812</v>
      </c>
      <c r="F2549">
        <v>546.4099731445312</v>
      </c>
      <c r="G2549">
        <v>532.451416015625</v>
      </c>
      <c r="H2549">
        <v>40445800</v>
      </c>
      <c r="I2549" t="s">
        <v>3084</v>
      </c>
      <c r="J2549" t="s">
        <v>3085</v>
      </c>
      <c r="K2549" t="s">
        <v>4629</v>
      </c>
    </row>
    <row r="2550" spans="1:11" ht="20" customHeight="1">
      <c r="A2550" t="s">
        <v>4628</v>
      </c>
      <c r="B2550" t="s">
        <v>3086</v>
      </c>
      <c r="C2550">
        <v>548.3599853515625</v>
      </c>
      <c r="D2550">
        <v>549.1500244140625</v>
      </c>
      <c r="E2550">
        <v>543.3800048828125</v>
      </c>
      <c r="F2550">
        <v>548.7899780273438</v>
      </c>
      <c r="G2550">
        <v>534.7708129882812</v>
      </c>
      <c r="H2550">
        <v>36394600</v>
      </c>
      <c r="I2550" t="s">
        <v>3087</v>
      </c>
      <c r="J2550" t="s">
        <v>3088</v>
      </c>
      <c r="K2550" t="s">
        <v>4629</v>
      </c>
    </row>
    <row r="2551" spans="1:11" ht="20" customHeight="1">
      <c r="A2551" t="s">
        <v>4628</v>
      </c>
      <c r="B2551" t="s">
        <v>3089</v>
      </c>
      <c r="C2551">
        <v>548.7000122070312</v>
      </c>
      <c r="D2551">
        <v>555.3599853515625</v>
      </c>
      <c r="E2551">
        <v>539.9600219726562</v>
      </c>
      <c r="F2551">
        <v>554.4199829101562</v>
      </c>
      <c r="G2551">
        <v>540.2568969726562</v>
      </c>
      <c r="H2551">
        <v>75248600</v>
      </c>
      <c r="I2551" t="s">
        <v>3090</v>
      </c>
      <c r="J2551" t="s">
        <v>3091</v>
      </c>
      <c r="K2551" t="s">
        <v>4629</v>
      </c>
    </row>
    <row r="2552" spans="1:11" ht="20" customHeight="1">
      <c r="A2552" t="s">
        <v>4628</v>
      </c>
      <c r="B2552" t="s">
        <v>3092</v>
      </c>
      <c r="C2552">
        <v>555.010009765625</v>
      </c>
      <c r="D2552">
        <v>559.4000244140625</v>
      </c>
      <c r="E2552">
        <v>552.739990234375</v>
      </c>
      <c r="F2552">
        <v>559.0900268554688</v>
      </c>
      <c r="G2552">
        <v>544.8077392578125</v>
      </c>
      <c r="H2552">
        <v>51819600</v>
      </c>
      <c r="I2552" t="s">
        <v>3093</v>
      </c>
      <c r="J2552" t="s">
        <v>3094</v>
      </c>
      <c r="K2552" t="s">
        <v>4629</v>
      </c>
    </row>
    <row r="2553" spans="1:11" ht="20" customHeight="1">
      <c r="A2553" t="s">
        <v>4628</v>
      </c>
      <c r="B2553" t="s">
        <v>3095</v>
      </c>
      <c r="C2553">
        <v>559.7100219726562</v>
      </c>
      <c r="D2553">
        <v>563.030029296875</v>
      </c>
      <c r="E2553">
        <v>559.4500122070312</v>
      </c>
      <c r="F2553">
        <v>562.010009765625</v>
      </c>
      <c r="G2553">
        <v>547.6530151367188</v>
      </c>
      <c r="H2553">
        <v>39310500</v>
      </c>
      <c r="I2553" t="s">
        <v>3096</v>
      </c>
      <c r="J2553" t="s">
        <v>3097</v>
      </c>
      <c r="K2553" t="s">
        <v>4629</v>
      </c>
    </row>
    <row r="2554" spans="1:11" ht="20" customHeight="1">
      <c r="A2554" t="s">
        <v>4628</v>
      </c>
      <c r="B2554" t="s">
        <v>3098</v>
      </c>
      <c r="C2554">
        <v>561.739990234375</v>
      </c>
      <c r="D2554">
        <v>563.1099853515625</v>
      </c>
      <c r="E2554">
        <v>559.9000244140625</v>
      </c>
      <c r="F2554">
        <v>562.8400268554688</v>
      </c>
      <c r="G2554">
        <v>548.4617919921875</v>
      </c>
      <c r="H2554">
        <v>36656100</v>
      </c>
      <c r="I2554" t="s">
        <v>3099</v>
      </c>
      <c r="J2554" t="s">
        <v>3100</v>
      </c>
      <c r="K2554" t="s">
        <v>4629</v>
      </c>
    </row>
    <row r="2555" spans="1:11" ht="20" customHeight="1">
      <c r="A2555" t="s">
        <v>4628</v>
      </c>
      <c r="B2555" t="s">
        <v>3101</v>
      </c>
      <c r="C2555">
        <v>565.0999755859375</v>
      </c>
      <c r="D2555">
        <v>566.5800170898438</v>
      </c>
      <c r="E2555">
        <v>560.7899780273438</v>
      </c>
      <c r="F2555">
        <v>563.0700073242188</v>
      </c>
      <c r="G2555">
        <v>548.68603515625</v>
      </c>
      <c r="H2555">
        <v>49321000</v>
      </c>
      <c r="I2555" t="s">
        <v>3102</v>
      </c>
      <c r="J2555" t="s">
        <v>3103</v>
      </c>
      <c r="K2555" t="s">
        <v>4629</v>
      </c>
    </row>
    <row r="2556" spans="1:11" ht="20" customHeight="1">
      <c r="A2556" t="s">
        <v>4628</v>
      </c>
      <c r="B2556" t="s">
        <v>3104</v>
      </c>
      <c r="C2556">
        <v>563.739990234375</v>
      </c>
      <c r="D2556">
        <v>568.6900024414062</v>
      </c>
      <c r="E2556">
        <v>560.8300170898438</v>
      </c>
      <c r="F2556">
        <v>561.4000244140625</v>
      </c>
      <c r="G2556">
        <v>547.0586547851562</v>
      </c>
      <c r="H2556">
        <v>59044900</v>
      </c>
      <c r="I2556" t="s">
        <v>3105</v>
      </c>
      <c r="J2556" t="s">
        <v>3106</v>
      </c>
      <c r="K2556" t="s">
        <v>4629</v>
      </c>
    </row>
    <row r="2557" spans="1:11" ht="20" customHeight="1">
      <c r="A2557" t="s">
        <v>4628</v>
      </c>
      <c r="B2557" t="s">
        <v>3107</v>
      </c>
      <c r="C2557">
        <v>571.010009765625</v>
      </c>
      <c r="D2557">
        <v>572.8800048828125</v>
      </c>
      <c r="E2557">
        <v>568.0800170898438</v>
      </c>
      <c r="F2557">
        <v>570.97998046875</v>
      </c>
      <c r="G2557">
        <v>556.3939208984375</v>
      </c>
      <c r="H2557">
        <v>75315500</v>
      </c>
      <c r="I2557" t="s">
        <v>3108</v>
      </c>
      <c r="J2557" t="s">
        <v>3109</v>
      </c>
      <c r="K2557" t="s">
        <v>4629</v>
      </c>
    </row>
    <row r="2558" spans="1:11" ht="20" customHeight="1">
      <c r="A2558" t="s">
        <v>4628</v>
      </c>
      <c r="B2558" t="s">
        <v>3110</v>
      </c>
      <c r="C2558">
        <v>567.8400268554688</v>
      </c>
      <c r="D2558">
        <v>569.3099975585938</v>
      </c>
      <c r="E2558">
        <v>565.1699829101562</v>
      </c>
      <c r="F2558">
        <v>568.25</v>
      </c>
      <c r="G2558">
        <v>555.43212890625</v>
      </c>
      <c r="H2558">
        <v>77503100</v>
      </c>
      <c r="I2558" t="s">
        <v>3111</v>
      </c>
      <c r="J2558" t="s">
        <v>3112</v>
      </c>
      <c r="K2558" t="s">
        <v>4629</v>
      </c>
    </row>
    <row r="2559" spans="1:11" ht="20" customHeight="1">
      <c r="A2559" t="s">
        <v>4628</v>
      </c>
      <c r="B2559" t="s">
        <v>3113</v>
      </c>
      <c r="C2559">
        <v>569.3400268554688</v>
      </c>
      <c r="D2559">
        <v>570.3300170898438</v>
      </c>
      <c r="E2559">
        <v>568.0999755859375</v>
      </c>
      <c r="F2559">
        <v>569.6699829101562</v>
      </c>
      <c r="G2559">
        <v>556.820068359375</v>
      </c>
      <c r="H2559">
        <v>44116900</v>
      </c>
      <c r="I2559" t="s">
        <v>3114</v>
      </c>
      <c r="J2559" t="s">
        <v>3115</v>
      </c>
      <c r="K2559" t="s">
        <v>4629</v>
      </c>
    </row>
    <row r="2560" spans="1:11" ht="20" customHeight="1">
      <c r="A2560" t="s">
        <v>4628</v>
      </c>
      <c r="B2560" t="s">
        <v>3116</v>
      </c>
      <c r="C2560">
        <v>570.47998046875</v>
      </c>
      <c r="D2560">
        <v>571.3599853515625</v>
      </c>
      <c r="E2560">
        <v>567.5999755859375</v>
      </c>
      <c r="F2560">
        <v>571.2999877929688</v>
      </c>
      <c r="G2560">
        <v>558.4132690429688</v>
      </c>
      <c r="H2560">
        <v>46805700</v>
      </c>
      <c r="I2560" t="s">
        <v>3117</v>
      </c>
      <c r="J2560" t="s">
        <v>3118</v>
      </c>
      <c r="K2560" t="s">
        <v>4629</v>
      </c>
    </row>
    <row r="2561" spans="1:11" ht="20" customHeight="1">
      <c r="A2561" t="s">
        <v>4628</v>
      </c>
      <c r="B2561" t="s">
        <v>3119</v>
      </c>
      <c r="C2561">
        <v>571.1400146484375</v>
      </c>
      <c r="D2561">
        <v>571.8900146484375</v>
      </c>
      <c r="E2561">
        <v>568.9099731445312</v>
      </c>
      <c r="F2561">
        <v>570.0399780273438</v>
      </c>
      <c r="G2561">
        <v>557.1817016601562</v>
      </c>
      <c r="H2561">
        <v>38428600</v>
      </c>
      <c r="I2561" t="s">
        <v>3120</v>
      </c>
      <c r="J2561" t="s">
        <v>3121</v>
      </c>
      <c r="K2561" t="s">
        <v>4629</v>
      </c>
    </row>
    <row r="2562" spans="1:11" ht="20" customHeight="1">
      <c r="A2562" t="s">
        <v>4628</v>
      </c>
      <c r="B2562" t="s">
        <v>3122</v>
      </c>
      <c r="C2562">
        <v>574.3800048828125</v>
      </c>
      <c r="D2562">
        <v>574.7100219726562</v>
      </c>
      <c r="E2562">
        <v>569.9000244140625</v>
      </c>
      <c r="F2562">
        <v>572.2999877929688</v>
      </c>
      <c r="G2562">
        <v>559.3908081054688</v>
      </c>
      <c r="H2562">
        <v>48336000</v>
      </c>
      <c r="I2562" t="s">
        <v>3123</v>
      </c>
      <c r="J2562" t="s">
        <v>3124</v>
      </c>
      <c r="K2562" t="s">
        <v>4629</v>
      </c>
    </row>
    <row r="2563" spans="1:11" ht="20" customHeight="1">
      <c r="A2563" t="s">
        <v>4628</v>
      </c>
      <c r="B2563" t="s">
        <v>3125</v>
      </c>
      <c r="C2563">
        <v>573.3900146484375</v>
      </c>
      <c r="D2563">
        <v>574.219970703125</v>
      </c>
      <c r="E2563">
        <v>570.4199829101562</v>
      </c>
      <c r="F2563">
        <v>571.469970703125</v>
      </c>
      <c r="G2563">
        <v>558.5794067382812</v>
      </c>
      <c r="H2563">
        <v>42100900</v>
      </c>
      <c r="I2563" t="s">
        <v>3126</v>
      </c>
      <c r="J2563" t="s">
        <v>3127</v>
      </c>
      <c r="K2563" t="s">
        <v>4629</v>
      </c>
    </row>
    <row r="2564" spans="1:11" ht="20" customHeight="1">
      <c r="A2564" t="s">
        <v>4628</v>
      </c>
      <c r="B2564" t="s">
        <v>3128</v>
      </c>
      <c r="C2564">
        <v>570.4199829101562</v>
      </c>
      <c r="D2564">
        <v>574.3800048828125</v>
      </c>
      <c r="E2564">
        <v>568.0800170898438</v>
      </c>
      <c r="F2564">
        <v>573.760009765625</v>
      </c>
      <c r="G2564">
        <v>560.8178100585938</v>
      </c>
      <c r="H2564">
        <v>63557400</v>
      </c>
      <c r="I2564" t="s">
        <v>3129</v>
      </c>
      <c r="J2564" t="s">
        <v>3130</v>
      </c>
      <c r="K2564" t="s">
        <v>4629</v>
      </c>
    </row>
    <row r="2565" spans="1:11" ht="20" customHeight="1">
      <c r="A2565" t="s">
        <v>4628</v>
      </c>
      <c r="B2565" t="s">
        <v>3131</v>
      </c>
      <c r="C2565">
        <v>573.4000244140625</v>
      </c>
      <c r="D2565">
        <v>574.0599975585938</v>
      </c>
      <c r="E2565">
        <v>566</v>
      </c>
      <c r="F2565">
        <v>568.6199951171875</v>
      </c>
      <c r="G2565">
        <v>555.7938232421875</v>
      </c>
      <c r="H2565">
        <v>72668800</v>
      </c>
      <c r="I2565" t="s">
        <v>3132</v>
      </c>
      <c r="J2565" t="s">
        <v>3133</v>
      </c>
      <c r="K2565" t="s">
        <v>4629</v>
      </c>
    </row>
    <row r="2566" spans="1:11" ht="20" customHeight="1">
      <c r="A2566" t="s">
        <v>4628</v>
      </c>
      <c r="B2566" t="s">
        <v>3134</v>
      </c>
      <c r="C2566">
        <v>567.7100219726562</v>
      </c>
      <c r="D2566">
        <v>569.9000244140625</v>
      </c>
      <c r="E2566">
        <v>565.27001953125</v>
      </c>
      <c r="F2566">
        <v>568.8599853515625</v>
      </c>
      <c r="G2566">
        <v>556.0283203125</v>
      </c>
      <c r="H2566">
        <v>38097800</v>
      </c>
      <c r="I2566" t="s">
        <v>3135</v>
      </c>
      <c r="J2566" t="s">
        <v>3136</v>
      </c>
      <c r="K2566" t="s">
        <v>4629</v>
      </c>
    </row>
    <row r="2567" spans="1:11" ht="20" customHeight="1">
      <c r="A2567" t="s">
        <v>4628</v>
      </c>
      <c r="B2567" t="s">
        <v>3137</v>
      </c>
      <c r="C2567">
        <v>567.3599853515625</v>
      </c>
      <c r="D2567">
        <v>569.7999877929688</v>
      </c>
      <c r="E2567">
        <v>565.489990234375</v>
      </c>
      <c r="F2567">
        <v>567.8200073242188</v>
      </c>
      <c r="G2567">
        <v>555.0117797851562</v>
      </c>
      <c r="H2567">
        <v>40846500</v>
      </c>
      <c r="I2567" t="s">
        <v>3138</v>
      </c>
      <c r="J2567" t="s">
        <v>3139</v>
      </c>
      <c r="K2567" t="s">
        <v>4629</v>
      </c>
    </row>
    <row r="2568" spans="1:11" ht="20" customHeight="1">
      <c r="A2568" t="s">
        <v>4628</v>
      </c>
      <c r="B2568" t="s">
        <v>3140</v>
      </c>
      <c r="C2568">
        <v>572.3499755859375</v>
      </c>
      <c r="D2568">
        <v>573.3599853515625</v>
      </c>
      <c r="E2568">
        <v>568.0999755859375</v>
      </c>
      <c r="F2568">
        <v>572.97998046875</v>
      </c>
      <c r="G2568">
        <v>560.055419921875</v>
      </c>
      <c r="H2568">
        <v>42939100</v>
      </c>
      <c r="I2568" t="s">
        <v>3141</v>
      </c>
      <c r="J2568" t="s">
        <v>3142</v>
      </c>
      <c r="K2568" t="s">
        <v>4629</v>
      </c>
    </row>
    <row r="2569" spans="1:11" ht="20" customHeight="1">
      <c r="A2569" t="s">
        <v>4628</v>
      </c>
      <c r="B2569" t="s">
        <v>3143</v>
      </c>
      <c r="C2569">
        <v>571.2999877929688</v>
      </c>
      <c r="D2569">
        <v>571.9600219726562</v>
      </c>
      <c r="E2569">
        <v>566.6300048828125</v>
      </c>
      <c r="F2569">
        <v>567.7999877929688</v>
      </c>
      <c r="G2569">
        <v>554.9921264648438</v>
      </c>
      <c r="H2569">
        <v>49964700</v>
      </c>
      <c r="I2569" t="s">
        <v>3144</v>
      </c>
      <c r="J2569" t="s">
        <v>3145</v>
      </c>
      <c r="K2569" t="s">
        <v>4629</v>
      </c>
    </row>
    <row r="2570" spans="1:11" ht="20" customHeight="1">
      <c r="A2570" t="s">
        <v>4628</v>
      </c>
      <c r="B2570" t="s">
        <v>3146</v>
      </c>
      <c r="C2570">
        <v>570.4199829101562</v>
      </c>
      <c r="D2570">
        <v>573.780029296875</v>
      </c>
      <c r="E2570">
        <v>569.530029296875</v>
      </c>
      <c r="F2570">
        <v>573.1699829101562</v>
      </c>
      <c r="G2570">
        <v>560.2410888671875</v>
      </c>
      <c r="H2570">
        <v>37398700</v>
      </c>
      <c r="I2570" t="s">
        <v>3147</v>
      </c>
      <c r="J2570" t="s">
        <v>3148</v>
      </c>
      <c r="K2570" t="s">
        <v>4629</v>
      </c>
    </row>
    <row r="2571" spans="1:11" ht="20" customHeight="1">
      <c r="A2571" t="s">
        <v>4628</v>
      </c>
      <c r="B2571" t="s">
        <v>3149</v>
      </c>
      <c r="C2571">
        <v>573.1599731445312</v>
      </c>
      <c r="D2571">
        <v>577.7100219726562</v>
      </c>
      <c r="E2571">
        <v>572.5499877929688</v>
      </c>
      <c r="F2571">
        <v>577.1400146484375</v>
      </c>
      <c r="G2571">
        <v>564.12158203125</v>
      </c>
      <c r="H2571">
        <v>37912200</v>
      </c>
      <c r="I2571" t="s">
        <v>3150</v>
      </c>
      <c r="J2571" t="s">
        <v>3151</v>
      </c>
      <c r="K2571" t="s">
        <v>4629</v>
      </c>
    </row>
    <row r="2572" spans="1:11" ht="20" customHeight="1">
      <c r="A2572" t="s">
        <v>4628</v>
      </c>
      <c r="B2572" t="s">
        <v>3152</v>
      </c>
      <c r="C2572">
        <v>575.77001953125</v>
      </c>
      <c r="D2572">
        <v>577.5800170898438</v>
      </c>
      <c r="E2572">
        <v>574.489990234375</v>
      </c>
      <c r="F2572">
        <v>576.1300048828125</v>
      </c>
      <c r="G2572">
        <v>563.1343383789062</v>
      </c>
      <c r="H2572">
        <v>44138100</v>
      </c>
      <c r="I2572" t="s">
        <v>3153</v>
      </c>
      <c r="J2572" t="s">
        <v>3154</v>
      </c>
      <c r="K2572" t="s">
        <v>4629</v>
      </c>
    </row>
    <row r="2573" spans="1:11" ht="20" customHeight="1">
      <c r="A2573" t="s">
        <v>4628</v>
      </c>
      <c r="B2573" t="s">
        <v>3155</v>
      </c>
      <c r="C2573">
        <v>576.0499877929688</v>
      </c>
      <c r="D2573">
        <v>580.3300170898438</v>
      </c>
      <c r="E2573">
        <v>575.9099731445312</v>
      </c>
      <c r="F2573">
        <v>579.5800170898438</v>
      </c>
      <c r="G2573">
        <v>566.5065307617188</v>
      </c>
      <c r="H2573">
        <v>42268000</v>
      </c>
      <c r="I2573" t="s">
        <v>3156</v>
      </c>
      <c r="J2573" t="s">
        <v>3157</v>
      </c>
      <c r="K2573" t="s">
        <v>4629</v>
      </c>
    </row>
    <row r="2574" spans="1:11" ht="20" customHeight="1">
      <c r="A2574" t="s">
        <v>4628</v>
      </c>
      <c r="B2574" t="s">
        <v>3158</v>
      </c>
      <c r="C2574">
        <v>581.219970703125</v>
      </c>
      <c r="D2574">
        <v>585.27001953125</v>
      </c>
      <c r="E2574">
        <v>580.72998046875</v>
      </c>
      <c r="F2574">
        <v>584.3200073242188</v>
      </c>
      <c r="G2574">
        <v>571.1396484375</v>
      </c>
      <c r="H2574">
        <v>36217200</v>
      </c>
      <c r="I2574" t="s">
        <v>3159</v>
      </c>
      <c r="J2574" t="s">
        <v>3160</v>
      </c>
      <c r="K2574" t="s">
        <v>4629</v>
      </c>
    </row>
    <row r="2575" spans="1:11" ht="20" customHeight="1">
      <c r="A2575" t="s">
        <v>4628</v>
      </c>
      <c r="B2575" t="s">
        <v>3161</v>
      </c>
      <c r="C2575">
        <v>584.5900268554688</v>
      </c>
      <c r="D2575">
        <v>584.9000244140625</v>
      </c>
      <c r="E2575">
        <v>578.5399780273438</v>
      </c>
      <c r="F2575">
        <v>579.780029296875</v>
      </c>
      <c r="G2575">
        <v>566.7020874023438</v>
      </c>
      <c r="H2575">
        <v>54203600</v>
      </c>
      <c r="I2575" t="s">
        <v>3162</v>
      </c>
      <c r="J2575" t="s">
        <v>3163</v>
      </c>
      <c r="K2575" t="s">
        <v>4629</v>
      </c>
    </row>
    <row r="2576" spans="1:11" ht="20" customHeight="1">
      <c r="A2576" t="s">
        <v>4628</v>
      </c>
      <c r="B2576" t="s">
        <v>3164</v>
      </c>
      <c r="C2576">
        <v>579.780029296875</v>
      </c>
      <c r="D2576">
        <v>582.8300170898438</v>
      </c>
      <c r="E2576">
        <v>578.9600219726562</v>
      </c>
      <c r="F2576">
        <v>582.2999877929688</v>
      </c>
      <c r="G2576">
        <v>569.1651611328125</v>
      </c>
      <c r="H2576">
        <v>30725400</v>
      </c>
      <c r="I2576" t="s">
        <v>3165</v>
      </c>
      <c r="J2576" t="s">
        <v>3166</v>
      </c>
      <c r="K2576" t="s">
        <v>4629</v>
      </c>
    </row>
    <row r="2577" spans="1:11" ht="20" customHeight="1">
      <c r="A2577" t="s">
        <v>4628</v>
      </c>
      <c r="B2577" t="s">
        <v>3167</v>
      </c>
      <c r="C2577">
        <v>585.9099731445312</v>
      </c>
      <c r="D2577">
        <v>586.1199951171875</v>
      </c>
      <c r="E2577">
        <v>582.1599731445312</v>
      </c>
      <c r="F2577">
        <v>582.3499755859375</v>
      </c>
      <c r="G2577">
        <v>569.2140502929688</v>
      </c>
      <c r="H2577">
        <v>34393700</v>
      </c>
      <c r="I2577" t="s">
        <v>3168</v>
      </c>
      <c r="J2577" t="s">
        <v>3169</v>
      </c>
      <c r="K2577" t="s">
        <v>4629</v>
      </c>
    </row>
    <row r="2578" spans="1:11" ht="20" customHeight="1">
      <c r="A2578" t="s">
        <v>4628</v>
      </c>
      <c r="B2578" t="s">
        <v>3170</v>
      </c>
      <c r="C2578">
        <v>584.0700073242188</v>
      </c>
      <c r="D2578">
        <v>585.3900146484375</v>
      </c>
      <c r="E2578">
        <v>582.5800170898438</v>
      </c>
      <c r="F2578">
        <v>584.5900268554688</v>
      </c>
      <c r="G2578">
        <v>571.4035034179688</v>
      </c>
      <c r="H2578">
        <v>37416800</v>
      </c>
      <c r="I2578" t="s">
        <v>3171</v>
      </c>
      <c r="J2578" t="s">
        <v>3172</v>
      </c>
      <c r="K2578" t="s">
        <v>4629</v>
      </c>
    </row>
    <row r="2579" spans="1:11" ht="20" customHeight="1">
      <c r="A2579" t="s">
        <v>4628</v>
      </c>
      <c r="B2579" t="s">
        <v>3173</v>
      </c>
      <c r="C2579">
        <v>583.8499755859375</v>
      </c>
      <c r="D2579">
        <v>584.8499755859375</v>
      </c>
      <c r="E2579">
        <v>580.5999755859375</v>
      </c>
      <c r="F2579">
        <v>583.6300048828125</v>
      </c>
      <c r="G2579">
        <v>570.4652099609375</v>
      </c>
      <c r="H2579">
        <v>36439000</v>
      </c>
      <c r="I2579" t="s">
        <v>3174</v>
      </c>
      <c r="J2579" t="s">
        <v>3175</v>
      </c>
      <c r="K2579" t="s">
        <v>4629</v>
      </c>
    </row>
    <row r="2580" spans="1:11" ht="20" customHeight="1">
      <c r="A2580" t="s">
        <v>4628</v>
      </c>
      <c r="B2580" t="s">
        <v>3176</v>
      </c>
      <c r="C2580">
        <v>581.0499877929688</v>
      </c>
      <c r="D2580">
        <v>584.5</v>
      </c>
      <c r="E2580">
        <v>580.3800048828125</v>
      </c>
      <c r="F2580">
        <v>583.3200073242188</v>
      </c>
      <c r="G2580">
        <v>570.1621704101562</v>
      </c>
      <c r="H2580">
        <v>34183800</v>
      </c>
      <c r="I2580" t="s">
        <v>3177</v>
      </c>
      <c r="J2580" t="s">
        <v>3178</v>
      </c>
      <c r="K2580" t="s">
        <v>4629</v>
      </c>
    </row>
    <row r="2581" spans="1:11" ht="20" customHeight="1">
      <c r="A2581" t="s">
        <v>4628</v>
      </c>
      <c r="B2581" t="s">
        <v>3179</v>
      </c>
      <c r="C2581">
        <v>581.260009765625</v>
      </c>
      <c r="D2581">
        <v>581.7100219726562</v>
      </c>
      <c r="E2581">
        <v>574.4199829101562</v>
      </c>
      <c r="F2581">
        <v>577.989990234375</v>
      </c>
      <c r="G2581">
        <v>564.9523315429688</v>
      </c>
      <c r="H2581">
        <v>49314600</v>
      </c>
      <c r="I2581" t="s">
        <v>3180</v>
      </c>
      <c r="J2581" t="s">
        <v>3181</v>
      </c>
      <c r="K2581" t="s">
        <v>4629</v>
      </c>
    </row>
    <row r="2582" spans="1:11" ht="20" customHeight="1">
      <c r="A2582" t="s">
        <v>4628</v>
      </c>
      <c r="B2582" t="s">
        <v>3182</v>
      </c>
      <c r="C2582">
        <v>579.97998046875</v>
      </c>
      <c r="D2582">
        <v>580.0599975585938</v>
      </c>
      <c r="E2582">
        <v>576.5700073242188</v>
      </c>
      <c r="F2582">
        <v>579.239990234375</v>
      </c>
      <c r="G2582">
        <v>566.1741943359375</v>
      </c>
      <c r="H2582">
        <v>34979900</v>
      </c>
      <c r="I2582" t="s">
        <v>3183</v>
      </c>
      <c r="J2582" t="s">
        <v>3184</v>
      </c>
      <c r="K2582" t="s">
        <v>4629</v>
      </c>
    </row>
    <row r="2583" spans="1:11" ht="20" customHeight="1">
      <c r="A2583" t="s">
        <v>4628</v>
      </c>
      <c r="B2583" t="s">
        <v>3185</v>
      </c>
      <c r="C2583">
        <v>581.510009765625</v>
      </c>
      <c r="D2583">
        <v>584.4600219726562</v>
      </c>
      <c r="E2583">
        <v>578.0800170898438</v>
      </c>
      <c r="F2583">
        <v>579.0399780273438</v>
      </c>
      <c r="G2583">
        <v>565.9786376953125</v>
      </c>
      <c r="H2583">
        <v>47268200</v>
      </c>
      <c r="I2583" t="s">
        <v>3186</v>
      </c>
      <c r="J2583" t="s">
        <v>3187</v>
      </c>
      <c r="K2583" t="s">
        <v>4629</v>
      </c>
    </row>
    <row r="2584" spans="1:11" ht="20" customHeight="1">
      <c r="A2584" t="s">
        <v>4628</v>
      </c>
      <c r="B2584" t="s">
        <v>3188</v>
      </c>
      <c r="C2584">
        <v>582.5800170898438</v>
      </c>
      <c r="D2584">
        <v>582.7100219726562</v>
      </c>
      <c r="E2584">
        <v>580.52001953125</v>
      </c>
      <c r="F2584">
        <v>580.8300170898438</v>
      </c>
      <c r="G2584">
        <v>567.7283325195312</v>
      </c>
      <c r="H2584">
        <v>30174700</v>
      </c>
      <c r="I2584" t="s">
        <v>3189</v>
      </c>
      <c r="J2584" t="s">
        <v>3190</v>
      </c>
      <c r="K2584" t="s">
        <v>4629</v>
      </c>
    </row>
    <row r="2585" spans="1:11" ht="20" customHeight="1">
      <c r="A2585" t="s">
        <v>4628</v>
      </c>
      <c r="B2585" t="s">
        <v>3191</v>
      </c>
      <c r="C2585">
        <v>579.8499755859375</v>
      </c>
      <c r="D2585">
        <v>582.9099731445312</v>
      </c>
      <c r="E2585">
        <v>578.4299926757812</v>
      </c>
      <c r="F2585">
        <v>581.77001953125</v>
      </c>
      <c r="G2585">
        <v>568.6471557617188</v>
      </c>
      <c r="H2585">
        <v>42899700</v>
      </c>
      <c r="I2585" t="s">
        <v>3192</v>
      </c>
      <c r="J2585" t="s">
        <v>3193</v>
      </c>
      <c r="K2585" t="s">
        <v>4629</v>
      </c>
    </row>
    <row r="2586" spans="1:11" ht="20" customHeight="1">
      <c r="A2586" t="s">
        <v>4628</v>
      </c>
      <c r="B2586" t="s">
        <v>3194</v>
      </c>
      <c r="C2586">
        <v>581.2899780273438</v>
      </c>
      <c r="D2586">
        <v>583.3200073242188</v>
      </c>
      <c r="E2586">
        <v>579.2899780273438</v>
      </c>
      <c r="F2586">
        <v>580.010009765625</v>
      </c>
      <c r="G2586">
        <v>566.9268798828125</v>
      </c>
      <c r="H2586">
        <v>41435800</v>
      </c>
      <c r="I2586" t="s">
        <v>3195</v>
      </c>
      <c r="J2586" t="s">
        <v>3196</v>
      </c>
      <c r="K2586" t="s">
        <v>4629</v>
      </c>
    </row>
    <row r="2587" spans="1:11" ht="20" customHeight="1">
      <c r="A2587" t="s">
        <v>4628</v>
      </c>
      <c r="B2587" t="s">
        <v>3197</v>
      </c>
      <c r="C2587">
        <v>575.5599975585938</v>
      </c>
      <c r="D2587">
        <v>575.6300048828125</v>
      </c>
      <c r="E2587">
        <v>568.4400024414062</v>
      </c>
      <c r="F2587">
        <v>568.6400146484375</v>
      </c>
      <c r="G2587">
        <v>555.8133544921875</v>
      </c>
      <c r="H2587">
        <v>60182500</v>
      </c>
      <c r="I2587" t="s">
        <v>3198</v>
      </c>
      <c r="J2587" t="s">
        <v>3199</v>
      </c>
      <c r="K2587" t="s">
        <v>4629</v>
      </c>
    </row>
    <row r="2588" spans="1:11" ht="20" customHeight="1">
      <c r="A2588" t="s">
        <v>4628</v>
      </c>
      <c r="B2588" t="s">
        <v>3200</v>
      </c>
      <c r="C2588">
        <v>571.3200073242188</v>
      </c>
      <c r="D2588">
        <v>575.5499877929688</v>
      </c>
      <c r="E2588">
        <v>570.6199951171875</v>
      </c>
      <c r="F2588">
        <v>571.0399780273438</v>
      </c>
      <c r="G2588">
        <v>558.1591186523438</v>
      </c>
      <c r="H2588">
        <v>45667500</v>
      </c>
      <c r="I2588" t="s">
        <v>3201</v>
      </c>
      <c r="J2588" t="s">
        <v>3202</v>
      </c>
      <c r="K2588" t="s">
        <v>4629</v>
      </c>
    </row>
    <row r="2589" spans="1:11" ht="20" customHeight="1">
      <c r="A2589" t="s">
        <v>4628</v>
      </c>
      <c r="B2589" t="s">
        <v>3203</v>
      </c>
      <c r="C2589">
        <v>571.1799926757812</v>
      </c>
      <c r="D2589">
        <v>572.5</v>
      </c>
      <c r="E2589">
        <v>567.8900146484375</v>
      </c>
      <c r="F2589">
        <v>569.8099975585938</v>
      </c>
      <c r="G2589">
        <v>556.9569091796875</v>
      </c>
      <c r="H2589">
        <v>38217000</v>
      </c>
      <c r="I2589" t="s">
        <v>3204</v>
      </c>
      <c r="J2589" t="s">
        <v>3205</v>
      </c>
      <c r="K2589" t="s">
        <v>4629</v>
      </c>
    </row>
    <row r="2590" spans="1:11" ht="20" customHeight="1">
      <c r="A2590" t="s">
        <v>4628</v>
      </c>
      <c r="B2590" t="s">
        <v>3206</v>
      </c>
      <c r="C2590">
        <v>570.739990234375</v>
      </c>
      <c r="D2590">
        <v>576.739990234375</v>
      </c>
      <c r="E2590">
        <v>570.52001953125</v>
      </c>
      <c r="F2590">
        <v>576.7000122070312</v>
      </c>
      <c r="G2590">
        <v>563.6914672851562</v>
      </c>
      <c r="H2590">
        <v>39478300</v>
      </c>
      <c r="I2590" t="s">
        <v>3207</v>
      </c>
      <c r="J2590" t="s">
        <v>3208</v>
      </c>
      <c r="K2590" t="s">
        <v>4629</v>
      </c>
    </row>
    <row r="2591" spans="1:11" ht="20" customHeight="1">
      <c r="A2591" t="s">
        <v>4628</v>
      </c>
      <c r="B2591" t="s">
        <v>3209</v>
      </c>
      <c r="C2591">
        <v>589.2000122070312</v>
      </c>
      <c r="D2591">
        <v>591.9299926757812</v>
      </c>
      <c r="E2591">
        <v>585.3900146484375</v>
      </c>
      <c r="F2591">
        <v>591.0399780273438</v>
      </c>
      <c r="G2591">
        <v>577.7080078125</v>
      </c>
      <c r="H2591">
        <v>68182000</v>
      </c>
      <c r="I2591" t="s">
        <v>3210</v>
      </c>
      <c r="J2591" t="s">
        <v>3211</v>
      </c>
      <c r="K2591" t="s">
        <v>4629</v>
      </c>
    </row>
    <row r="2592" spans="1:11" ht="20" customHeight="1">
      <c r="A2592" t="s">
        <v>4628</v>
      </c>
      <c r="B2592" t="s">
        <v>3212</v>
      </c>
      <c r="C2592">
        <v>593.0800170898438</v>
      </c>
      <c r="D2592">
        <v>596.6500244140625</v>
      </c>
      <c r="E2592">
        <v>593</v>
      </c>
      <c r="F2592">
        <v>595.6099853515625</v>
      </c>
      <c r="G2592">
        <v>582.1748657226562</v>
      </c>
      <c r="H2592">
        <v>47233200</v>
      </c>
      <c r="I2592" t="s">
        <v>3213</v>
      </c>
      <c r="J2592" t="s">
        <v>3214</v>
      </c>
      <c r="K2592" t="s">
        <v>4629</v>
      </c>
    </row>
    <row r="2593" spans="1:11" ht="20" customHeight="1">
      <c r="A2593" t="s">
        <v>4628</v>
      </c>
      <c r="B2593" t="s">
        <v>3215</v>
      </c>
      <c r="C2593">
        <v>596.1699829101562</v>
      </c>
      <c r="D2593">
        <v>599.6400146484375</v>
      </c>
      <c r="E2593">
        <v>596.1699829101562</v>
      </c>
      <c r="F2593">
        <v>598.1900024414062</v>
      </c>
      <c r="G2593">
        <v>584.6967163085938</v>
      </c>
      <c r="H2593">
        <v>46444900</v>
      </c>
      <c r="I2593" t="s">
        <v>3216</v>
      </c>
      <c r="J2593" t="s">
        <v>3217</v>
      </c>
      <c r="K2593" t="s">
        <v>4629</v>
      </c>
    </row>
    <row r="2594" spans="1:11" ht="20" customHeight="1">
      <c r="A2594" t="s">
        <v>4628</v>
      </c>
      <c r="B2594" t="s">
        <v>3218</v>
      </c>
      <c r="C2594">
        <v>599.8099975585938</v>
      </c>
      <c r="D2594">
        <v>600.1699829101562</v>
      </c>
      <c r="E2594">
        <v>597</v>
      </c>
      <c r="F2594">
        <v>598.760009765625</v>
      </c>
      <c r="G2594">
        <v>585.2537841796875</v>
      </c>
      <c r="H2594">
        <v>37586800</v>
      </c>
      <c r="I2594" t="s">
        <v>3219</v>
      </c>
      <c r="J2594" t="s">
        <v>3220</v>
      </c>
      <c r="K2594" t="s">
        <v>4629</v>
      </c>
    </row>
    <row r="2595" spans="1:11" ht="20" customHeight="1">
      <c r="A2595" t="s">
        <v>4628</v>
      </c>
      <c r="B2595" t="s">
        <v>3221</v>
      </c>
      <c r="C2595">
        <v>598.6799926757812</v>
      </c>
      <c r="D2595">
        <v>599.2899780273438</v>
      </c>
      <c r="E2595">
        <v>594.3699951171875</v>
      </c>
      <c r="F2595">
        <v>596.9000244140625</v>
      </c>
      <c r="G2595">
        <v>583.4359130859375</v>
      </c>
      <c r="H2595">
        <v>43006100</v>
      </c>
      <c r="I2595" t="s">
        <v>3222</v>
      </c>
      <c r="J2595" t="s">
        <v>3223</v>
      </c>
      <c r="K2595" t="s">
        <v>4629</v>
      </c>
    </row>
    <row r="2596" spans="1:11" ht="20" customHeight="1">
      <c r="A2596" t="s">
        <v>4628</v>
      </c>
      <c r="B2596" t="s">
        <v>3224</v>
      </c>
      <c r="C2596">
        <v>597.3699951171875</v>
      </c>
      <c r="D2596">
        <v>599.22998046875</v>
      </c>
      <c r="E2596">
        <v>594.9600219726562</v>
      </c>
      <c r="F2596">
        <v>597.1900024414062</v>
      </c>
      <c r="G2596">
        <v>583.7192993164062</v>
      </c>
      <c r="H2596">
        <v>47388600</v>
      </c>
      <c r="I2596" t="s">
        <v>3225</v>
      </c>
      <c r="J2596" t="s">
        <v>3226</v>
      </c>
      <c r="K2596" t="s">
        <v>4629</v>
      </c>
    </row>
    <row r="2597" spans="1:11" ht="20" customHeight="1">
      <c r="A2597" t="s">
        <v>4628</v>
      </c>
      <c r="B2597" t="s">
        <v>3227</v>
      </c>
      <c r="C2597">
        <v>597.3200073242188</v>
      </c>
      <c r="D2597">
        <v>597.8099975585938</v>
      </c>
      <c r="E2597">
        <v>592.6500244140625</v>
      </c>
      <c r="F2597">
        <v>593.3499755859375</v>
      </c>
      <c r="G2597">
        <v>579.9658813476562</v>
      </c>
      <c r="H2597">
        <v>38904100</v>
      </c>
      <c r="I2597" t="s">
        <v>3228</v>
      </c>
      <c r="J2597" t="s">
        <v>3229</v>
      </c>
      <c r="K2597" t="s">
        <v>4629</v>
      </c>
    </row>
    <row r="2598" spans="1:11" ht="20" customHeight="1">
      <c r="A2598" t="s">
        <v>4628</v>
      </c>
      <c r="B2598" t="s">
        <v>3230</v>
      </c>
      <c r="C2598">
        <v>589.719970703125</v>
      </c>
      <c r="D2598">
        <v>590.2000122070312</v>
      </c>
      <c r="E2598">
        <v>583.8599853515625</v>
      </c>
      <c r="F2598">
        <v>585.75</v>
      </c>
      <c r="G2598">
        <v>572.537353515625</v>
      </c>
      <c r="H2598">
        <v>75988800</v>
      </c>
      <c r="I2598" t="s">
        <v>3231</v>
      </c>
      <c r="J2598" t="s">
        <v>3232</v>
      </c>
      <c r="K2598" t="s">
        <v>4629</v>
      </c>
    </row>
    <row r="2599" spans="1:11" ht="20" customHeight="1">
      <c r="A2599" t="s">
        <v>4628</v>
      </c>
      <c r="B2599" t="s">
        <v>3233</v>
      </c>
      <c r="C2599">
        <v>586.219970703125</v>
      </c>
      <c r="D2599">
        <v>589.489990234375</v>
      </c>
      <c r="E2599">
        <v>585.3400268554688</v>
      </c>
      <c r="F2599">
        <v>588.1500244140625</v>
      </c>
      <c r="G2599">
        <v>574.8831787109375</v>
      </c>
      <c r="H2599">
        <v>37001700</v>
      </c>
      <c r="I2599" t="s">
        <v>3234</v>
      </c>
      <c r="J2599" t="s">
        <v>3235</v>
      </c>
      <c r="K2599" t="s">
        <v>4629</v>
      </c>
    </row>
    <row r="2600" spans="1:11" ht="20" customHeight="1">
      <c r="A2600" t="s">
        <v>4628</v>
      </c>
      <c r="B2600" t="s">
        <v>3236</v>
      </c>
      <c r="C2600">
        <v>584.7100219726562</v>
      </c>
      <c r="D2600">
        <v>591.0399780273438</v>
      </c>
      <c r="E2600">
        <v>584.030029296875</v>
      </c>
      <c r="F2600">
        <v>590.2999877929688</v>
      </c>
      <c r="G2600">
        <v>576.9846801757812</v>
      </c>
      <c r="H2600">
        <v>49412000</v>
      </c>
      <c r="I2600" t="s">
        <v>3237</v>
      </c>
      <c r="J2600" t="s">
        <v>3238</v>
      </c>
      <c r="K2600" t="s">
        <v>4629</v>
      </c>
    </row>
    <row r="2601" spans="1:11" ht="20" customHeight="1">
      <c r="A2601" t="s">
        <v>4628</v>
      </c>
      <c r="B2601" t="s">
        <v>3239</v>
      </c>
      <c r="C2601">
        <v>590.3800048828125</v>
      </c>
      <c r="D2601">
        <v>590.7899780273438</v>
      </c>
      <c r="E2601">
        <v>584.6300048828125</v>
      </c>
      <c r="F2601">
        <v>590.5</v>
      </c>
      <c r="G2601">
        <v>577.1802978515625</v>
      </c>
      <c r="H2601">
        <v>50032600</v>
      </c>
      <c r="I2601" t="s">
        <v>3240</v>
      </c>
      <c r="J2601" t="s">
        <v>3241</v>
      </c>
      <c r="K2601" t="s">
        <v>4629</v>
      </c>
    </row>
    <row r="2602" spans="1:11" ht="20" customHeight="1">
      <c r="A2602" t="s">
        <v>4628</v>
      </c>
      <c r="B2602" t="s">
        <v>3242</v>
      </c>
      <c r="C2602">
        <v>593.4000244140625</v>
      </c>
      <c r="D2602">
        <v>595.1199951171875</v>
      </c>
      <c r="E2602">
        <v>587.4500122070312</v>
      </c>
      <c r="F2602">
        <v>593.6699829101562</v>
      </c>
      <c r="G2602">
        <v>580.2787475585938</v>
      </c>
      <c r="H2602">
        <v>46750300</v>
      </c>
      <c r="I2602" t="s">
        <v>3243</v>
      </c>
      <c r="J2602" t="s">
        <v>3244</v>
      </c>
      <c r="K2602" t="s">
        <v>4629</v>
      </c>
    </row>
    <row r="2603" spans="1:11" ht="20" customHeight="1">
      <c r="A2603" t="s">
        <v>4628</v>
      </c>
      <c r="B2603" t="s">
        <v>3245</v>
      </c>
      <c r="C2603">
        <v>593.6599731445312</v>
      </c>
      <c r="D2603">
        <v>596.1500244140625</v>
      </c>
      <c r="E2603">
        <v>593.1500244140625</v>
      </c>
      <c r="F2603">
        <v>595.510009765625</v>
      </c>
      <c r="G2603">
        <v>582.0772094726562</v>
      </c>
      <c r="H2603">
        <v>38226400</v>
      </c>
      <c r="I2603" t="s">
        <v>3246</v>
      </c>
      <c r="J2603" t="s">
        <v>3247</v>
      </c>
      <c r="K2603" t="s">
        <v>4629</v>
      </c>
    </row>
    <row r="2604" spans="1:11" ht="20" customHeight="1">
      <c r="A2604" t="s">
        <v>4628</v>
      </c>
      <c r="B2604" t="s">
        <v>3248</v>
      </c>
      <c r="C2604">
        <v>599.52001953125</v>
      </c>
      <c r="D2604">
        <v>600.8599853515625</v>
      </c>
      <c r="E2604">
        <v>595.2000122070312</v>
      </c>
      <c r="F2604">
        <v>597.530029296875</v>
      </c>
      <c r="G2604">
        <v>584.0517578125</v>
      </c>
      <c r="H2604">
        <v>42441400</v>
      </c>
      <c r="I2604" t="s">
        <v>3249</v>
      </c>
      <c r="J2604" t="s">
        <v>3250</v>
      </c>
      <c r="K2604" t="s">
        <v>4629</v>
      </c>
    </row>
    <row r="2605" spans="1:11" ht="20" customHeight="1">
      <c r="A2605" t="s">
        <v>4628</v>
      </c>
      <c r="B2605" t="s">
        <v>3251</v>
      </c>
      <c r="C2605">
        <v>598.7999877929688</v>
      </c>
      <c r="D2605">
        <v>601.3300170898438</v>
      </c>
      <c r="E2605">
        <v>598.0700073242188</v>
      </c>
      <c r="F2605">
        <v>600.6500244140625</v>
      </c>
      <c r="G2605">
        <v>587.101318359375</v>
      </c>
      <c r="H2605">
        <v>45621300</v>
      </c>
      <c r="I2605" t="s">
        <v>3252</v>
      </c>
      <c r="J2605" t="s">
        <v>3253</v>
      </c>
      <c r="K2605" t="s">
        <v>4629</v>
      </c>
    </row>
    <row r="2606" spans="1:11" ht="20" customHeight="1">
      <c r="A2606" t="s">
        <v>4628</v>
      </c>
      <c r="B2606" t="s">
        <v>3254</v>
      </c>
      <c r="C2606">
        <v>600.4600219726562</v>
      </c>
      <c r="D2606">
        <v>600.8499755859375</v>
      </c>
      <c r="E2606">
        <v>597.280029296875</v>
      </c>
      <c r="F2606">
        <v>598.8300170898438</v>
      </c>
      <c r="G2606">
        <v>585.3223876953125</v>
      </c>
      <c r="H2606">
        <v>34000200</v>
      </c>
      <c r="I2606" t="s">
        <v>3255</v>
      </c>
      <c r="J2606" t="s">
        <v>3256</v>
      </c>
      <c r="K2606" t="s">
        <v>4629</v>
      </c>
    </row>
    <row r="2607" spans="1:11" ht="20" customHeight="1">
      <c r="A2607" t="s">
        <v>4628</v>
      </c>
      <c r="B2607" t="s">
        <v>3257</v>
      </c>
      <c r="C2607">
        <v>599.6599731445312</v>
      </c>
      <c r="D2607">
        <v>603.3499755859375</v>
      </c>
      <c r="E2607">
        <v>599.3800048828125</v>
      </c>
      <c r="F2607">
        <v>602.5499877929688</v>
      </c>
      <c r="G2607">
        <v>588.9583740234375</v>
      </c>
      <c r="H2607">
        <v>30177400</v>
      </c>
      <c r="I2607" t="s">
        <v>3258</v>
      </c>
      <c r="J2607" t="s">
        <v>3259</v>
      </c>
      <c r="K2607" t="s">
        <v>4629</v>
      </c>
    </row>
    <row r="2608" spans="1:11" ht="20" customHeight="1">
      <c r="A2608" t="s">
        <v>4628</v>
      </c>
      <c r="B2608" t="s">
        <v>3260</v>
      </c>
      <c r="C2608">
        <v>602.969970703125</v>
      </c>
      <c r="D2608">
        <v>604.3200073242188</v>
      </c>
      <c r="E2608">
        <v>602.469970703125</v>
      </c>
      <c r="F2608">
        <v>603.6300048828125</v>
      </c>
      <c r="G2608">
        <v>590.0140380859375</v>
      </c>
      <c r="H2608">
        <v>31746000</v>
      </c>
      <c r="I2608" t="s">
        <v>3261</v>
      </c>
      <c r="J2608" t="s">
        <v>3262</v>
      </c>
      <c r="K2608" t="s">
        <v>4629</v>
      </c>
    </row>
    <row r="2609" spans="1:11" ht="20" customHeight="1">
      <c r="A2609" t="s">
        <v>4628</v>
      </c>
      <c r="B2609" t="s">
        <v>3263</v>
      </c>
      <c r="C2609">
        <v>603.3900146484375</v>
      </c>
      <c r="D2609">
        <v>604.1599731445312</v>
      </c>
      <c r="E2609">
        <v>602.3400268554688</v>
      </c>
      <c r="F2609">
        <v>603.9099731445312</v>
      </c>
      <c r="G2609">
        <v>590.2877197265625</v>
      </c>
      <c r="H2609">
        <v>26906600</v>
      </c>
      <c r="I2609" t="s">
        <v>3264</v>
      </c>
      <c r="J2609" t="s">
        <v>3265</v>
      </c>
      <c r="K2609" t="s">
        <v>4629</v>
      </c>
    </row>
    <row r="2610" spans="1:11" ht="20" customHeight="1">
      <c r="A2610" t="s">
        <v>4628</v>
      </c>
      <c r="B2610" t="s">
        <v>3266</v>
      </c>
      <c r="C2610">
        <v>605.6300048828125</v>
      </c>
      <c r="D2610">
        <v>607.9099731445312</v>
      </c>
      <c r="E2610">
        <v>604.9500122070312</v>
      </c>
      <c r="F2610">
        <v>607.6599731445312</v>
      </c>
      <c r="G2610">
        <v>593.9530639648438</v>
      </c>
      <c r="H2610">
        <v>42787600</v>
      </c>
      <c r="I2610" t="s">
        <v>3267</v>
      </c>
      <c r="J2610" t="s">
        <v>3268</v>
      </c>
      <c r="K2610" t="s">
        <v>4629</v>
      </c>
    </row>
    <row r="2611" spans="1:11" ht="20" customHeight="1">
      <c r="A2611" t="s">
        <v>4628</v>
      </c>
      <c r="B2611" t="s">
        <v>3269</v>
      </c>
      <c r="C2611">
        <v>607.6599731445312</v>
      </c>
      <c r="D2611">
        <v>608.47998046875</v>
      </c>
      <c r="E2611">
        <v>606.2999877929688</v>
      </c>
      <c r="F2611">
        <v>606.6599731445312</v>
      </c>
      <c r="G2611">
        <v>592.9756469726562</v>
      </c>
      <c r="H2611">
        <v>28762200</v>
      </c>
      <c r="I2611" t="s">
        <v>3270</v>
      </c>
      <c r="J2611" t="s">
        <v>3271</v>
      </c>
      <c r="K2611" t="s">
        <v>4629</v>
      </c>
    </row>
    <row r="2612" spans="1:11" ht="20" customHeight="1">
      <c r="A2612" t="s">
        <v>4628</v>
      </c>
      <c r="B2612" t="s">
        <v>3272</v>
      </c>
      <c r="C2612">
        <v>607.4400024414062</v>
      </c>
      <c r="D2612">
        <v>609.0700073242188</v>
      </c>
      <c r="E2612">
        <v>607.02001953125</v>
      </c>
      <c r="F2612">
        <v>607.8099975585938</v>
      </c>
      <c r="G2612">
        <v>594.0997314453125</v>
      </c>
      <c r="H2612">
        <v>31241500</v>
      </c>
      <c r="I2612" t="s">
        <v>3273</v>
      </c>
      <c r="J2612" t="s">
        <v>3274</v>
      </c>
      <c r="K2612" t="s">
        <v>4629</v>
      </c>
    </row>
    <row r="2613" spans="1:11" ht="20" customHeight="1">
      <c r="A2613" t="s">
        <v>4628</v>
      </c>
      <c r="B2613" t="s">
        <v>3275</v>
      </c>
      <c r="C2613">
        <v>607.6900024414062</v>
      </c>
      <c r="D2613">
        <v>607.8599853515625</v>
      </c>
      <c r="E2613">
        <v>604.0800170898438</v>
      </c>
      <c r="F2613">
        <v>604.6799926757812</v>
      </c>
      <c r="G2613">
        <v>591.0403442382812</v>
      </c>
      <c r="H2613">
        <v>34742700</v>
      </c>
      <c r="I2613" t="s">
        <v>3276</v>
      </c>
      <c r="J2613" t="s">
        <v>3277</v>
      </c>
      <c r="K2613" t="s">
        <v>4629</v>
      </c>
    </row>
    <row r="2614" spans="1:11" ht="20" customHeight="1">
      <c r="A2614" t="s">
        <v>4628</v>
      </c>
      <c r="B2614" t="s">
        <v>3278</v>
      </c>
      <c r="C2614">
        <v>605.3699951171875</v>
      </c>
      <c r="D2614">
        <v>605.7999877929688</v>
      </c>
      <c r="E2614">
        <v>602.1300048828125</v>
      </c>
      <c r="F2614">
        <v>602.7999877929688</v>
      </c>
      <c r="G2614">
        <v>589.2028198242188</v>
      </c>
      <c r="H2614">
        <v>37234500</v>
      </c>
      <c r="I2614" t="s">
        <v>3279</v>
      </c>
      <c r="J2614" t="s">
        <v>3280</v>
      </c>
      <c r="K2614" t="s">
        <v>4629</v>
      </c>
    </row>
    <row r="2615" spans="1:11" ht="20" customHeight="1">
      <c r="A2615" t="s">
        <v>4628</v>
      </c>
      <c r="B2615" t="s">
        <v>3281</v>
      </c>
      <c r="C2615">
        <v>605.780029296875</v>
      </c>
      <c r="D2615">
        <v>608.4299926757812</v>
      </c>
      <c r="E2615">
        <v>605.5</v>
      </c>
      <c r="F2615">
        <v>607.4600219726562</v>
      </c>
      <c r="G2615">
        <v>593.7576293945312</v>
      </c>
      <c r="H2615">
        <v>28677700</v>
      </c>
      <c r="I2615" t="s">
        <v>3282</v>
      </c>
      <c r="J2615" t="s">
        <v>3283</v>
      </c>
      <c r="K2615" t="s">
        <v>4629</v>
      </c>
    </row>
    <row r="2616" spans="1:11" ht="20" customHeight="1">
      <c r="A2616" t="s">
        <v>4628</v>
      </c>
      <c r="B2616" t="s">
        <v>3284</v>
      </c>
      <c r="C2616">
        <v>606.5800170898438</v>
      </c>
      <c r="D2616">
        <v>607.1599731445312</v>
      </c>
      <c r="E2616">
        <v>604.3300170898438</v>
      </c>
      <c r="F2616">
        <v>604.3300170898438</v>
      </c>
      <c r="G2616">
        <v>590.6983032226562</v>
      </c>
      <c r="H2616">
        <v>31543800</v>
      </c>
      <c r="I2616" t="s">
        <v>3285</v>
      </c>
      <c r="J2616" t="s">
        <v>3286</v>
      </c>
      <c r="K2616" t="s">
        <v>4629</v>
      </c>
    </row>
    <row r="2617" spans="1:11" ht="20" customHeight="1">
      <c r="A2617" t="s">
        <v>4628</v>
      </c>
      <c r="B2617" t="s">
        <v>3287</v>
      </c>
      <c r="C2617">
        <v>606.4000244140625</v>
      </c>
      <c r="D2617">
        <v>607.1300048828125</v>
      </c>
      <c r="E2617">
        <v>602.8099975585938</v>
      </c>
      <c r="F2617">
        <v>604.2100219726562</v>
      </c>
      <c r="G2617">
        <v>590.5809326171875</v>
      </c>
      <c r="H2617">
        <v>35904700</v>
      </c>
      <c r="I2617" t="s">
        <v>3288</v>
      </c>
      <c r="J2617" t="s">
        <v>3289</v>
      </c>
      <c r="K2617" t="s">
        <v>4629</v>
      </c>
    </row>
    <row r="2618" spans="1:11" ht="20" customHeight="1">
      <c r="A2618" t="s">
        <v>4628</v>
      </c>
      <c r="B2618" t="s">
        <v>3290</v>
      </c>
      <c r="C2618">
        <v>606</v>
      </c>
      <c r="D2618">
        <v>607.780029296875</v>
      </c>
      <c r="E2618">
        <v>605.2100219726562</v>
      </c>
      <c r="F2618">
        <v>606.7899780273438</v>
      </c>
      <c r="G2618">
        <v>593.1027221679688</v>
      </c>
      <c r="H2618">
        <v>43695200</v>
      </c>
      <c r="I2618" t="s">
        <v>3291</v>
      </c>
      <c r="J2618" t="s">
        <v>3292</v>
      </c>
      <c r="K2618" t="s">
        <v>4629</v>
      </c>
    </row>
    <row r="2619" spans="1:11" ht="20" customHeight="1">
      <c r="A2619" t="s">
        <v>4628</v>
      </c>
      <c r="B2619" t="s">
        <v>3293</v>
      </c>
      <c r="C2619">
        <v>604.1900024414062</v>
      </c>
      <c r="D2619">
        <v>605.1699829101562</v>
      </c>
      <c r="E2619">
        <v>602.8900146484375</v>
      </c>
      <c r="F2619">
        <v>604.2899780273438</v>
      </c>
      <c r="G2619">
        <v>590.6591796875</v>
      </c>
      <c r="H2619">
        <v>55773500</v>
      </c>
      <c r="I2619" t="s">
        <v>3294</v>
      </c>
      <c r="J2619" t="s">
        <v>3295</v>
      </c>
      <c r="K2619" t="s">
        <v>4629</v>
      </c>
    </row>
    <row r="2620" spans="1:11" ht="20" customHeight="1">
      <c r="A2620" t="s">
        <v>4628</v>
      </c>
      <c r="B2620" t="s">
        <v>3296</v>
      </c>
      <c r="C2620">
        <v>603.97998046875</v>
      </c>
      <c r="D2620">
        <v>606.4099731445312</v>
      </c>
      <c r="E2620">
        <v>585.8900146484375</v>
      </c>
      <c r="F2620">
        <v>586.280029296875</v>
      </c>
      <c r="G2620">
        <v>573.0554809570312</v>
      </c>
      <c r="H2620">
        <v>108248700</v>
      </c>
      <c r="I2620" t="s">
        <v>3297</v>
      </c>
      <c r="J2620" t="s">
        <v>3298</v>
      </c>
      <c r="K2620" t="s">
        <v>4629</v>
      </c>
    </row>
    <row r="2621" spans="1:11" ht="20" customHeight="1">
      <c r="A2621" t="s">
        <v>4628</v>
      </c>
      <c r="B2621" t="s">
        <v>3299</v>
      </c>
      <c r="C2621">
        <v>591.3599853515625</v>
      </c>
      <c r="D2621">
        <v>593</v>
      </c>
      <c r="E2621">
        <v>585.8499755859375</v>
      </c>
      <c r="F2621">
        <v>586.0999755859375</v>
      </c>
      <c r="G2621">
        <v>572.8794555664062</v>
      </c>
      <c r="H2621">
        <v>85919500</v>
      </c>
      <c r="I2621" t="s">
        <v>3300</v>
      </c>
      <c r="J2621" t="s">
        <v>3301</v>
      </c>
      <c r="K2621" t="s">
        <v>4629</v>
      </c>
    </row>
    <row r="2622" spans="1:11" ht="20" customHeight="1">
      <c r="A2622" t="s">
        <v>4628</v>
      </c>
      <c r="B2622" t="s">
        <v>3302</v>
      </c>
      <c r="C2622">
        <v>581.77001953125</v>
      </c>
      <c r="D2622">
        <v>595.75</v>
      </c>
      <c r="E2622">
        <v>580.9099731445312</v>
      </c>
      <c r="F2622">
        <v>591.1500244140625</v>
      </c>
      <c r="G2622">
        <v>579.7603759765625</v>
      </c>
      <c r="H2622">
        <v>125716700</v>
      </c>
      <c r="I2622" t="s">
        <v>3303</v>
      </c>
      <c r="J2622" t="s">
        <v>3304</v>
      </c>
      <c r="K2622" t="s">
        <v>4629</v>
      </c>
    </row>
    <row r="2623" spans="1:11" ht="20" customHeight="1">
      <c r="A2623" t="s">
        <v>4628</v>
      </c>
      <c r="B2623" t="s">
        <v>3305</v>
      </c>
      <c r="C2623">
        <v>590.8900146484375</v>
      </c>
      <c r="D2623">
        <v>595.2999877929688</v>
      </c>
      <c r="E2623">
        <v>587.6599731445312</v>
      </c>
      <c r="F2623">
        <v>594.6900024414062</v>
      </c>
      <c r="G2623">
        <v>583.2320556640625</v>
      </c>
      <c r="H2623">
        <v>57635800</v>
      </c>
      <c r="I2623" t="s">
        <v>3306</v>
      </c>
      <c r="J2623" t="s">
        <v>3307</v>
      </c>
      <c r="K2623" t="s">
        <v>4629</v>
      </c>
    </row>
    <row r="2624" spans="1:11" ht="20" customHeight="1">
      <c r="A2624" t="s">
        <v>4628</v>
      </c>
      <c r="B2624" t="s">
        <v>3308</v>
      </c>
      <c r="C2624">
        <v>596.0599975585938</v>
      </c>
      <c r="D2624">
        <v>601.3400268554688</v>
      </c>
      <c r="E2624">
        <v>595.469970703125</v>
      </c>
      <c r="F2624">
        <v>601.2999877929688</v>
      </c>
      <c r="G2624">
        <v>589.7146606445312</v>
      </c>
      <c r="H2624">
        <v>33160100</v>
      </c>
      <c r="I2624" t="s">
        <v>3309</v>
      </c>
      <c r="J2624" t="s">
        <v>3310</v>
      </c>
      <c r="K2624" t="s">
        <v>4629</v>
      </c>
    </row>
    <row r="2625" spans="1:11" ht="20" customHeight="1">
      <c r="A2625" t="s">
        <v>4628</v>
      </c>
      <c r="B2625" t="s">
        <v>3311</v>
      </c>
      <c r="C2625">
        <v>599.5</v>
      </c>
      <c r="D2625">
        <v>602.47998046875</v>
      </c>
      <c r="E2625">
        <v>598.0800170898438</v>
      </c>
      <c r="F2625">
        <v>601.3400268554688</v>
      </c>
      <c r="G2625">
        <v>589.7540283203125</v>
      </c>
      <c r="H2625">
        <v>41219100</v>
      </c>
      <c r="I2625" t="s">
        <v>3312</v>
      </c>
      <c r="J2625" t="s">
        <v>3313</v>
      </c>
      <c r="K2625" t="s">
        <v>4629</v>
      </c>
    </row>
    <row r="2626" spans="1:11" ht="20" customHeight="1">
      <c r="A2626" t="s">
        <v>4628</v>
      </c>
      <c r="B2626" t="s">
        <v>3314</v>
      </c>
      <c r="C2626">
        <v>597.5399780273438</v>
      </c>
      <c r="D2626">
        <v>597.780029296875</v>
      </c>
      <c r="E2626">
        <v>590.760009765625</v>
      </c>
      <c r="F2626">
        <v>595.010009765625</v>
      </c>
      <c r="G2626">
        <v>583.5458984375</v>
      </c>
      <c r="H2626">
        <v>64969300</v>
      </c>
      <c r="I2626" t="s">
        <v>3315</v>
      </c>
      <c r="J2626" t="s">
        <v>3316</v>
      </c>
      <c r="K2626" t="s">
        <v>4629</v>
      </c>
    </row>
    <row r="2627" spans="1:11" ht="20" customHeight="1">
      <c r="A2627" t="s">
        <v>4628</v>
      </c>
      <c r="B2627" t="s">
        <v>3317</v>
      </c>
      <c r="C2627">
        <v>587.8900146484375</v>
      </c>
      <c r="D2627">
        <v>591.739990234375</v>
      </c>
      <c r="E2627">
        <v>584.4099731445312</v>
      </c>
      <c r="F2627">
        <v>588.219970703125</v>
      </c>
      <c r="G2627">
        <v>576.88671875</v>
      </c>
      <c r="H2627">
        <v>56578800</v>
      </c>
      <c r="I2627" t="s">
        <v>3318</v>
      </c>
      <c r="J2627" t="s">
        <v>3319</v>
      </c>
      <c r="K2627" t="s">
        <v>4629</v>
      </c>
    </row>
    <row r="2628" spans="1:11" ht="20" customHeight="1">
      <c r="A2628" t="s">
        <v>4628</v>
      </c>
      <c r="B2628" t="s">
        <v>3320</v>
      </c>
      <c r="C2628">
        <v>589.9099731445312</v>
      </c>
      <c r="D2628">
        <v>590.6400146484375</v>
      </c>
      <c r="E2628">
        <v>584.4199829101562</v>
      </c>
      <c r="F2628">
        <v>586.0800170898438</v>
      </c>
      <c r="G2628">
        <v>574.7880249023438</v>
      </c>
      <c r="H2628">
        <v>57052700</v>
      </c>
      <c r="I2628" t="s">
        <v>3321</v>
      </c>
      <c r="J2628" t="s">
        <v>3322</v>
      </c>
      <c r="K2628" t="s">
        <v>4629</v>
      </c>
    </row>
    <row r="2629" spans="1:11" ht="20" customHeight="1">
      <c r="A2629" t="s">
        <v>4628</v>
      </c>
      <c r="B2629" t="s">
        <v>3323</v>
      </c>
      <c r="C2629">
        <v>589.3900146484375</v>
      </c>
      <c r="D2629">
        <v>591.1300048828125</v>
      </c>
      <c r="E2629">
        <v>580.5</v>
      </c>
      <c r="F2629">
        <v>584.6400146484375</v>
      </c>
      <c r="G2629">
        <v>573.3756103515625</v>
      </c>
      <c r="H2629">
        <v>50204000</v>
      </c>
      <c r="I2629" t="s">
        <v>3324</v>
      </c>
      <c r="J2629" t="s">
        <v>3325</v>
      </c>
      <c r="K2629" t="s">
        <v>4629</v>
      </c>
    </row>
    <row r="2630" spans="1:11" ht="20" customHeight="1">
      <c r="A2630" t="s">
        <v>4628</v>
      </c>
      <c r="B2630" t="s">
        <v>3326</v>
      </c>
      <c r="C2630">
        <v>587.530029296875</v>
      </c>
      <c r="D2630">
        <v>592.5999755859375</v>
      </c>
      <c r="E2630">
        <v>586.4299926757812</v>
      </c>
      <c r="F2630">
        <v>591.9500122070312</v>
      </c>
      <c r="G2630">
        <v>580.5448608398438</v>
      </c>
      <c r="H2630">
        <v>37888500</v>
      </c>
      <c r="I2630" t="s">
        <v>3327</v>
      </c>
      <c r="J2630" t="s">
        <v>3328</v>
      </c>
      <c r="K2630" t="s">
        <v>4629</v>
      </c>
    </row>
    <row r="2631" spans="1:11" ht="20" customHeight="1">
      <c r="A2631" t="s">
        <v>4628</v>
      </c>
      <c r="B2631" t="s">
        <v>3329</v>
      </c>
      <c r="C2631">
        <v>596.27001953125</v>
      </c>
      <c r="D2631">
        <v>599.7000122070312</v>
      </c>
      <c r="E2631">
        <v>593.5999755859375</v>
      </c>
      <c r="F2631">
        <v>595.3599853515625</v>
      </c>
      <c r="G2631">
        <v>583.8890991210938</v>
      </c>
      <c r="H2631">
        <v>47679400</v>
      </c>
      <c r="I2631" t="s">
        <v>3330</v>
      </c>
      <c r="J2631" t="s">
        <v>3331</v>
      </c>
      <c r="K2631" t="s">
        <v>4629</v>
      </c>
    </row>
    <row r="2632" spans="1:11" ht="20" customHeight="1">
      <c r="A2632" t="s">
        <v>4628</v>
      </c>
      <c r="B2632" t="s">
        <v>3332</v>
      </c>
      <c r="C2632">
        <v>597.4199829101562</v>
      </c>
      <c r="D2632">
        <v>597.75</v>
      </c>
      <c r="E2632">
        <v>586.780029296875</v>
      </c>
      <c r="F2632">
        <v>588.6300048828125</v>
      </c>
      <c r="G2632">
        <v>577.2888793945312</v>
      </c>
      <c r="H2632">
        <v>60393100</v>
      </c>
      <c r="I2632" t="s">
        <v>3333</v>
      </c>
      <c r="J2632" t="s">
        <v>3334</v>
      </c>
      <c r="K2632" t="s">
        <v>4629</v>
      </c>
    </row>
    <row r="2633" spans="1:11" ht="20" customHeight="1">
      <c r="A2633" t="s">
        <v>4628</v>
      </c>
      <c r="B2633" t="s">
        <v>3335</v>
      </c>
      <c r="C2633">
        <v>588.7000122070312</v>
      </c>
      <c r="D2633">
        <v>590.5800170898438</v>
      </c>
      <c r="E2633">
        <v>585.2000122070312</v>
      </c>
      <c r="F2633">
        <v>589.489990234375</v>
      </c>
      <c r="G2633">
        <v>578.1322631835938</v>
      </c>
      <c r="H2633">
        <v>47304700</v>
      </c>
      <c r="I2633" t="s">
        <v>3336</v>
      </c>
      <c r="J2633" t="s">
        <v>3337</v>
      </c>
      <c r="K2633" t="s">
        <v>4629</v>
      </c>
    </row>
    <row r="2634" spans="1:11" ht="20" customHeight="1">
      <c r="A2634" t="s">
        <v>4628</v>
      </c>
      <c r="B2634" t="s">
        <v>3338</v>
      </c>
      <c r="C2634">
        <v>585.8800048828125</v>
      </c>
      <c r="D2634">
        <v>585.9500122070312</v>
      </c>
      <c r="E2634">
        <v>578.5499877929688</v>
      </c>
      <c r="F2634">
        <v>580.489990234375</v>
      </c>
      <c r="G2634">
        <v>569.3056640625</v>
      </c>
      <c r="H2634">
        <v>73105000</v>
      </c>
      <c r="I2634" t="s">
        <v>3339</v>
      </c>
      <c r="J2634" t="s">
        <v>3340</v>
      </c>
      <c r="K2634" t="s">
        <v>4629</v>
      </c>
    </row>
    <row r="2635" spans="1:11" ht="20" customHeight="1">
      <c r="A2635" t="s">
        <v>4628</v>
      </c>
      <c r="B2635" t="s">
        <v>3341</v>
      </c>
      <c r="C2635">
        <v>575.77001953125</v>
      </c>
      <c r="D2635">
        <v>581.75</v>
      </c>
      <c r="E2635">
        <v>575.3499755859375</v>
      </c>
      <c r="F2635">
        <v>581.3900146484375</v>
      </c>
      <c r="G2635">
        <v>570.1883544921875</v>
      </c>
      <c r="H2635">
        <v>47910100</v>
      </c>
      <c r="I2635" t="s">
        <v>3342</v>
      </c>
      <c r="J2635" t="s">
        <v>3343</v>
      </c>
      <c r="K2635" t="s">
        <v>4629</v>
      </c>
    </row>
    <row r="2636" spans="1:11" ht="20" customHeight="1">
      <c r="A2636" t="s">
        <v>4628</v>
      </c>
      <c r="B2636" t="s">
        <v>3344</v>
      </c>
      <c r="C2636">
        <v>584.3599853515625</v>
      </c>
      <c r="D2636">
        <v>585</v>
      </c>
      <c r="E2636">
        <v>578.3499755859375</v>
      </c>
      <c r="F2636">
        <v>582.1900024414062</v>
      </c>
      <c r="G2636">
        <v>570.9728393554688</v>
      </c>
      <c r="H2636">
        <v>48420600</v>
      </c>
      <c r="I2636" t="s">
        <v>3345</v>
      </c>
      <c r="J2636" t="s">
        <v>3346</v>
      </c>
      <c r="K2636" t="s">
        <v>4629</v>
      </c>
    </row>
    <row r="2637" spans="1:11" ht="20" customHeight="1">
      <c r="A2637" t="s">
        <v>4628</v>
      </c>
      <c r="B2637" t="s">
        <v>3347</v>
      </c>
      <c r="C2637">
        <v>590.3300170898438</v>
      </c>
      <c r="D2637">
        <v>593.9400024414062</v>
      </c>
      <c r="E2637">
        <v>589.2000122070312</v>
      </c>
      <c r="F2637">
        <v>592.780029296875</v>
      </c>
      <c r="G2637">
        <v>581.35888671875</v>
      </c>
      <c r="H2637">
        <v>56900200</v>
      </c>
      <c r="I2637" t="s">
        <v>3348</v>
      </c>
      <c r="J2637" t="s">
        <v>3349</v>
      </c>
      <c r="K2637" t="s">
        <v>4629</v>
      </c>
    </row>
    <row r="2638" spans="1:11" ht="20" customHeight="1">
      <c r="A2638" t="s">
        <v>4628</v>
      </c>
      <c r="B2638" t="s">
        <v>3350</v>
      </c>
      <c r="C2638">
        <v>594.1699829101562</v>
      </c>
      <c r="D2638">
        <v>594.3499755859375</v>
      </c>
      <c r="E2638">
        <v>590.9299926757812</v>
      </c>
      <c r="F2638">
        <v>591.6400146484375</v>
      </c>
      <c r="G2638">
        <v>580.2408447265625</v>
      </c>
      <c r="H2638">
        <v>43319700</v>
      </c>
      <c r="I2638" t="s">
        <v>3351</v>
      </c>
      <c r="J2638" t="s">
        <v>3352</v>
      </c>
      <c r="K2638" t="s">
        <v>4629</v>
      </c>
    </row>
    <row r="2639" spans="1:11" ht="20" customHeight="1">
      <c r="A2639" t="s">
        <v>4628</v>
      </c>
      <c r="B2639" t="s">
        <v>3353</v>
      </c>
      <c r="C2639">
        <v>596.9600219726562</v>
      </c>
      <c r="D2639">
        <v>599.3599853515625</v>
      </c>
      <c r="E2639">
        <v>595.6099853515625</v>
      </c>
      <c r="F2639">
        <v>597.5800170898438</v>
      </c>
      <c r="G2639">
        <v>586.06640625</v>
      </c>
      <c r="H2639">
        <v>58070600</v>
      </c>
      <c r="I2639" t="s">
        <v>3354</v>
      </c>
      <c r="J2639" t="s">
        <v>3355</v>
      </c>
      <c r="K2639" t="s">
        <v>4629</v>
      </c>
    </row>
    <row r="2640" spans="1:11" ht="20" customHeight="1">
      <c r="A2640" t="s">
        <v>4628</v>
      </c>
      <c r="B2640" t="s">
        <v>3356</v>
      </c>
      <c r="C2640">
        <v>600.6699829101562</v>
      </c>
      <c r="D2640">
        <v>603.0599975585938</v>
      </c>
      <c r="E2640">
        <v>598.6699829101562</v>
      </c>
      <c r="F2640">
        <v>603.0499877929688</v>
      </c>
      <c r="G2640">
        <v>591.4309692382812</v>
      </c>
      <c r="H2640">
        <v>42532900</v>
      </c>
      <c r="I2640" t="s">
        <v>3357</v>
      </c>
      <c r="J2640" t="s">
        <v>3358</v>
      </c>
      <c r="K2640" t="s">
        <v>4629</v>
      </c>
    </row>
    <row r="2641" spans="1:11" ht="20" customHeight="1">
      <c r="A2641" t="s">
        <v>4628</v>
      </c>
      <c r="B2641" t="s">
        <v>3359</v>
      </c>
      <c r="C2641">
        <v>605.9199829101562</v>
      </c>
      <c r="D2641">
        <v>607.8200073242188</v>
      </c>
      <c r="E2641">
        <v>605.3599853515625</v>
      </c>
      <c r="F2641">
        <v>606.4400024414062</v>
      </c>
      <c r="G2641">
        <v>594.755615234375</v>
      </c>
      <c r="H2641">
        <v>48196000</v>
      </c>
      <c r="I2641" t="s">
        <v>3360</v>
      </c>
      <c r="J2641" t="s">
        <v>3361</v>
      </c>
      <c r="K2641" t="s">
        <v>4629</v>
      </c>
    </row>
    <row r="2642" spans="1:11" ht="20" customHeight="1">
      <c r="A2642" t="s">
        <v>4628</v>
      </c>
      <c r="B2642" t="s">
        <v>3362</v>
      </c>
      <c r="C2642">
        <v>605.7999877929688</v>
      </c>
      <c r="D2642">
        <v>609.75</v>
      </c>
      <c r="E2642">
        <v>605.52001953125</v>
      </c>
      <c r="F2642">
        <v>609.75</v>
      </c>
      <c r="G2642">
        <v>598.001953125</v>
      </c>
      <c r="H2642">
        <v>41152100</v>
      </c>
      <c r="I2642" t="s">
        <v>3363</v>
      </c>
      <c r="J2642" t="s">
        <v>3364</v>
      </c>
      <c r="K2642" t="s">
        <v>4629</v>
      </c>
    </row>
    <row r="2643" spans="1:11" ht="20" customHeight="1">
      <c r="A2643" t="s">
        <v>4628</v>
      </c>
      <c r="B2643" t="s">
        <v>3365</v>
      </c>
      <c r="C2643">
        <v>609.8099975585938</v>
      </c>
      <c r="D2643">
        <v>610.780029296875</v>
      </c>
      <c r="E2643">
        <v>606.7999877929688</v>
      </c>
      <c r="F2643">
        <v>607.969970703125</v>
      </c>
      <c r="G2643">
        <v>596.2562255859375</v>
      </c>
      <c r="H2643">
        <v>34604700</v>
      </c>
      <c r="I2643" t="s">
        <v>3366</v>
      </c>
      <c r="J2643" t="s">
        <v>3367</v>
      </c>
      <c r="K2643" t="s">
        <v>4629</v>
      </c>
    </row>
    <row r="2644" spans="1:11" ht="20" customHeight="1">
      <c r="A2644" t="s">
        <v>4628</v>
      </c>
      <c r="B2644" t="s">
        <v>3368</v>
      </c>
      <c r="C2644">
        <v>594.8099975585938</v>
      </c>
      <c r="D2644">
        <v>599.6900024414062</v>
      </c>
      <c r="E2644">
        <v>594.6400146484375</v>
      </c>
      <c r="F2644">
        <v>599.3699951171875</v>
      </c>
      <c r="G2644">
        <v>587.8219604492188</v>
      </c>
      <c r="H2644">
        <v>70361100</v>
      </c>
      <c r="I2644" t="s">
        <v>3369</v>
      </c>
      <c r="J2644" t="s">
        <v>3370</v>
      </c>
      <c r="K2644" t="s">
        <v>4629</v>
      </c>
    </row>
    <row r="2645" spans="1:11" ht="20" customHeight="1">
      <c r="A2645" t="s">
        <v>4628</v>
      </c>
      <c r="B2645" t="s">
        <v>3371</v>
      </c>
      <c r="C2645">
        <v>600.6199951171875</v>
      </c>
      <c r="D2645">
        <v>605.3699951171875</v>
      </c>
      <c r="E2645">
        <v>597.25</v>
      </c>
      <c r="F2645">
        <v>604.52001953125</v>
      </c>
      <c r="G2645">
        <v>592.8726806640625</v>
      </c>
      <c r="H2645">
        <v>44433300</v>
      </c>
      <c r="I2645" t="s">
        <v>3372</v>
      </c>
      <c r="J2645" t="s">
        <v>3373</v>
      </c>
      <c r="K2645" t="s">
        <v>4629</v>
      </c>
    </row>
    <row r="2646" spans="1:11" ht="20" customHeight="1">
      <c r="A2646" t="s">
        <v>4628</v>
      </c>
      <c r="B2646" t="s">
        <v>3374</v>
      </c>
      <c r="C2646">
        <v>603.719970703125</v>
      </c>
      <c r="D2646">
        <v>604.1300048828125</v>
      </c>
      <c r="E2646">
        <v>599.219970703125</v>
      </c>
      <c r="F2646">
        <v>601.8099975585938</v>
      </c>
      <c r="G2646">
        <v>590.2149047851562</v>
      </c>
      <c r="H2646">
        <v>37177400</v>
      </c>
      <c r="I2646" t="s">
        <v>3375</v>
      </c>
      <c r="J2646" t="s">
        <v>3376</v>
      </c>
      <c r="K2646" t="s">
        <v>4629</v>
      </c>
    </row>
    <row r="2647" spans="1:11" ht="20" customHeight="1">
      <c r="A2647" t="s">
        <v>4628</v>
      </c>
      <c r="B2647" t="s">
        <v>3377</v>
      </c>
      <c r="C2647">
        <v>603.9600219726562</v>
      </c>
      <c r="D2647">
        <v>606.5999755859375</v>
      </c>
      <c r="E2647">
        <v>600.719970703125</v>
      </c>
      <c r="F2647">
        <v>605.0399780273438</v>
      </c>
      <c r="G2647">
        <v>593.3826904296875</v>
      </c>
      <c r="H2647">
        <v>39281300</v>
      </c>
      <c r="I2647" t="s">
        <v>3378</v>
      </c>
      <c r="J2647" t="s">
        <v>3379</v>
      </c>
      <c r="K2647" t="s">
        <v>4629</v>
      </c>
    </row>
    <row r="2648" spans="1:11" ht="20" customHeight="1">
      <c r="A2648" t="s">
        <v>4628</v>
      </c>
      <c r="B2648" t="s">
        <v>3380</v>
      </c>
      <c r="C2648">
        <v>607.5</v>
      </c>
      <c r="D2648">
        <v>609.9600219726562</v>
      </c>
      <c r="E2648">
        <v>601.0499877929688</v>
      </c>
      <c r="F2648">
        <v>601.8200073242188</v>
      </c>
      <c r="G2648">
        <v>590.2246704101562</v>
      </c>
      <c r="H2648">
        <v>66566900</v>
      </c>
      <c r="I2648" t="s">
        <v>3381</v>
      </c>
      <c r="J2648" t="s">
        <v>3382</v>
      </c>
      <c r="K2648" t="s">
        <v>4629</v>
      </c>
    </row>
    <row r="2649" spans="1:11" ht="20" customHeight="1">
      <c r="A2649" t="s">
        <v>4628</v>
      </c>
      <c r="B2649" t="s">
        <v>3383</v>
      </c>
      <c r="C2649">
        <v>592.6699829101562</v>
      </c>
      <c r="D2649">
        <v>600.2899780273438</v>
      </c>
      <c r="E2649">
        <v>590.489990234375</v>
      </c>
      <c r="F2649">
        <v>597.77001953125</v>
      </c>
      <c r="G2649">
        <v>586.2527465820312</v>
      </c>
      <c r="H2649">
        <v>65857200</v>
      </c>
      <c r="I2649" t="s">
        <v>3384</v>
      </c>
      <c r="J2649" t="s">
        <v>3385</v>
      </c>
      <c r="K2649" t="s">
        <v>4629</v>
      </c>
    </row>
    <row r="2650" spans="1:11" ht="20" customHeight="1">
      <c r="A2650" t="s">
        <v>4628</v>
      </c>
      <c r="B2650" t="s">
        <v>3386</v>
      </c>
      <c r="C2650">
        <v>597.8300170898438</v>
      </c>
      <c r="D2650">
        <v>602.2999877929688</v>
      </c>
      <c r="E2650">
        <v>597.280029296875</v>
      </c>
      <c r="F2650">
        <v>601.780029296875</v>
      </c>
      <c r="G2650">
        <v>590.1854858398438</v>
      </c>
      <c r="H2650">
        <v>33457800</v>
      </c>
      <c r="I2650" t="s">
        <v>3387</v>
      </c>
      <c r="J2650" t="s">
        <v>3388</v>
      </c>
      <c r="K2650" t="s">
        <v>4629</v>
      </c>
    </row>
    <row r="2651" spans="1:11" ht="20" customHeight="1">
      <c r="A2651" t="s">
        <v>4628</v>
      </c>
      <c r="B2651" t="s">
        <v>3389</v>
      </c>
      <c r="C2651">
        <v>600.6400146484375</v>
      </c>
      <c r="D2651">
        <v>604.3699951171875</v>
      </c>
      <c r="E2651">
        <v>598.5800170898438</v>
      </c>
      <c r="F2651">
        <v>604.219970703125</v>
      </c>
      <c r="G2651">
        <v>592.5784301757812</v>
      </c>
      <c r="H2651">
        <v>30653100</v>
      </c>
      <c r="I2651" t="s">
        <v>3390</v>
      </c>
      <c r="J2651" t="s">
        <v>3391</v>
      </c>
      <c r="K2651" t="s">
        <v>4629</v>
      </c>
    </row>
    <row r="2652" spans="1:11" ht="20" customHeight="1">
      <c r="A2652" t="s">
        <v>4628</v>
      </c>
      <c r="B2652" t="s">
        <v>3392</v>
      </c>
      <c r="C2652">
        <v>605.989990234375</v>
      </c>
      <c r="D2652">
        <v>606.4500122070312</v>
      </c>
      <c r="E2652">
        <v>602.6300048828125</v>
      </c>
      <c r="F2652">
        <v>606.3200073242188</v>
      </c>
      <c r="G2652">
        <v>594.6380615234375</v>
      </c>
      <c r="H2652">
        <v>35771500</v>
      </c>
      <c r="I2652" t="s">
        <v>3393</v>
      </c>
      <c r="J2652" t="s">
        <v>3394</v>
      </c>
      <c r="K2652" t="s">
        <v>4629</v>
      </c>
    </row>
    <row r="2653" spans="1:11" ht="20" customHeight="1">
      <c r="A2653" t="s">
        <v>4628</v>
      </c>
      <c r="B2653" t="s">
        <v>3395</v>
      </c>
      <c r="C2653">
        <v>606.8900146484375</v>
      </c>
      <c r="D2653">
        <v>608.1300048828125</v>
      </c>
      <c r="E2653">
        <v>600.0499877929688</v>
      </c>
      <c r="F2653">
        <v>600.77001953125</v>
      </c>
      <c r="G2653">
        <v>589.1949462890625</v>
      </c>
      <c r="H2653">
        <v>50788500</v>
      </c>
      <c r="I2653" t="s">
        <v>3396</v>
      </c>
      <c r="J2653" t="s">
        <v>3397</v>
      </c>
      <c r="K2653" t="s">
        <v>4629</v>
      </c>
    </row>
    <row r="2654" spans="1:11" ht="20" customHeight="1">
      <c r="A2654" t="s">
        <v>4628</v>
      </c>
      <c r="B2654" t="s">
        <v>3398</v>
      </c>
      <c r="C2654">
        <v>604.030029296875</v>
      </c>
      <c r="D2654">
        <v>605.5</v>
      </c>
      <c r="E2654">
        <v>602.739990234375</v>
      </c>
      <c r="F2654">
        <v>604.8499755859375</v>
      </c>
      <c r="G2654">
        <v>593.1962890625</v>
      </c>
      <c r="H2654">
        <v>26048700</v>
      </c>
      <c r="I2654" t="s">
        <v>3399</v>
      </c>
      <c r="J2654" t="s">
        <v>3400</v>
      </c>
      <c r="K2654" t="s">
        <v>4629</v>
      </c>
    </row>
    <row r="2655" spans="1:11" ht="20" customHeight="1">
      <c r="A2655" t="s">
        <v>4628</v>
      </c>
      <c r="B2655" t="s">
        <v>3401</v>
      </c>
      <c r="C2655">
        <v>602.5499877929688</v>
      </c>
      <c r="D2655">
        <v>605.8599853515625</v>
      </c>
      <c r="E2655">
        <v>602.4299926757812</v>
      </c>
      <c r="F2655">
        <v>605.3099975585938</v>
      </c>
      <c r="G2655">
        <v>593.6475219726562</v>
      </c>
      <c r="H2655">
        <v>30056700</v>
      </c>
      <c r="I2655" t="s">
        <v>3402</v>
      </c>
      <c r="J2655" t="s">
        <v>3403</v>
      </c>
      <c r="K2655" t="s">
        <v>4629</v>
      </c>
    </row>
    <row r="2656" spans="1:11" ht="20" customHeight="1">
      <c r="A2656" t="s">
        <v>4628</v>
      </c>
      <c r="B2656" t="s">
        <v>3404</v>
      </c>
      <c r="C2656">
        <v>599.2000122070312</v>
      </c>
      <c r="D2656">
        <v>604.5499877929688</v>
      </c>
      <c r="E2656">
        <v>598.510009765625</v>
      </c>
      <c r="F2656">
        <v>603.3599853515625</v>
      </c>
      <c r="G2656">
        <v>591.7349243164062</v>
      </c>
      <c r="H2656">
        <v>45076100</v>
      </c>
      <c r="I2656" t="s">
        <v>3405</v>
      </c>
      <c r="J2656" t="s">
        <v>3406</v>
      </c>
      <c r="K2656" t="s">
        <v>4629</v>
      </c>
    </row>
    <row r="2657" spans="1:11" ht="20" customHeight="1">
      <c r="A2657" t="s">
        <v>4628</v>
      </c>
      <c r="B2657" t="s">
        <v>3407</v>
      </c>
      <c r="C2657">
        <v>604.47998046875</v>
      </c>
      <c r="D2657">
        <v>609.9400024414062</v>
      </c>
      <c r="E2657">
        <v>603.2000122070312</v>
      </c>
      <c r="F2657">
        <v>609.72998046875</v>
      </c>
      <c r="G2657">
        <v>597.9822998046875</v>
      </c>
      <c r="H2657">
        <v>40921300</v>
      </c>
      <c r="I2657" t="s">
        <v>3408</v>
      </c>
      <c r="J2657" t="s">
        <v>3409</v>
      </c>
      <c r="K2657" t="s">
        <v>4629</v>
      </c>
    </row>
    <row r="2658" spans="1:11" ht="20" customHeight="1">
      <c r="A2658" t="s">
        <v>4628</v>
      </c>
      <c r="B2658" t="s">
        <v>3410</v>
      </c>
      <c r="C2658">
        <v>609.9400024414062</v>
      </c>
      <c r="D2658">
        <v>610.989990234375</v>
      </c>
      <c r="E2658">
        <v>609.0700073242188</v>
      </c>
      <c r="F2658">
        <v>609.7000122070312</v>
      </c>
      <c r="G2658">
        <v>597.952880859375</v>
      </c>
      <c r="H2658">
        <v>26910400</v>
      </c>
      <c r="I2658" t="s">
        <v>3411</v>
      </c>
      <c r="J2658" t="s">
        <v>3412</v>
      </c>
      <c r="K2658" t="s">
        <v>4629</v>
      </c>
    </row>
    <row r="2659" spans="1:11" ht="20" customHeight="1">
      <c r="A2659" t="s">
        <v>4628</v>
      </c>
      <c r="B2659" t="s">
        <v>3413</v>
      </c>
      <c r="C2659">
        <v>610.8800048828125</v>
      </c>
      <c r="D2659">
        <v>611.489990234375</v>
      </c>
      <c r="E2659">
        <v>608.3800048828125</v>
      </c>
      <c r="F2659">
        <v>611.489990234375</v>
      </c>
      <c r="G2659">
        <v>599.7083129882812</v>
      </c>
      <c r="H2659">
        <v>26749000</v>
      </c>
      <c r="I2659" t="s">
        <v>3414</v>
      </c>
      <c r="J2659" t="s">
        <v>3415</v>
      </c>
      <c r="K2659" t="s">
        <v>4629</v>
      </c>
    </row>
    <row r="2660" spans="1:11" ht="20" customHeight="1">
      <c r="A2660" t="s">
        <v>4628</v>
      </c>
      <c r="B2660" t="s">
        <v>3416</v>
      </c>
      <c r="C2660">
        <v>610.0800170898438</v>
      </c>
      <c r="D2660">
        <v>613.22998046875</v>
      </c>
      <c r="E2660">
        <v>609.5599975585938</v>
      </c>
      <c r="F2660">
        <v>612.9299926757812</v>
      </c>
      <c r="G2660">
        <v>601.1206665039062</v>
      </c>
      <c r="H2660">
        <v>31011100</v>
      </c>
      <c r="I2660" t="s">
        <v>3417</v>
      </c>
      <c r="J2660" t="s">
        <v>3418</v>
      </c>
      <c r="K2660" t="s">
        <v>4629</v>
      </c>
    </row>
    <row r="2661" spans="1:11" ht="20" customHeight="1">
      <c r="A2661" t="s">
        <v>4628</v>
      </c>
      <c r="B2661" t="s">
        <v>3419</v>
      </c>
      <c r="C2661">
        <v>611.5399780273438</v>
      </c>
      <c r="D2661">
        <v>611.6799926757812</v>
      </c>
      <c r="E2661">
        <v>607.02001953125</v>
      </c>
      <c r="F2661">
        <v>610.3800048828125</v>
      </c>
      <c r="G2661">
        <v>598.6198120117188</v>
      </c>
      <c r="H2661">
        <v>36554000</v>
      </c>
      <c r="I2661" t="s">
        <v>3420</v>
      </c>
      <c r="J2661" t="s">
        <v>3421</v>
      </c>
      <c r="K2661" t="s">
        <v>4629</v>
      </c>
    </row>
    <row r="2662" spans="1:11" ht="20" customHeight="1">
      <c r="A2662" t="s">
        <v>4628</v>
      </c>
      <c r="B2662" t="s">
        <v>3422</v>
      </c>
      <c r="C2662">
        <v>610.1599731445312</v>
      </c>
      <c r="D2662">
        <v>610.2999877929688</v>
      </c>
      <c r="E2662">
        <v>599.469970703125</v>
      </c>
      <c r="F2662">
        <v>599.9400024414062</v>
      </c>
      <c r="G2662">
        <v>588.3809204101562</v>
      </c>
      <c r="H2662">
        <v>76519800</v>
      </c>
      <c r="I2662" t="s">
        <v>3423</v>
      </c>
      <c r="J2662" t="s">
        <v>3424</v>
      </c>
      <c r="K2662" t="s">
        <v>4629</v>
      </c>
    </row>
    <row r="2663" spans="1:11" ht="20" customHeight="1">
      <c r="A2663" t="s">
        <v>4628</v>
      </c>
      <c r="B2663" t="s">
        <v>3425</v>
      </c>
      <c r="C2663">
        <v>602.02001953125</v>
      </c>
      <c r="D2663">
        <v>603.030029296875</v>
      </c>
      <c r="E2663">
        <v>596.489990234375</v>
      </c>
      <c r="F2663">
        <v>597.2100219726562</v>
      </c>
      <c r="G2663">
        <v>585.7035522460938</v>
      </c>
      <c r="H2663">
        <v>50737200</v>
      </c>
      <c r="I2663" t="s">
        <v>3426</v>
      </c>
      <c r="J2663" t="s">
        <v>3427</v>
      </c>
      <c r="K2663" t="s">
        <v>4629</v>
      </c>
    </row>
    <row r="2664" spans="1:11" ht="20" customHeight="1">
      <c r="A2664" t="s">
        <v>4628</v>
      </c>
      <c r="B2664" t="s">
        <v>3428</v>
      </c>
      <c r="C2664">
        <v>597.1500244140625</v>
      </c>
      <c r="D2664">
        <v>597.8900146484375</v>
      </c>
      <c r="E2664">
        <v>589.5599975585938</v>
      </c>
      <c r="F2664">
        <v>594.239990234375</v>
      </c>
      <c r="G2664">
        <v>582.790771484375</v>
      </c>
      <c r="H2664">
        <v>58266500</v>
      </c>
      <c r="I2664" t="s">
        <v>3429</v>
      </c>
      <c r="J2664" t="s">
        <v>3430</v>
      </c>
      <c r="K2664" t="s">
        <v>4629</v>
      </c>
    </row>
    <row r="2665" spans="1:11" ht="20" customHeight="1">
      <c r="A2665" t="s">
        <v>4628</v>
      </c>
      <c r="B2665" t="s">
        <v>3431</v>
      </c>
      <c r="C2665">
        <v>595.9299926757812</v>
      </c>
      <c r="D2665">
        <v>599.5800170898438</v>
      </c>
      <c r="E2665">
        <v>591.8599853515625</v>
      </c>
      <c r="F2665">
        <v>594.5399780273438</v>
      </c>
      <c r="G2665">
        <v>583.0848999023438</v>
      </c>
      <c r="H2665">
        <v>43321600</v>
      </c>
      <c r="I2665" t="s">
        <v>3432</v>
      </c>
      <c r="J2665" t="s">
        <v>3433</v>
      </c>
      <c r="K2665" t="s">
        <v>4629</v>
      </c>
    </row>
    <row r="2666" spans="1:11" ht="20" customHeight="1">
      <c r="A2666" t="s">
        <v>4628</v>
      </c>
      <c r="B2666" t="s">
        <v>3434</v>
      </c>
      <c r="C2666">
        <v>596.8499755859375</v>
      </c>
      <c r="D2666">
        <v>598.02001953125</v>
      </c>
      <c r="E2666">
        <v>584.6500244140625</v>
      </c>
      <c r="F2666">
        <v>585.0499877929688</v>
      </c>
      <c r="G2666">
        <v>573.7777099609375</v>
      </c>
      <c r="H2666">
        <v>74196700</v>
      </c>
      <c r="I2666" t="s">
        <v>3435</v>
      </c>
      <c r="J2666" t="s">
        <v>3436</v>
      </c>
      <c r="K2666" t="s">
        <v>4629</v>
      </c>
    </row>
    <row r="2667" spans="1:11" ht="20" customHeight="1">
      <c r="A2667" t="s">
        <v>4628</v>
      </c>
      <c r="B2667" t="s">
        <v>3437</v>
      </c>
      <c r="C2667">
        <v>585.5599975585938</v>
      </c>
      <c r="D2667">
        <v>594.719970703125</v>
      </c>
      <c r="E2667">
        <v>582.4400024414062</v>
      </c>
      <c r="F2667">
        <v>594.1799926757812</v>
      </c>
      <c r="G2667">
        <v>582.7318725585938</v>
      </c>
      <c r="H2667">
        <v>88744100</v>
      </c>
      <c r="I2667" t="s">
        <v>3438</v>
      </c>
      <c r="J2667" t="s">
        <v>3439</v>
      </c>
      <c r="K2667" t="s">
        <v>4629</v>
      </c>
    </row>
    <row r="2668" spans="1:11" ht="20" customHeight="1">
      <c r="A2668" t="s">
        <v>4628</v>
      </c>
      <c r="B2668" t="s">
        <v>3440</v>
      </c>
      <c r="C2668">
        <v>596.1799926757812</v>
      </c>
      <c r="D2668">
        <v>597.3400268554688</v>
      </c>
      <c r="E2668">
        <v>579.9000244140625</v>
      </c>
      <c r="F2668">
        <v>583.77001953125</v>
      </c>
      <c r="G2668">
        <v>572.5224609375</v>
      </c>
      <c r="H2668">
        <v>74249200</v>
      </c>
      <c r="I2668" t="s">
        <v>3441</v>
      </c>
      <c r="J2668" t="s">
        <v>3442</v>
      </c>
      <c r="K2668" t="s">
        <v>4629</v>
      </c>
    </row>
    <row r="2669" spans="1:11" ht="20" customHeight="1">
      <c r="A2669" t="s">
        <v>4628</v>
      </c>
      <c r="B2669" t="s">
        <v>3443</v>
      </c>
      <c r="C2669">
        <v>579.7100219726562</v>
      </c>
      <c r="D2669">
        <v>585.3900146484375</v>
      </c>
      <c r="E2669">
        <v>572.25</v>
      </c>
      <c r="F2669">
        <v>576.8599853515625</v>
      </c>
      <c r="G2669">
        <v>565.7455444335938</v>
      </c>
      <c r="H2669">
        <v>109648200</v>
      </c>
      <c r="I2669" t="s">
        <v>3444</v>
      </c>
      <c r="J2669" t="s">
        <v>3445</v>
      </c>
      <c r="K2669" t="s">
        <v>4629</v>
      </c>
    </row>
    <row r="2670" spans="1:11" ht="20" customHeight="1">
      <c r="A2670" t="s">
        <v>4628</v>
      </c>
      <c r="B2670" t="s">
        <v>3446</v>
      </c>
      <c r="C2670">
        <v>576.6900024414062</v>
      </c>
      <c r="D2670">
        <v>584.8800048828125</v>
      </c>
      <c r="E2670">
        <v>573.0800170898438</v>
      </c>
      <c r="F2670">
        <v>583.0599975585938</v>
      </c>
      <c r="G2670">
        <v>571.826171875</v>
      </c>
      <c r="H2670">
        <v>71230500</v>
      </c>
      <c r="I2670" t="s">
        <v>3447</v>
      </c>
      <c r="J2670" t="s">
        <v>3448</v>
      </c>
      <c r="K2670" t="s">
        <v>4629</v>
      </c>
    </row>
    <row r="2671" spans="1:11" ht="20" customHeight="1">
      <c r="A2671" t="s">
        <v>4628</v>
      </c>
      <c r="B2671" t="s">
        <v>3449</v>
      </c>
      <c r="C2671">
        <v>575.47998046875</v>
      </c>
      <c r="D2671">
        <v>580.1699829101562</v>
      </c>
      <c r="E2671">
        <v>570.1199951171875</v>
      </c>
      <c r="F2671">
        <v>572.7100219726562</v>
      </c>
      <c r="G2671">
        <v>561.6755981445312</v>
      </c>
      <c r="H2671">
        <v>80094900</v>
      </c>
      <c r="I2671" t="s">
        <v>3450</v>
      </c>
      <c r="J2671" t="s">
        <v>3451</v>
      </c>
      <c r="K2671" t="s">
        <v>4629</v>
      </c>
    </row>
    <row r="2672" spans="1:11" ht="20" customHeight="1">
      <c r="A2672" t="s">
        <v>4628</v>
      </c>
      <c r="B2672" t="s">
        <v>3452</v>
      </c>
      <c r="C2672">
        <v>570.9000244140625</v>
      </c>
      <c r="D2672">
        <v>577.3900146484375</v>
      </c>
      <c r="E2672">
        <v>565.6300048828125</v>
      </c>
      <c r="F2672">
        <v>575.9199829101562</v>
      </c>
      <c r="G2672">
        <v>564.8236083984375</v>
      </c>
      <c r="H2672">
        <v>81158800</v>
      </c>
      <c r="I2672" t="s">
        <v>3453</v>
      </c>
      <c r="J2672" t="s">
        <v>3454</v>
      </c>
      <c r="K2672" t="s">
        <v>4629</v>
      </c>
    </row>
    <row r="2673" spans="1:11" ht="20" customHeight="1">
      <c r="A2673" t="s">
        <v>4628</v>
      </c>
      <c r="B2673" t="s">
        <v>3455</v>
      </c>
      <c r="C2673">
        <v>567.5900268554688</v>
      </c>
      <c r="D2673">
        <v>569.5399780273438</v>
      </c>
      <c r="E2673">
        <v>555.5900268554688</v>
      </c>
      <c r="F2673">
        <v>560.5800170898438</v>
      </c>
      <c r="G2673">
        <v>549.779296875</v>
      </c>
      <c r="H2673">
        <v>99326600</v>
      </c>
      <c r="I2673" t="s">
        <v>3456</v>
      </c>
      <c r="J2673" t="s">
        <v>3457</v>
      </c>
      <c r="K2673" t="s">
        <v>4629</v>
      </c>
    </row>
    <row r="2674" spans="1:11" ht="20" customHeight="1">
      <c r="A2674" t="s">
        <v>4628</v>
      </c>
      <c r="B2674" t="s">
        <v>3458</v>
      </c>
      <c r="C2674">
        <v>559.4000244140625</v>
      </c>
      <c r="D2674">
        <v>564.02001953125</v>
      </c>
      <c r="E2674">
        <v>552.02001953125</v>
      </c>
      <c r="F2674">
        <v>555.9199829101562</v>
      </c>
      <c r="G2674">
        <v>545.2089233398438</v>
      </c>
      <c r="H2674">
        <v>88102100</v>
      </c>
      <c r="I2674" t="s">
        <v>3459</v>
      </c>
      <c r="J2674" t="s">
        <v>3460</v>
      </c>
      <c r="K2674" t="s">
        <v>4629</v>
      </c>
    </row>
    <row r="2675" spans="1:11" ht="20" customHeight="1">
      <c r="A2675" t="s">
        <v>4628</v>
      </c>
      <c r="B2675" t="s">
        <v>3461</v>
      </c>
      <c r="C2675">
        <v>562.1699829101562</v>
      </c>
      <c r="D2675">
        <v>563.1099853515625</v>
      </c>
      <c r="E2675">
        <v>553.6900024414062</v>
      </c>
      <c r="F2675">
        <v>558.8699951171875</v>
      </c>
      <c r="G2675">
        <v>548.1022338867188</v>
      </c>
      <c r="H2675">
        <v>69588200</v>
      </c>
      <c r="I2675" t="s">
        <v>3462</v>
      </c>
      <c r="J2675" t="s">
        <v>3463</v>
      </c>
      <c r="K2675" t="s">
        <v>4629</v>
      </c>
    </row>
    <row r="2676" spans="1:11" ht="20" customHeight="1">
      <c r="A2676" t="s">
        <v>4628</v>
      </c>
      <c r="B2676" t="s">
        <v>3464</v>
      </c>
      <c r="C2676">
        <v>558.489990234375</v>
      </c>
      <c r="D2676">
        <v>559.1099853515625</v>
      </c>
      <c r="E2676">
        <v>549.6799926757812</v>
      </c>
      <c r="F2676">
        <v>551.4199829101562</v>
      </c>
      <c r="G2676">
        <v>540.7957763671875</v>
      </c>
      <c r="H2676">
        <v>74079400</v>
      </c>
      <c r="I2676" t="s">
        <v>3465</v>
      </c>
      <c r="J2676" t="s">
        <v>3466</v>
      </c>
      <c r="K2676" t="s">
        <v>4629</v>
      </c>
    </row>
    <row r="2677" spans="1:11" ht="20" customHeight="1">
      <c r="A2677" t="s">
        <v>4628</v>
      </c>
      <c r="B2677" t="s">
        <v>3467</v>
      </c>
      <c r="C2677">
        <v>556.1099853515625</v>
      </c>
      <c r="D2677">
        <v>563.8300170898438</v>
      </c>
      <c r="E2677">
        <v>551.489990234375</v>
      </c>
      <c r="F2677">
        <v>562.8099975585938</v>
      </c>
      <c r="G2677">
        <v>551.9663696289062</v>
      </c>
      <c r="H2677">
        <v>62660300</v>
      </c>
      <c r="I2677" t="s">
        <v>3468</v>
      </c>
      <c r="J2677" t="s">
        <v>3469</v>
      </c>
      <c r="K2677" t="s">
        <v>4629</v>
      </c>
    </row>
    <row r="2678" spans="1:11" ht="20" customHeight="1">
      <c r="A2678" t="s">
        <v>4628</v>
      </c>
      <c r="B2678" t="s">
        <v>3470</v>
      </c>
      <c r="C2678">
        <v>562.7899780273438</v>
      </c>
      <c r="D2678">
        <v>569.7100219726562</v>
      </c>
      <c r="E2678">
        <v>562.3499755859375</v>
      </c>
      <c r="F2678">
        <v>567.1500244140625</v>
      </c>
      <c r="G2678">
        <v>556.22265625</v>
      </c>
      <c r="H2678">
        <v>49008700</v>
      </c>
      <c r="I2678" t="s">
        <v>3471</v>
      </c>
      <c r="J2678" t="s">
        <v>3472</v>
      </c>
      <c r="K2678" t="s">
        <v>4629</v>
      </c>
    </row>
    <row r="2679" spans="1:11" ht="20" customHeight="1">
      <c r="A2679" t="s">
        <v>4628</v>
      </c>
      <c r="B2679" t="s">
        <v>3473</v>
      </c>
      <c r="C2679">
        <v>564.7999877929688</v>
      </c>
      <c r="D2679">
        <v>565.02001953125</v>
      </c>
      <c r="E2679">
        <v>559.0599975585938</v>
      </c>
      <c r="F2679">
        <v>561.02001953125</v>
      </c>
      <c r="G2679">
        <v>550.2107543945312</v>
      </c>
      <c r="H2679">
        <v>66041400</v>
      </c>
      <c r="I2679" t="s">
        <v>3474</v>
      </c>
      <c r="J2679" t="s">
        <v>3475</v>
      </c>
      <c r="K2679" t="s">
        <v>4629</v>
      </c>
    </row>
    <row r="2680" spans="1:11" ht="20" customHeight="1">
      <c r="A2680" t="s">
        <v>4628</v>
      </c>
      <c r="B2680" t="s">
        <v>3476</v>
      </c>
      <c r="C2680">
        <v>562.8300170898438</v>
      </c>
      <c r="D2680">
        <v>570.9500122070312</v>
      </c>
      <c r="E2680">
        <v>561.6300048828125</v>
      </c>
      <c r="F2680">
        <v>567.1300048828125</v>
      </c>
      <c r="G2680">
        <v>556.2030639648438</v>
      </c>
      <c r="H2680">
        <v>66556000</v>
      </c>
      <c r="I2680" t="s">
        <v>3477</v>
      </c>
      <c r="J2680" t="s">
        <v>3478</v>
      </c>
      <c r="K2680" t="s">
        <v>4629</v>
      </c>
    </row>
    <row r="2681" spans="1:11" ht="20" customHeight="1">
      <c r="A2681" t="s">
        <v>4628</v>
      </c>
      <c r="B2681" t="s">
        <v>3479</v>
      </c>
      <c r="C2681">
        <v>563.3300170898438</v>
      </c>
      <c r="D2681">
        <v>570.5700073242188</v>
      </c>
      <c r="E2681">
        <v>562.5999755859375</v>
      </c>
      <c r="F2681">
        <v>565.489990234375</v>
      </c>
      <c r="G2681">
        <v>554.5946044921875</v>
      </c>
      <c r="H2681">
        <v>62958200</v>
      </c>
      <c r="I2681" t="s">
        <v>3480</v>
      </c>
      <c r="J2681" t="s">
        <v>3481</v>
      </c>
      <c r="K2681" t="s">
        <v>4629</v>
      </c>
    </row>
    <row r="2682" spans="1:11" ht="20" customHeight="1">
      <c r="A2682" t="s">
        <v>4628</v>
      </c>
      <c r="B2682" t="s">
        <v>3482</v>
      </c>
      <c r="C2682">
        <v>559.280029296875</v>
      </c>
      <c r="D2682">
        <v>564.8900146484375</v>
      </c>
      <c r="E2682">
        <v>558.030029296875</v>
      </c>
      <c r="F2682">
        <v>563.97998046875</v>
      </c>
      <c r="G2682">
        <v>554.7776489257812</v>
      </c>
      <c r="H2682">
        <v>83763000</v>
      </c>
      <c r="I2682" t="s">
        <v>3483</v>
      </c>
      <c r="J2682" t="s">
        <v>3484</v>
      </c>
      <c r="K2682" t="s">
        <v>4629</v>
      </c>
    </row>
    <row r="2683" spans="1:11" ht="20" customHeight="1">
      <c r="A2683" t="s">
        <v>4628</v>
      </c>
      <c r="B2683" t="s">
        <v>3485</v>
      </c>
      <c r="C2683">
        <v>570.7999877929688</v>
      </c>
      <c r="D2683">
        <v>575.1500244140625</v>
      </c>
      <c r="E2683">
        <v>570.2000122070312</v>
      </c>
      <c r="F2683">
        <v>574.0800170898438</v>
      </c>
      <c r="G2683">
        <v>564.712890625</v>
      </c>
      <c r="H2683">
        <v>58766800</v>
      </c>
      <c r="I2683" t="s">
        <v>3486</v>
      </c>
      <c r="J2683" t="s">
        <v>3487</v>
      </c>
      <c r="K2683" t="s">
        <v>4629</v>
      </c>
    </row>
    <row r="2684" spans="1:11" ht="20" customHeight="1">
      <c r="A2684" t="s">
        <v>4628</v>
      </c>
      <c r="B2684" t="s">
        <v>3488</v>
      </c>
      <c r="C2684">
        <v>575.2999877929688</v>
      </c>
      <c r="D2684">
        <v>576.4099731445312</v>
      </c>
      <c r="E2684">
        <v>573.6900024414062</v>
      </c>
      <c r="F2684">
        <v>575.4600219726562</v>
      </c>
      <c r="G2684">
        <v>566.0703735351562</v>
      </c>
      <c r="H2684">
        <v>38355700</v>
      </c>
      <c r="I2684" t="s">
        <v>3489</v>
      </c>
      <c r="J2684" t="s">
        <v>3490</v>
      </c>
      <c r="K2684" t="s">
        <v>4629</v>
      </c>
    </row>
    <row r="2685" spans="1:11" ht="20" customHeight="1">
      <c r="A2685" t="s">
        <v>4628</v>
      </c>
      <c r="B2685" t="s">
        <v>3491</v>
      </c>
      <c r="C2685">
        <v>575.1900024414062</v>
      </c>
      <c r="D2685">
        <v>576.3300170898438</v>
      </c>
      <c r="E2685">
        <v>567.1900024414062</v>
      </c>
      <c r="F2685">
        <v>568.5900268554688</v>
      </c>
      <c r="G2685">
        <v>559.3124389648438</v>
      </c>
      <c r="H2685">
        <v>51848300</v>
      </c>
      <c r="I2685" t="s">
        <v>3492</v>
      </c>
      <c r="J2685" t="s">
        <v>3493</v>
      </c>
      <c r="K2685" t="s">
        <v>4629</v>
      </c>
    </row>
    <row r="2686" spans="1:11" ht="20" customHeight="1">
      <c r="A2686" t="s">
        <v>4628</v>
      </c>
      <c r="B2686" t="s">
        <v>3494</v>
      </c>
      <c r="C2686">
        <v>567.1799926757812</v>
      </c>
      <c r="D2686">
        <v>570.9000244140625</v>
      </c>
      <c r="E2686">
        <v>564.9400024414062</v>
      </c>
      <c r="F2686">
        <v>567.0800170898438</v>
      </c>
      <c r="G2686">
        <v>557.8270874023438</v>
      </c>
      <c r="H2686">
        <v>42164200</v>
      </c>
      <c r="I2686" t="s">
        <v>3495</v>
      </c>
      <c r="J2686" t="s">
        <v>3496</v>
      </c>
      <c r="K2686" t="s">
        <v>4629</v>
      </c>
    </row>
    <row r="2687" spans="1:11" ht="20" customHeight="1">
      <c r="A2687" t="s">
        <v>4628</v>
      </c>
      <c r="B2687" t="s">
        <v>3497</v>
      </c>
      <c r="C2687">
        <v>565.530029296875</v>
      </c>
      <c r="D2687">
        <v>566.27001953125</v>
      </c>
      <c r="E2687">
        <v>555.0700073242188</v>
      </c>
      <c r="F2687">
        <v>555.6599731445312</v>
      </c>
      <c r="G2687">
        <v>546.5934448242188</v>
      </c>
      <c r="H2687">
        <v>71662700</v>
      </c>
      <c r="I2687" t="s">
        <v>3498</v>
      </c>
      <c r="J2687" t="s">
        <v>3499</v>
      </c>
      <c r="K2687" t="s">
        <v>4629</v>
      </c>
    </row>
    <row r="2688" spans="1:11" ht="20" customHeight="1">
      <c r="A2688" t="s">
        <v>4628</v>
      </c>
      <c r="B2688" t="s">
        <v>3500</v>
      </c>
      <c r="C2688">
        <v>549.8300170898438</v>
      </c>
      <c r="D2688">
        <v>560.7100219726562</v>
      </c>
      <c r="E2688">
        <v>546.8699951171875</v>
      </c>
      <c r="F2688">
        <v>559.3900146484375</v>
      </c>
      <c r="G2688">
        <v>550.2625732421875</v>
      </c>
      <c r="H2688">
        <v>95328200</v>
      </c>
      <c r="I2688" t="s">
        <v>3501</v>
      </c>
      <c r="J2688" t="s">
        <v>3502</v>
      </c>
      <c r="K2688" t="s">
        <v>4629</v>
      </c>
    </row>
    <row r="2689" spans="1:11" ht="20" customHeight="1">
      <c r="A2689" t="s">
        <v>4628</v>
      </c>
      <c r="B2689" t="s">
        <v>3503</v>
      </c>
      <c r="C2689">
        <v>557.4500122070312</v>
      </c>
      <c r="D2689">
        <v>562.9400024414062</v>
      </c>
      <c r="E2689">
        <v>553.6799926757812</v>
      </c>
      <c r="F2689">
        <v>560.969970703125</v>
      </c>
      <c r="G2689">
        <v>551.8167724609375</v>
      </c>
      <c r="H2689">
        <v>54609600</v>
      </c>
      <c r="I2689" t="s">
        <v>3504</v>
      </c>
      <c r="J2689" t="s">
        <v>3505</v>
      </c>
      <c r="K2689" t="s">
        <v>4629</v>
      </c>
    </row>
    <row r="2690" spans="1:11" ht="20" customHeight="1">
      <c r="A2690" t="s">
        <v>4628</v>
      </c>
      <c r="B2690" t="s">
        <v>3506</v>
      </c>
      <c r="C2690">
        <v>555.0499877929688</v>
      </c>
      <c r="D2690">
        <v>567.4199829101562</v>
      </c>
      <c r="E2690">
        <v>554.8099975585938</v>
      </c>
      <c r="F2690">
        <v>564.52001953125</v>
      </c>
      <c r="G2690">
        <v>555.3088989257812</v>
      </c>
      <c r="H2690">
        <v>76014500</v>
      </c>
      <c r="I2690" t="s">
        <v>3507</v>
      </c>
      <c r="J2690" t="s">
        <v>3508</v>
      </c>
      <c r="K2690" t="s">
        <v>4629</v>
      </c>
    </row>
    <row r="2691" spans="1:11" ht="20" customHeight="1">
      <c r="A2691" t="s">
        <v>4628</v>
      </c>
      <c r="B2691" t="s">
        <v>3509</v>
      </c>
      <c r="C2691">
        <v>545.1099853515625</v>
      </c>
      <c r="D2691">
        <v>547.969970703125</v>
      </c>
      <c r="E2691">
        <v>536.7000122070312</v>
      </c>
      <c r="F2691">
        <v>536.7000122070312</v>
      </c>
      <c r="G2691">
        <v>527.9427490234375</v>
      </c>
      <c r="H2691">
        <v>125986000</v>
      </c>
      <c r="I2691" t="s">
        <v>3510</v>
      </c>
      <c r="J2691" t="s">
        <v>3511</v>
      </c>
      <c r="K2691" t="s">
        <v>4629</v>
      </c>
    </row>
    <row r="2692" spans="1:11" ht="20" customHeight="1">
      <c r="A2692" t="s">
        <v>4628</v>
      </c>
      <c r="B2692" t="s">
        <v>3512</v>
      </c>
      <c r="C2692">
        <v>523.6699829101562</v>
      </c>
      <c r="D2692">
        <v>525.8699951171875</v>
      </c>
      <c r="E2692">
        <v>505.0599975585938</v>
      </c>
      <c r="F2692">
        <v>505.2799987792969</v>
      </c>
      <c r="G2692">
        <v>497.0354309082031</v>
      </c>
      <c r="H2692">
        <v>217965100</v>
      </c>
      <c r="I2692" t="s">
        <v>3513</v>
      </c>
      <c r="J2692" t="s">
        <v>3514</v>
      </c>
      <c r="K2692" t="s">
        <v>4629</v>
      </c>
    </row>
    <row r="2693" spans="1:11" ht="20" customHeight="1">
      <c r="A2693" t="s">
        <v>4628</v>
      </c>
      <c r="B2693" t="s">
        <v>3515</v>
      </c>
      <c r="C2693">
        <v>489.1900024414062</v>
      </c>
      <c r="D2693">
        <v>523.1699829101562</v>
      </c>
      <c r="E2693">
        <v>481.7999877929688</v>
      </c>
      <c r="F2693">
        <v>504.3800048828125</v>
      </c>
      <c r="G2693">
        <v>496.1501159667969</v>
      </c>
      <c r="H2693">
        <v>256611400</v>
      </c>
      <c r="I2693" t="s">
        <v>3516</v>
      </c>
      <c r="J2693" t="s">
        <v>3517</v>
      </c>
      <c r="K2693" t="s">
        <v>4629</v>
      </c>
    </row>
    <row r="2694" spans="1:11" ht="20" customHeight="1">
      <c r="A2694" t="s">
        <v>4628</v>
      </c>
      <c r="B2694" t="s">
        <v>3518</v>
      </c>
      <c r="C2694">
        <v>521.8599853515625</v>
      </c>
      <c r="D2694">
        <v>524.97998046875</v>
      </c>
      <c r="E2694">
        <v>489.1600036621094</v>
      </c>
      <c r="F2694">
        <v>496.4800109863281</v>
      </c>
      <c r="G2694">
        <v>488.3790588378906</v>
      </c>
      <c r="H2694">
        <v>165816600</v>
      </c>
      <c r="I2694" t="s">
        <v>3519</v>
      </c>
      <c r="J2694" t="s">
        <v>3520</v>
      </c>
      <c r="K2694" t="s">
        <v>4629</v>
      </c>
    </row>
    <row r="2695" spans="1:11" ht="20" customHeight="1">
      <c r="A2695" t="s">
        <v>4628</v>
      </c>
      <c r="B2695" t="s">
        <v>3521</v>
      </c>
      <c r="C2695">
        <v>493.4400024414062</v>
      </c>
      <c r="D2695">
        <v>548.6199951171875</v>
      </c>
      <c r="E2695">
        <v>493.0499877929688</v>
      </c>
      <c r="F2695">
        <v>548.6199951171875</v>
      </c>
      <c r="G2695">
        <v>539.6682739257812</v>
      </c>
      <c r="H2695">
        <v>241867300</v>
      </c>
      <c r="I2695" t="s">
        <v>3522</v>
      </c>
      <c r="J2695" t="s">
        <v>3523</v>
      </c>
      <c r="K2695" t="s">
        <v>4629</v>
      </c>
    </row>
    <row r="2696" spans="1:11" ht="20" customHeight="1">
      <c r="A2696" t="s">
        <v>4628</v>
      </c>
      <c r="B2696" t="s">
        <v>3524</v>
      </c>
      <c r="C2696">
        <v>532.1699829101562</v>
      </c>
      <c r="D2696">
        <v>533.5</v>
      </c>
      <c r="E2696">
        <v>509.3200073242188</v>
      </c>
      <c r="F2696">
        <v>524.5800170898438</v>
      </c>
      <c r="G2696">
        <v>516.0205688476562</v>
      </c>
      <c r="H2696">
        <v>162331200</v>
      </c>
      <c r="I2696" t="s">
        <v>3525</v>
      </c>
      <c r="J2696" t="s">
        <v>3526</v>
      </c>
      <c r="K2696" t="s">
        <v>4629</v>
      </c>
    </row>
    <row r="2697" spans="1:11" ht="20" customHeight="1">
      <c r="A2697" t="s">
        <v>4628</v>
      </c>
      <c r="B2697" t="s">
        <v>3527</v>
      </c>
      <c r="C2697">
        <v>523.010009765625</v>
      </c>
      <c r="D2697">
        <v>536.4299926757812</v>
      </c>
      <c r="E2697">
        <v>520.0700073242188</v>
      </c>
      <c r="F2697">
        <v>533.9400024414062</v>
      </c>
      <c r="G2697">
        <v>525.2277221679688</v>
      </c>
      <c r="H2697">
        <v>97866300</v>
      </c>
      <c r="I2697" t="s">
        <v>3528</v>
      </c>
      <c r="J2697" t="s">
        <v>3529</v>
      </c>
      <c r="K2697" t="s">
        <v>4629</v>
      </c>
    </row>
    <row r="2698" spans="1:11" ht="20" customHeight="1">
      <c r="A2698" t="s">
        <v>4628</v>
      </c>
      <c r="B2698" t="s">
        <v>3530</v>
      </c>
      <c r="C2698">
        <v>544.0499877929688</v>
      </c>
      <c r="D2698">
        <v>544.280029296875</v>
      </c>
      <c r="E2698">
        <v>533.8599853515625</v>
      </c>
      <c r="F2698">
        <v>539.1199951171875</v>
      </c>
      <c r="G2698">
        <v>530.3233032226562</v>
      </c>
      <c r="H2698">
        <v>68034000</v>
      </c>
      <c r="I2698" t="s">
        <v>3531</v>
      </c>
      <c r="J2698" t="s">
        <v>3532</v>
      </c>
      <c r="K2698" t="s">
        <v>4629</v>
      </c>
    </row>
    <row r="2699" spans="1:11" ht="20" customHeight="1">
      <c r="A2699" t="s">
        <v>4628</v>
      </c>
      <c r="B2699" t="s">
        <v>3533</v>
      </c>
      <c r="C2699">
        <v>539.6699829101562</v>
      </c>
      <c r="D2699">
        <v>543.22998046875</v>
      </c>
      <c r="E2699">
        <v>536.8099975585938</v>
      </c>
      <c r="F2699">
        <v>537.6099853515625</v>
      </c>
      <c r="G2699">
        <v>528.837890625</v>
      </c>
      <c r="H2699">
        <v>56892900</v>
      </c>
      <c r="I2699" t="s">
        <v>3534</v>
      </c>
      <c r="J2699" t="s">
        <v>3535</v>
      </c>
      <c r="K2699" t="s">
        <v>4629</v>
      </c>
    </row>
    <row r="2700" spans="1:11" ht="20" customHeight="1">
      <c r="A2700" t="s">
        <v>4628</v>
      </c>
      <c r="B2700" t="s">
        <v>3536</v>
      </c>
      <c r="C2700">
        <v>531.6799926757812</v>
      </c>
      <c r="D2700">
        <v>537.8900146484375</v>
      </c>
      <c r="E2700">
        <v>520.2899780273438</v>
      </c>
      <c r="F2700">
        <v>525.6599731445312</v>
      </c>
      <c r="G2700">
        <v>517.0828247070312</v>
      </c>
      <c r="H2700">
        <v>83484800</v>
      </c>
      <c r="I2700" t="s">
        <v>3537</v>
      </c>
      <c r="J2700" t="s">
        <v>3538</v>
      </c>
      <c r="K2700" t="s">
        <v>4629</v>
      </c>
    </row>
    <row r="2701" spans="1:11" ht="20" customHeight="1">
      <c r="A2701" t="s">
        <v>4628</v>
      </c>
      <c r="B2701" t="s">
        <v>3539</v>
      </c>
      <c r="C2701">
        <v>527.6400146484375</v>
      </c>
      <c r="D2701">
        <v>531.1699829101562</v>
      </c>
      <c r="E2701">
        <v>523.9099731445312</v>
      </c>
      <c r="F2701">
        <v>526.4099731445312</v>
      </c>
      <c r="G2701">
        <v>517.8206176757812</v>
      </c>
      <c r="H2701">
        <v>79868100</v>
      </c>
      <c r="I2701" t="s">
        <v>3540</v>
      </c>
      <c r="J2701" t="s">
        <v>3541</v>
      </c>
      <c r="K2701" t="s">
        <v>4629</v>
      </c>
    </row>
    <row r="2702" spans="1:11" ht="20" customHeight="1">
      <c r="A2702" t="s">
        <v>4628</v>
      </c>
      <c r="B2702" t="s">
        <v>3542</v>
      </c>
      <c r="C2702">
        <v>521.1599731445312</v>
      </c>
      <c r="D2702">
        <v>521.7000122070312</v>
      </c>
      <c r="E2702">
        <v>508.4599914550781</v>
      </c>
      <c r="F2702">
        <v>513.8800048828125</v>
      </c>
      <c r="G2702">
        <v>505.4950866699219</v>
      </c>
      <c r="H2702">
        <v>69368100</v>
      </c>
      <c r="I2702" t="s">
        <v>3543</v>
      </c>
      <c r="J2702" t="s">
        <v>3544</v>
      </c>
      <c r="K2702" t="s">
        <v>4629</v>
      </c>
    </row>
    <row r="2703" spans="1:11" ht="20" customHeight="1">
      <c r="A2703" t="s">
        <v>4628</v>
      </c>
      <c r="B2703" t="s">
        <v>3545</v>
      </c>
      <c r="C2703">
        <v>520.1400146484375</v>
      </c>
      <c r="D2703">
        <v>529.2999877929688</v>
      </c>
      <c r="E2703">
        <v>519.1900024414062</v>
      </c>
      <c r="F2703">
        <v>527.25</v>
      </c>
      <c r="G2703">
        <v>518.6470336914062</v>
      </c>
      <c r="H2703">
        <v>75948100</v>
      </c>
      <c r="I2703" t="s">
        <v>3546</v>
      </c>
      <c r="J2703" t="s">
        <v>3547</v>
      </c>
      <c r="K2703" t="s">
        <v>4629</v>
      </c>
    </row>
    <row r="2704" spans="1:11" ht="20" customHeight="1">
      <c r="A2704" t="s">
        <v>4628</v>
      </c>
      <c r="B2704" t="s">
        <v>3548</v>
      </c>
      <c r="C2704">
        <v>540.4299926757812</v>
      </c>
      <c r="D2704">
        <v>545.4299926757812</v>
      </c>
      <c r="E2704">
        <v>533.8800048828125</v>
      </c>
      <c r="F2704">
        <v>535.4199829101562</v>
      </c>
      <c r="G2704">
        <v>526.68359375</v>
      </c>
      <c r="H2704">
        <v>90590700</v>
      </c>
      <c r="I2704" t="s">
        <v>3549</v>
      </c>
      <c r="J2704" t="s">
        <v>3550</v>
      </c>
      <c r="K2704" t="s">
        <v>4629</v>
      </c>
    </row>
    <row r="2705" spans="1:11" ht="20" customHeight="1">
      <c r="A2705" t="s">
        <v>4628</v>
      </c>
      <c r="B2705" t="s">
        <v>3551</v>
      </c>
      <c r="C2705">
        <v>536.719970703125</v>
      </c>
      <c r="D2705">
        <v>547.4299926757812</v>
      </c>
      <c r="E2705">
        <v>535.4500122070312</v>
      </c>
      <c r="F2705">
        <v>546.6900024414062</v>
      </c>
      <c r="G2705">
        <v>537.769775390625</v>
      </c>
      <c r="H2705">
        <v>64150400</v>
      </c>
      <c r="I2705" t="s">
        <v>3552</v>
      </c>
      <c r="J2705" t="s">
        <v>3553</v>
      </c>
      <c r="K2705" t="s">
        <v>4629</v>
      </c>
    </row>
    <row r="2706" spans="1:11" ht="20" customHeight="1">
      <c r="A2706" t="s">
        <v>4628</v>
      </c>
      <c r="B2706" t="s">
        <v>3554</v>
      </c>
      <c r="C2706">
        <v>546.6500244140625</v>
      </c>
      <c r="D2706">
        <v>551.0499877929688</v>
      </c>
      <c r="E2706">
        <v>543.6900024414062</v>
      </c>
      <c r="F2706">
        <v>550.6400146484375</v>
      </c>
      <c r="G2706">
        <v>541.6553344726562</v>
      </c>
      <c r="H2706">
        <v>61119600</v>
      </c>
      <c r="I2706" t="s">
        <v>3555</v>
      </c>
      <c r="J2706" t="s">
        <v>3556</v>
      </c>
      <c r="K2706" t="s">
        <v>4629</v>
      </c>
    </row>
    <row r="2707" spans="1:11" ht="20" customHeight="1">
      <c r="A2707" t="s">
        <v>4628</v>
      </c>
      <c r="B2707" t="s">
        <v>3557</v>
      </c>
      <c r="C2707">
        <v>551.3900146484375</v>
      </c>
      <c r="D2707">
        <v>553.5499877929688</v>
      </c>
      <c r="E2707">
        <v>545.02001953125</v>
      </c>
      <c r="F2707">
        <v>550.8499755859375</v>
      </c>
      <c r="G2707">
        <v>541.8619384765625</v>
      </c>
      <c r="H2707">
        <v>47613800</v>
      </c>
      <c r="I2707" t="s">
        <v>3558</v>
      </c>
      <c r="J2707" t="s">
        <v>3559</v>
      </c>
      <c r="K2707" t="s">
        <v>4629</v>
      </c>
    </row>
    <row r="2708" spans="1:11" ht="20" customHeight="1">
      <c r="A2708" t="s">
        <v>4628</v>
      </c>
      <c r="B2708" t="s">
        <v>3560</v>
      </c>
      <c r="C2708">
        <v>548.9099731445312</v>
      </c>
      <c r="D2708">
        <v>555.4500122070312</v>
      </c>
      <c r="E2708">
        <v>548.5499877929688</v>
      </c>
      <c r="F2708">
        <v>554.3200073242188</v>
      </c>
      <c r="G2708">
        <v>545.275146484375</v>
      </c>
      <c r="H2708">
        <v>47775100</v>
      </c>
      <c r="I2708" t="s">
        <v>3561</v>
      </c>
      <c r="J2708" t="s">
        <v>3562</v>
      </c>
      <c r="K2708" t="s">
        <v>4629</v>
      </c>
    </row>
    <row r="2709" spans="1:11" ht="20" customHeight="1">
      <c r="A2709" t="s">
        <v>4628</v>
      </c>
      <c r="B2709" t="s">
        <v>3563</v>
      </c>
      <c r="C2709">
        <v>547.5700073242188</v>
      </c>
      <c r="D2709">
        <v>556.52001953125</v>
      </c>
      <c r="E2709">
        <v>541.52001953125</v>
      </c>
      <c r="F2709">
        <v>554.5399780273438</v>
      </c>
      <c r="G2709">
        <v>545.49169921875</v>
      </c>
      <c r="H2709">
        <v>93101500</v>
      </c>
      <c r="I2709" t="s">
        <v>3564</v>
      </c>
      <c r="J2709" t="s">
        <v>3565</v>
      </c>
      <c r="K2709" t="s">
        <v>4629</v>
      </c>
    </row>
    <row r="2710" spans="1:11" ht="20" customHeight="1">
      <c r="A2710" t="s">
        <v>4628</v>
      </c>
      <c r="B2710" t="s">
        <v>3566</v>
      </c>
      <c r="C2710">
        <v>560.3699951171875</v>
      </c>
      <c r="D2710">
        <v>564.0700073242188</v>
      </c>
      <c r="E2710">
        <v>557.8599853515625</v>
      </c>
      <c r="F2710">
        <v>558.469970703125</v>
      </c>
      <c r="G2710">
        <v>549.3575439453125</v>
      </c>
      <c r="H2710">
        <v>63186100</v>
      </c>
      <c r="I2710" t="s">
        <v>3567</v>
      </c>
      <c r="J2710" t="s">
        <v>3568</v>
      </c>
      <c r="K2710" t="s">
        <v>4629</v>
      </c>
    </row>
    <row r="2711" spans="1:11" ht="20" customHeight="1">
      <c r="A2711" t="s">
        <v>4628</v>
      </c>
      <c r="B2711" t="s">
        <v>3569</v>
      </c>
      <c r="C2711">
        <v>564.72998046875</v>
      </c>
      <c r="D2711">
        <v>568.3800048828125</v>
      </c>
      <c r="E2711">
        <v>562.3800048828125</v>
      </c>
      <c r="F2711">
        <v>566.760009765625</v>
      </c>
      <c r="G2711">
        <v>557.5122680664062</v>
      </c>
      <c r="H2711">
        <v>60717300</v>
      </c>
      <c r="I2711" t="s">
        <v>3570</v>
      </c>
      <c r="J2711" t="s">
        <v>3571</v>
      </c>
      <c r="K2711" t="s">
        <v>4629</v>
      </c>
    </row>
    <row r="2712" spans="1:11" ht="20" customHeight="1">
      <c r="A2712" t="s">
        <v>4628</v>
      </c>
      <c r="B2712" t="s">
        <v>3572</v>
      </c>
      <c r="C2712">
        <v>562.5700073242188</v>
      </c>
      <c r="D2712">
        <v>566.6500244140625</v>
      </c>
      <c r="E2712">
        <v>561.7000122070312</v>
      </c>
      <c r="F2712">
        <v>563.510009765625</v>
      </c>
      <c r="G2712">
        <v>554.3153686523438</v>
      </c>
      <c r="H2712">
        <v>38659200</v>
      </c>
      <c r="I2712" t="s">
        <v>3573</v>
      </c>
      <c r="J2712" t="s">
        <v>3574</v>
      </c>
      <c r="K2712" t="s">
        <v>4629</v>
      </c>
    </row>
    <row r="2713" spans="1:11" ht="20" customHeight="1">
      <c r="A2713" t="s">
        <v>4628</v>
      </c>
      <c r="B2713" t="s">
        <v>3575</v>
      </c>
      <c r="C2713">
        <v>557.9299926757812</v>
      </c>
      <c r="D2713">
        <v>563.3499755859375</v>
      </c>
      <c r="E2713">
        <v>556.9600219726562</v>
      </c>
      <c r="F2713">
        <v>558.7999877929688</v>
      </c>
      <c r="G2713">
        <v>549.68212890625</v>
      </c>
      <c r="H2713">
        <v>48264700</v>
      </c>
      <c r="I2713" t="s">
        <v>3576</v>
      </c>
      <c r="J2713" t="s">
        <v>3577</v>
      </c>
      <c r="K2713" t="s">
        <v>4629</v>
      </c>
    </row>
    <row r="2714" spans="1:11" ht="20" customHeight="1">
      <c r="A2714" t="s">
        <v>4628</v>
      </c>
      <c r="B2714" t="s">
        <v>3578</v>
      </c>
      <c r="C2714">
        <v>560.1500244140625</v>
      </c>
      <c r="D2714">
        <v>563.8200073242188</v>
      </c>
      <c r="E2714">
        <v>556.0399780273438</v>
      </c>
      <c r="F2714">
        <v>561.1500244140625</v>
      </c>
      <c r="G2714">
        <v>551.9938354492188</v>
      </c>
      <c r="H2714">
        <v>55588000</v>
      </c>
      <c r="I2714" t="s">
        <v>3579</v>
      </c>
      <c r="J2714" t="s">
        <v>3580</v>
      </c>
      <c r="K2714" t="s">
        <v>4629</v>
      </c>
    </row>
    <row r="2715" spans="1:11" ht="20" customHeight="1">
      <c r="A2715" t="s">
        <v>4628</v>
      </c>
      <c r="B2715" t="s">
        <v>3581</v>
      </c>
      <c r="C2715">
        <v>565.239990234375</v>
      </c>
      <c r="D2715">
        <v>570.3099975585938</v>
      </c>
      <c r="E2715">
        <v>561.7000122070312</v>
      </c>
      <c r="F2715">
        <v>565.0599975585938</v>
      </c>
      <c r="G2715">
        <v>555.8401489257812</v>
      </c>
      <c r="H2715">
        <v>65130800</v>
      </c>
      <c r="I2715" t="s">
        <v>3582</v>
      </c>
      <c r="J2715" t="s">
        <v>3583</v>
      </c>
      <c r="K2715" t="s">
        <v>4629</v>
      </c>
    </row>
    <row r="2716" spans="1:11" ht="20" customHeight="1">
      <c r="A2716" t="s">
        <v>4628</v>
      </c>
      <c r="B2716" t="s">
        <v>3584</v>
      </c>
      <c r="C2716">
        <v>566.47998046875</v>
      </c>
      <c r="D2716">
        <v>567.5</v>
      </c>
      <c r="E2716">
        <v>562.760009765625</v>
      </c>
      <c r="F2716">
        <v>564.3400268554688</v>
      </c>
      <c r="G2716">
        <v>555.1317138671875</v>
      </c>
      <c r="H2716">
        <v>37603400</v>
      </c>
      <c r="I2716" t="s">
        <v>3585</v>
      </c>
      <c r="J2716" t="s">
        <v>3586</v>
      </c>
      <c r="K2716" t="s">
        <v>4629</v>
      </c>
    </row>
    <row r="2717" spans="1:11" ht="20" customHeight="1">
      <c r="A2717" t="s">
        <v>4628</v>
      </c>
      <c r="B2717" t="s">
        <v>3587</v>
      </c>
      <c r="C2717">
        <v>581.469970703125</v>
      </c>
      <c r="D2717">
        <v>583</v>
      </c>
      <c r="E2717">
        <v>577.0399780273438</v>
      </c>
      <c r="F2717">
        <v>582.989990234375</v>
      </c>
      <c r="G2717">
        <v>573.4774780273438</v>
      </c>
      <c r="H2717">
        <v>78993600</v>
      </c>
      <c r="I2717" t="s">
        <v>3588</v>
      </c>
      <c r="J2717" t="s">
        <v>3589</v>
      </c>
      <c r="K2717" t="s">
        <v>4629</v>
      </c>
    </row>
    <row r="2718" spans="1:11" ht="20" customHeight="1">
      <c r="A2718" t="s">
        <v>4628</v>
      </c>
      <c r="B2718" t="s">
        <v>3590</v>
      </c>
      <c r="C2718">
        <v>583.4099731445312</v>
      </c>
      <c r="D2718">
        <v>589.0800170898438</v>
      </c>
      <c r="E2718">
        <v>582.8400268554688</v>
      </c>
      <c r="F2718">
        <v>586.8400268554688</v>
      </c>
      <c r="G2718">
        <v>577.2647094726562</v>
      </c>
      <c r="H2718">
        <v>67947200</v>
      </c>
      <c r="I2718" t="s">
        <v>3591</v>
      </c>
      <c r="J2718" t="s">
        <v>3592</v>
      </c>
      <c r="K2718" t="s">
        <v>4629</v>
      </c>
    </row>
    <row r="2719" spans="1:11" ht="20" customHeight="1">
      <c r="A2719" t="s">
        <v>4628</v>
      </c>
      <c r="B2719" t="s">
        <v>3593</v>
      </c>
      <c r="C2719">
        <v>587.8099975585938</v>
      </c>
      <c r="D2719">
        <v>588.97998046875</v>
      </c>
      <c r="E2719">
        <v>585.5399780273438</v>
      </c>
      <c r="F2719">
        <v>587.5900268554688</v>
      </c>
      <c r="G2719">
        <v>578.00244140625</v>
      </c>
      <c r="H2719">
        <v>66283500</v>
      </c>
      <c r="I2719" t="s">
        <v>3594</v>
      </c>
      <c r="J2719" t="s">
        <v>3595</v>
      </c>
      <c r="K2719" t="s">
        <v>4629</v>
      </c>
    </row>
    <row r="2720" spans="1:11" ht="20" customHeight="1">
      <c r="A2720" t="s">
        <v>4628</v>
      </c>
      <c r="B2720" t="s">
        <v>3596</v>
      </c>
      <c r="C2720">
        <v>585.5599975585938</v>
      </c>
      <c r="D2720">
        <v>590.969970703125</v>
      </c>
      <c r="E2720">
        <v>585.0999755859375</v>
      </c>
      <c r="F2720">
        <v>590.4600219726562</v>
      </c>
      <c r="G2720">
        <v>580.8256225585938</v>
      </c>
      <c r="H2720">
        <v>71268100</v>
      </c>
      <c r="I2720" t="s">
        <v>3597</v>
      </c>
      <c r="J2720" t="s">
        <v>3598</v>
      </c>
      <c r="K2720" t="s">
        <v>4629</v>
      </c>
    </row>
    <row r="2721" spans="1:11" ht="20" customHeight="1">
      <c r="A2721" t="s">
        <v>4628</v>
      </c>
      <c r="B2721" t="s">
        <v>3599</v>
      </c>
      <c r="C2721">
        <v>591.25</v>
      </c>
      <c r="D2721">
        <v>594.5</v>
      </c>
      <c r="E2721">
        <v>589.280029296875</v>
      </c>
      <c r="F2721">
        <v>594.2000122070312</v>
      </c>
      <c r="G2721">
        <v>584.5045166015625</v>
      </c>
      <c r="H2721">
        <v>76052100</v>
      </c>
      <c r="I2721" t="s">
        <v>3600</v>
      </c>
      <c r="J2721" t="s">
        <v>3601</v>
      </c>
      <c r="K2721" t="s">
        <v>4629</v>
      </c>
    </row>
    <row r="2722" spans="1:11" ht="20" customHeight="1">
      <c r="A2722" t="s">
        <v>4628</v>
      </c>
      <c r="B2722" t="s">
        <v>3602</v>
      </c>
      <c r="C2722">
        <v>588.0999755859375</v>
      </c>
      <c r="D2722">
        <v>595.5399780273438</v>
      </c>
      <c r="E2722">
        <v>588.0999755859375</v>
      </c>
      <c r="F2722">
        <v>594.8499755859375</v>
      </c>
      <c r="G2722">
        <v>585.1439208984375</v>
      </c>
      <c r="H2722">
        <v>68168500</v>
      </c>
      <c r="I2722" t="s">
        <v>3603</v>
      </c>
      <c r="J2722" t="s">
        <v>3604</v>
      </c>
      <c r="K2722" t="s">
        <v>4629</v>
      </c>
    </row>
    <row r="2723" spans="1:11" ht="20" customHeight="1">
      <c r="A2723" t="s">
        <v>4628</v>
      </c>
      <c r="B2723" t="s">
        <v>3605</v>
      </c>
      <c r="C2723">
        <v>593.0900268554688</v>
      </c>
      <c r="D2723">
        <v>594.0499877929688</v>
      </c>
      <c r="E2723">
        <v>589.5999755859375</v>
      </c>
      <c r="F2723">
        <v>592.8499755859375</v>
      </c>
      <c r="G2723">
        <v>583.1765747070312</v>
      </c>
      <c r="H2723">
        <v>60614500</v>
      </c>
      <c r="I2723" t="s">
        <v>3606</v>
      </c>
      <c r="J2723" t="s">
        <v>3607</v>
      </c>
      <c r="K2723" t="s">
        <v>4629</v>
      </c>
    </row>
    <row r="2724" spans="1:11" ht="20" customHeight="1">
      <c r="A2724" t="s">
        <v>4628</v>
      </c>
      <c r="B2724" t="s">
        <v>3608</v>
      </c>
      <c r="C2724">
        <v>588.4400024414062</v>
      </c>
      <c r="D2724">
        <v>592.5800170898438</v>
      </c>
      <c r="E2724">
        <v>581.8200073242188</v>
      </c>
      <c r="F2724">
        <v>582.8599853515625</v>
      </c>
      <c r="G2724">
        <v>573.3495483398438</v>
      </c>
      <c r="H2724">
        <v>95197700</v>
      </c>
      <c r="I2724" t="s">
        <v>3609</v>
      </c>
      <c r="J2724" t="s">
        <v>3610</v>
      </c>
      <c r="K2724" t="s">
        <v>4629</v>
      </c>
    </row>
    <row r="2725" spans="1:11" ht="20" customHeight="1">
      <c r="A2725" t="s">
        <v>4628</v>
      </c>
      <c r="B2725" t="s">
        <v>3611</v>
      </c>
      <c r="C2725">
        <v>582.6599731445312</v>
      </c>
      <c r="D2725">
        <v>586.6199951171875</v>
      </c>
      <c r="E2725">
        <v>581.4099731445312</v>
      </c>
      <c r="F2725">
        <v>583.0900268554688</v>
      </c>
      <c r="G2725">
        <v>573.5758056640625</v>
      </c>
      <c r="H2725">
        <v>70860400</v>
      </c>
      <c r="I2725" t="s">
        <v>3612</v>
      </c>
      <c r="J2725" t="s">
        <v>3613</v>
      </c>
      <c r="K2725" t="s">
        <v>4629</v>
      </c>
    </row>
    <row r="2726" spans="1:11" ht="20" customHeight="1">
      <c r="A2726" t="s">
        <v>4628</v>
      </c>
      <c r="B2726" t="s">
        <v>3614</v>
      </c>
      <c r="C2726">
        <v>575.97998046875</v>
      </c>
      <c r="D2726">
        <v>581.8099975585938</v>
      </c>
      <c r="E2726">
        <v>575.5999755859375</v>
      </c>
      <c r="F2726">
        <v>579.1099853515625</v>
      </c>
      <c r="G2726">
        <v>569.6607666015625</v>
      </c>
      <c r="H2726">
        <v>76029000</v>
      </c>
      <c r="I2726" t="s">
        <v>3615</v>
      </c>
      <c r="J2726" t="s">
        <v>3616</v>
      </c>
      <c r="K2726" t="s">
        <v>4629</v>
      </c>
    </row>
    <row r="2727" spans="1:11" ht="20" customHeight="1">
      <c r="A2727" t="s">
        <v>4628</v>
      </c>
      <c r="B2727" t="s">
        <v>3617</v>
      </c>
      <c r="C2727">
        <v>586.0700073242188</v>
      </c>
      <c r="D2727">
        <v>591.3099975585938</v>
      </c>
      <c r="E2727">
        <v>578.4299926757812</v>
      </c>
      <c r="F2727">
        <v>591.1500244140625</v>
      </c>
      <c r="G2727">
        <v>581.5043334960938</v>
      </c>
      <c r="H2727">
        <v>72588500</v>
      </c>
      <c r="I2727" t="s">
        <v>3618</v>
      </c>
      <c r="J2727" t="s">
        <v>3619</v>
      </c>
      <c r="K2727" t="s">
        <v>4629</v>
      </c>
    </row>
    <row r="2728" spans="1:11" ht="20" customHeight="1">
      <c r="A2728" t="s">
        <v>4628</v>
      </c>
      <c r="B2728" t="s">
        <v>3620</v>
      </c>
      <c r="C2728">
        <v>591.5599975585938</v>
      </c>
      <c r="D2728">
        <v>592.77001953125</v>
      </c>
      <c r="E2728">
        <v>586.989990234375</v>
      </c>
      <c r="F2728">
        <v>587.72998046875</v>
      </c>
      <c r="G2728">
        <v>578.14013671875</v>
      </c>
      <c r="H2728">
        <v>68445500</v>
      </c>
      <c r="I2728" t="s">
        <v>3621</v>
      </c>
      <c r="J2728" t="s">
        <v>3622</v>
      </c>
      <c r="K2728" t="s">
        <v>4629</v>
      </c>
    </row>
    <row r="2729" spans="1:11" ht="20" customHeight="1">
      <c r="A2729" t="s">
        <v>4628</v>
      </c>
      <c r="B2729" t="s">
        <v>3623</v>
      </c>
      <c r="C2729">
        <v>593.0599975585938</v>
      </c>
      <c r="D2729">
        <v>593.2000122070312</v>
      </c>
      <c r="E2729">
        <v>586.0700073242188</v>
      </c>
      <c r="F2729">
        <v>590.0499877929688</v>
      </c>
      <c r="G2729">
        <v>580.4223022460938</v>
      </c>
      <c r="H2729">
        <v>69973300</v>
      </c>
      <c r="I2729" t="s">
        <v>3624</v>
      </c>
      <c r="J2729" t="s">
        <v>3625</v>
      </c>
      <c r="K2729" t="s">
        <v>4629</v>
      </c>
    </row>
    <row r="2730" spans="1:11" ht="20" customHeight="1">
      <c r="A2730" t="s">
        <v>4628</v>
      </c>
      <c r="B2730" t="s">
        <v>3626</v>
      </c>
      <c r="C2730">
        <v>588.9299926757812</v>
      </c>
      <c r="D2730">
        <v>591.1300048828125</v>
      </c>
      <c r="E2730">
        <v>583.239990234375</v>
      </c>
      <c r="F2730">
        <v>589.3900146484375</v>
      </c>
      <c r="G2730">
        <v>579.7730102539062</v>
      </c>
      <c r="H2730">
        <v>90601200</v>
      </c>
      <c r="I2730" t="s">
        <v>3627</v>
      </c>
      <c r="J2730" t="s">
        <v>3628</v>
      </c>
      <c r="K2730" t="s">
        <v>4629</v>
      </c>
    </row>
    <row r="2731" spans="1:11" ht="20" customHeight="1">
      <c r="A2731" t="s">
        <v>4628</v>
      </c>
      <c r="B2731" t="s">
        <v>3629</v>
      </c>
      <c r="C2731">
        <v>587.760009765625</v>
      </c>
      <c r="D2731">
        <v>592.7899780273438</v>
      </c>
      <c r="E2731">
        <v>585.0599975585938</v>
      </c>
      <c r="F2731">
        <v>592.7100219726562</v>
      </c>
      <c r="G2731">
        <v>583.038818359375</v>
      </c>
      <c r="H2731">
        <v>61630500</v>
      </c>
      <c r="I2731" t="s">
        <v>3630</v>
      </c>
      <c r="J2731" t="s">
        <v>3631</v>
      </c>
      <c r="K2731" t="s">
        <v>4629</v>
      </c>
    </row>
    <row r="2732" spans="1:11" ht="20" customHeight="1">
      <c r="A2732" t="s">
        <v>4628</v>
      </c>
      <c r="B2732" t="s">
        <v>3632</v>
      </c>
      <c r="C2732">
        <v>592.3400268554688</v>
      </c>
      <c r="D2732">
        <v>597.0800170898438</v>
      </c>
      <c r="E2732">
        <v>591.8499755859375</v>
      </c>
      <c r="F2732">
        <v>596.0900268554688</v>
      </c>
      <c r="G2732">
        <v>586.3636474609375</v>
      </c>
      <c r="H2732">
        <v>63606200</v>
      </c>
      <c r="I2732" t="s">
        <v>3633</v>
      </c>
      <c r="J2732" t="s">
        <v>3634</v>
      </c>
      <c r="K2732" t="s">
        <v>4629</v>
      </c>
    </row>
    <row r="2733" spans="1:11" ht="20" customHeight="1">
      <c r="A2733" t="s">
        <v>4628</v>
      </c>
      <c r="B2733" t="s">
        <v>3635</v>
      </c>
      <c r="C2733">
        <v>596.9600219726562</v>
      </c>
      <c r="D2733">
        <v>597.9500122070312</v>
      </c>
      <c r="E2733">
        <v>595.489990234375</v>
      </c>
      <c r="F2733">
        <v>595.9299926757812</v>
      </c>
      <c r="G2733">
        <v>586.2063598632812</v>
      </c>
      <c r="H2733">
        <v>57314200</v>
      </c>
      <c r="I2733" t="s">
        <v>3636</v>
      </c>
      <c r="J2733" t="s">
        <v>3637</v>
      </c>
      <c r="K2733" t="s">
        <v>4629</v>
      </c>
    </row>
    <row r="2734" spans="1:11" ht="20" customHeight="1">
      <c r="A2734" t="s">
        <v>4628</v>
      </c>
      <c r="B2734" t="s">
        <v>3638</v>
      </c>
      <c r="C2734">
        <v>597.6300048828125</v>
      </c>
      <c r="D2734">
        <v>599</v>
      </c>
      <c r="E2734">
        <v>591.0499877929688</v>
      </c>
      <c r="F2734">
        <v>593.0499877929688</v>
      </c>
      <c r="G2734">
        <v>583.3732299804688</v>
      </c>
      <c r="H2734">
        <v>92278700</v>
      </c>
      <c r="I2734" t="s">
        <v>3639</v>
      </c>
      <c r="J2734" t="s">
        <v>3640</v>
      </c>
      <c r="K2734" t="s">
        <v>4629</v>
      </c>
    </row>
    <row r="2735" spans="1:11" ht="20" customHeight="1">
      <c r="A2735" t="s">
        <v>4628</v>
      </c>
      <c r="B2735" t="s">
        <v>3641</v>
      </c>
      <c r="C2735">
        <v>598.6599731445312</v>
      </c>
      <c r="D2735">
        <v>600.8300170898438</v>
      </c>
      <c r="E2735">
        <v>596.8599853515625</v>
      </c>
      <c r="F2735">
        <v>599.1400146484375</v>
      </c>
      <c r="G2735">
        <v>589.3639526367188</v>
      </c>
      <c r="H2735">
        <v>66588700</v>
      </c>
      <c r="I2735" t="s">
        <v>3642</v>
      </c>
      <c r="J2735" t="s">
        <v>3643</v>
      </c>
      <c r="K2735" t="s">
        <v>4629</v>
      </c>
    </row>
    <row r="2736" spans="1:11" ht="20" customHeight="1">
      <c r="A2736" t="s">
        <v>4628</v>
      </c>
      <c r="B2736" t="s">
        <v>3644</v>
      </c>
      <c r="C2736">
        <v>599.719970703125</v>
      </c>
      <c r="D2736">
        <v>601.25</v>
      </c>
      <c r="E2736">
        <v>598.489990234375</v>
      </c>
      <c r="F2736">
        <v>599.6799926757812</v>
      </c>
      <c r="G2736">
        <v>589.8950805664062</v>
      </c>
      <c r="H2736">
        <v>53016400</v>
      </c>
      <c r="I2736" t="s">
        <v>3645</v>
      </c>
      <c r="J2736" t="s">
        <v>3646</v>
      </c>
      <c r="K2736" t="s">
        <v>4629</v>
      </c>
    </row>
    <row r="2737" spans="1:11" ht="20" customHeight="1">
      <c r="A2737" t="s">
        <v>4628</v>
      </c>
      <c r="B2737" t="s">
        <v>3647</v>
      </c>
      <c r="C2737">
        <v>600.219970703125</v>
      </c>
      <c r="D2737">
        <v>603.469970703125</v>
      </c>
      <c r="E2737">
        <v>599.0900268554688</v>
      </c>
      <c r="F2737">
        <v>603.0800170898438</v>
      </c>
      <c r="G2737">
        <v>593.2396850585938</v>
      </c>
      <c r="H2737">
        <v>66247000</v>
      </c>
      <c r="I2737" t="s">
        <v>3648</v>
      </c>
      <c r="J2737" t="s">
        <v>3649</v>
      </c>
      <c r="K2737" t="s">
        <v>4629</v>
      </c>
    </row>
    <row r="2738" spans="1:11" ht="20" customHeight="1">
      <c r="A2738" t="s">
        <v>4628</v>
      </c>
      <c r="B2738" t="s">
        <v>3650</v>
      </c>
      <c r="C2738">
        <v>604.1900024414062</v>
      </c>
      <c r="D2738">
        <v>605.0599975585938</v>
      </c>
      <c r="E2738">
        <v>599.27001953125</v>
      </c>
      <c r="F2738">
        <v>601.3599853515625</v>
      </c>
      <c r="G2738">
        <v>591.5477294921875</v>
      </c>
      <c r="H2738">
        <v>73658200</v>
      </c>
      <c r="I2738" t="s">
        <v>3651</v>
      </c>
      <c r="J2738" t="s">
        <v>3652</v>
      </c>
      <c r="K2738" t="s">
        <v>4629</v>
      </c>
    </row>
    <row r="2739" spans="1:11" ht="20" customHeight="1">
      <c r="A2739" t="s">
        <v>4628</v>
      </c>
      <c r="B2739" t="s">
        <v>3653</v>
      </c>
      <c r="C2739">
        <v>600.010009765625</v>
      </c>
      <c r="D2739">
        <v>603.75</v>
      </c>
      <c r="E2739">
        <v>599.52001953125</v>
      </c>
      <c r="F2739">
        <v>603.75</v>
      </c>
      <c r="G2739">
        <v>593.898681640625</v>
      </c>
      <c r="H2739">
        <v>64129000</v>
      </c>
      <c r="I2739" t="s">
        <v>3654</v>
      </c>
      <c r="J2739" t="s">
        <v>3655</v>
      </c>
      <c r="K2739" t="s">
        <v>4629</v>
      </c>
    </row>
    <row r="2740" spans="1:11" ht="20" customHeight="1">
      <c r="A2740" t="s">
        <v>4628</v>
      </c>
      <c r="B2740" t="s">
        <v>3656</v>
      </c>
      <c r="C2740">
        <v>598.5</v>
      </c>
      <c r="D2740">
        <v>601.8499755859375</v>
      </c>
      <c r="E2740">
        <v>595.47998046875</v>
      </c>
      <c r="F2740">
        <v>597</v>
      </c>
      <c r="G2740">
        <v>587.2589111328125</v>
      </c>
      <c r="H2740">
        <v>89506000</v>
      </c>
      <c r="I2740" t="s">
        <v>3657</v>
      </c>
      <c r="J2740" t="s">
        <v>3658</v>
      </c>
      <c r="K2740" t="s">
        <v>4629</v>
      </c>
    </row>
    <row r="2741" spans="1:11" ht="20" customHeight="1">
      <c r="A2741" t="s">
        <v>4628</v>
      </c>
      <c r="B2741" t="s">
        <v>3659</v>
      </c>
      <c r="C2741">
        <v>600.4000244140625</v>
      </c>
      <c r="D2741">
        <v>604.4500122070312</v>
      </c>
      <c r="E2741">
        <v>600.219970703125</v>
      </c>
      <c r="F2741">
        <v>602.6799926757812</v>
      </c>
      <c r="G2741">
        <v>592.84619140625</v>
      </c>
      <c r="H2741">
        <v>79984100</v>
      </c>
      <c r="I2741" t="s">
        <v>3660</v>
      </c>
      <c r="J2741" t="s">
        <v>3661</v>
      </c>
      <c r="K2741" t="s">
        <v>4629</v>
      </c>
    </row>
    <row r="2742" spans="1:11" ht="20" customHeight="1">
      <c r="A2742" t="s">
        <v>4628</v>
      </c>
      <c r="B2742" t="s">
        <v>3662</v>
      </c>
      <c r="C2742">
        <v>600.2100219726562</v>
      </c>
      <c r="D2742">
        <v>601.75</v>
      </c>
      <c r="E2742">
        <v>596.760009765625</v>
      </c>
      <c r="F2742">
        <v>597.530029296875</v>
      </c>
      <c r="G2742">
        <v>587.7802734375</v>
      </c>
      <c r="H2742">
        <v>82209400</v>
      </c>
      <c r="I2742" t="s">
        <v>3663</v>
      </c>
      <c r="J2742" t="s">
        <v>3664</v>
      </c>
      <c r="K2742" t="s">
        <v>4629</v>
      </c>
    </row>
    <row r="2743" spans="1:11" ht="20" customHeight="1">
      <c r="A2743" t="s">
        <v>4628</v>
      </c>
      <c r="B2743" t="s">
        <v>3665</v>
      </c>
      <c r="C2743">
        <v>598.4400024414062</v>
      </c>
      <c r="D2743">
        <v>601.219970703125</v>
      </c>
      <c r="E2743">
        <v>596.469970703125</v>
      </c>
      <c r="F2743">
        <v>597.4400024414062</v>
      </c>
      <c r="G2743">
        <v>587.6917114257812</v>
      </c>
      <c r="H2743">
        <v>76605000</v>
      </c>
      <c r="I2743" t="s">
        <v>3666</v>
      </c>
      <c r="J2743" t="s">
        <v>3667</v>
      </c>
      <c r="K2743" t="s">
        <v>4629</v>
      </c>
    </row>
    <row r="2744" spans="1:11" ht="20" customHeight="1">
      <c r="A2744" t="s">
        <v>4628</v>
      </c>
      <c r="B2744" t="s">
        <v>3668</v>
      </c>
      <c r="C2744">
        <v>598.3800048828125</v>
      </c>
      <c r="D2744">
        <v>599.4600219726562</v>
      </c>
      <c r="E2744">
        <v>592.8599853515625</v>
      </c>
      <c r="F2744">
        <v>594.280029296875</v>
      </c>
      <c r="G2744">
        <v>586.3114624023438</v>
      </c>
      <c r="H2744">
        <v>94051400</v>
      </c>
      <c r="I2744" t="s">
        <v>3669</v>
      </c>
      <c r="J2744" t="s">
        <v>3670</v>
      </c>
      <c r="K2744" t="s">
        <v>4629</v>
      </c>
    </row>
    <row r="2745" spans="1:11" ht="20" customHeight="1">
      <c r="A2745" t="s">
        <v>4628</v>
      </c>
      <c r="B2745" t="s">
        <v>3671</v>
      </c>
      <c r="C2745">
        <v>595.0399780273438</v>
      </c>
      <c r="D2745">
        <v>600.5399780273438</v>
      </c>
      <c r="E2745">
        <v>591.8900146484375</v>
      </c>
      <c r="F2745">
        <v>600.1500244140625</v>
      </c>
      <c r="G2745">
        <v>592.1026611328125</v>
      </c>
      <c r="H2745">
        <v>87426000</v>
      </c>
      <c r="I2745" t="s">
        <v>3672</v>
      </c>
      <c r="J2745" t="s">
        <v>3673</v>
      </c>
      <c r="K2745" t="s">
        <v>4629</v>
      </c>
    </row>
    <row r="2746" spans="1:11" ht="20" customHeight="1">
      <c r="A2746" t="s">
        <v>4628</v>
      </c>
      <c r="B2746" t="s">
        <v>3674</v>
      </c>
      <c r="C2746">
        <v>604.3300170898438</v>
      </c>
      <c r="D2746">
        <v>607.8499755859375</v>
      </c>
      <c r="E2746">
        <v>603.4099731445312</v>
      </c>
      <c r="F2746">
        <v>606.780029296875</v>
      </c>
      <c r="G2746">
        <v>598.6439208984375</v>
      </c>
      <c r="H2746">
        <v>67735300</v>
      </c>
      <c r="I2746" t="s">
        <v>3675</v>
      </c>
      <c r="J2746" t="s">
        <v>3676</v>
      </c>
      <c r="K2746" t="s">
        <v>4629</v>
      </c>
    </row>
    <row r="2747" spans="1:11" ht="20" customHeight="1">
      <c r="A2747" t="s">
        <v>4628</v>
      </c>
      <c r="B2747" t="s">
        <v>3677</v>
      </c>
      <c r="C2747">
        <v>607.9099731445312</v>
      </c>
      <c r="D2747">
        <v>608.6099853515625</v>
      </c>
      <c r="E2747">
        <v>605.5399780273438</v>
      </c>
      <c r="F2747">
        <v>607.1199951171875</v>
      </c>
      <c r="G2747">
        <v>598.979248046875</v>
      </c>
      <c r="H2747">
        <v>62114800</v>
      </c>
      <c r="I2747" t="s">
        <v>3678</v>
      </c>
      <c r="J2747" t="s">
        <v>3679</v>
      </c>
      <c r="K2747" t="s">
        <v>4629</v>
      </c>
    </row>
    <row r="2748" spans="1:11" ht="20" customHeight="1">
      <c r="A2748" t="s">
        <v>4628</v>
      </c>
      <c r="B2748" t="s">
        <v>3680</v>
      </c>
      <c r="C2748">
        <v>608.989990234375</v>
      </c>
      <c r="D2748">
        <v>612.3099975585938</v>
      </c>
      <c r="E2748">
        <v>608.3699951171875</v>
      </c>
      <c r="F2748">
        <v>611.8699951171875</v>
      </c>
      <c r="G2748">
        <v>603.6655883789062</v>
      </c>
      <c r="H2748">
        <v>78548400</v>
      </c>
      <c r="I2748" t="s">
        <v>3681</v>
      </c>
      <c r="J2748" t="s">
        <v>3682</v>
      </c>
      <c r="K2748" t="s">
        <v>4629</v>
      </c>
    </row>
    <row r="2749" spans="1:11" ht="20" customHeight="1">
      <c r="A2749" t="s">
        <v>4628</v>
      </c>
      <c r="B2749" t="s">
        <v>3683</v>
      </c>
      <c r="C2749">
        <v>612.8800048828125</v>
      </c>
      <c r="D2749">
        <v>616.3900146484375</v>
      </c>
      <c r="E2749">
        <v>610.8300170898438</v>
      </c>
      <c r="F2749">
        <v>614.9099731445312</v>
      </c>
      <c r="G2749">
        <v>606.664794921875</v>
      </c>
      <c r="H2749">
        <v>86258400</v>
      </c>
      <c r="I2749" t="s">
        <v>3684</v>
      </c>
      <c r="J2749" t="s">
        <v>3685</v>
      </c>
      <c r="K2749" t="s">
        <v>4629</v>
      </c>
    </row>
    <row r="2750" spans="1:11" ht="20" customHeight="1">
      <c r="A2750" t="s">
        <v>4628</v>
      </c>
      <c r="B2750" t="s">
        <v>3686</v>
      </c>
      <c r="C2750">
        <v>617.3800048828125</v>
      </c>
      <c r="D2750">
        <v>619.219970703125</v>
      </c>
      <c r="E2750">
        <v>615.0399780273438</v>
      </c>
      <c r="F2750">
        <v>617.8499755859375</v>
      </c>
      <c r="G2750">
        <v>609.5653686523438</v>
      </c>
      <c r="H2750">
        <v>92502500</v>
      </c>
      <c r="I2750" t="s">
        <v>3687</v>
      </c>
      <c r="J2750" t="s">
        <v>3688</v>
      </c>
      <c r="K2750" t="s">
        <v>4629</v>
      </c>
    </row>
    <row r="2751" spans="1:11" ht="20" customHeight="1">
      <c r="A2751" t="s">
        <v>4628</v>
      </c>
      <c r="B2751" t="s">
        <v>3689</v>
      </c>
      <c r="C2751">
        <v>616.3599853515625</v>
      </c>
      <c r="D2751">
        <v>618.8300170898438</v>
      </c>
      <c r="E2751">
        <v>615.52001953125</v>
      </c>
      <c r="F2751">
        <v>617.6500244140625</v>
      </c>
      <c r="G2751">
        <v>609.3681030273438</v>
      </c>
      <c r="H2751">
        <v>70030100</v>
      </c>
      <c r="I2751" t="s">
        <v>3690</v>
      </c>
      <c r="J2751" t="s">
        <v>3691</v>
      </c>
      <c r="K2751" t="s">
        <v>4629</v>
      </c>
    </row>
    <row r="2752" spans="1:11" ht="20" customHeight="1">
      <c r="A2752" t="s">
        <v>4628</v>
      </c>
      <c r="B2752" t="s">
        <v>3692</v>
      </c>
      <c r="C2752">
        <v>617.239990234375</v>
      </c>
      <c r="D2752">
        <v>620.489990234375</v>
      </c>
      <c r="E2752">
        <v>616.6099853515625</v>
      </c>
      <c r="F2752">
        <v>620.4500122070312</v>
      </c>
      <c r="G2752">
        <v>612.1305541992188</v>
      </c>
      <c r="H2752">
        <v>66510400</v>
      </c>
      <c r="I2752" t="s">
        <v>3693</v>
      </c>
      <c r="J2752" t="s">
        <v>3694</v>
      </c>
      <c r="K2752" t="s">
        <v>4629</v>
      </c>
    </row>
    <row r="2753" spans="1:11" ht="20" customHeight="1">
      <c r="A2753" t="s">
        <v>4628</v>
      </c>
      <c r="B2753" t="s">
        <v>3695</v>
      </c>
      <c r="C2753">
        <v>622.4500122070312</v>
      </c>
      <c r="D2753">
        <v>626.280029296875</v>
      </c>
      <c r="E2753">
        <v>622.4299926757812</v>
      </c>
      <c r="F2753">
        <v>625.3400268554688</v>
      </c>
      <c r="G2753">
        <v>616.9550170898438</v>
      </c>
      <c r="H2753">
        <v>51065800</v>
      </c>
      <c r="I2753" t="s">
        <v>3696</v>
      </c>
      <c r="J2753" t="s">
        <v>3697</v>
      </c>
      <c r="K2753" t="s">
        <v>4629</v>
      </c>
    </row>
    <row r="2754" spans="1:11" ht="20" customHeight="1">
      <c r="A2754" t="s">
        <v>4628</v>
      </c>
      <c r="B2754" t="s">
        <v>3698</v>
      </c>
      <c r="C2754">
        <v>623.3599853515625</v>
      </c>
      <c r="D2754">
        <v>624.030029296875</v>
      </c>
      <c r="E2754">
        <v>617.8699951171875</v>
      </c>
      <c r="F2754">
        <v>620.6799926757812</v>
      </c>
      <c r="G2754">
        <v>612.357421875</v>
      </c>
      <c r="H2754">
        <v>74814500</v>
      </c>
      <c r="I2754" t="s">
        <v>3699</v>
      </c>
      <c r="J2754" t="s">
        <v>3700</v>
      </c>
      <c r="K2754" t="s">
        <v>4629</v>
      </c>
    </row>
    <row r="2755" spans="1:11" ht="20" customHeight="1">
      <c r="A2755" t="s">
        <v>4628</v>
      </c>
      <c r="B2755" t="s">
        <v>3701</v>
      </c>
      <c r="C2755">
        <v>621.3499755859375</v>
      </c>
      <c r="D2755">
        <v>622.1099853515625</v>
      </c>
      <c r="E2755">
        <v>619.52001953125</v>
      </c>
      <c r="F2755">
        <v>620.3400268554688</v>
      </c>
      <c r="G2755">
        <v>612.0220336914062</v>
      </c>
      <c r="H2755">
        <v>59024600</v>
      </c>
      <c r="I2755" t="s">
        <v>3702</v>
      </c>
      <c r="J2755" t="s">
        <v>3703</v>
      </c>
      <c r="K2755" t="s">
        <v>4629</v>
      </c>
    </row>
    <row r="2756" spans="1:11" ht="20" customHeight="1">
      <c r="A2756" t="s">
        <v>4628</v>
      </c>
      <c r="B2756" t="s">
        <v>3704</v>
      </c>
      <c r="C2756">
        <v>622.77001953125</v>
      </c>
      <c r="D2756">
        <v>624.719970703125</v>
      </c>
      <c r="E2756">
        <v>620.9099731445312</v>
      </c>
      <c r="F2756">
        <v>624.0599975585938</v>
      </c>
      <c r="G2756">
        <v>615.6920776367188</v>
      </c>
      <c r="H2756">
        <v>66113300</v>
      </c>
      <c r="I2756" t="s">
        <v>3705</v>
      </c>
      <c r="J2756" t="s">
        <v>3706</v>
      </c>
      <c r="K2756" t="s">
        <v>4629</v>
      </c>
    </row>
    <row r="2757" spans="1:11" ht="20" customHeight="1">
      <c r="A2757" t="s">
        <v>4628</v>
      </c>
      <c r="B2757" t="s">
        <v>3707</v>
      </c>
      <c r="C2757">
        <v>624.2000122070312</v>
      </c>
      <c r="D2757">
        <v>626.8699951171875</v>
      </c>
      <c r="E2757">
        <v>623.010009765625</v>
      </c>
      <c r="F2757">
        <v>625.8200073242188</v>
      </c>
      <c r="G2757">
        <v>617.4285278320312</v>
      </c>
      <c r="H2757">
        <v>57529000</v>
      </c>
      <c r="I2757" t="s">
        <v>3708</v>
      </c>
      <c r="J2757" t="s">
        <v>3709</v>
      </c>
      <c r="K2757" t="s">
        <v>4629</v>
      </c>
    </row>
    <row r="2758" spans="1:11" ht="20" customHeight="1">
      <c r="A2758" t="s">
        <v>4628</v>
      </c>
      <c r="B2758" t="s">
        <v>3710</v>
      </c>
      <c r="C2758">
        <v>622.739990234375</v>
      </c>
      <c r="D2758">
        <v>624.8599853515625</v>
      </c>
      <c r="E2758">
        <v>621.530029296875</v>
      </c>
      <c r="F2758">
        <v>623.6199951171875</v>
      </c>
      <c r="G2758">
        <v>615.258056640625</v>
      </c>
      <c r="H2758">
        <v>63670200</v>
      </c>
      <c r="I2758" t="s">
        <v>3711</v>
      </c>
      <c r="J2758" t="s">
        <v>3712</v>
      </c>
      <c r="K2758" t="s">
        <v>4629</v>
      </c>
    </row>
    <row r="2759" spans="1:11" ht="20" customHeight="1">
      <c r="A2759" t="s">
        <v>4628</v>
      </c>
      <c r="B2759" t="s">
        <v>3713</v>
      </c>
      <c r="C2759">
        <v>623.1599731445312</v>
      </c>
      <c r="D2759">
        <v>625.1599731445312</v>
      </c>
      <c r="E2759">
        <v>621.7999877929688</v>
      </c>
      <c r="F2759">
        <v>624.8099975585938</v>
      </c>
      <c r="G2759">
        <v>616.4320678710938</v>
      </c>
      <c r="H2759">
        <v>51898500</v>
      </c>
      <c r="I2759" t="s">
        <v>3714</v>
      </c>
      <c r="J2759" t="s">
        <v>3715</v>
      </c>
      <c r="K2759" t="s">
        <v>4629</v>
      </c>
    </row>
    <row r="2760" spans="1:11" ht="20" customHeight="1">
      <c r="A2760" t="s">
        <v>4628</v>
      </c>
      <c r="B2760" t="s">
        <v>3716</v>
      </c>
      <c r="C2760">
        <v>627.52001953125</v>
      </c>
      <c r="D2760">
        <v>627.8599853515625</v>
      </c>
      <c r="E2760">
        <v>622.0599975585938</v>
      </c>
      <c r="F2760">
        <v>622.1400146484375</v>
      </c>
      <c r="G2760">
        <v>613.7978515625</v>
      </c>
      <c r="H2760">
        <v>74317300</v>
      </c>
      <c r="I2760" t="s">
        <v>3717</v>
      </c>
      <c r="J2760" t="s">
        <v>3718</v>
      </c>
      <c r="K2760" t="s">
        <v>4629</v>
      </c>
    </row>
    <row r="2761" spans="1:11" ht="20" customHeight="1">
      <c r="A2761" t="s">
        <v>4628</v>
      </c>
      <c r="B2761" t="s">
        <v>3719</v>
      </c>
      <c r="C2761">
        <v>623.739990234375</v>
      </c>
      <c r="D2761">
        <v>624.72998046875</v>
      </c>
      <c r="E2761">
        <v>618.0499877929688</v>
      </c>
      <c r="F2761">
        <v>624.219970703125</v>
      </c>
      <c r="G2761">
        <v>615.8499755859375</v>
      </c>
      <c r="H2761">
        <v>88987500</v>
      </c>
      <c r="I2761" t="s">
        <v>3720</v>
      </c>
      <c r="J2761" t="s">
        <v>3721</v>
      </c>
      <c r="K2761" t="s">
        <v>4629</v>
      </c>
    </row>
    <row r="2762" spans="1:11" ht="20" customHeight="1">
      <c r="A2762" t="s">
        <v>4628</v>
      </c>
      <c r="B2762" t="s">
        <v>3722</v>
      </c>
      <c r="C2762">
        <v>624.4000244140625</v>
      </c>
      <c r="D2762">
        <v>628.4000244140625</v>
      </c>
      <c r="E2762">
        <v>624.1799926757812</v>
      </c>
      <c r="F2762">
        <v>628.0399780273438</v>
      </c>
      <c r="G2762">
        <v>619.6187133789062</v>
      </c>
      <c r="H2762">
        <v>68885700</v>
      </c>
      <c r="I2762" t="s">
        <v>3723</v>
      </c>
      <c r="J2762" t="s">
        <v>3724</v>
      </c>
      <c r="K2762" t="s">
        <v>4629</v>
      </c>
    </row>
    <row r="2763" spans="1:11" ht="20" customHeight="1">
      <c r="A2763" t="s">
        <v>4628</v>
      </c>
      <c r="B2763" t="s">
        <v>3725</v>
      </c>
      <c r="C2763">
        <v>629.2999877929688</v>
      </c>
      <c r="D2763">
        <v>629.469970703125</v>
      </c>
      <c r="E2763">
        <v>626.4600219726562</v>
      </c>
      <c r="F2763">
        <v>627.5800170898438</v>
      </c>
      <c r="G2763">
        <v>619.1649780273438</v>
      </c>
      <c r="H2763">
        <v>65621600</v>
      </c>
      <c r="I2763" t="s">
        <v>3726</v>
      </c>
      <c r="J2763" t="s">
        <v>3727</v>
      </c>
      <c r="K2763" t="s">
        <v>4629</v>
      </c>
    </row>
    <row r="2764" spans="1:11" ht="20" customHeight="1">
      <c r="A2764" t="s">
        <v>4628</v>
      </c>
      <c r="B2764" t="s">
        <v>3728</v>
      </c>
      <c r="C2764">
        <v>628.77001953125</v>
      </c>
      <c r="D2764">
        <v>631.5399780273438</v>
      </c>
      <c r="E2764">
        <v>628.3400268554688</v>
      </c>
      <c r="F2764">
        <v>628.77001953125</v>
      </c>
      <c r="G2764">
        <v>620.3389892578125</v>
      </c>
      <c r="H2764">
        <v>63375000</v>
      </c>
      <c r="I2764" t="s">
        <v>3729</v>
      </c>
      <c r="J2764" t="s">
        <v>3730</v>
      </c>
      <c r="K2764" t="s">
        <v>4629</v>
      </c>
    </row>
    <row r="2765" spans="1:11" ht="20" customHeight="1">
      <c r="A2765" t="s">
        <v>4628</v>
      </c>
      <c r="B2765" t="s">
        <v>3731</v>
      </c>
      <c r="C2765">
        <v>629.0999755859375</v>
      </c>
      <c r="D2765">
        <v>629.72998046875</v>
      </c>
      <c r="E2765">
        <v>626.1900024414062</v>
      </c>
      <c r="F2765">
        <v>628.8599853515625</v>
      </c>
      <c r="G2765">
        <v>620.4276733398438</v>
      </c>
      <c r="H2765">
        <v>60046300</v>
      </c>
      <c r="I2765" t="s">
        <v>3732</v>
      </c>
      <c r="J2765" t="s">
        <v>3733</v>
      </c>
      <c r="K2765" t="s">
        <v>4629</v>
      </c>
    </row>
    <row r="2766" spans="1:11" ht="20" customHeight="1">
      <c r="A2766" t="s">
        <v>4628</v>
      </c>
      <c r="B2766" t="s">
        <v>3734</v>
      </c>
      <c r="C2766">
        <v>631.5499877929688</v>
      </c>
      <c r="D2766">
        <v>634.2100219726562</v>
      </c>
      <c r="E2766">
        <v>629.72998046875</v>
      </c>
      <c r="F2766">
        <v>634.2100219726562</v>
      </c>
      <c r="G2766">
        <v>625.7061157226562</v>
      </c>
      <c r="H2766">
        <v>70511000</v>
      </c>
      <c r="I2766" t="s">
        <v>3735</v>
      </c>
      <c r="J2766" t="s">
        <v>3736</v>
      </c>
      <c r="K2766" t="s">
        <v>4629</v>
      </c>
    </row>
    <row r="2767" spans="1:11" ht="20" customHeight="1">
      <c r="A2767" t="s">
        <v>4628</v>
      </c>
      <c r="B2767" t="s">
        <v>3737</v>
      </c>
      <c r="C2767">
        <v>634.5999755859375</v>
      </c>
      <c r="D2767">
        <v>636.1500244140625</v>
      </c>
      <c r="E2767">
        <v>633.989990234375</v>
      </c>
      <c r="F2767">
        <v>634.4199829101562</v>
      </c>
      <c r="G2767">
        <v>625.9132080078125</v>
      </c>
      <c r="H2767">
        <v>71307100</v>
      </c>
      <c r="I2767" t="s">
        <v>3738</v>
      </c>
      <c r="J2767" t="s">
        <v>3739</v>
      </c>
      <c r="K2767" t="s">
        <v>4629</v>
      </c>
    </row>
    <row r="2768" spans="1:11" ht="20" customHeight="1">
      <c r="A2768" t="s">
        <v>4628</v>
      </c>
      <c r="B2768" t="s">
        <v>3740</v>
      </c>
      <c r="C2768">
        <v>635.0900268554688</v>
      </c>
      <c r="D2768">
        <v>637.5800170898438</v>
      </c>
      <c r="E2768">
        <v>634.8400268554688</v>
      </c>
      <c r="F2768">
        <v>637.0999755859375</v>
      </c>
      <c r="G2768">
        <v>628.5572509765625</v>
      </c>
      <c r="H2768">
        <v>56865400</v>
      </c>
      <c r="I2768" t="s">
        <v>3741</v>
      </c>
      <c r="J2768" t="s">
        <v>3742</v>
      </c>
      <c r="K2768" t="s">
        <v>4629</v>
      </c>
    </row>
    <row r="2769" spans="1:11" ht="20" customHeight="1">
      <c r="A2769" t="s">
        <v>4628</v>
      </c>
      <c r="B2769" t="s">
        <v>3743</v>
      </c>
      <c r="C2769">
        <v>637.47998046875</v>
      </c>
      <c r="D2769">
        <v>638.0399780273438</v>
      </c>
      <c r="E2769">
        <v>635.5399780273438</v>
      </c>
      <c r="F2769">
        <v>636.9400024414062</v>
      </c>
      <c r="G2769">
        <v>628.3994140625</v>
      </c>
      <c r="H2769">
        <v>54917100</v>
      </c>
      <c r="I2769" t="s">
        <v>3744</v>
      </c>
      <c r="J2769" t="s">
        <v>3745</v>
      </c>
      <c r="K2769" t="s">
        <v>4629</v>
      </c>
    </row>
    <row r="2770" spans="1:11" ht="20" customHeight="1">
      <c r="A2770" t="s">
        <v>4628</v>
      </c>
      <c r="B2770" t="s">
        <v>3746</v>
      </c>
      <c r="C2770">
        <v>638.3499755859375</v>
      </c>
      <c r="D2770">
        <v>638.6699829101562</v>
      </c>
      <c r="E2770">
        <v>634.3400268554688</v>
      </c>
      <c r="F2770">
        <v>635.260009765625</v>
      </c>
      <c r="G2770">
        <v>626.741943359375</v>
      </c>
      <c r="H2770">
        <v>60556300</v>
      </c>
      <c r="I2770" t="s">
        <v>3747</v>
      </c>
      <c r="J2770" t="s">
        <v>3748</v>
      </c>
      <c r="K2770" t="s">
        <v>4629</v>
      </c>
    </row>
    <row r="2771" spans="1:11" ht="20" customHeight="1">
      <c r="A2771" t="s">
        <v>4628</v>
      </c>
      <c r="B2771" t="s">
        <v>3749</v>
      </c>
      <c r="C2771">
        <v>635.9199829101562</v>
      </c>
      <c r="D2771">
        <v>637.6799926757812</v>
      </c>
      <c r="E2771">
        <v>631.5399780273438</v>
      </c>
      <c r="F2771">
        <v>634.4600219726562</v>
      </c>
      <c r="G2771">
        <v>625.9526977539062</v>
      </c>
      <c r="H2771">
        <v>80418900</v>
      </c>
      <c r="I2771" t="s">
        <v>3750</v>
      </c>
      <c r="J2771" t="s">
        <v>3751</v>
      </c>
      <c r="K2771" t="s">
        <v>4629</v>
      </c>
    </row>
    <row r="2772" spans="1:11" ht="20" customHeight="1">
      <c r="A2772" t="s">
        <v>4628</v>
      </c>
      <c r="B2772" t="s">
        <v>3752</v>
      </c>
      <c r="C2772">
        <v>639.4600219726562</v>
      </c>
      <c r="D2772">
        <v>639.8499755859375</v>
      </c>
      <c r="E2772">
        <v>630.77001953125</v>
      </c>
      <c r="F2772">
        <v>632.0800170898438</v>
      </c>
      <c r="G2772">
        <v>623.6045532226562</v>
      </c>
      <c r="H2772">
        <v>103385200</v>
      </c>
      <c r="I2772" t="s">
        <v>3753</v>
      </c>
      <c r="J2772" t="s">
        <v>3754</v>
      </c>
      <c r="K2772" t="s">
        <v>4629</v>
      </c>
    </row>
    <row r="2773" spans="1:11" ht="20" customHeight="1">
      <c r="A2773" t="s">
        <v>4628</v>
      </c>
      <c r="B2773" t="s">
        <v>3755</v>
      </c>
      <c r="C2773">
        <v>626.2999877929688</v>
      </c>
      <c r="D2773">
        <v>626.3400268554688</v>
      </c>
      <c r="E2773">
        <v>619.2899780273438</v>
      </c>
      <c r="F2773">
        <v>621.719970703125</v>
      </c>
      <c r="G2773">
        <v>613.3834838867188</v>
      </c>
      <c r="H2773">
        <v>140103600</v>
      </c>
      <c r="I2773" t="s">
        <v>3756</v>
      </c>
      <c r="J2773" t="s">
        <v>3757</v>
      </c>
      <c r="K2773" t="s">
        <v>4629</v>
      </c>
    </row>
    <row r="2774" spans="1:11" ht="20" customHeight="1">
      <c r="A2774" t="s">
        <v>4628</v>
      </c>
      <c r="B2774" t="s">
        <v>3758</v>
      </c>
      <c r="C2774">
        <v>625.6699829101562</v>
      </c>
      <c r="D2774">
        <v>631.219970703125</v>
      </c>
      <c r="E2774">
        <v>625.5800170898438</v>
      </c>
      <c r="F2774">
        <v>631.1699829101562</v>
      </c>
      <c r="G2774">
        <v>622.7067260742188</v>
      </c>
      <c r="H2774">
        <v>73218000</v>
      </c>
      <c r="I2774" t="s">
        <v>3759</v>
      </c>
      <c r="J2774" t="s">
        <v>3760</v>
      </c>
      <c r="K2774" t="s">
        <v>4629</v>
      </c>
    </row>
    <row r="2775" spans="1:11" ht="20" customHeight="1">
      <c r="A2775" t="s">
        <v>4628</v>
      </c>
      <c r="B2775" t="s">
        <v>3761</v>
      </c>
      <c r="C2775">
        <v>631.7899780273438</v>
      </c>
      <c r="D2775">
        <v>632.6099853515625</v>
      </c>
      <c r="E2775">
        <v>627.0399780273438</v>
      </c>
      <c r="F2775">
        <v>627.969970703125</v>
      </c>
      <c r="G2775">
        <v>619.5496215820312</v>
      </c>
      <c r="H2775">
        <v>68051400</v>
      </c>
      <c r="I2775" t="s">
        <v>3762</v>
      </c>
      <c r="J2775" t="s">
        <v>3763</v>
      </c>
      <c r="K2775" t="s">
        <v>4629</v>
      </c>
    </row>
    <row r="2776" spans="1:11" ht="20" customHeight="1">
      <c r="A2776" t="s">
        <v>4628</v>
      </c>
      <c r="B2776" t="s">
        <v>3764</v>
      </c>
      <c r="C2776">
        <v>629.0499877929688</v>
      </c>
      <c r="D2776">
        <v>633.4400024414062</v>
      </c>
      <c r="E2776">
        <v>628.1300048828125</v>
      </c>
      <c r="F2776">
        <v>632.780029296875</v>
      </c>
      <c r="G2776">
        <v>624.2952270507812</v>
      </c>
      <c r="H2776">
        <v>64357500</v>
      </c>
      <c r="I2776" t="s">
        <v>3765</v>
      </c>
      <c r="J2776" t="s">
        <v>3766</v>
      </c>
      <c r="K2776" t="s">
        <v>4629</v>
      </c>
    </row>
    <row r="2777" spans="1:11" ht="20" customHeight="1">
      <c r="A2777" t="s">
        <v>4628</v>
      </c>
      <c r="B2777" t="s">
        <v>3767</v>
      </c>
      <c r="C2777">
        <v>636.239990234375</v>
      </c>
      <c r="D2777">
        <v>636.97998046875</v>
      </c>
      <c r="E2777">
        <v>629.1099853515625</v>
      </c>
      <c r="F2777">
        <v>632.25</v>
      </c>
      <c r="G2777">
        <v>623.7723388671875</v>
      </c>
      <c r="H2777">
        <v>74205800</v>
      </c>
      <c r="I2777" t="s">
        <v>3768</v>
      </c>
      <c r="J2777" t="s">
        <v>3769</v>
      </c>
      <c r="K2777" t="s">
        <v>4629</v>
      </c>
    </row>
    <row r="2778" spans="1:11" ht="20" customHeight="1">
      <c r="A2778" t="s">
        <v>4628</v>
      </c>
      <c r="B2778" t="s">
        <v>3770</v>
      </c>
      <c r="C2778">
        <v>634.0599975585938</v>
      </c>
      <c r="D2778">
        <v>637.6500244140625</v>
      </c>
      <c r="E2778">
        <v>633.739990234375</v>
      </c>
      <c r="F2778">
        <v>637.1799926757812</v>
      </c>
      <c r="G2778">
        <v>628.63623046875</v>
      </c>
      <c r="H2778">
        <v>64051600</v>
      </c>
      <c r="I2778" t="s">
        <v>3771</v>
      </c>
      <c r="J2778" t="s">
        <v>3772</v>
      </c>
      <c r="K2778" t="s">
        <v>4629</v>
      </c>
    </row>
    <row r="2779" spans="1:11" ht="20" customHeight="1">
      <c r="A2779" t="s">
        <v>4628</v>
      </c>
      <c r="B2779" t="s">
        <v>3773</v>
      </c>
      <c r="C2779">
        <v>637.4600219726562</v>
      </c>
      <c r="D2779">
        <v>638.9500122070312</v>
      </c>
      <c r="E2779">
        <v>634.6599731445312</v>
      </c>
      <c r="F2779">
        <v>635.9199829101562</v>
      </c>
      <c r="G2779">
        <v>627.3930053710938</v>
      </c>
      <c r="H2779">
        <v>58742300</v>
      </c>
      <c r="I2779" t="s">
        <v>3774</v>
      </c>
      <c r="J2779" t="s">
        <v>3775</v>
      </c>
      <c r="K2779" t="s">
        <v>4629</v>
      </c>
    </row>
    <row r="2780" spans="1:11" ht="20" customHeight="1">
      <c r="A2780" t="s">
        <v>4628</v>
      </c>
      <c r="B2780" t="s">
        <v>3776</v>
      </c>
      <c r="C2780">
        <v>638.2899780273438</v>
      </c>
      <c r="D2780">
        <v>642.8499755859375</v>
      </c>
      <c r="E2780">
        <v>636.7899780273438</v>
      </c>
      <c r="F2780">
        <v>642.6900024414062</v>
      </c>
      <c r="G2780">
        <v>634.072265625</v>
      </c>
      <c r="H2780">
        <v>64730800</v>
      </c>
      <c r="I2780" t="s">
        <v>3777</v>
      </c>
      <c r="J2780" t="s">
        <v>3778</v>
      </c>
      <c r="K2780" t="s">
        <v>4629</v>
      </c>
    </row>
    <row r="2781" spans="1:11" ht="20" customHeight="1">
      <c r="A2781" t="s">
        <v>4628</v>
      </c>
      <c r="B2781" t="s">
        <v>3779</v>
      </c>
      <c r="C2781">
        <v>644.9099731445312</v>
      </c>
      <c r="D2781">
        <v>646.1900024414062</v>
      </c>
      <c r="E2781">
        <v>642.6799926757812</v>
      </c>
      <c r="F2781">
        <v>644.8900146484375</v>
      </c>
      <c r="G2781">
        <v>636.2428588867188</v>
      </c>
      <c r="H2781">
        <v>60092800</v>
      </c>
      <c r="I2781" t="s">
        <v>3780</v>
      </c>
      <c r="J2781" t="s">
        <v>3781</v>
      </c>
      <c r="K2781" t="s">
        <v>4629</v>
      </c>
    </row>
    <row r="2782" spans="1:11" ht="20" customHeight="1">
      <c r="A2782" t="s">
        <v>4628</v>
      </c>
      <c r="B2782" t="s">
        <v>3782</v>
      </c>
      <c r="C2782">
        <v>642.7899780273438</v>
      </c>
      <c r="D2782">
        <v>645.6199951171875</v>
      </c>
      <c r="E2782">
        <v>642.3400268554688</v>
      </c>
      <c r="F2782">
        <v>644.9500122070312</v>
      </c>
      <c r="G2782">
        <v>636.3020629882812</v>
      </c>
      <c r="H2782">
        <v>59327500</v>
      </c>
      <c r="I2782" t="s">
        <v>3783</v>
      </c>
      <c r="J2782" t="s">
        <v>3784</v>
      </c>
      <c r="K2782" t="s">
        <v>4629</v>
      </c>
    </row>
    <row r="2783" spans="1:11" ht="20" customHeight="1">
      <c r="A2783" t="s">
        <v>4628</v>
      </c>
      <c r="B2783" t="s">
        <v>3785</v>
      </c>
      <c r="C2783">
        <v>645.989990234375</v>
      </c>
      <c r="D2783">
        <v>646.0900268554688</v>
      </c>
      <c r="E2783">
        <v>642.52001953125</v>
      </c>
      <c r="F2783">
        <v>643.4400024414062</v>
      </c>
      <c r="G2783">
        <v>634.812255859375</v>
      </c>
      <c r="H2783">
        <v>68592500</v>
      </c>
      <c r="I2783" t="s">
        <v>3786</v>
      </c>
      <c r="J2783" t="s">
        <v>3787</v>
      </c>
      <c r="K2783" t="s">
        <v>4629</v>
      </c>
    </row>
    <row r="2784" spans="1:11" ht="20" customHeight="1">
      <c r="A2784" t="s">
        <v>4628</v>
      </c>
      <c r="B2784" t="s">
        <v>3788</v>
      </c>
      <c r="C2784">
        <v>642.8599853515625</v>
      </c>
      <c r="D2784">
        <v>644</v>
      </c>
      <c r="E2784">
        <v>642.1799926757812</v>
      </c>
      <c r="F2784">
        <v>643.2999877929688</v>
      </c>
      <c r="G2784">
        <v>634.6741333007812</v>
      </c>
      <c r="H2784">
        <v>43804900</v>
      </c>
      <c r="I2784" t="s">
        <v>3789</v>
      </c>
      <c r="J2784" t="s">
        <v>3790</v>
      </c>
      <c r="K2784" t="s">
        <v>4629</v>
      </c>
    </row>
    <row r="2785" spans="1:11" ht="20" customHeight="1">
      <c r="A2785" t="s">
        <v>4628</v>
      </c>
      <c r="B2785" t="s">
        <v>3791</v>
      </c>
      <c r="C2785">
        <v>643.1199951171875</v>
      </c>
      <c r="D2785">
        <v>644.1099853515625</v>
      </c>
      <c r="E2785">
        <v>638.47998046875</v>
      </c>
      <c r="F2785">
        <v>639.8099975585938</v>
      </c>
      <c r="G2785">
        <v>631.2308959960938</v>
      </c>
      <c r="H2785">
        <v>69750700</v>
      </c>
      <c r="I2785" t="s">
        <v>3792</v>
      </c>
      <c r="J2785" t="s">
        <v>3793</v>
      </c>
      <c r="K2785" t="s">
        <v>4629</v>
      </c>
    </row>
    <row r="2786" spans="1:11" ht="20" customHeight="1">
      <c r="A2786" t="s">
        <v>4628</v>
      </c>
      <c r="B2786" t="s">
        <v>3794</v>
      </c>
      <c r="C2786">
        <v>639.4000244140625</v>
      </c>
      <c r="D2786">
        <v>639.6599731445312</v>
      </c>
      <c r="E2786">
        <v>632.9500122070312</v>
      </c>
      <c r="F2786">
        <v>638.1099853515625</v>
      </c>
      <c r="G2786">
        <v>629.5537719726562</v>
      </c>
      <c r="H2786">
        <v>88890300</v>
      </c>
      <c r="I2786" t="s">
        <v>3795</v>
      </c>
      <c r="J2786" t="s">
        <v>3796</v>
      </c>
      <c r="K2786" t="s">
        <v>4629</v>
      </c>
    </row>
    <row r="2787" spans="1:11" ht="20" customHeight="1">
      <c r="A2787" t="s">
        <v>4628</v>
      </c>
      <c r="B2787" t="s">
        <v>3797</v>
      </c>
      <c r="C2787">
        <v>636.280029296875</v>
      </c>
      <c r="D2787">
        <v>637.969970703125</v>
      </c>
      <c r="E2787">
        <v>633.8099975585938</v>
      </c>
      <c r="F2787">
        <v>635.5499877929688</v>
      </c>
      <c r="G2787">
        <v>627.028076171875</v>
      </c>
      <c r="H2787">
        <v>54805800</v>
      </c>
      <c r="I2787" t="s">
        <v>3798</v>
      </c>
      <c r="J2787" t="s">
        <v>3799</v>
      </c>
      <c r="K2787" t="s">
        <v>4629</v>
      </c>
    </row>
    <row r="2788" spans="1:11" ht="20" customHeight="1">
      <c r="A2788" t="s">
        <v>4628</v>
      </c>
      <c r="B2788" t="s">
        <v>3800</v>
      </c>
      <c r="C2788">
        <v>637.760009765625</v>
      </c>
      <c r="D2788">
        <v>646.5</v>
      </c>
      <c r="E2788">
        <v>637.25</v>
      </c>
      <c r="F2788">
        <v>645.3099975585938</v>
      </c>
      <c r="G2788">
        <v>636.6571044921875</v>
      </c>
      <c r="H2788">
        <v>84083200</v>
      </c>
      <c r="I2788" t="s">
        <v>3801</v>
      </c>
      <c r="J2788" t="s">
        <v>3802</v>
      </c>
      <c r="K2788" t="s">
        <v>4629</v>
      </c>
    </row>
    <row r="2789" spans="1:11" ht="20" customHeight="1">
      <c r="A2789" t="s">
        <v>4628</v>
      </c>
      <c r="B2789" t="s">
        <v>3803</v>
      </c>
      <c r="C2789">
        <v>644.0399780273438</v>
      </c>
      <c r="D2789">
        <v>645.2899780273438</v>
      </c>
      <c r="E2789">
        <v>642.3499755859375</v>
      </c>
      <c r="F2789">
        <v>642.469970703125</v>
      </c>
      <c r="G2789">
        <v>633.855224609375</v>
      </c>
      <c r="H2789">
        <v>51274300</v>
      </c>
      <c r="I2789" t="s">
        <v>3804</v>
      </c>
      <c r="J2789" t="s">
        <v>3805</v>
      </c>
      <c r="K2789" t="s">
        <v>4629</v>
      </c>
    </row>
    <row r="2790" spans="1:11" ht="20" customHeight="1">
      <c r="A2790" t="s">
        <v>4628</v>
      </c>
      <c r="B2790" t="s">
        <v>3806</v>
      </c>
      <c r="C2790">
        <v>642.2000122070312</v>
      </c>
      <c r="D2790">
        <v>645.510009765625</v>
      </c>
      <c r="E2790">
        <v>641.5700073242188</v>
      </c>
      <c r="F2790">
        <v>645.1599731445312</v>
      </c>
      <c r="G2790">
        <v>636.5092163085938</v>
      </c>
      <c r="H2790">
        <v>51581600</v>
      </c>
      <c r="I2790" t="s">
        <v>3807</v>
      </c>
      <c r="J2790" t="s">
        <v>3808</v>
      </c>
      <c r="K2790" t="s">
        <v>4629</v>
      </c>
    </row>
    <row r="2791" spans="1:11" ht="20" customHeight="1">
      <c r="A2791" t="s">
        <v>4628</v>
      </c>
      <c r="B2791" t="s">
        <v>3809</v>
      </c>
      <c r="C2791">
        <v>644.5700073242188</v>
      </c>
      <c r="D2791">
        <v>647.3699951171875</v>
      </c>
      <c r="E2791">
        <v>644.4199829101562</v>
      </c>
      <c r="F2791">
        <v>646.6300048828125</v>
      </c>
      <c r="G2791">
        <v>637.95947265625</v>
      </c>
      <c r="H2791">
        <v>48341100</v>
      </c>
      <c r="I2791" t="s">
        <v>3810</v>
      </c>
      <c r="J2791" t="s">
        <v>3811</v>
      </c>
      <c r="K2791" t="s">
        <v>4629</v>
      </c>
    </row>
    <row r="2792" spans="1:11" ht="20" customHeight="1">
      <c r="A2792" t="s">
        <v>4628</v>
      </c>
      <c r="B2792" t="s">
        <v>3812</v>
      </c>
      <c r="C2792">
        <v>647.239990234375</v>
      </c>
      <c r="D2792">
        <v>649.47998046875</v>
      </c>
      <c r="E2792">
        <v>645.3400268554688</v>
      </c>
      <c r="F2792">
        <v>648.9199829101562</v>
      </c>
      <c r="G2792">
        <v>640.2188110351562</v>
      </c>
      <c r="H2792">
        <v>61519500</v>
      </c>
      <c r="I2792" t="s">
        <v>3813</v>
      </c>
      <c r="J2792" t="s">
        <v>3814</v>
      </c>
      <c r="K2792" t="s">
        <v>4629</v>
      </c>
    </row>
    <row r="2793" spans="1:11" ht="20" customHeight="1">
      <c r="A2793" t="s">
        <v>4628</v>
      </c>
      <c r="B2793" t="s">
        <v>3815</v>
      </c>
      <c r="C2793">
        <v>647.469970703125</v>
      </c>
      <c r="D2793">
        <v>647.8400268554688</v>
      </c>
      <c r="E2793">
        <v>643.1400146484375</v>
      </c>
      <c r="F2793">
        <v>645.0499877929688</v>
      </c>
      <c r="G2793">
        <v>636.400634765625</v>
      </c>
      <c r="H2793">
        <v>74522200</v>
      </c>
      <c r="I2793" t="s">
        <v>3816</v>
      </c>
      <c r="J2793" t="s">
        <v>3817</v>
      </c>
      <c r="K2793" t="s">
        <v>4629</v>
      </c>
    </row>
    <row r="2794" spans="1:11" ht="20" customHeight="1">
      <c r="A2794" t="s">
        <v>4628</v>
      </c>
      <c r="B2794" t="s">
        <v>3818</v>
      </c>
      <c r="C2794">
        <v>637.5</v>
      </c>
      <c r="D2794">
        <v>640.489990234375</v>
      </c>
      <c r="E2794">
        <v>634.9199829101562</v>
      </c>
      <c r="F2794">
        <v>640.27001953125</v>
      </c>
      <c r="G2794">
        <v>631.6847534179688</v>
      </c>
      <c r="H2794">
        <v>81983500</v>
      </c>
      <c r="I2794" t="s">
        <v>3819</v>
      </c>
      <c r="J2794" t="s">
        <v>3820</v>
      </c>
      <c r="K2794" t="s">
        <v>4629</v>
      </c>
    </row>
    <row r="2795" spans="1:11" ht="20" customHeight="1">
      <c r="A2795" t="s">
        <v>4628</v>
      </c>
      <c r="B2795" t="s">
        <v>3821</v>
      </c>
      <c r="C2795">
        <v>642.6699829101562</v>
      </c>
      <c r="D2795">
        <v>644.2100219726562</v>
      </c>
      <c r="E2795">
        <v>640.4600219726562</v>
      </c>
      <c r="F2795">
        <v>643.739990234375</v>
      </c>
      <c r="G2795">
        <v>635.1082153320312</v>
      </c>
      <c r="H2795">
        <v>70820900</v>
      </c>
      <c r="I2795" t="s">
        <v>3822</v>
      </c>
      <c r="J2795" t="s">
        <v>3823</v>
      </c>
      <c r="K2795" t="s">
        <v>4629</v>
      </c>
    </row>
    <row r="2796" spans="1:11" ht="20" customHeight="1">
      <c r="A2796" t="s">
        <v>4628</v>
      </c>
      <c r="B2796" t="s">
        <v>3824</v>
      </c>
      <c r="C2796">
        <v>644.4199829101562</v>
      </c>
      <c r="D2796">
        <v>649.1500244140625</v>
      </c>
      <c r="E2796">
        <v>643.510009765625</v>
      </c>
      <c r="F2796">
        <v>649.1199951171875</v>
      </c>
      <c r="G2796">
        <v>640.4161376953125</v>
      </c>
      <c r="H2796">
        <v>65219200</v>
      </c>
      <c r="I2796" t="s">
        <v>3825</v>
      </c>
      <c r="J2796" t="s">
        <v>3826</v>
      </c>
      <c r="K2796" t="s">
        <v>4629</v>
      </c>
    </row>
    <row r="2797" spans="1:11" ht="20" customHeight="1">
      <c r="A2797" t="s">
        <v>4628</v>
      </c>
      <c r="B2797" t="s">
        <v>3827</v>
      </c>
      <c r="C2797">
        <v>651.47998046875</v>
      </c>
      <c r="D2797">
        <v>652.2100219726562</v>
      </c>
      <c r="E2797">
        <v>643.3300170898438</v>
      </c>
      <c r="F2797">
        <v>647.239990234375</v>
      </c>
      <c r="G2797">
        <v>638.5612182617188</v>
      </c>
      <c r="H2797">
        <v>85178900</v>
      </c>
      <c r="I2797" t="s">
        <v>3828</v>
      </c>
      <c r="J2797" t="s">
        <v>3829</v>
      </c>
      <c r="K2797" t="s">
        <v>4629</v>
      </c>
    </row>
    <row r="2798" spans="1:11" ht="20" customHeight="1">
      <c r="A2798" t="s">
        <v>4628</v>
      </c>
      <c r="B2798" t="s">
        <v>3830</v>
      </c>
      <c r="C2798">
        <v>648.6199951171875</v>
      </c>
      <c r="D2798">
        <v>649.8400268554688</v>
      </c>
      <c r="E2798">
        <v>647.22998046875</v>
      </c>
      <c r="F2798">
        <v>648.8300170898438</v>
      </c>
      <c r="G2798">
        <v>640.1300048828125</v>
      </c>
      <c r="H2798">
        <v>63133100</v>
      </c>
      <c r="I2798" t="s">
        <v>3831</v>
      </c>
      <c r="J2798" t="s">
        <v>3832</v>
      </c>
      <c r="K2798" t="s">
        <v>4629</v>
      </c>
    </row>
    <row r="2799" spans="1:11" ht="20" customHeight="1">
      <c r="A2799" t="s">
        <v>4628</v>
      </c>
      <c r="B2799" t="s">
        <v>3833</v>
      </c>
      <c r="C2799">
        <v>648.969970703125</v>
      </c>
      <c r="D2799">
        <v>650.8599853515625</v>
      </c>
      <c r="E2799">
        <v>647.219970703125</v>
      </c>
      <c r="F2799">
        <v>650.3300170898438</v>
      </c>
      <c r="G2799">
        <v>641.60986328125</v>
      </c>
      <c r="H2799">
        <v>66133900</v>
      </c>
      <c r="I2799" t="s">
        <v>3834</v>
      </c>
      <c r="J2799" t="s">
        <v>3835</v>
      </c>
      <c r="K2799" t="s">
        <v>4629</v>
      </c>
    </row>
    <row r="2800" spans="1:11" ht="20" customHeight="1">
      <c r="A2800" t="s">
        <v>4628</v>
      </c>
      <c r="B2800" t="s">
        <v>3836</v>
      </c>
      <c r="C2800">
        <v>653.6199951171875</v>
      </c>
      <c r="D2800">
        <v>654.5499877929688</v>
      </c>
      <c r="E2800">
        <v>650.6300048828125</v>
      </c>
      <c r="F2800">
        <v>652.2100219726562</v>
      </c>
      <c r="G2800">
        <v>643.4646606445312</v>
      </c>
      <c r="H2800">
        <v>78034500</v>
      </c>
      <c r="I2800" t="s">
        <v>3837</v>
      </c>
      <c r="J2800" t="s">
        <v>3838</v>
      </c>
      <c r="K2800" t="s">
        <v>4629</v>
      </c>
    </row>
    <row r="2801" spans="1:11" ht="20" customHeight="1">
      <c r="A2801" t="s">
        <v>4628</v>
      </c>
      <c r="B2801" t="s">
        <v>3839</v>
      </c>
      <c r="C2801">
        <v>654.1799926757812</v>
      </c>
      <c r="D2801">
        <v>658.3300170898438</v>
      </c>
      <c r="E2801">
        <v>653.5900268554688</v>
      </c>
      <c r="F2801">
        <v>657.6300048828125</v>
      </c>
      <c r="G2801">
        <v>648.8119506835938</v>
      </c>
      <c r="H2801">
        <v>69934400</v>
      </c>
      <c r="I2801" t="s">
        <v>3840</v>
      </c>
      <c r="J2801" t="s">
        <v>3841</v>
      </c>
      <c r="K2801" t="s">
        <v>4629</v>
      </c>
    </row>
    <row r="2802" spans="1:11" ht="20" customHeight="1">
      <c r="A2802" t="s">
        <v>4628</v>
      </c>
      <c r="B2802" t="s">
        <v>3842</v>
      </c>
      <c r="C2802">
        <v>657.5999755859375</v>
      </c>
      <c r="D2802">
        <v>659.1099853515625</v>
      </c>
      <c r="E2802">
        <v>656.9000244140625</v>
      </c>
      <c r="F2802">
        <v>657.4099731445312</v>
      </c>
      <c r="G2802">
        <v>648.5948486328125</v>
      </c>
      <c r="H2802">
        <v>72780100</v>
      </c>
      <c r="I2802" t="s">
        <v>3843</v>
      </c>
      <c r="J2802" t="s">
        <v>3844</v>
      </c>
      <c r="K2802" t="s">
        <v>4629</v>
      </c>
    </row>
    <row r="2803" spans="1:11" ht="20" customHeight="1">
      <c r="A2803" t="s">
        <v>4628</v>
      </c>
      <c r="B2803" t="s">
        <v>3845</v>
      </c>
      <c r="C2803">
        <v>659.6400146484375</v>
      </c>
      <c r="D2803">
        <v>661.0399780273438</v>
      </c>
      <c r="E2803">
        <v>659.3400268554688</v>
      </c>
      <c r="F2803">
        <v>660.9099731445312</v>
      </c>
      <c r="G2803">
        <v>652.0479736328125</v>
      </c>
      <c r="H2803">
        <v>63772400</v>
      </c>
      <c r="I2803" t="s">
        <v>3846</v>
      </c>
      <c r="J2803" t="s">
        <v>3847</v>
      </c>
      <c r="K2803" t="s">
        <v>4629</v>
      </c>
    </row>
    <row r="2804" spans="1:11" ht="20" customHeight="1">
      <c r="A2804" t="s">
        <v>4628</v>
      </c>
      <c r="B2804" t="s">
        <v>3848</v>
      </c>
      <c r="C2804">
        <v>661.469970703125</v>
      </c>
      <c r="D2804">
        <v>661.780029296875</v>
      </c>
      <c r="E2804">
        <v>659.2100219726562</v>
      </c>
      <c r="F2804">
        <v>660</v>
      </c>
      <c r="G2804">
        <v>651.1502685546875</v>
      </c>
      <c r="H2804">
        <v>61169000</v>
      </c>
      <c r="I2804" t="s">
        <v>3849</v>
      </c>
      <c r="J2804" t="s">
        <v>3850</v>
      </c>
      <c r="K2804" t="s">
        <v>4629</v>
      </c>
    </row>
    <row r="2805" spans="1:11" ht="20" customHeight="1">
      <c r="A2805" t="s">
        <v>4628</v>
      </c>
      <c r="B2805" t="s">
        <v>3851</v>
      </c>
      <c r="C2805">
        <v>660.010009765625</v>
      </c>
      <c r="D2805">
        <v>661.719970703125</v>
      </c>
      <c r="E2805">
        <v>654.2999877929688</v>
      </c>
      <c r="F2805">
        <v>659.1799926757812</v>
      </c>
      <c r="G2805">
        <v>650.3412475585938</v>
      </c>
      <c r="H2805">
        <v>101952200</v>
      </c>
      <c r="I2805" t="s">
        <v>3852</v>
      </c>
      <c r="J2805" t="s">
        <v>3853</v>
      </c>
      <c r="K2805" t="s">
        <v>4629</v>
      </c>
    </row>
    <row r="2806" spans="1:11" ht="20" customHeight="1">
      <c r="A2806" t="s">
        <v>4628</v>
      </c>
      <c r="B2806" t="s">
        <v>3854</v>
      </c>
      <c r="C2806">
        <v>661.8900146484375</v>
      </c>
      <c r="D2806">
        <v>664.8900146484375</v>
      </c>
      <c r="E2806">
        <v>660.27001953125</v>
      </c>
      <c r="F2806">
        <v>662.260009765625</v>
      </c>
      <c r="G2806">
        <v>653.3798828125</v>
      </c>
      <c r="H2806">
        <v>90459200</v>
      </c>
      <c r="I2806" t="s">
        <v>3855</v>
      </c>
      <c r="J2806" t="s">
        <v>3856</v>
      </c>
      <c r="K2806" t="s">
        <v>4629</v>
      </c>
    </row>
    <row r="2807" spans="1:11" ht="20" customHeight="1">
      <c r="A2807" t="s">
        <v>4628</v>
      </c>
      <c r="B2807" t="s">
        <v>3857</v>
      </c>
      <c r="C2807">
        <v>662.3300170898438</v>
      </c>
      <c r="D2807">
        <v>664.5499877929688</v>
      </c>
      <c r="E2807">
        <v>660.3699951171875</v>
      </c>
      <c r="F2807">
        <v>663.7000122070312</v>
      </c>
      <c r="G2807">
        <v>656.6160278320312</v>
      </c>
      <c r="H2807">
        <v>97945600</v>
      </c>
      <c r="I2807" t="s">
        <v>3858</v>
      </c>
      <c r="J2807" t="s">
        <v>3859</v>
      </c>
      <c r="K2807" t="s">
        <v>4629</v>
      </c>
    </row>
    <row r="2808" spans="1:11" ht="20" customHeight="1">
      <c r="A2808" t="s">
        <v>4628</v>
      </c>
      <c r="B2808" t="s">
        <v>3860</v>
      </c>
      <c r="C2808">
        <v>662.2000122070312</v>
      </c>
      <c r="D2808">
        <v>667.2899780273438</v>
      </c>
      <c r="E2808">
        <v>662.1699829101562</v>
      </c>
      <c r="F2808">
        <v>666.8400268554688</v>
      </c>
      <c r="G2808">
        <v>659.7225341796875</v>
      </c>
      <c r="H2808">
        <v>69452200</v>
      </c>
      <c r="I2808" t="s">
        <v>3861</v>
      </c>
      <c r="J2808" t="s">
        <v>3862</v>
      </c>
      <c r="K2808" t="s">
        <v>4629</v>
      </c>
    </row>
    <row r="2809" spans="1:11" ht="20" customHeight="1">
      <c r="A2809" t="s">
        <v>4628</v>
      </c>
      <c r="B2809" t="s">
        <v>3863</v>
      </c>
      <c r="C2809">
        <v>666.719970703125</v>
      </c>
      <c r="D2809">
        <v>667.3400268554688</v>
      </c>
      <c r="E2809">
        <v>661.97998046875</v>
      </c>
      <c r="F2809">
        <v>663.2100219726562</v>
      </c>
      <c r="G2809">
        <v>656.1312866210938</v>
      </c>
      <c r="H2809">
        <v>81708900</v>
      </c>
      <c r="I2809" t="s">
        <v>3864</v>
      </c>
      <c r="J2809" t="s">
        <v>3865</v>
      </c>
      <c r="K2809" t="s">
        <v>4629</v>
      </c>
    </row>
    <row r="2810" spans="1:11" ht="20" customHeight="1">
      <c r="A2810" t="s">
        <v>4628</v>
      </c>
      <c r="B2810" t="s">
        <v>3866</v>
      </c>
      <c r="C2810">
        <v>664.510009765625</v>
      </c>
      <c r="D2810">
        <v>664.6099853515625</v>
      </c>
      <c r="E2810">
        <v>659.6699829101562</v>
      </c>
      <c r="F2810">
        <v>661.0999755859375</v>
      </c>
      <c r="G2810">
        <v>654.043701171875</v>
      </c>
      <c r="H2810">
        <v>68082200</v>
      </c>
      <c r="I2810" t="s">
        <v>3867</v>
      </c>
      <c r="J2810" t="s">
        <v>3868</v>
      </c>
      <c r="K2810" t="s">
        <v>4629</v>
      </c>
    </row>
    <row r="2811" spans="1:11" ht="20" customHeight="1">
      <c r="A2811" t="s">
        <v>4628</v>
      </c>
      <c r="B2811" t="s">
        <v>3869</v>
      </c>
      <c r="C2811">
        <v>657.9400024414062</v>
      </c>
      <c r="D2811">
        <v>659.4099731445312</v>
      </c>
      <c r="E2811">
        <v>654.4099731445312</v>
      </c>
      <c r="F2811">
        <v>658.0499877929688</v>
      </c>
      <c r="G2811">
        <v>651.0263061523438</v>
      </c>
      <c r="H2811">
        <v>89622100</v>
      </c>
      <c r="I2811" t="s">
        <v>3870</v>
      </c>
      <c r="J2811" t="s">
        <v>3871</v>
      </c>
      <c r="K2811" t="s">
        <v>4629</v>
      </c>
    </row>
    <row r="2812" spans="1:11" ht="20" customHeight="1">
      <c r="A2812" t="s">
        <v>4628</v>
      </c>
      <c r="B2812" t="s">
        <v>3872</v>
      </c>
      <c r="C2812">
        <v>659.510009765625</v>
      </c>
      <c r="D2812">
        <v>662.3699951171875</v>
      </c>
      <c r="E2812">
        <v>657.8800048828125</v>
      </c>
      <c r="F2812">
        <v>661.8200073242188</v>
      </c>
      <c r="G2812">
        <v>654.756103515625</v>
      </c>
      <c r="H2812">
        <v>69179200</v>
      </c>
      <c r="I2812" t="s">
        <v>3873</v>
      </c>
      <c r="J2812" t="s">
        <v>3874</v>
      </c>
      <c r="K2812" t="s">
        <v>4629</v>
      </c>
    </row>
    <row r="2813" spans="1:11" ht="20" customHeight="1">
      <c r="A2813" t="s">
        <v>4628</v>
      </c>
      <c r="B2813" t="s">
        <v>3875</v>
      </c>
      <c r="C2813">
        <v>664.3599853515625</v>
      </c>
      <c r="D2813">
        <v>665.280029296875</v>
      </c>
      <c r="E2813">
        <v>661.8599853515625</v>
      </c>
      <c r="F2813">
        <v>663.6799926757812</v>
      </c>
      <c r="G2813">
        <v>656.5962524414062</v>
      </c>
      <c r="H2813">
        <v>73499000</v>
      </c>
      <c r="I2813" t="s">
        <v>3876</v>
      </c>
      <c r="J2813" t="s">
        <v>3877</v>
      </c>
      <c r="K2813" t="s">
        <v>4629</v>
      </c>
    </row>
    <row r="2814" spans="1:11" ht="20" customHeight="1">
      <c r="A2814" t="s">
        <v>4628</v>
      </c>
      <c r="B2814" t="s">
        <v>3878</v>
      </c>
      <c r="C2814">
        <v>662.9299926757812</v>
      </c>
      <c r="D2814">
        <v>666.6500244140625</v>
      </c>
      <c r="E2814">
        <v>661.6099853515625</v>
      </c>
      <c r="F2814">
        <v>666.1799926757812</v>
      </c>
      <c r="G2814">
        <v>659.0695190429688</v>
      </c>
      <c r="H2814">
        <v>86288000</v>
      </c>
      <c r="I2814" t="s">
        <v>3879</v>
      </c>
      <c r="J2814" t="s">
        <v>3880</v>
      </c>
      <c r="K2814" t="s">
        <v>4629</v>
      </c>
    </row>
    <row r="2815" spans="1:11" ht="20" customHeight="1">
      <c r="A2815" t="s">
        <v>4628</v>
      </c>
      <c r="B2815" t="s">
        <v>3881</v>
      </c>
      <c r="C2815">
        <v>663.1699829101562</v>
      </c>
      <c r="D2815">
        <v>669.3699951171875</v>
      </c>
      <c r="E2815">
        <v>663.0599975585938</v>
      </c>
      <c r="F2815">
        <v>668.4500122070312</v>
      </c>
      <c r="G2815">
        <v>661.3153076171875</v>
      </c>
      <c r="H2815">
        <v>72545400</v>
      </c>
      <c r="I2815" t="s">
        <v>3882</v>
      </c>
      <c r="J2815" t="s">
        <v>3883</v>
      </c>
      <c r="K2815" t="s">
        <v>4629</v>
      </c>
    </row>
    <row r="2816" spans="1:11" ht="20" customHeight="1">
      <c r="A2816" t="s">
        <v>4628</v>
      </c>
      <c r="B2816" t="s">
        <v>3884</v>
      </c>
      <c r="C2816">
        <v>670.4500122070312</v>
      </c>
      <c r="D2816">
        <v>670.5700073242188</v>
      </c>
      <c r="E2816">
        <v>666.780029296875</v>
      </c>
      <c r="F2816">
        <v>669.219970703125</v>
      </c>
      <c r="G2816">
        <v>662.0769653320312</v>
      </c>
      <c r="H2816">
        <v>56896000</v>
      </c>
      <c r="I2816" t="s">
        <v>3885</v>
      </c>
      <c r="J2816" t="s">
        <v>3886</v>
      </c>
      <c r="K2816" t="s">
        <v>4629</v>
      </c>
    </row>
    <row r="2817" spans="1:11" ht="20" customHeight="1">
      <c r="A2817" t="s">
        <v>4628</v>
      </c>
      <c r="B2817" t="s">
        <v>3887</v>
      </c>
      <c r="C2817">
        <v>669.989990234375</v>
      </c>
      <c r="D2817">
        <v>672.6799926757812</v>
      </c>
      <c r="E2817">
        <v>668.1599731445312</v>
      </c>
      <c r="F2817">
        <v>669.2100219726562</v>
      </c>
      <c r="G2817">
        <v>662.0672607421875</v>
      </c>
      <c r="H2817">
        <v>70494400</v>
      </c>
      <c r="I2817" t="s">
        <v>3888</v>
      </c>
      <c r="J2817" t="s">
        <v>3889</v>
      </c>
      <c r="K2817" t="s">
        <v>4629</v>
      </c>
    </row>
    <row r="2818" spans="1:11" ht="20" customHeight="1">
      <c r="A2818" t="s">
        <v>4628</v>
      </c>
      <c r="B2818" t="s">
        <v>3890</v>
      </c>
      <c r="C2818">
        <v>671.6199951171875</v>
      </c>
      <c r="D2818">
        <v>672.510009765625</v>
      </c>
      <c r="E2818">
        <v>669.4600219726562</v>
      </c>
      <c r="F2818">
        <v>671.6099853515625</v>
      </c>
      <c r="G2818">
        <v>664.4415893554688</v>
      </c>
      <c r="H2818">
        <v>54623300</v>
      </c>
      <c r="I2818" t="s">
        <v>3891</v>
      </c>
      <c r="J2818" t="s">
        <v>3892</v>
      </c>
      <c r="K2818" t="s">
        <v>4629</v>
      </c>
    </row>
    <row r="2819" spans="1:11" ht="20" customHeight="1">
      <c r="A2819" t="s">
        <v>4628</v>
      </c>
      <c r="B2819" t="s">
        <v>3893</v>
      </c>
      <c r="C2819">
        <v>672.5399780273438</v>
      </c>
      <c r="D2819">
        <v>672.989990234375</v>
      </c>
      <c r="E2819">
        <v>667.6699829101562</v>
      </c>
      <c r="F2819">
        <v>669.1199951171875</v>
      </c>
      <c r="G2819">
        <v>661.9781494140625</v>
      </c>
      <c r="H2819">
        <v>72020100</v>
      </c>
      <c r="I2819" t="s">
        <v>3894</v>
      </c>
      <c r="J2819" t="s">
        <v>3895</v>
      </c>
      <c r="K2819" t="s">
        <v>4629</v>
      </c>
    </row>
    <row r="2820" spans="1:11" ht="20" customHeight="1">
      <c r="A2820" t="s">
        <v>4628</v>
      </c>
      <c r="B2820" t="s">
        <v>3896</v>
      </c>
      <c r="C2820">
        <v>670.25</v>
      </c>
      <c r="D2820">
        <v>673.2100219726562</v>
      </c>
      <c r="E2820">
        <v>669.4199829101562</v>
      </c>
      <c r="F2820">
        <v>673.1099853515625</v>
      </c>
      <c r="G2820">
        <v>665.925537109375</v>
      </c>
      <c r="H2820">
        <v>60702200</v>
      </c>
      <c r="I2820" t="s">
        <v>3897</v>
      </c>
      <c r="J2820" t="s">
        <v>3898</v>
      </c>
      <c r="K2820" t="s">
        <v>4629</v>
      </c>
    </row>
    <row r="2821" spans="1:11" ht="20" customHeight="1">
      <c r="A2821" t="s">
        <v>4628</v>
      </c>
      <c r="B2821" t="s">
        <v>3899</v>
      </c>
      <c r="C2821">
        <v>673.530029296875</v>
      </c>
      <c r="D2821">
        <v>673.9400024414062</v>
      </c>
      <c r="E2821">
        <v>669.2100219726562</v>
      </c>
      <c r="F2821">
        <v>671.1599731445312</v>
      </c>
      <c r="G2821">
        <v>663.996337890625</v>
      </c>
      <c r="H2821">
        <v>66501900</v>
      </c>
      <c r="I2821" t="s">
        <v>3900</v>
      </c>
      <c r="J2821" t="s">
        <v>3901</v>
      </c>
      <c r="K2821" t="s">
        <v>4629</v>
      </c>
    </row>
    <row r="2822" spans="1:11" ht="20" customHeight="1">
      <c r="A2822" t="s">
        <v>4628</v>
      </c>
      <c r="B2822" t="s">
        <v>3902</v>
      </c>
      <c r="C2822">
        <v>672.1300048828125</v>
      </c>
      <c r="D2822">
        <v>673.9500122070312</v>
      </c>
      <c r="E2822">
        <v>652.8400268554688</v>
      </c>
      <c r="F2822">
        <v>653.02001953125</v>
      </c>
      <c r="G2822">
        <v>646.0499877929688</v>
      </c>
      <c r="H2822">
        <v>159422600</v>
      </c>
      <c r="I2822" t="s">
        <v>3903</v>
      </c>
      <c r="J2822" t="s">
        <v>3904</v>
      </c>
      <c r="K2822" t="s">
        <v>4629</v>
      </c>
    </row>
    <row r="2823" spans="1:11" ht="20" customHeight="1">
      <c r="A2823" t="s">
        <v>4628</v>
      </c>
      <c r="B2823" t="s">
        <v>3905</v>
      </c>
      <c r="C2823">
        <v>660.6500244140625</v>
      </c>
      <c r="D2823">
        <v>665.1300048828125</v>
      </c>
      <c r="E2823">
        <v>659.77001953125</v>
      </c>
      <c r="F2823">
        <v>663.0399780273438</v>
      </c>
      <c r="G2823">
        <v>655.9630126953125</v>
      </c>
      <c r="H2823">
        <v>79560500</v>
      </c>
      <c r="I2823" t="s">
        <v>3906</v>
      </c>
      <c r="J2823" t="s">
        <v>3907</v>
      </c>
      <c r="K2823" t="s">
        <v>4629</v>
      </c>
    </row>
    <row r="2824" spans="1:11" ht="20" customHeight="1">
      <c r="A2824" t="s">
        <v>4628</v>
      </c>
      <c r="B2824" t="s">
        <v>3908</v>
      </c>
      <c r="C2824">
        <v>657.1699829101562</v>
      </c>
      <c r="D2824">
        <v>665.8300170898438</v>
      </c>
      <c r="E2824">
        <v>653.1699829101562</v>
      </c>
      <c r="F2824">
        <v>662.22998046875</v>
      </c>
      <c r="G2824">
        <v>655.16162109375</v>
      </c>
      <c r="H2824">
        <v>88779600</v>
      </c>
      <c r="I2824" t="s">
        <v>3909</v>
      </c>
      <c r="J2824" t="s">
        <v>3910</v>
      </c>
      <c r="K2824" t="s">
        <v>4629</v>
      </c>
    </row>
    <row r="2825" spans="1:11" ht="20" customHeight="1">
      <c r="A2825" t="s">
        <v>4628</v>
      </c>
      <c r="B2825" t="s">
        <v>3911</v>
      </c>
      <c r="C2825">
        <v>666.8200073242188</v>
      </c>
      <c r="D2825">
        <v>670.22998046875</v>
      </c>
      <c r="E2825">
        <v>658.9299926757812</v>
      </c>
      <c r="F2825">
        <v>665.1699829101562</v>
      </c>
      <c r="G2825">
        <v>658.0702514648438</v>
      </c>
      <c r="H2825">
        <v>81702600</v>
      </c>
      <c r="I2825" t="s">
        <v>3912</v>
      </c>
      <c r="J2825" t="s">
        <v>3913</v>
      </c>
      <c r="K2825" t="s">
        <v>4629</v>
      </c>
    </row>
    <row r="2826" spans="1:11" ht="20" customHeight="1">
      <c r="A2826" t="s">
        <v>4628</v>
      </c>
      <c r="B2826" t="s">
        <v>3914</v>
      </c>
      <c r="C2826">
        <v>666.8200073242188</v>
      </c>
      <c r="D2826">
        <v>668.7100219726562</v>
      </c>
      <c r="E2826">
        <v>657.1099853515625</v>
      </c>
      <c r="F2826">
        <v>660.6400146484375</v>
      </c>
      <c r="G2826">
        <v>653.588623046875</v>
      </c>
      <c r="H2826">
        <v>110563300</v>
      </c>
      <c r="I2826" t="s">
        <v>3915</v>
      </c>
      <c r="J2826" t="s">
        <v>3916</v>
      </c>
      <c r="K2826" t="s">
        <v>4629</v>
      </c>
    </row>
    <row r="2827" spans="1:11" ht="20" customHeight="1">
      <c r="A2827" t="s">
        <v>4628</v>
      </c>
      <c r="B2827" t="s">
        <v>3917</v>
      </c>
      <c r="C2827">
        <v>659.5</v>
      </c>
      <c r="D2827">
        <v>665.760009765625</v>
      </c>
      <c r="E2827">
        <v>658.1400146484375</v>
      </c>
      <c r="F2827">
        <v>664.3900146484375</v>
      </c>
      <c r="G2827">
        <v>657.2986450195312</v>
      </c>
      <c r="H2827">
        <v>96500900</v>
      </c>
      <c r="I2827" t="s">
        <v>3918</v>
      </c>
      <c r="J2827" t="s">
        <v>3919</v>
      </c>
      <c r="K2827" t="s">
        <v>4629</v>
      </c>
    </row>
    <row r="2828" spans="1:11" ht="20" customHeight="1">
      <c r="A2828" t="s">
        <v>4628</v>
      </c>
      <c r="B2828" t="s">
        <v>3920</v>
      </c>
      <c r="C2828">
        <v>667.3200073242188</v>
      </c>
      <c r="D2828">
        <v>672.2100219726562</v>
      </c>
      <c r="E2828">
        <v>667.27001953125</v>
      </c>
      <c r="F2828">
        <v>671.2999877929688</v>
      </c>
      <c r="G2828">
        <v>664.1348876953125</v>
      </c>
      <c r="H2828">
        <v>60493400</v>
      </c>
      <c r="I2828" t="s">
        <v>3921</v>
      </c>
      <c r="J2828" t="s">
        <v>3922</v>
      </c>
      <c r="K2828" t="s">
        <v>4629</v>
      </c>
    </row>
    <row r="2829" spans="1:11" ht="20" customHeight="1">
      <c r="A2829" t="s">
        <v>4628</v>
      </c>
      <c r="B2829" t="s">
        <v>3923</v>
      </c>
      <c r="C2829">
        <v>671.4400024414062</v>
      </c>
      <c r="D2829">
        <v>672.989990234375</v>
      </c>
      <c r="E2829">
        <v>669.97998046875</v>
      </c>
      <c r="F2829">
        <v>671.2899780273438</v>
      </c>
      <c r="G2829">
        <v>664.125</v>
      </c>
      <c r="H2829">
        <v>56249000</v>
      </c>
      <c r="I2829" t="s">
        <v>3924</v>
      </c>
      <c r="J2829" t="s">
        <v>3925</v>
      </c>
      <c r="K2829" t="s">
        <v>4629</v>
      </c>
    </row>
    <row r="2830" spans="1:11" ht="20" customHeight="1">
      <c r="A2830" t="s">
        <v>4628</v>
      </c>
      <c r="B2830" t="s">
        <v>3926</v>
      </c>
      <c r="C2830">
        <v>672</v>
      </c>
      <c r="D2830">
        <v>672</v>
      </c>
      <c r="E2830">
        <v>663.2999877929688</v>
      </c>
      <c r="F2830">
        <v>667.7999877929688</v>
      </c>
      <c r="G2830">
        <v>660.6722412109375</v>
      </c>
      <c r="H2830">
        <v>80564000</v>
      </c>
      <c r="I2830" t="s">
        <v>3927</v>
      </c>
      <c r="J2830" t="s">
        <v>3928</v>
      </c>
      <c r="K2830" t="s">
        <v>4629</v>
      </c>
    </row>
    <row r="2831" spans="1:11" ht="20" customHeight="1">
      <c r="A2831" t="s">
        <v>4628</v>
      </c>
      <c r="B2831" t="s">
        <v>3929</v>
      </c>
      <c r="C2831">
        <v>668.1199951171875</v>
      </c>
      <c r="D2831">
        <v>672.7100219726562</v>
      </c>
      <c r="E2831">
        <v>667.7999877929688</v>
      </c>
      <c r="F2831">
        <v>671.760009765625</v>
      </c>
      <c r="G2831">
        <v>664.5899658203125</v>
      </c>
      <c r="H2831">
        <v>65604500</v>
      </c>
      <c r="I2831" t="s">
        <v>3930</v>
      </c>
      <c r="J2831" t="s">
        <v>3931</v>
      </c>
      <c r="K2831" t="s">
        <v>4629</v>
      </c>
    </row>
    <row r="2832" spans="1:11" ht="20" customHeight="1">
      <c r="A2832" t="s">
        <v>4628</v>
      </c>
      <c r="B2832" t="s">
        <v>3932</v>
      </c>
      <c r="C2832">
        <v>676.4600219726562</v>
      </c>
      <c r="D2832">
        <v>678.469970703125</v>
      </c>
      <c r="E2832">
        <v>675.6500244140625</v>
      </c>
      <c r="F2832">
        <v>677.25</v>
      </c>
      <c r="G2832">
        <v>670.0213623046875</v>
      </c>
      <c r="H2832">
        <v>74356500</v>
      </c>
      <c r="I2832" t="s">
        <v>3933</v>
      </c>
      <c r="J2832" t="s">
        <v>3934</v>
      </c>
      <c r="K2832" t="s">
        <v>4629</v>
      </c>
    </row>
    <row r="2833" spans="1:11" ht="20" customHeight="1">
      <c r="A2833" t="s">
        <v>4628</v>
      </c>
      <c r="B2833" t="s">
        <v>3935</v>
      </c>
      <c r="C2833">
        <v>682.72998046875</v>
      </c>
      <c r="D2833">
        <v>685.5399780273438</v>
      </c>
      <c r="E2833">
        <v>682.1199951171875</v>
      </c>
      <c r="F2833">
        <v>685.239990234375</v>
      </c>
      <c r="G2833">
        <v>677.9260864257812</v>
      </c>
      <c r="H2833">
        <v>63339800</v>
      </c>
      <c r="I2833" t="s">
        <v>3936</v>
      </c>
      <c r="J2833" t="s">
        <v>3937</v>
      </c>
      <c r="K2833" t="s">
        <v>4629</v>
      </c>
    </row>
    <row r="2834" spans="1:11" ht="20" customHeight="1">
      <c r="A2834" t="s">
        <v>4628</v>
      </c>
      <c r="B2834" t="s">
        <v>3938</v>
      </c>
      <c r="C2834">
        <v>687.0499877929688</v>
      </c>
      <c r="D2834">
        <v>688.9099731445312</v>
      </c>
      <c r="E2834">
        <v>684.8300170898438</v>
      </c>
      <c r="F2834">
        <v>687.0599975585938</v>
      </c>
      <c r="G2834">
        <v>679.7266235351562</v>
      </c>
      <c r="H2834">
        <v>61738100</v>
      </c>
      <c r="I2834" t="s">
        <v>3939</v>
      </c>
      <c r="J2834" t="s">
        <v>3940</v>
      </c>
      <c r="K2834" t="s">
        <v>4629</v>
      </c>
    </row>
    <row r="2835" spans="1:11" ht="20" customHeight="1">
      <c r="A2835" t="s">
        <v>4628</v>
      </c>
      <c r="B2835" t="s">
        <v>3941</v>
      </c>
      <c r="C2835">
        <v>688.719970703125</v>
      </c>
      <c r="D2835">
        <v>689.7000122070312</v>
      </c>
      <c r="E2835">
        <v>682.8699951171875</v>
      </c>
      <c r="F2835">
        <v>687.3900146484375</v>
      </c>
      <c r="G2835">
        <v>680.05322265625</v>
      </c>
      <c r="H2835">
        <v>85657100</v>
      </c>
      <c r="I2835" t="s">
        <v>3942</v>
      </c>
      <c r="J2835" t="s">
        <v>3943</v>
      </c>
      <c r="K2835" t="s">
        <v>4629</v>
      </c>
    </row>
    <row r="2836" spans="1:11" ht="20" customHeight="1">
      <c r="A2836" t="s">
        <v>4628</v>
      </c>
      <c r="B2836" t="s">
        <v>3944</v>
      </c>
      <c r="C2836">
        <v>683.9000244140625</v>
      </c>
      <c r="D2836">
        <v>685.9400024414062</v>
      </c>
      <c r="E2836">
        <v>679.8300170898438</v>
      </c>
      <c r="F2836">
        <v>679.8300170898438</v>
      </c>
      <c r="G2836">
        <v>672.5738525390625</v>
      </c>
      <c r="H2836">
        <v>76335800</v>
      </c>
      <c r="I2836" t="s">
        <v>3945</v>
      </c>
      <c r="J2836" t="s">
        <v>3946</v>
      </c>
      <c r="K2836" t="s">
        <v>4629</v>
      </c>
    </row>
    <row r="2837" spans="1:11" ht="20" customHeight="1">
      <c r="A2837" t="s">
        <v>4628</v>
      </c>
      <c r="B2837" t="s">
        <v>3947</v>
      </c>
      <c r="C2837">
        <v>685.0399780273438</v>
      </c>
      <c r="D2837">
        <v>685.0800170898438</v>
      </c>
      <c r="E2837">
        <v>679.239990234375</v>
      </c>
      <c r="F2837">
        <v>682.0599975585938</v>
      </c>
      <c r="G2837">
        <v>674.7799682617188</v>
      </c>
      <c r="H2837">
        <v>87164100</v>
      </c>
      <c r="I2837" t="s">
        <v>3948</v>
      </c>
      <c r="J2837" t="s">
        <v>3949</v>
      </c>
      <c r="K2837" t="s">
        <v>4629</v>
      </c>
    </row>
    <row r="2838" spans="1:11" ht="20" customHeight="1">
      <c r="A2838" t="s">
        <v>4628</v>
      </c>
      <c r="B2838" t="s">
        <v>3950</v>
      </c>
      <c r="C2838">
        <v>685.6699829101562</v>
      </c>
      <c r="D2838">
        <v>685.7999877929688</v>
      </c>
      <c r="E2838">
        <v>679.9400024414062</v>
      </c>
      <c r="F2838">
        <v>683.3400268554688</v>
      </c>
      <c r="G2838">
        <v>676.04638671875</v>
      </c>
      <c r="H2838">
        <v>57315000</v>
      </c>
      <c r="I2838" t="s">
        <v>3951</v>
      </c>
      <c r="J2838" t="s">
        <v>3952</v>
      </c>
      <c r="K2838" t="s">
        <v>4629</v>
      </c>
    </row>
    <row r="2839" spans="1:11" ht="20" customHeight="1">
      <c r="A2839" t="s">
        <v>4628</v>
      </c>
      <c r="B2839" t="s">
        <v>3953</v>
      </c>
      <c r="C2839">
        <v>676.1099853515625</v>
      </c>
      <c r="D2839">
        <v>679.9600219726562</v>
      </c>
      <c r="E2839">
        <v>674.5800170898438</v>
      </c>
      <c r="F2839">
        <v>675.239990234375</v>
      </c>
      <c r="G2839">
        <v>668.0328369140625</v>
      </c>
      <c r="H2839">
        <v>78427000</v>
      </c>
      <c r="I2839" t="s">
        <v>3954</v>
      </c>
      <c r="J2839" t="s">
        <v>3955</v>
      </c>
      <c r="K2839" t="s">
        <v>4629</v>
      </c>
    </row>
    <row r="2840" spans="1:11" ht="20" customHeight="1">
      <c r="A2840" t="s">
        <v>4628</v>
      </c>
      <c r="B2840" t="s">
        <v>3956</v>
      </c>
      <c r="C2840">
        <v>674.97998046875</v>
      </c>
      <c r="D2840">
        <v>680.8599853515625</v>
      </c>
      <c r="E2840">
        <v>674.1699829101562</v>
      </c>
      <c r="F2840">
        <v>677.5800170898438</v>
      </c>
      <c r="G2840">
        <v>670.3478393554688</v>
      </c>
      <c r="H2840">
        <v>74402400</v>
      </c>
      <c r="I2840" t="s">
        <v>3957</v>
      </c>
      <c r="J2840" t="s">
        <v>3958</v>
      </c>
      <c r="K2840" t="s">
        <v>4629</v>
      </c>
    </row>
    <row r="2841" spans="1:11" ht="20" customHeight="1">
      <c r="A2841" t="s">
        <v>4628</v>
      </c>
      <c r="B2841" t="s">
        <v>3959</v>
      </c>
      <c r="C2841">
        <v>676.469970703125</v>
      </c>
      <c r="D2841">
        <v>677.3800048828125</v>
      </c>
      <c r="E2841">
        <v>668.719970703125</v>
      </c>
      <c r="F2841">
        <v>670.3099975585938</v>
      </c>
      <c r="G2841">
        <v>663.1554565429688</v>
      </c>
      <c r="H2841">
        <v>85035300</v>
      </c>
      <c r="I2841" t="s">
        <v>3960</v>
      </c>
      <c r="J2841" t="s">
        <v>3961</v>
      </c>
      <c r="K2841" t="s">
        <v>4629</v>
      </c>
    </row>
    <row r="2842" spans="1:11" ht="20" customHeight="1">
      <c r="A2842" t="s">
        <v>4628</v>
      </c>
      <c r="B2842" t="s">
        <v>3962</v>
      </c>
      <c r="C2842">
        <v>667.9099731445312</v>
      </c>
      <c r="D2842">
        <v>671.0800170898438</v>
      </c>
      <c r="E2842">
        <v>661.2100219726562</v>
      </c>
      <c r="F2842">
        <v>670.969970703125</v>
      </c>
      <c r="G2842">
        <v>663.808349609375</v>
      </c>
      <c r="H2842">
        <v>100592400</v>
      </c>
      <c r="I2842" t="s">
        <v>3963</v>
      </c>
      <c r="J2842" t="s">
        <v>3964</v>
      </c>
      <c r="K2842" t="s">
        <v>4629</v>
      </c>
    </row>
    <row r="2843" spans="1:11" ht="20" customHeight="1">
      <c r="A2843" t="s">
        <v>4628</v>
      </c>
      <c r="B2843" t="s">
        <v>3965</v>
      </c>
      <c r="C2843">
        <v>677.239990234375</v>
      </c>
      <c r="D2843">
        <v>682.1799926757812</v>
      </c>
      <c r="E2843">
        <v>675.030029296875</v>
      </c>
      <c r="F2843">
        <v>681.4400024414062</v>
      </c>
      <c r="G2843">
        <v>674.1666259765625</v>
      </c>
      <c r="H2843">
        <v>75842900</v>
      </c>
      <c r="I2843" t="s">
        <v>3966</v>
      </c>
      <c r="J2843" t="s">
        <v>3967</v>
      </c>
      <c r="K2843" t="s">
        <v>4629</v>
      </c>
    </row>
    <row r="2844" spans="1:11" ht="20" customHeight="1">
      <c r="A2844" t="s">
        <v>4628</v>
      </c>
      <c r="B2844" t="s">
        <v>3968</v>
      </c>
      <c r="C2844">
        <v>679.9500122070312</v>
      </c>
      <c r="D2844">
        <v>683.5700073242188</v>
      </c>
      <c r="E2844">
        <v>678.72998046875</v>
      </c>
      <c r="F2844">
        <v>683</v>
      </c>
      <c r="G2844">
        <v>675.7099609375</v>
      </c>
      <c r="H2844">
        <v>58953400</v>
      </c>
      <c r="I2844" t="s">
        <v>3969</v>
      </c>
      <c r="J2844" t="s">
        <v>3970</v>
      </c>
      <c r="K2844" t="s">
        <v>4629</v>
      </c>
    </row>
    <row r="2845" spans="1:11" ht="20" customHeight="1">
      <c r="A2845" t="s">
        <v>4628</v>
      </c>
      <c r="B2845" t="s">
        <v>3971</v>
      </c>
      <c r="C2845">
        <v>684.7899780273438</v>
      </c>
      <c r="D2845">
        <v>684.9600219726562</v>
      </c>
      <c r="E2845">
        <v>680.9500122070312</v>
      </c>
      <c r="F2845">
        <v>683.3800048828125</v>
      </c>
      <c r="G2845">
        <v>676.0859985351562</v>
      </c>
      <c r="H2845">
        <v>62312500</v>
      </c>
      <c r="I2845" t="s">
        <v>3972</v>
      </c>
      <c r="J2845" t="s">
        <v>3973</v>
      </c>
      <c r="K2845" t="s">
        <v>4629</v>
      </c>
    </row>
    <row r="2846" spans="1:11" ht="20" customHeight="1">
      <c r="A2846" t="s">
        <v>4628</v>
      </c>
      <c r="B2846" t="s">
        <v>3974</v>
      </c>
      <c r="C2846">
        <v>680.5</v>
      </c>
      <c r="D2846">
        <v>680.8599853515625</v>
      </c>
      <c r="E2846">
        <v>670.52001953125</v>
      </c>
      <c r="F2846">
        <v>672.0399780273438</v>
      </c>
      <c r="G2846">
        <v>664.8670043945312</v>
      </c>
      <c r="H2846">
        <v>103457800</v>
      </c>
      <c r="I2846" t="s">
        <v>3975</v>
      </c>
      <c r="J2846" t="s">
        <v>3976</v>
      </c>
      <c r="K2846" t="s">
        <v>4629</v>
      </c>
    </row>
    <row r="2847" spans="1:11" ht="20" customHeight="1">
      <c r="A2847" t="s">
        <v>4628</v>
      </c>
      <c r="B2847" t="s">
        <v>3977</v>
      </c>
      <c r="C2847">
        <v>665.3800048828125</v>
      </c>
      <c r="D2847">
        <v>675.6599731445312</v>
      </c>
      <c r="E2847">
        <v>663.27001953125</v>
      </c>
      <c r="F2847">
        <v>671.9299926757812</v>
      </c>
      <c r="G2847">
        <v>664.7581176757812</v>
      </c>
      <c r="H2847">
        <v>96846700</v>
      </c>
      <c r="I2847" t="s">
        <v>3978</v>
      </c>
      <c r="J2847" t="s">
        <v>3979</v>
      </c>
      <c r="K2847" t="s">
        <v>4629</v>
      </c>
    </row>
    <row r="2848" spans="1:11" ht="20" customHeight="1">
      <c r="A2848" t="s">
        <v>4628</v>
      </c>
      <c r="B2848" t="s">
        <v>3980</v>
      </c>
      <c r="C2848">
        <v>669.7000122070312</v>
      </c>
      <c r="D2848">
        <v>673.7100219726562</v>
      </c>
      <c r="E2848">
        <v>662.1699829101562</v>
      </c>
      <c r="F2848">
        <v>665.6699829101562</v>
      </c>
      <c r="G2848">
        <v>658.56494140625</v>
      </c>
      <c r="H2848">
        <v>90456100</v>
      </c>
      <c r="I2848" t="s">
        <v>3981</v>
      </c>
      <c r="J2848" t="s">
        <v>3982</v>
      </c>
      <c r="K2848" t="s">
        <v>4629</v>
      </c>
    </row>
    <row r="2849" spans="1:11" ht="20" customHeight="1">
      <c r="A2849" t="s">
        <v>4628</v>
      </c>
      <c r="B2849" t="s">
        <v>3983</v>
      </c>
      <c r="C2849">
        <v>662.0999755859375</v>
      </c>
      <c r="D2849">
        <v>665.1199951171875</v>
      </c>
      <c r="E2849">
        <v>655.8599853515625</v>
      </c>
      <c r="F2849">
        <v>660.0800170898438</v>
      </c>
      <c r="G2849">
        <v>653.0346069335938</v>
      </c>
      <c r="H2849">
        <v>114467500</v>
      </c>
      <c r="I2849" t="s">
        <v>3984</v>
      </c>
      <c r="J2849" t="s">
        <v>3985</v>
      </c>
      <c r="K2849" t="s">
        <v>4629</v>
      </c>
    </row>
    <row r="2850" spans="1:11" ht="20" customHeight="1">
      <c r="A2850" t="s">
        <v>4628</v>
      </c>
      <c r="B2850" t="s">
        <v>3986</v>
      </c>
      <c r="C2850">
        <v>660.780029296875</v>
      </c>
      <c r="D2850">
        <v>667.3400268554688</v>
      </c>
      <c r="E2850">
        <v>658.75</v>
      </c>
      <c r="F2850">
        <v>662.6300048828125</v>
      </c>
      <c r="G2850">
        <v>655.5574340820312</v>
      </c>
      <c r="H2850">
        <v>94703000</v>
      </c>
      <c r="I2850" t="s">
        <v>3987</v>
      </c>
      <c r="J2850" t="s">
        <v>3988</v>
      </c>
      <c r="K2850" t="s">
        <v>4629</v>
      </c>
    </row>
    <row r="2851" spans="1:11" ht="20" customHeight="1">
      <c r="A2851" t="s">
        <v>4628</v>
      </c>
      <c r="B2851" t="s">
        <v>3989</v>
      </c>
      <c r="C2851">
        <v>672.9099731445312</v>
      </c>
      <c r="D2851">
        <v>675.5599975585938</v>
      </c>
      <c r="E2851">
        <v>651.8900146484375</v>
      </c>
      <c r="F2851">
        <v>652.530029296875</v>
      </c>
      <c r="G2851">
        <v>645.5652465820312</v>
      </c>
      <c r="H2851">
        <v>165293500</v>
      </c>
      <c r="I2851" t="s">
        <v>3990</v>
      </c>
      <c r="J2851" t="s">
        <v>3991</v>
      </c>
      <c r="K2851" t="s">
        <v>4629</v>
      </c>
    </row>
    <row r="2852" spans="1:11" ht="20" customHeight="1">
      <c r="A2852" t="s">
        <v>4628</v>
      </c>
      <c r="B2852" t="s">
        <v>3992</v>
      </c>
      <c r="C2852">
        <v>655.0499877929688</v>
      </c>
      <c r="D2852">
        <v>664.5499877929688</v>
      </c>
      <c r="E2852">
        <v>650.8499755859375</v>
      </c>
      <c r="F2852">
        <v>659.030029296875</v>
      </c>
      <c r="G2852">
        <v>651.995849609375</v>
      </c>
      <c r="H2852">
        <v>123956200</v>
      </c>
      <c r="I2852" t="s">
        <v>3993</v>
      </c>
      <c r="J2852" t="s">
        <v>3994</v>
      </c>
      <c r="K2852" t="s">
        <v>4629</v>
      </c>
    </row>
    <row r="2853" spans="1:11" ht="20" customHeight="1">
      <c r="A2853" t="s">
        <v>4628</v>
      </c>
      <c r="B2853" t="s">
        <v>3995</v>
      </c>
      <c r="C2853">
        <v>662.6900024414062</v>
      </c>
      <c r="D2853">
        <v>670.0599975585938</v>
      </c>
      <c r="E2853">
        <v>661.5900268554688</v>
      </c>
      <c r="F2853">
        <v>668.72998046875</v>
      </c>
      <c r="G2853">
        <v>661.59228515625</v>
      </c>
      <c r="H2853">
        <v>80437900</v>
      </c>
      <c r="I2853" t="s">
        <v>3996</v>
      </c>
      <c r="J2853" t="s">
        <v>3997</v>
      </c>
      <c r="K2853" t="s">
        <v>4629</v>
      </c>
    </row>
    <row r="2854" spans="1:11" ht="20" customHeight="1">
      <c r="A2854" t="s">
        <v>4628</v>
      </c>
      <c r="B2854" t="s">
        <v>3998</v>
      </c>
      <c r="C2854">
        <v>668.6300048828125</v>
      </c>
      <c r="D2854">
        <v>676.2100219726562</v>
      </c>
      <c r="E2854">
        <v>664.47998046875</v>
      </c>
      <c r="F2854">
        <v>675.02001953125</v>
      </c>
      <c r="G2854">
        <v>667.815185546875</v>
      </c>
      <c r="H2854">
        <v>81077100</v>
      </c>
      <c r="I2854" t="s">
        <v>3999</v>
      </c>
      <c r="J2854" t="s">
        <v>4000</v>
      </c>
      <c r="K2854" t="s">
        <v>4629</v>
      </c>
    </row>
    <row r="2855" spans="1:11" ht="20" customHeight="1">
      <c r="A2855" t="s">
        <v>4628</v>
      </c>
      <c r="B2855" t="s">
        <v>4001</v>
      </c>
      <c r="C2855">
        <v>677.6300048828125</v>
      </c>
      <c r="D2855">
        <v>681.7000122070312</v>
      </c>
      <c r="E2855">
        <v>676.719970703125</v>
      </c>
      <c r="F2855">
        <v>679.6799926757812</v>
      </c>
      <c r="G2855">
        <v>672.4254760742188</v>
      </c>
      <c r="H2855">
        <v>71879600</v>
      </c>
      <c r="I2855" t="s">
        <v>4002</v>
      </c>
      <c r="J2855" t="s">
        <v>4003</v>
      </c>
      <c r="K2855" t="s">
        <v>4629</v>
      </c>
    </row>
    <row r="2856" spans="1:11" ht="20" customHeight="1">
      <c r="A2856" t="s">
        <v>4628</v>
      </c>
      <c r="B2856" t="s">
        <v>4004</v>
      </c>
      <c r="C2856">
        <v>680.8599853515625</v>
      </c>
      <c r="D2856">
        <v>683.6699829101562</v>
      </c>
      <c r="E2856">
        <v>680.5</v>
      </c>
      <c r="F2856">
        <v>683.3900146484375</v>
      </c>
      <c r="G2856">
        <v>676.0958251953125</v>
      </c>
      <c r="H2856">
        <v>49212000</v>
      </c>
      <c r="I2856" t="s">
        <v>4005</v>
      </c>
      <c r="J2856" t="s">
        <v>4006</v>
      </c>
      <c r="K2856" t="s">
        <v>4629</v>
      </c>
    </row>
    <row r="2857" spans="1:11" ht="20" customHeight="1">
      <c r="A2857" t="s">
        <v>4628</v>
      </c>
      <c r="B2857" t="s">
        <v>4007</v>
      </c>
      <c r="C2857">
        <v>678.8099975585938</v>
      </c>
      <c r="D2857">
        <v>682.989990234375</v>
      </c>
      <c r="E2857">
        <v>678.739990234375</v>
      </c>
      <c r="F2857">
        <v>680.27001953125</v>
      </c>
      <c r="G2857">
        <v>673.0090942382812</v>
      </c>
      <c r="H2857">
        <v>61201200</v>
      </c>
      <c r="I2857" t="s">
        <v>4008</v>
      </c>
      <c r="J2857" t="s">
        <v>4009</v>
      </c>
      <c r="K2857" t="s">
        <v>4629</v>
      </c>
    </row>
    <row r="2858" spans="1:11" ht="20" customHeight="1">
      <c r="A2858" t="s">
        <v>4628</v>
      </c>
      <c r="B2858" t="s">
        <v>4010</v>
      </c>
      <c r="C2858">
        <v>681.9199829101562</v>
      </c>
      <c r="D2858">
        <v>683.8200073242188</v>
      </c>
      <c r="E2858">
        <v>679.3300170898438</v>
      </c>
      <c r="F2858">
        <v>681.530029296875</v>
      </c>
      <c r="G2858">
        <v>674.2556762695312</v>
      </c>
      <c r="H2858">
        <v>62953800</v>
      </c>
      <c r="I2858" t="s">
        <v>4011</v>
      </c>
      <c r="J2858" t="s">
        <v>4012</v>
      </c>
      <c r="K2858" t="s">
        <v>4629</v>
      </c>
    </row>
    <row r="2859" spans="1:11" ht="20" customHeight="1">
      <c r="A2859" t="s">
        <v>4628</v>
      </c>
      <c r="B2859" t="s">
        <v>4013</v>
      </c>
      <c r="C2859">
        <v>680.5700073242188</v>
      </c>
      <c r="D2859">
        <v>684.9099731445312</v>
      </c>
      <c r="E2859">
        <v>679.6900024414062</v>
      </c>
      <c r="F2859">
        <v>683.8900146484375</v>
      </c>
      <c r="G2859">
        <v>676.5905151367188</v>
      </c>
      <c r="H2859">
        <v>57238500</v>
      </c>
      <c r="I2859" t="s">
        <v>4014</v>
      </c>
      <c r="J2859" t="s">
        <v>4015</v>
      </c>
      <c r="K2859" t="s">
        <v>4629</v>
      </c>
    </row>
    <row r="2860" spans="1:11" ht="20" customHeight="1">
      <c r="A2860" t="s">
        <v>4628</v>
      </c>
      <c r="B2860" t="s">
        <v>4016</v>
      </c>
      <c r="C2860">
        <v>685.2999877929688</v>
      </c>
      <c r="D2860">
        <v>685.3699951171875</v>
      </c>
      <c r="E2860">
        <v>681.3400268554688</v>
      </c>
      <c r="F2860">
        <v>684.3900146484375</v>
      </c>
      <c r="G2860">
        <v>677.0851440429688</v>
      </c>
      <c r="H2860">
        <v>61970300</v>
      </c>
      <c r="I2860" t="s">
        <v>4017</v>
      </c>
      <c r="J2860" t="s">
        <v>4018</v>
      </c>
      <c r="K2860" t="s">
        <v>4629</v>
      </c>
    </row>
    <row r="2861" spans="1:11" ht="20" customHeight="1">
      <c r="A2861" t="s">
        <v>4628</v>
      </c>
      <c r="B2861" t="s">
        <v>4019</v>
      </c>
      <c r="C2861">
        <v>685.469970703125</v>
      </c>
      <c r="D2861">
        <v>688.3900146484375</v>
      </c>
      <c r="E2861">
        <v>684.5800170898438</v>
      </c>
      <c r="F2861">
        <v>685.6900024414062</v>
      </c>
      <c r="G2861">
        <v>678.371337890625</v>
      </c>
      <c r="H2861">
        <v>79241000</v>
      </c>
      <c r="I2861" t="s">
        <v>4020</v>
      </c>
      <c r="J2861" t="s">
        <v>4021</v>
      </c>
      <c r="K2861" t="s">
        <v>4629</v>
      </c>
    </row>
    <row r="2862" spans="1:11" ht="20" customHeight="1">
      <c r="A2862" t="s">
        <v>4628</v>
      </c>
      <c r="B2862" t="s">
        <v>4022</v>
      </c>
      <c r="C2862">
        <v>686.5900268554688</v>
      </c>
      <c r="D2862">
        <v>686.6400146484375</v>
      </c>
      <c r="E2862">
        <v>681.5700073242188</v>
      </c>
      <c r="F2862">
        <v>683.6300048828125</v>
      </c>
      <c r="G2862">
        <v>676.3333129882812</v>
      </c>
      <c r="H2862">
        <v>55231500</v>
      </c>
      <c r="I2862" t="s">
        <v>4023</v>
      </c>
      <c r="J2862" t="s">
        <v>4024</v>
      </c>
      <c r="K2862" t="s">
        <v>4629</v>
      </c>
    </row>
    <row r="2863" spans="1:11" ht="20" customHeight="1">
      <c r="A2863" t="s">
        <v>4628</v>
      </c>
      <c r="B2863" t="s">
        <v>4025</v>
      </c>
      <c r="C2863">
        <v>683.1500244140625</v>
      </c>
      <c r="D2863">
        <v>685.3900146484375</v>
      </c>
      <c r="E2863">
        <v>682.5900268554688</v>
      </c>
      <c r="F2863">
        <v>683.0399780273438</v>
      </c>
      <c r="G2863">
        <v>675.74951171875</v>
      </c>
      <c r="H2863">
        <v>58310100</v>
      </c>
      <c r="I2863" t="s">
        <v>4026</v>
      </c>
      <c r="J2863" t="s">
        <v>4027</v>
      </c>
      <c r="K2863" t="s">
        <v>4629</v>
      </c>
    </row>
    <row r="2864" spans="1:11" ht="20" customHeight="1">
      <c r="A2864" t="s">
        <v>4628</v>
      </c>
      <c r="B2864" t="s">
        <v>4028</v>
      </c>
      <c r="C2864">
        <v>682.5599975585938</v>
      </c>
      <c r="D2864">
        <v>688.969970703125</v>
      </c>
      <c r="E2864">
        <v>681.3099975585938</v>
      </c>
      <c r="F2864">
        <v>687.5700073242188</v>
      </c>
      <c r="G2864">
        <v>680.2312622070312</v>
      </c>
      <c r="H2864">
        <v>85671300</v>
      </c>
      <c r="I2864" t="s">
        <v>4029</v>
      </c>
      <c r="J2864" t="s">
        <v>4030</v>
      </c>
      <c r="K2864" t="s">
        <v>4629</v>
      </c>
    </row>
    <row r="2865" spans="1:11" ht="20" customHeight="1">
      <c r="A2865" t="s">
        <v>4628</v>
      </c>
      <c r="B2865" t="s">
        <v>4031</v>
      </c>
      <c r="C2865">
        <v>685.1400146484375</v>
      </c>
      <c r="D2865">
        <v>689.25</v>
      </c>
      <c r="E2865">
        <v>682.1699829101562</v>
      </c>
      <c r="F2865">
        <v>689.1699829101562</v>
      </c>
      <c r="G2865">
        <v>681.8140869140625</v>
      </c>
      <c r="H2865">
        <v>86173700</v>
      </c>
      <c r="I2865" t="s">
        <v>4032</v>
      </c>
      <c r="J2865" t="s">
        <v>4033</v>
      </c>
      <c r="K2865" t="s">
        <v>4629</v>
      </c>
    </row>
    <row r="2866" spans="1:11" ht="20" customHeight="1">
      <c r="A2866" t="s">
        <v>4628</v>
      </c>
      <c r="B2866" t="s">
        <v>4034</v>
      </c>
      <c r="C2866">
        <v>688.1699829101562</v>
      </c>
      <c r="D2866">
        <v>688.8800048828125</v>
      </c>
      <c r="E2866">
        <v>679.1699829101562</v>
      </c>
      <c r="F2866">
        <v>681.760009765625</v>
      </c>
      <c r="G2866">
        <v>674.4832763671875</v>
      </c>
      <c r="H2866">
        <v>113160300</v>
      </c>
      <c r="I2866" t="s">
        <v>4035</v>
      </c>
      <c r="J2866" t="s">
        <v>4036</v>
      </c>
      <c r="K2866" t="s">
        <v>4629</v>
      </c>
    </row>
    <row r="2867" spans="1:11" ht="20" customHeight="1">
      <c r="A2867" t="s">
        <v>4628</v>
      </c>
      <c r="B2867" t="s">
        <v>4037</v>
      </c>
      <c r="C2867">
        <v>685.739990234375</v>
      </c>
      <c r="D2867">
        <v>685.760009765625</v>
      </c>
      <c r="E2867">
        <v>679.25</v>
      </c>
      <c r="F2867">
        <v>680.72998046875</v>
      </c>
      <c r="G2867">
        <v>673.4642333984375</v>
      </c>
      <c r="H2867">
        <v>90811000</v>
      </c>
      <c r="I2867" t="s">
        <v>4038</v>
      </c>
      <c r="J2867" t="s">
        <v>4039</v>
      </c>
      <c r="K2867" t="s">
        <v>4629</v>
      </c>
    </row>
    <row r="2868" spans="1:11" ht="20" customHeight="1">
      <c r="A2868" t="s">
        <v>4628</v>
      </c>
      <c r="B2868" t="s">
        <v>4040</v>
      </c>
      <c r="C2868">
        <v>679.22998046875</v>
      </c>
      <c r="D2868">
        <v>681.0800170898438</v>
      </c>
      <c r="E2868">
        <v>674.97998046875</v>
      </c>
      <c r="F2868">
        <v>678.8699951171875</v>
      </c>
      <c r="G2868">
        <v>671.6240844726562</v>
      </c>
      <c r="H2868">
        <v>122030600</v>
      </c>
      <c r="I2868" t="s">
        <v>4041</v>
      </c>
      <c r="J2868" t="s">
        <v>4042</v>
      </c>
      <c r="K2868" t="s">
        <v>4629</v>
      </c>
    </row>
    <row r="2869" spans="1:11" ht="20" customHeight="1">
      <c r="A2869" t="s">
        <v>4628</v>
      </c>
      <c r="B2869" t="s">
        <v>4043</v>
      </c>
      <c r="C2869">
        <v>679.8900146484375</v>
      </c>
      <c r="D2869">
        <v>680.4400024414062</v>
      </c>
      <c r="E2869">
        <v>671.2000122070312</v>
      </c>
      <c r="F2869">
        <v>671.4000244140625</v>
      </c>
      <c r="G2869">
        <v>664.2337646484375</v>
      </c>
      <c r="H2869">
        <v>110625200</v>
      </c>
      <c r="I2869" t="s">
        <v>4044</v>
      </c>
      <c r="J2869" t="s">
        <v>4045</v>
      </c>
      <c r="K2869" t="s">
        <v>4629</v>
      </c>
    </row>
    <row r="2870" spans="1:11" ht="20" customHeight="1">
      <c r="A2870" t="s">
        <v>4628</v>
      </c>
      <c r="B2870" t="s">
        <v>4046</v>
      </c>
      <c r="C2870">
        <v>677.5999755859375</v>
      </c>
      <c r="D2870">
        <v>680.739990234375</v>
      </c>
      <c r="E2870">
        <v>674.9000244140625</v>
      </c>
      <c r="F2870">
        <v>676.469970703125</v>
      </c>
      <c r="G2870">
        <v>669.2496948242188</v>
      </c>
      <c r="H2870">
        <v>108650100</v>
      </c>
      <c r="I2870" t="s">
        <v>4047</v>
      </c>
      <c r="J2870" t="s">
        <v>4048</v>
      </c>
      <c r="K2870" t="s">
        <v>4629</v>
      </c>
    </row>
    <row r="2871" spans="1:11" ht="20" customHeight="1">
      <c r="A2871" t="s">
        <v>4628</v>
      </c>
      <c r="B2871" t="s">
        <v>4049</v>
      </c>
      <c r="C2871">
        <v>676.5900268554688</v>
      </c>
      <c r="D2871">
        <v>681.0900268554688</v>
      </c>
      <c r="E2871">
        <v>676.469970703125</v>
      </c>
      <c r="F2871">
        <v>680.5900268554688</v>
      </c>
      <c r="G2871">
        <v>675.3153686523438</v>
      </c>
      <c r="H2871">
        <v>103599500</v>
      </c>
      <c r="I2871" t="s">
        <v>4050</v>
      </c>
      <c r="J2871" t="s">
        <v>4051</v>
      </c>
      <c r="K2871" t="s">
        <v>4629</v>
      </c>
    </row>
    <row r="2872" spans="1:11" ht="20" customHeight="1">
      <c r="A2872" t="s">
        <v>4628</v>
      </c>
      <c r="B2872" t="s">
        <v>4052</v>
      </c>
      <c r="C2872">
        <v>683.9400024414062</v>
      </c>
      <c r="D2872">
        <v>685.3599853515625</v>
      </c>
      <c r="E2872">
        <v>680.5900268554688</v>
      </c>
      <c r="F2872">
        <v>684.8300170898438</v>
      </c>
      <c r="G2872">
        <v>679.5225219726562</v>
      </c>
      <c r="H2872">
        <v>69556700</v>
      </c>
      <c r="I2872" t="s">
        <v>4053</v>
      </c>
      <c r="J2872" t="s">
        <v>4054</v>
      </c>
      <c r="K2872" t="s">
        <v>4629</v>
      </c>
    </row>
    <row r="2873" spans="1:11" ht="20" customHeight="1">
      <c r="A2873" t="s">
        <v>4628</v>
      </c>
      <c r="B2873" t="s">
        <v>4055</v>
      </c>
      <c r="C2873">
        <v>683.9199829101562</v>
      </c>
      <c r="D2873">
        <v>688.2000122070312</v>
      </c>
      <c r="E2873">
        <v>683.8699951171875</v>
      </c>
      <c r="F2873">
        <v>687.9600219726562</v>
      </c>
      <c r="G2873">
        <v>682.6282348632812</v>
      </c>
      <c r="H2873">
        <v>64840000</v>
      </c>
      <c r="I2873" t="s">
        <v>4056</v>
      </c>
      <c r="J2873" t="s">
        <v>4057</v>
      </c>
      <c r="K2873" t="s">
        <v>4629</v>
      </c>
    </row>
    <row r="2874" spans="1:11" ht="20" customHeight="1">
      <c r="A2874" t="s">
        <v>4628</v>
      </c>
      <c r="B2874" t="s">
        <v>4058</v>
      </c>
      <c r="C2874">
        <v>687.9500122070312</v>
      </c>
      <c r="D2874">
        <v>690.8300170898438</v>
      </c>
      <c r="E2874">
        <v>687.7999877929688</v>
      </c>
      <c r="F2874">
        <v>690.3800048828125</v>
      </c>
      <c r="G2874">
        <v>685.0294799804688</v>
      </c>
      <c r="H2874">
        <v>39445600</v>
      </c>
      <c r="I2874" t="s">
        <v>4059</v>
      </c>
      <c r="J2874" t="s">
        <v>4060</v>
      </c>
      <c r="K2874" t="s">
        <v>4629</v>
      </c>
    </row>
    <row r="2875" spans="1:11" ht="20" customHeight="1">
      <c r="A2875" t="s">
        <v>4628</v>
      </c>
      <c r="B2875" t="s">
        <v>4061</v>
      </c>
      <c r="C2875">
        <v>690.6400146484375</v>
      </c>
      <c r="D2875">
        <v>691.6599731445312</v>
      </c>
      <c r="E2875">
        <v>689.27001953125</v>
      </c>
      <c r="F2875">
        <v>690.3099975585938</v>
      </c>
      <c r="G2875">
        <v>684.9599609375</v>
      </c>
      <c r="H2875">
        <v>41613300</v>
      </c>
      <c r="I2875" t="s">
        <v>4062</v>
      </c>
      <c r="J2875" t="s">
        <v>4063</v>
      </c>
      <c r="K2875" t="s">
        <v>4629</v>
      </c>
    </row>
    <row r="2876" spans="1:11" ht="20" customHeight="1">
      <c r="A2876" t="s">
        <v>4628</v>
      </c>
      <c r="B2876" t="s">
        <v>4064</v>
      </c>
      <c r="C2876">
        <v>687.5399780273438</v>
      </c>
      <c r="D2876">
        <v>689.2000122070312</v>
      </c>
      <c r="E2876">
        <v>686.0700073242188</v>
      </c>
      <c r="F2876">
        <v>687.8499755859375</v>
      </c>
      <c r="G2876">
        <v>682.51904296875</v>
      </c>
      <c r="H2876">
        <v>62559500</v>
      </c>
      <c r="I2876" t="s">
        <v>4065</v>
      </c>
      <c r="J2876" t="s">
        <v>4066</v>
      </c>
      <c r="K2876" t="s">
        <v>4629</v>
      </c>
    </row>
    <row r="2877" spans="1:11" ht="20" customHeight="1">
      <c r="A2877" t="s">
        <v>4628</v>
      </c>
      <c r="B2877" t="s">
        <v>4067</v>
      </c>
      <c r="C2877">
        <v>687.4500122070312</v>
      </c>
      <c r="D2877">
        <v>688.5599975585938</v>
      </c>
      <c r="E2877">
        <v>686.5800170898438</v>
      </c>
      <c r="F2877">
        <v>687.010009765625</v>
      </c>
      <c r="G2877">
        <v>681.6856079101562</v>
      </c>
      <c r="H2877">
        <v>47160700</v>
      </c>
      <c r="I2877" t="s">
        <v>4068</v>
      </c>
      <c r="J2877" t="s">
        <v>4069</v>
      </c>
      <c r="K2877" t="s">
        <v>4629</v>
      </c>
    </row>
    <row r="2878" spans="1:11" ht="20" customHeight="1">
      <c r="A2878" t="s">
        <v>4628</v>
      </c>
      <c r="B2878" t="s">
        <v>4070</v>
      </c>
      <c r="C2878">
        <v>687.1400146484375</v>
      </c>
      <c r="D2878">
        <v>687.3599853515625</v>
      </c>
      <c r="E2878">
        <v>681.7100219726562</v>
      </c>
      <c r="F2878">
        <v>681.9199829101562</v>
      </c>
      <c r="G2878">
        <v>676.635009765625</v>
      </c>
      <c r="H2878">
        <v>74144800</v>
      </c>
      <c r="I2878" t="s">
        <v>4071</v>
      </c>
      <c r="J2878" t="s">
        <v>4072</v>
      </c>
      <c r="K2878" t="s">
        <v>4629</v>
      </c>
    </row>
    <row r="2879" spans="1:11" ht="20" customHeight="1">
      <c r="A2879" t="s">
        <v>4628</v>
      </c>
      <c r="B2879" t="s">
        <v>4073</v>
      </c>
      <c r="C2879">
        <v>685.7100219726562</v>
      </c>
      <c r="D2879">
        <v>686.8699951171875</v>
      </c>
      <c r="E2879">
        <v>679.8200073242188</v>
      </c>
      <c r="F2879">
        <v>683.1699829101562</v>
      </c>
      <c r="G2879">
        <v>677.8753662109375</v>
      </c>
      <c r="H2879">
        <v>89377200</v>
      </c>
      <c r="I2879" t="s">
        <v>4074</v>
      </c>
      <c r="J2879" t="s">
        <v>4075</v>
      </c>
      <c r="K2879" t="s">
        <v>4629</v>
      </c>
    </row>
    <row r="2880" spans="1:11" ht="20" customHeight="1">
      <c r="A2880" t="s">
        <v>4628</v>
      </c>
      <c r="B2880" t="s">
        <v>4076</v>
      </c>
      <c r="C2880">
        <v>686.5399780273438</v>
      </c>
      <c r="D2880">
        <v>689.4299926757812</v>
      </c>
      <c r="E2880">
        <v>686.3800048828125</v>
      </c>
      <c r="F2880">
        <v>687.719970703125</v>
      </c>
      <c r="G2880">
        <v>682.3900756835938</v>
      </c>
      <c r="H2880">
        <v>71927200</v>
      </c>
      <c r="I2880" t="s">
        <v>4077</v>
      </c>
      <c r="J2880" t="s">
        <v>4078</v>
      </c>
      <c r="K2880" t="s">
        <v>4629</v>
      </c>
    </row>
    <row r="2881" spans="1:11" ht="20" customHeight="1">
      <c r="A2881" t="s">
        <v>4628</v>
      </c>
      <c r="B2881" t="s">
        <v>4079</v>
      </c>
      <c r="C2881">
        <v>687.9299926757812</v>
      </c>
      <c r="D2881">
        <v>692.3200073242188</v>
      </c>
      <c r="E2881">
        <v>687.780029296875</v>
      </c>
      <c r="F2881">
        <v>691.8099975585938</v>
      </c>
      <c r="G2881">
        <v>686.4483642578125</v>
      </c>
      <c r="H2881">
        <v>69273800</v>
      </c>
      <c r="I2881" t="s">
        <v>4080</v>
      </c>
      <c r="J2881" t="s">
        <v>4081</v>
      </c>
      <c r="K2881" t="s">
        <v>4629</v>
      </c>
    </row>
    <row r="2882" spans="1:11" ht="20" customHeight="1">
      <c r="A2882" t="s">
        <v>4628</v>
      </c>
      <c r="B2882" t="s">
        <v>4082</v>
      </c>
      <c r="C2882">
        <v>692.1900024414062</v>
      </c>
      <c r="D2882">
        <v>693.9600219726562</v>
      </c>
      <c r="E2882">
        <v>689.3200073242188</v>
      </c>
      <c r="F2882">
        <v>689.5800170898438</v>
      </c>
      <c r="G2882">
        <v>684.2356567382812</v>
      </c>
      <c r="H2882">
        <v>75588300</v>
      </c>
      <c r="I2882" t="s">
        <v>4083</v>
      </c>
      <c r="J2882" t="s">
        <v>4084</v>
      </c>
      <c r="K2882" t="s">
        <v>4629</v>
      </c>
    </row>
    <row r="2883" spans="1:11" ht="20" customHeight="1">
      <c r="A2883" t="s">
        <v>4628</v>
      </c>
      <c r="B2883" t="s">
        <v>4085</v>
      </c>
      <c r="C2883">
        <v>688.8200073242188</v>
      </c>
      <c r="D2883">
        <v>690.6199951171875</v>
      </c>
      <c r="E2883">
        <v>687.489990234375</v>
      </c>
      <c r="F2883">
        <v>689.510009765625</v>
      </c>
      <c r="G2883">
        <v>684.1661987304688</v>
      </c>
      <c r="H2883">
        <v>64019200</v>
      </c>
      <c r="I2883" t="s">
        <v>4086</v>
      </c>
      <c r="J2883" t="s">
        <v>4087</v>
      </c>
      <c r="K2883" t="s">
        <v>4629</v>
      </c>
    </row>
    <row r="2884" spans="1:11" ht="20" customHeight="1">
      <c r="A2884" t="s">
        <v>4628</v>
      </c>
      <c r="B2884" t="s">
        <v>4088</v>
      </c>
      <c r="C2884">
        <v>690.6300048828125</v>
      </c>
      <c r="D2884">
        <v>695.3099975585938</v>
      </c>
      <c r="E2884">
        <v>689.1799926757812</v>
      </c>
      <c r="F2884">
        <v>694.0700073242188</v>
      </c>
      <c r="G2884">
        <v>688.6908569335938</v>
      </c>
      <c r="H2884">
        <v>80125500</v>
      </c>
      <c r="I2884" t="s">
        <v>4089</v>
      </c>
      <c r="J2884" t="s">
        <v>4090</v>
      </c>
      <c r="K2884" t="s">
        <v>4629</v>
      </c>
    </row>
    <row r="2885" spans="1:11" ht="20" customHeight="1">
      <c r="A2885" t="s">
        <v>4628</v>
      </c>
      <c r="B2885" t="s">
        <v>4091</v>
      </c>
      <c r="C2885">
        <v>690.6799926757812</v>
      </c>
      <c r="D2885">
        <v>696.0900268554688</v>
      </c>
      <c r="E2885">
        <v>690.6300048828125</v>
      </c>
      <c r="F2885">
        <v>695.1599731445312</v>
      </c>
      <c r="G2885">
        <v>689.7723388671875</v>
      </c>
      <c r="H2885">
        <v>63976000</v>
      </c>
      <c r="I2885" t="s">
        <v>4092</v>
      </c>
      <c r="J2885" t="s">
        <v>4093</v>
      </c>
      <c r="K2885" t="s">
        <v>4629</v>
      </c>
    </row>
    <row r="2886" spans="1:11" ht="20" customHeight="1">
      <c r="A2886" t="s">
        <v>4628</v>
      </c>
      <c r="B2886" t="s">
        <v>4094</v>
      </c>
      <c r="C2886">
        <v>695.489990234375</v>
      </c>
      <c r="D2886">
        <v>696.0900268554688</v>
      </c>
      <c r="E2886">
        <v>691.3499755859375</v>
      </c>
      <c r="F2886">
        <v>693.77001953125</v>
      </c>
      <c r="G2886">
        <v>688.3932495117188</v>
      </c>
      <c r="H2886">
        <v>78309700</v>
      </c>
      <c r="I2886" t="s">
        <v>4095</v>
      </c>
      <c r="J2886" t="s">
        <v>4096</v>
      </c>
      <c r="K2886" t="s">
        <v>4629</v>
      </c>
    </row>
    <row r="2887" spans="1:11" ht="20" customHeight="1">
      <c r="A2887" t="s">
        <v>4628</v>
      </c>
      <c r="B2887" t="s">
        <v>4097</v>
      </c>
      <c r="C2887">
        <v>691</v>
      </c>
      <c r="D2887">
        <v>691.719970703125</v>
      </c>
      <c r="E2887">
        <v>686.0399780273438</v>
      </c>
      <c r="F2887">
        <v>690.3599853515625</v>
      </c>
      <c r="G2887">
        <v>685.0095825195312</v>
      </c>
      <c r="H2887">
        <v>94676700</v>
      </c>
      <c r="I2887" t="s">
        <v>4098</v>
      </c>
      <c r="J2887" t="s">
        <v>4099</v>
      </c>
      <c r="K2887" t="s">
        <v>4629</v>
      </c>
    </row>
    <row r="2888" spans="1:11" ht="20" customHeight="1">
      <c r="A2888" t="s">
        <v>4628</v>
      </c>
      <c r="B2888" t="s">
        <v>4100</v>
      </c>
      <c r="C2888">
        <v>694.5700073242188</v>
      </c>
      <c r="D2888">
        <v>695.4500122070312</v>
      </c>
      <c r="E2888">
        <v>691.25</v>
      </c>
      <c r="F2888">
        <v>692.239990234375</v>
      </c>
      <c r="G2888">
        <v>686.8750610351562</v>
      </c>
      <c r="H2888">
        <v>77862000</v>
      </c>
      <c r="I2888" t="s">
        <v>4101</v>
      </c>
      <c r="J2888" t="s">
        <v>4102</v>
      </c>
      <c r="K2888" t="s">
        <v>4629</v>
      </c>
    </row>
    <row r="2889" spans="1:11" ht="20" customHeight="1">
      <c r="A2889" t="s">
        <v>4628</v>
      </c>
      <c r="B2889" t="s">
        <v>4103</v>
      </c>
      <c r="C2889">
        <v>693.6599731445312</v>
      </c>
      <c r="D2889">
        <v>694.25</v>
      </c>
      <c r="E2889">
        <v>690.0999755859375</v>
      </c>
      <c r="F2889">
        <v>691.6599731445312</v>
      </c>
      <c r="G2889">
        <v>686.2994995117188</v>
      </c>
      <c r="H2889">
        <v>79289200</v>
      </c>
      <c r="I2889" t="s">
        <v>4104</v>
      </c>
      <c r="J2889" t="s">
        <v>4105</v>
      </c>
      <c r="K2889" t="s">
        <v>4629</v>
      </c>
    </row>
    <row r="2890" spans="1:11" ht="20" customHeight="1">
      <c r="A2890" t="s">
        <v>4628</v>
      </c>
      <c r="B2890" t="s">
        <v>4106</v>
      </c>
      <c r="C2890">
        <v>681.489990234375</v>
      </c>
      <c r="D2890">
        <v>684.77001953125</v>
      </c>
      <c r="E2890">
        <v>676.5700073242188</v>
      </c>
      <c r="F2890">
        <v>677.5800170898438</v>
      </c>
      <c r="G2890">
        <v>672.3286743164062</v>
      </c>
      <c r="H2890">
        <v>111623300</v>
      </c>
      <c r="I2890" t="s">
        <v>4107</v>
      </c>
      <c r="J2890" t="s">
        <v>4108</v>
      </c>
      <c r="K2890" t="s">
        <v>4629</v>
      </c>
    </row>
    <row r="2891" spans="1:11" ht="20" customHeight="1">
      <c r="A2891" t="s">
        <v>4628</v>
      </c>
      <c r="B2891" t="s">
        <v>4109</v>
      </c>
      <c r="C2891">
        <v>679.6500244140625</v>
      </c>
      <c r="D2891">
        <v>688.739990234375</v>
      </c>
      <c r="E2891">
        <v>678.1300048828125</v>
      </c>
      <c r="F2891">
        <v>685.4000244140625</v>
      </c>
      <c r="G2891">
        <v>680.0880126953125</v>
      </c>
      <c r="H2891">
        <v>127844500</v>
      </c>
      <c r="I2891" t="s">
        <v>4110</v>
      </c>
      <c r="J2891" t="s">
        <v>4111</v>
      </c>
      <c r="K2891" t="s">
        <v>4629</v>
      </c>
    </row>
    <row r="2892" spans="1:11" ht="20" customHeight="1">
      <c r="A2892" t="s">
        <v>4628</v>
      </c>
      <c r="B2892" t="s">
        <v>4112</v>
      </c>
      <c r="C2892">
        <v>689.8499755859375</v>
      </c>
      <c r="D2892">
        <v>691.1300048828125</v>
      </c>
      <c r="E2892">
        <v>686.9199829101562</v>
      </c>
      <c r="F2892">
        <v>688.97998046875</v>
      </c>
      <c r="G2892">
        <v>683.6403198242188</v>
      </c>
      <c r="H2892">
        <v>77112200</v>
      </c>
      <c r="I2892" t="s">
        <v>4113</v>
      </c>
      <c r="J2892" t="s">
        <v>4114</v>
      </c>
      <c r="K2892" t="s">
        <v>4629</v>
      </c>
    </row>
    <row r="2893" spans="1:11" ht="20" customHeight="1">
      <c r="A2893" t="s">
        <v>4628</v>
      </c>
      <c r="B2893" t="s">
        <v>4115</v>
      </c>
      <c r="C2893">
        <v>688.1500244140625</v>
      </c>
      <c r="D2893">
        <v>690.9600219726562</v>
      </c>
      <c r="E2893">
        <v>687.1599731445312</v>
      </c>
      <c r="F2893">
        <v>689.22998046875</v>
      </c>
      <c r="G2893">
        <v>683.8883056640625</v>
      </c>
      <c r="H2893">
        <v>63059600</v>
      </c>
      <c r="I2893" t="s">
        <v>4116</v>
      </c>
      <c r="J2893" t="s">
        <v>4117</v>
      </c>
      <c r="K2893" t="s">
        <v>4629</v>
      </c>
    </row>
    <row r="2894" spans="1:11" ht="20" customHeight="1">
      <c r="A2894" t="s">
        <v>4628</v>
      </c>
      <c r="B2894" t="s">
        <v>4118</v>
      </c>
      <c r="C2894">
        <v>690.489990234375</v>
      </c>
      <c r="D2894">
        <v>694.1300048828125</v>
      </c>
      <c r="E2894">
        <v>689.9199829101562</v>
      </c>
      <c r="F2894">
        <v>692.72998046875</v>
      </c>
      <c r="G2894">
        <v>687.3612060546875</v>
      </c>
      <c r="H2894">
        <v>60473800</v>
      </c>
      <c r="I2894" t="s">
        <v>4119</v>
      </c>
      <c r="J2894" t="s">
        <v>4120</v>
      </c>
      <c r="K2894" t="s">
        <v>4629</v>
      </c>
    </row>
    <row r="2895" spans="1:11" ht="20" customHeight="1">
      <c r="A2895" t="s">
        <v>4628</v>
      </c>
      <c r="B2895" t="s">
        <v>4121</v>
      </c>
      <c r="C2895">
        <v>694.1799926757812</v>
      </c>
      <c r="D2895">
        <v>696.530029296875</v>
      </c>
      <c r="E2895">
        <v>693.5700073242188</v>
      </c>
      <c r="F2895">
        <v>695.489990234375</v>
      </c>
      <c r="G2895">
        <v>690.099853515625</v>
      </c>
      <c r="H2895">
        <v>55506100</v>
      </c>
      <c r="I2895" t="s">
        <v>4122</v>
      </c>
      <c r="J2895" t="s">
        <v>4123</v>
      </c>
      <c r="K2895" t="s">
        <v>4629</v>
      </c>
    </row>
    <row r="2896" spans="1:11" ht="20" customHeight="1">
      <c r="A2896" t="s">
        <v>4628</v>
      </c>
      <c r="B2896" t="s">
        <v>4124</v>
      </c>
      <c r="C2896">
        <v>697.0499877929688</v>
      </c>
      <c r="D2896">
        <v>697.8400268554688</v>
      </c>
      <c r="E2896">
        <v>693.9400024414062</v>
      </c>
      <c r="F2896">
        <v>695.4199829101562</v>
      </c>
      <c r="G2896">
        <v>690.0303344726562</v>
      </c>
      <c r="H2896">
        <v>61172200</v>
      </c>
      <c r="I2896" t="s">
        <v>4125</v>
      </c>
      <c r="J2896" t="s">
        <v>4126</v>
      </c>
      <c r="K2896" t="s">
        <v>4629</v>
      </c>
    </row>
    <row r="2897" spans="1:11" ht="20" customHeight="1">
      <c r="A2897" t="s">
        <v>4628</v>
      </c>
      <c r="B2897" t="s">
        <v>4127</v>
      </c>
      <c r="C2897">
        <v>696.3900146484375</v>
      </c>
      <c r="D2897">
        <v>697.0599975585938</v>
      </c>
      <c r="E2897">
        <v>684.8300170898438</v>
      </c>
      <c r="F2897">
        <v>694.0399780273438</v>
      </c>
      <c r="G2897">
        <v>688.6610717773438</v>
      </c>
      <c r="H2897">
        <v>97486200</v>
      </c>
      <c r="I2897" t="s">
        <v>4128</v>
      </c>
      <c r="J2897" t="s">
        <v>4129</v>
      </c>
      <c r="K2897" t="s">
        <v>4629</v>
      </c>
    </row>
    <row r="2898" spans="1:11" ht="20" customHeight="1">
      <c r="A2898" t="s">
        <v>4628</v>
      </c>
      <c r="B2898" t="s">
        <v>4130</v>
      </c>
      <c r="C2898">
        <v>691.7899780273438</v>
      </c>
      <c r="D2898">
        <v>694.2100219726562</v>
      </c>
      <c r="E2898">
        <v>687.1199951171875</v>
      </c>
      <c r="F2898">
        <v>691.969970703125</v>
      </c>
      <c r="G2898">
        <v>686.6071166992188</v>
      </c>
      <c r="H2898">
        <v>101835100</v>
      </c>
      <c r="I2898" t="s">
        <v>4131</v>
      </c>
      <c r="J2898" t="s">
        <v>4132</v>
      </c>
      <c r="K2898" t="s">
        <v>4629</v>
      </c>
    </row>
    <row r="2899" spans="1:11" ht="20" customHeight="1">
      <c r="A2899" t="s">
        <v>4628</v>
      </c>
      <c r="B2899" t="s">
        <v>4133</v>
      </c>
      <c r="C2899">
        <v>689.5800170898438</v>
      </c>
      <c r="D2899">
        <v>696.9299926757812</v>
      </c>
      <c r="E2899">
        <v>689.4199829101562</v>
      </c>
      <c r="F2899">
        <v>695.4099731445312</v>
      </c>
      <c r="G2899">
        <v>690.0204467773438</v>
      </c>
      <c r="H2899">
        <v>79286500</v>
      </c>
      <c r="I2899" t="s">
        <v>4134</v>
      </c>
      <c r="J2899" t="s">
        <v>4135</v>
      </c>
      <c r="K2899" t="s">
        <v>4629</v>
      </c>
    </row>
    <row r="2900" spans="1:11" ht="20" customHeight="1">
      <c r="A2900" t="s">
        <v>4628</v>
      </c>
      <c r="B2900" t="s">
        <v>4136</v>
      </c>
      <c r="C2900">
        <v>696.2100219726562</v>
      </c>
      <c r="D2900">
        <v>696.9600219726562</v>
      </c>
      <c r="E2900">
        <v>684.030029296875</v>
      </c>
      <c r="F2900">
        <v>689.530029296875</v>
      </c>
      <c r="G2900">
        <v>684.18603515625</v>
      </c>
      <c r="H2900">
        <v>107904600</v>
      </c>
      <c r="I2900" t="s">
        <v>4137</v>
      </c>
      <c r="J2900" t="s">
        <v>4138</v>
      </c>
      <c r="K2900" t="s">
        <v>4629</v>
      </c>
    </row>
    <row r="2901" spans="1:11" ht="20" customHeight="1">
      <c r="A2901" t="s">
        <v>4628</v>
      </c>
      <c r="B2901" t="s">
        <v>4139</v>
      </c>
      <c r="C2901">
        <v>690.3499755859375</v>
      </c>
      <c r="D2901">
        <v>691.4500122070312</v>
      </c>
      <c r="E2901">
        <v>681.760009765625</v>
      </c>
      <c r="F2901">
        <v>686.1900024414062</v>
      </c>
      <c r="G2901">
        <v>680.8719482421875</v>
      </c>
      <c r="H2901">
        <v>105204600</v>
      </c>
      <c r="I2901" t="s">
        <v>4140</v>
      </c>
      <c r="J2901" t="s">
        <v>4141</v>
      </c>
      <c r="K2901" t="s">
        <v>4629</v>
      </c>
    </row>
    <row r="2902" spans="1:11" ht="20" customHeight="1">
      <c r="A2902" t="s">
        <v>4628</v>
      </c>
      <c r="B2902" t="s">
        <v>4142</v>
      </c>
      <c r="C2902">
        <v>680.9400024414062</v>
      </c>
      <c r="D2902">
        <v>683.6900024414062</v>
      </c>
      <c r="E2902">
        <v>675.7899780273438</v>
      </c>
      <c r="F2902">
        <v>677.6199951171875</v>
      </c>
      <c r="G2902">
        <v>672.3683471679688</v>
      </c>
      <c r="H2902">
        <v>113610800</v>
      </c>
      <c r="I2902" t="s">
        <v>4143</v>
      </c>
      <c r="J2902" t="s">
        <v>4144</v>
      </c>
      <c r="K2902" t="s">
        <v>4629</v>
      </c>
    </row>
    <row r="2903" spans="1:11" ht="20" customHeight="1">
      <c r="A2903" t="s">
        <v>4628</v>
      </c>
      <c r="B2903" t="s">
        <v>4145</v>
      </c>
      <c r="C2903">
        <v>681.4600219726562</v>
      </c>
      <c r="D2903">
        <v>692.3099975585938</v>
      </c>
      <c r="E2903">
        <v>680.8499755859375</v>
      </c>
      <c r="F2903">
        <v>690.6199951171875</v>
      </c>
      <c r="G2903">
        <v>685.267578125</v>
      </c>
      <c r="H2903">
        <v>89127600</v>
      </c>
      <c r="I2903" t="s">
        <v>4146</v>
      </c>
      <c r="J2903" t="s">
        <v>4147</v>
      </c>
      <c r="K2903" t="s">
        <v>4629</v>
      </c>
    </row>
    <row r="2904" spans="1:11" ht="20" customHeight="1">
      <c r="A2904" t="s">
        <v>4628</v>
      </c>
      <c r="B2904" t="s">
        <v>4148</v>
      </c>
      <c r="C2904">
        <v>689.4199829101562</v>
      </c>
      <c r="D2904">
        <v>695.8699951171875</v>
      </c>
      <c r="E2904">
        <v>688.3400268554688</v>
      </c>
      <c r="F2904">
        <v>693.9500122070312</v>
      </c>
      <c r="G2904">
        <v>688.57177734375</v>
      </c>
      <c r="H2904">
        <v>73885200</v>
      </c>
      <c r="I2904" t="s">
        <v>4149</v>
      </c>
      <c r="J2904" t="s">
        <v>4150</v>
      </c>
      <c r="K2904" t="s">
        <v>4629</v>
      </c>
    </row>
    <row r="2905" spans="1:11" ht="20" customHeight="1">
      <c r="A2905" t="s">
        <v>4628</v>
      </c>
      <c r="B2905" t="s">
        <v>4151</v>
      </c>
      <c r="C2905">
        <v>694.9500122070312</v>
      </c>
      <c r="D2905">
        <v>696.5399780273438</v>
      </c>
      <c r="E2905">
        <v>691.6599731445312</v>
      </c>
      <c r="F2905">
        <v>692.1199951171875</v>
      </c>
      <c r="G2905">
        <v>686.7559814453125</v>
      </c>
      <c r="H2905">
        <v>65185700</v>
      </c>
      <c r="I2905" t="s">
        <v>4152</v>
      </c>
      <c r="J2905" t="s">
        <v>4153</v>
      </c>
      <c r="K2905" t="s">
        <v>4629</v>
      </c>
    </row>
    <row r="2906" spans="1:11" ht="20" customHeight="1">
      <c r="A2906" t="s">
        <v>4628</v>
      </c>
      <c r="B2906" t="s">
        <v>4154</v>
      </c>
      <c r="C2906">
        <v>696.3900146484375</v>
      </c>
      <c r="D2906">
        <v>697.1400146484375</v>
      </c>
      <c r="E2906">
        <v>689.1799926757812</v>
      </c>
      <c r="F2906">
        <v>691.9600219726562</v>
      </c>
      <c r="G2906">
        <v>686.5972290039062</v>
      </c>
      <c r="H2906">
        <v>76353900</v>
      </c>
      <c r="I2906" t="s">
        <v>4155</v>
      </c>
      <c r="J2906" t="s">
        <v>4156</v>
      </c>
      <c r="K2906" t="s">
        <v>4629</v>
      </c>
    </row>
    <row r="2907" spans="1:11" ht="20" customHeight="1">
      <c r="A2907" t="s">
        <v>4628</v>
      </c>
      <c r="B2907" t="s">
        <v>4157</v>
      </c>
      <c r="C2907">
        <v>694.239990234375</v>
      </c>
      <c r="D2907">
        <v>695.3499755859375</v>
      </c>
      <c r="E2907">
        <v>680.3699951171875</v>
      </c>
      <c r="F2907">
        <v>681.27001953125</v>
      </c>
      <c r="G2907">
        <v>675.9901123046875</v>
      </c>
      <c r="H2907">
        <v>118829000</v>
      </c>
      <c r="I2907" t="s">
        <v>4158</v>
      </c>
      <c r="J2907" t="s">
        <v>4159</v>
      </c>
      <c r="K2907" t="s">
        <v>4629</v>
      </c>
    </row>
    <row r="2908" spans="1:11" ht="20" customHeight="1">
      <c r="A2908" t="s">
        <v>4628</v>
      </c>
      <c r="B2908" t="s">
        <v>4160</v>
      </c>
      <c r="C2908">
        <v>681.6900024414062</v>
      </c>
      <c r="D2908">
        <v>686.280029296875</v>
      </c>
      <c r="E2908">
        <v>677.52001953125</v>
      </c>
      <c r="F2908">
        <v>681.75</v>
      </c>
      <c r="G2908">
        <v>676.46630859375</v>
      </c>
      <c r="H2908">
        <v>96267500</v>
      </c>
      <c r="I2908" t="s">
        <v>4161</v>
      </c>
      <c r="J2908" t="s">
        <v>4162</v>
      </c>
      <c r="K2908" t="s">
        <v>4629</v>
      </c>
    </row>
    <row r="2909" spans="1:11" ht="20" customHeight="1">
      <c r="A2909" t="s">
        <v>4628</v>
      </c>
      <c r="B2909" t="s">
        <v>4163</v>
      </c>
      <c r="C2909">
        <v>680.1400146484375</v>
      </c>
      <c r="D2909">
        <v>684.9400024414062</v>
      </c>
      <c r="E2909">
        <v>675.780029296875</v>
      </c>
      <c r="F2909">
        <v>682.8499755859375</v>
      </c>
      <c r="G2909">
        <v>677.5578002929688</v>
      </c>
      <c r="H2909">
        <v>81354700</v>
      </c>
      <c r="I2909" t="s">
        <v>4164</v>
      </c>
      <c r="J2909" t="s">
        <v>4165</v>
      </c>
      <c r="K2909" t="s">
        <v>4629</v>
      </c>
    </row>
    <row r="2910" spans="1:11" ht="20" customHeight="1">
      <c r="A2910" t="s">
        <v>4628</v>
      </c>
      <c r="B2910" t="s">
        <v>4166</v>
      </c>
      <c r="C2910">
        <v>684.02001953125</v>
      </c>
      <c r="D2910">
        <v>689.1500244140625</v>
      </c>
      <c r="E2910">
        <v>682.8300170898438</v>
      </c>
      <c r="F2910">
        <v>686.2899780273438</v>
      </c>
      <c r="G2910">
        <v>680.9711303710938</v>
      </c>
      <c r="H2910">
        <v>73570300</v>
      </c>
      <c r="I2910" t="s">
        <v>4167</v>
      </c>
      <c r="J2910" t="s">
        <v>4168</v>
      </c>
      <c r="K2910" t="s">
        <v>4629</v>
      </c>
    </row>
    <row r="2911" spans="1:11" ht="20" customHeight="1">
      <c r="A2911" t="s">
        <v>4628</v>
      </c>
      <c r="B2911" t="s">
        <v>4169</v>
      </c>
      <c r="C2911">
        <v>683.8400268554688</v>
      </c>
      <c r="D2911">
        <v>686.1799926757812</v>
      </c>
      <c r="E2911">
        <v>681.5499877929688</v>
      </c>
      <c r="F2911">
        <v>684.47998046875</v>
      </c>
      <c r="G2911">
        <v>679.1751708984375</v>
      </c>
      <c r="H2911">
        <v>58649400</v>
      </c>
      <c r="I2911" t="s">
        <v>4170</v>
      </c>
      <c r="J2911" t="s">
        <v>4171</v>
      </c>
      <c r="K2911" t="s">
        <v>4629</v>
      </c>
    </row>
    <row r="2912" spans="1:11" ht="20" customHeight="1">
      <c r="A2912" t="s">
        <v>4628</v>
      </c>
      <c r="B2912" t="s">
        <v>4172</v>
      </c>
      <c r="C2912">
        <v>682.3200073242188</v>
      </c>
      <c r="D2912">
        <v>690.0599975585938</v>
      </c>
      <c r="E2912">
        <v>681.72998046875</v>
      </c>
      <c r="F2912">
        <v>689.4299926757812</v>
      </c>
      <c r="G2912">
        <v>684.0867919921875</v>
      </c>
      <c r="H2912">
        <v>100034000</v>
      </c>
      <c r="I2912" t="s">
        <v>4173</v>
      </c>
      <c r="J2912" t="s">
        <v>4174</v>
      </c>
      <c r="K2912" t="s">
        <v>4629</v>
      </c>
    </row>
    <row r="2913" spans="1:11" ht="20" customHeight="1">
      <c r="A2913" t="s">
        <v>4628</v>
      </c>
      <c r="B2913" t="s">
        <v>4175</v>
      </c>
      <c r="C2913">
        <v>687.8300170898438</v>
      </c>
      <c r="D2913">
        <v>690</v>
      </c>
      <c r="E2913">
        <v>680.3699951171875</v>
      </c>
      <c r="F2913">
        <v>682.3900146484375</v>
      </c>
      <c r="G2913">
        <v>677.1013793945312</v>
      </c>
      <c r="H2913">
        <v>90558100</v>
      </c>
      <c r="I2913" t="s">
        <v>4176</v>
      </c>
      <c r="J2913" t="s">
        <v>4177</v>
      </c>
      <c r="K2913" t="s">
        <v>4629</v>
      </c>
    </row>
    <row r="2914" spans="1:11" ht="20" customHeight="1">
      <c r="A2914" t="s">
        <v>4628</v>
      </c>
      <c r="B2914" t="s">
        <v>4178</v>
      </c>
      <c r="C2914">
        <v>681.9000244140625</v>
      </c>
      <c r="D2914">
        <v>688.3499755859375</v>
      </c>
      <c r="E2914">
        <v>680</v>
      </c>
      <c r="F2914">
        <v>687.3499755859375</v>
      </c>
      <c r="G2914">
        <v>682.0228881835938</v>
      </c>
      <c r="H2914">
        <v>73798700</v>
      </c>
      <c r="I2914" t="s">
        <v>4179</v>
      </c>
      <c r="J2914" t="s">
        <v>4180</v>
      </c>
      <c r="K2914" t="s">
        <v>4629</v>
      </c>
    </row>
    <row r="2915" spans="1:11" ht="20" customHeight="1">
      <c r="A2915" t="s">
        <v>4628</v>
      </c>
      <c r="B2915" t="s">
        <v>4181</v>
      </c>
      <c r="C2915">
        <v>690.1799926757812</v>
      </c>
      <c r="D2915">
        <v>693.6799926757812</v>
      </c>
      <c r="E2915">
        <v>690.0999755859375</v>
      </c>
      <c r="F2915">
        <v>693.1500244140625</v>
      </c>
      <c r="G2915">
        <v>687.778076171875</v>
      </c>
      <c r="H2915">
        <v>56369500</v>
      </c>
      <c r="I2915" t="s">
        <v>4182</v>
      </c>
      <c r="J2915" t="s">
        <v>4183</v>
      </c>
      <c r="K2915" t="s">
        <v>4629</v>
      </c>
    </row>
    <row r="2916" spans="1:11" ht="20" customHeight="1">
      <c r="A2916" t="s">
        <v>4628</v>
      </c>
      <c r="B2916" t="s">
        <v>4184</v>
      </c>
      <c r="C2916">
        <v>693.280029296875</v>
      </c>
      <c r="D2916">
        <v>693.2999877929688</v>
      </c>
      <c r="E2916">
        <v>684.3499755859375</v>
      </c>
      <c r="F2916">
        <v>689.2999877929688</v>
      </c>
      <c r="G2916">
        <v>683.9578247070312</v>
      </c>
      <c r="H2916">
        <v>71671000</v>
      </c>
      <c r="I2916" t="s">
        <v>4185</v>
      </c>
      <c r="J2916" t="s">
        <v>4186</v>
      </c>
      <c r="K2916" t="s">
        <v>4629</v>
      </c>
    </row>
    <row r="2917" spans="1:11" ht="20" customHeight="1">
      <c r="A2917" t="s">
        <v>4628</v>
      </c>
      <c r="B2917" t="s">
        <v>4187</v>
      </c>
      <c r="C2917">
        <v>683.0900268554688</v>
      </c>
      <c r="D2917">
        <v>686.8599853515625</v>
      </c>
      <c r="E2917">
        <v>681.6400146484375</v>
      </c>
      <c r="F2917">
        <v>685.989990234375</v>
      </c>
      <c r="G2917">
        <v>680.6734619140625</v>
      </c>
      <c r="H2917">
        <v>83308900</v>
      </c>
      <c r="I2917" t="s">
        <v>4188</v>
      </c>
      <c r="J2917" t="s">
        <v>4189</v>
      </c>
      <c r="K2917" t="s">
        <v>4629</v>
      </c>
    </row>
    <row r="2918" spans="1:11" ht="20" customHeight="1">
      <c r="A2918" t="s">
        <v>4628</v>
      </c>
      <c r="B2918" t="s">
        <v>4190</v>
      </c>
      <c r="C2918">
        <v>678.7000122070312</v>
      </c>
      <c r="D2918">
        <v>688.6199951171875</v>
      </c>
      <c r="E2918">
        <v>678.02001953125</v>
      </c>
      <c r="F2918">
        <v>686.3800048828125</v>
      </c>
      <c r="G2918">
        <v>681.0604858398438</v>
      </c>
      <c r="H2918">
        <v>87477200</v>
      </c>
      <c r="I2918" t="s">
        <v>4191</v>
      </c>
      <c r="J2918" t="s">
        <v>4192</v>
      </c>
      <c r="K2918" t="s">
        <v>4629</v>
      </c>
    </row>
    <row r="2919" spans="1:11" ht="20" customHeight="1">
      <c r="A2919" t="s">
        <v>4628</v>
      </c>
      <c r="B2919" t="s">
        <v>4193</v>
      </c>
      <c r="C2919">
        <v>675.0599975585938</v>
      </c>
      <c r="D2919">
        <v>682.6099853515625</v>
      </c>
      <c r="E2919">
        <v>669.6599731445312</v>
      </c>
      <c r="F2919">
        <v>680.3300170898438</v>
      </c>
      <c r="G2919">
        <v>675.057373046875</v>
      </c>
      <c r="H2919">
        <v>105003100</v>
      </c>
      <c r="I2919" t="s">
        <v>4194</v>
      </c>
      <c r="J2919" t="s">
        <v>4195</v>
      </c>
      <c r="K2919" t="s">
        <v>4629</v>
      </c>
    </row>
    <row r="2920" spans="1:11" ht="20" customHeight="1">
      <c r="A2920" t="s">
        <v>4628</v>
      </c>
      <c r="B2920" t="s">
        <v>4196</v>
      </c>
      <c r="C2920">
        <v>681.6300048828125</v>
      </c>
      <c r="D2920">
        <v>687.0900268554688</v>
      </c>
      <c r="E2920">
        <v>679.6199951171875</v>
      </c>
      <c r="F2920">
        <v>685.1300048828125</v>
      </c>
      <c r="G2920">
        <v>679.820068359375</v>
      </c>
      <c r="H2920">
        <v>79182200</v>
      </c>
      <c r="I2920" t="s">
        <v>4197</v>
      </c>
      <c r="J2920" t="s">
        <v>4198</v>
      </c>
      <c r="K2920" t="s">
        <v>4629</v>
      </c>
    </row>
    <row r="2921" spans="1:11" ht="20" customHeight="1">
      <c r="A2921" t="s">
        <v>4628</v>
      </c>
      <c r="B2921" t="s">
        <v>4199</v>
      </c>
      <c r="C2921">
        <v>682.0800170898438</v>
      </c>
      <c r="D2921">
        <v>685.530029296875</v>
      </c>
      <c r="E2921">
        <v>675.6099853515625</v>
      </c>
      <c r="F2921">
        <v>681.3099975585938</v>
      </c>
      <c r="G2921">
        <v>676.0297241210938</v>
      </c>
      <c r="H2921">
        <v>106606500</v>
      </c>
      <c r="I2921" t="s">
        <v>4200</v>
      </c>
      <c r="J2921" t="s">
        <v>4201</v>
      </c>
      <c r="K2921" t="s">
        <v>4629</v>
      </c>
    </row>
    <row r="2922" spans="1:11" ht="20" customHeight="1">
      <c r="A2922" t="s">
        <v>4628</v>
      </c>
      <c r="B2922" t="s">
        <v>4202</v>
      </c>
      <c r="C2922">
        <v>673.4099731445312</v>
      </c>
      <c r="D2922">
        <v>676.1099853515625</v>
      </c>
      <c r="E2922">
        <v>669.760009765625</v>
      </c>
      <c r="F2922">
        <v>672.3800048828125</v>
      </c>
      <c r="G2922">
        <v>667.1688842773438</v>
      </c>
      <c r="H2922">
        <v>100687000</v>
      </c>
      <c r="I2922" t="s">
        <v>4203</v>
      </c>
      <c r="J2922" t="s">
        <v>4204</v>
      </c>
      <c r="K2922" t="s">
        <v>4629</v>
      </c>
    </row>
    <row r="2923" spans="1:11" ht="20" customHeight="1">
      <c r="A2923" t="s">
        <v>4628</v>
      </c>
      <c r="B2923" t="s">
        <v>4205</v>
      </c>
      <c r="C2923">
        <v>666.3900146484375</v>
      </c>
      <c r="D2923">
        <v>679.9199829101562</v>
      </c>
      <c r="E2923">
        <v>662.3900146484375</v>
      </c>
      <c r="F2923">
        <v>678.27001953125</v>
      </c>
      <c r="G2923">
        <v>673.0133666992188</v>
      </c>
      <c r="H2923">
        <v>102667700</v>
      </c>
      <c r="I2923" t="s">
        <v>4206</v>
      </c>
      <c r="J2923" t="s">
        <v>4207</v>
      </c>
      <c r="K2923" t="s">
        <v>4629</v>
      </c>
    </row>
    <row r="2924" spans="1:11" ht="20" customHeight="1">
      <c r="A2924" t="s">
        <v>4628</v>
      </c>
      <c r="B2924" t="s">
        <v>4208</v>
      </c>
      <c r="C2924">
        <v>677.719970703125</v>
      </c>
      <c r="D2924">
        <v>683.3599853515625</v>
      </c>
      <c r="E2924">
        <v>674.760009765625</v>
      </c>
      <c r="F2924">
        <v>677.1799926757812</v>
      </c>
      <c r="G2924">
        <v>671.9317016601562</v>
      </c>
      <c r="H2924">
        <v>81505300</v>
      </c>
      <c r="I2924" t="s">
        <v>4209</v>
      </c>
      <c r="J2924" t="s">
        <v>4210</v>
      </c>
      <c r="K2924" t="s">
        <v>4629</v>
      </c>
    </row>
    <row r="2925" spans="1:11" ht="20" customHeight="1">
      <c r="A2925" t="s">
        <v>4628</v>
      </c>
      <c r="B2925" t="s">
        <v>4211</v>
      </c>
      <c r="C2925">
        <v>677.5800170898438</v>
      </c>
      <c r="D2925">
        <v>680.0800170898438</v>
      </c>
      <c r="E2925">
        <v>673.3400268554688</v>
      </c>
      <c r="F2925">
        <v>676.3300170898438</v>
      </c>
      <c r="G2925">
        <v>671.08837890625</v>
      </c>
      <c r="H2925">
        <v>68441700</v>
      </c>
      <c r="I2925" t="s">
        <v>4212</v>
      </c>
      <c r="J2925" t="s">
        <v>4213</v>
      </c>
      <c r="K2925" t="s">
        <v>4629</v>
      </c>
    </row>
    <row r="2926" spans="1:11" ht="20" customHeight="1">
      <c r="A2926" t="s">
        <v>4628</v>
      </c>
      <c r="B2926" t="s">
        <v>4214</v>
      </c>
      <c r="C2926">
        <v>671.1599731445312</v>
      </c>
      <c r="D2926">
        <v>671.6500244140625</v>
      </c>
      <c r="E2926">
        <v>665.8699951171875</v>
      </c>
      <c r="F2926">
        <v>666.0599975585938</v>
      </c>
      <c r="G2926">
        <v>660.8978881835938</v>
      </c>
      <c r="H2926">
        <v>108882200</v>
      </c>
      <c r="I2926" t="s">
        <v>4215</v>
      </c>
      <c r="J2926" t="s">
        <v>4216</v>
      </c>
      <c r="K2926" t="s">
        <v>4629</v>
      </c>
    </row>
    <row r="2927" spans="1:11" ht="20" customHeight="1">
      <c r="A2927" t="s">
        <v>4628</v>
      </c>
      <c r="B2927" t="s">
        <v>4217</v>
      </c>
      <c r="C2927">
        <v>669.27001953125</v>
      </c>
      <c r="D2927">
        <v>672.3400268554688</v>
      </c>
      <c r="E2927">
        <v>661.3599853515625</v>
      </c>
      <c r="F2927">
        <v>662.2899780273438</v>
      </c>
      <c r="G2927">
        <v>657.1571655273438</v>
      </c>
      <c r="H2927">
        <v>97200200</v>
      </c>
      <c r="I2927" t="s">
        <v>4218</v>
      </c>
      <c r="J2927" t="s">
        <v>4219</v>
      </c>
      <c r="K2927" t="s">
        <v>4629</v>
      </c>
    </row>
    <row r="2928" spans="1:11" ht="20" customHeight="1">
      <c r="A2928" t="s">
        <v>4628</v>
      </c>
      <c r="B2928" t="s">
        <v>4220</v>
      </c>
      <c r="C2928">
        <v>668.3800048828125</v>
      </c>
      <c r="D2928">
        <v>672.0700073242188</v>
      </c>
      <c r="E2928">
        <v>667.1199951171875</v>
      </c>
      <c r="F2928">
        <v>669.030029296875</v>
      </c>
      <c r="G2928">
        <v>663.844970703125</v>
      </c>
      <c r="H2928">
        <v>82023100</v>
      </c>
      <c r="I2928" t="s">
        <v>4221</v>
      </c>
      <c r="J2928" t="s">
        <v>4222</v>
      </c>
      <c r="K2928" t="s">
        <v>4629</v>
      </c>
    </row>
    <row r="2929" spans="1:11" ht="20" customHeight="1">
      <c r="A2929" t="s">
        <v>4628</v>
      </c>
      <c r="B2929" t="s">
        <v>4223</v>
      </c>
      <c r="C2929">
        <v>672.3900146484375</v>
      </c>
      <c r="D2929">
        <v>674.4400024414062</v>
      </c>
      <c r="E2929">
        <v>669.7000122070312</v>
      </c>
      <c r="F2929">
        <v>670.7899780273438</v>
      </c>
      <c r="G2929">
        <v>665.5912475585938</v>
      </c>
      <c r="H2929">
        <v>87128000</v>
      </c>
      <c r="I2929" t="s">
        <v>4224</v>
      </c>
      <c r="J2929" t="s">
        <v>4225</v>
      </c>
      <c r="K2929" t="s">
        <v>4629</v>
      </c>
    </row>
    <row r="2930" spans="1:11" ht="20" customHeight="1">
      <c r="A2930" t="s">
        <v>4628</v>
      </c>
      <c r="B2930" t="s">
        <v>4226</v>
      </c>
      <c r="C2930">
        <v>668.3599853515625</v>
      </c>
      <c r="D2930">
        <v>669.719970703125</v>
      </c>
      <c r="E2930">
        <v>661.1900024414062</v>
      </c>
      <c r="F2930">
        <v>661.4299926757812</v>
      </c>
      <c r="G2930">
        <v>656.3038330078125</v>
      </c>
      <c r="H2930">
        <v>82062600</v>
      </c>
      <c r="I2930" t="s">
        <v>4227</v>
      </c>
      <c r="J2930" t="s">
        <v>4228</v>
      </c>
      <c r="K2930" t="s">
        <v>4629</v>
      </c>
    </row>
    <row r="2931" spans="1:11" ht="20" customHeight="1">
      <c r="A2931" t="s">
        <v>4628</v>
      </c>
      <c r="B2931" t="s">
        <v>4229</v>
      </c>
      <c r="C2931">
        <v>656.969970703125</v>
      </c>
      <c r="D2931">
        <v>662.97998046875</v>
      </c>
      <c r="E2931">
        <v>655.1699829101562</v>
      </c>
      <c r="F2931">
        <v>659.7999877929688</v>
      </c>
      <c r="G2931">
        <v>654.6864624023438</v>
      </c>
      <c r="H2931">
        <v>111272500</v>
      </c>
      <c r="I2931" t="s">
        <v>4230</v>
      </c>
      <c r="J2931" t="s">
        <v>4231</v>
      </c>
      <c r="K2931" t="s">
        <v>4629</v>
      </c>
    </row>
    <row r="2932" spans="1:11" ht="20" customHeight="1">
      <c r="A2932" t="s">
        <v>4628</v>
      </c>
      <c r="B2932" t="s">
        <v>4232</v>
      </c>
      <c r="C2932">
        <v>656.510009765625</v>
      </c>
      <c r="D2932">
        <v>656.6900024414062</v>
      </c>
      <c r="E2932">
        <v>644.719970703125</v>
      </c>
      <c r="F2932">
        <v>648.5700073242188</v>
      </c>
      <c r="G2932">
        <v>645.3009643554688</v>
      </c>
      <c r="H2932">
        <v>163617500</v>
      </c>
      <c r="I2932" t="s">
        <v>4233</v>
      </c>
      <c r="J2932" t="s">
        <v>4234</v>
      </c>
      <c r="K2932" t="s">
        <v>4629</v>
      </c>
    </row>
    <row r="2933" spans="1:11" ht="20" customHeight="1">
      <c r="A2933" t="s">
        <v>4628</v>
      </c>
      <c r="B2933" t="s">
        <v>4235</v>
      </c>
      <c r="C2933">
        <v>658.0700073242188</v>
      </c>
      <c r="D2933">
        <v>662.6199951171875</v>
      </c>
      <c r="E2933">
        <v>653.9400024414062</v>
      </c>
      <c r="F2933">
        <v>655.3800048828125</v>
      </c>
      <c r="G2933">
        <v>652.07666015625</v>
      </c>
      <c r="H2933">
        <v>134802700</v>
      </c>
      <c r="I2933" t="s">
        <v>4236</v>
      </c>
      <c r="J2933" t="s">
        <v>4237</v>
      </c>
      <c r="K2933" t="s">
        <v>4629</v>
      </c>
    </row>
    <row r="2934" spans="1:11" ht="20" customHeight="1">
      <c r="A2934" t="s">
        <v>4628</v>
      </c>
      <c r="B2934" t="s">
        <v>4238</v>
      </c>
      <c r="C2934">
        <v>651.3200073242188</v>
      </c>
      <c r="D2934">
        <v>657.030029296875</v>
      </c>
      <c r="E2934">
        <v>649.8800048828125</v>
      </c>
      <c r="F2934">
        <v>653.1799926757812</v>
      </c>
      <c r="G2934">
        <v>649.8877563476562</v>
      </c>
      <c r="H2934">
        <v>96457500</v>
      </c>
      <c r="I2934" t="s">
        <v>4239</v>
      </c>
      <c r="J2934" t="s">
        <v>4240</v>
      </c>
      <c r="K2934" t="s">
        <v>4629</v>
      </c>
    </row>
    <row r="2935" spans="1:11" ht="20" customHeight="1">
      <c r="A2935" t="s">
        <v>4628</v>
      </c>
      <c r="B2935" t="s">
        <v>4241</v>
      </c>
      <c r="C2935">
        <v>658.6699829101562</v>
      </c>
      <c r="D2935">
        <v>660.8900146484375</v>
      </c>
      <c r="E2935">
        <v>654.239990234375</v>
      </c>
      <c r="F2935">
        <v>656.8200073242188</v>
      </c>
      <c r="G2935">
        <v>653.5094604492188</v>
      </c>
      <c r="H2935">
        <v>90653800</v>
      </c>
      <c r="I2935" t="s">
        <v>4242</v>
      </c>
      <c r="J2935" t="s">
        <v>4243</v>
      </c>
      <c r="K2935" t="s">
        <v>4629</v>
      </c>
    </row>
    <row r="2936" spans="1:11" ht="20" customHeight="1">
      <c r="A2936" t="s">
        <v>4628</v>
      </c>
      <c r="B2936" t="s">
        <v>4244</v>
      </c>
      <c r="C2936">
        <v>652.0599975585938</v>
      </c>
      <c r="D2936">
        <v>654.8499755859375</v>
      </c>
      <c r="E2936">
        <v>644.8200073242188</v>
      </c>
      <c r="F2936">
        <v>645.0900268554688</v>
      </c>
      <c r="G2936">
        <v>641.838623046875</v>
      </c>
      <c r="H2936">
        <v>96494400</v>
      </c>
      <c r="I2936" t="s">
        <v>4245</v>
      </c>
      <c r="J2936" t="s">
        <v>4246</v>
      </c>
      <c r="K2936" t="s">
        <v>4629</v>
      </c>
    </row>
    <row r="2937" spans="1:11" ht="20" customHeight="1">
      <c r="A2937" t="s">
        <v>4628</v>
      </c>
      <c r="B2937" t="s">
        <v>4247</v>
      </c>
      <c r="C2937">
        <v>642.5</v>
      </c>
      <c r="D2937">
        <v>642.6599731445312</v>
      </c>
      <c r="E2937">
        <v>633.1099853515625</v>
      </c>
      <c r="F2937">
        <v>634.0900268554688</v>
      </c>
      <c r="G2937">
        <v>630.89404296875</v>
      </c>
      <c r="H2937">
        <v>103649400</v>
      </c>
      <c r="I2937" t="s">
        <v>4248</v>
      </c>
      <c r="J2937" t="s">
        <v>4249</v>
      </c>
      <c r="K2937" t="s">
        <v>4629</v>
      </c>
    </row>
    <row r="2938" spans="1:11" ht="20" customHeight="1">
      <c r="A2938" t="s">
        <v>4628</v>
      </c>
      <c r="B2938" t="s">
        <v>4250</v>
      </c>
      <c r="C2938">
        <v>640.1099853515625</v>
      </c>
      <c r="D2938">
        <v>640.3699951171875</v>
      </c>
      <c r="E2938">
        <v>629.280029296875</v>
      </c>
      <c r="F2938">
        <v>631.969970703125</v>
      </c>
      <c r="G2938">
        <v>628.78466796875</v>
      </c>
      <c r="H2938">
        <v>99275900</v>
      </c>
      <c r="I2938" t="s">
        <v>4251</v>
      </c>
      <c r="J2938" t="s">
        <v>4252</v>
      </c>
      <c r="K2938" t="s">
        <v>4629</v>
      </c>
    </row>
    <row r="2939" spans="1:11" ht="20" customHeight="1">
      <c r="A2939" t="s">
        <v>4628</v>
      </c>
      <c r="B2939" t="s">
        <v>4253</v>
      </c>
      <c r="C2939">
        <v>638.9400024414062</v>
      </c>
      <c r="D2939">
        <v>651.5399780273438</v>
      </c>
      <c r="E2939">
        <v>637.97998046875</v>
      </c>
      <c r="F2939">
        <v>650.3400268554688</v>
      </c>
      <c r="G2939">
        <v>647.0621337890625</v>
      </c>
      <c r="H2939">
        <v>152534100</v>
      </c>
      <c r="I2939" t="s">
        <v>4254</v>
      </c>
      <c r="J2939" t="s">
        <v>4255</v>
      </c>
      <c r="K2939" t="s">
        <v>4629</v>
      </c>
    </row>
    <row r="2940" spans="1:11" ht="20" customHeight="1">
      <c r="A2940" t="s">
        <v>4628</v>
      </c>
      <c r="B2940" t="s">
        <v>4256</v>
      </c>
      <c r="C2940">
        <v>653.9000244140625</v>
      </c>
      <c r="D2940">
        <v>658.52001953125</v>
      </c>
      <c r="E2940">
        <v>653</v>
      </c>
      <c r="F2940">
        <v>655.239990234375</v>
      </c>
      <c r="G2940">
        <v>651.9373779296875</v>
      </c>
      <c r="H2940">
        <v>97841500</v>
      </c>
      <c r="I2940" t="s">
        <v>4257</v>
      </c>
      <c r="J2940" t="s">
        <v>4258</v>
      </c>
      <c r="K2940" t="s">
        <v>4629</v>
      </c>
    </row>
    <row r="2941" spans="1:11" ht="20" customHeight="1">
      <c r="A2941" t="s">
        <v>4628</v>
      </c>
      <c r="B2941" t="s">
        <v>4259</v>
      </c>
      <c r="C2941">
        <v>646.4199829101562</v>
      </c>
      <c r="D2941">
        <v>658.2000122070312</v>
      </c>
      <c r="E2941">
        <v>645.1099853515625</v>
      </c>
      <c r="F2941">
        <v>655.8300170898438</v>
      </c>
      <c r="G2941">
        <v>652.5244750976562</v>
      </c>
      <c r="H2941">
        <v>68358700</v>
      </c>
      <c r="I2941" t="s">
        <v>4260</v>
      </c>
      <c r="J2941" t="s">
        <v>4261</v>
      </c>
      <c r="K2941" t="s">
        <v>4629</v>
      </c>
    </row>
    <row r="2942" spans="1:11" ht="20" customHeight="1">
      <c r="A2942" t="s">
        <v>4628</v>
      </c>
      <c r="B2942" t="s">
        <v>4262</v>
      </c>
      <c r="C2942">
        <v>655.8599853515625</v>
      </c>
      <c r="D2942">
        <v>659.719970703125</v>
      </c>
      <c r="E2942">
        <v>655.52001953125</v>
      </c>
      <c r="F2942">
        <v>658.9299926757812</v>
      </c>
      <c r="G2942">
        <v>655.6087646484375</v>
      </c>
      <c r="H2942">
        <v>39105800</v>
      </c>
      <c r="I2942" t="s">
        <v>4263</v>
      </c>
      <c r="J2942" t="s">
        <v>4264</v>
      </c>
      <c r="K2942" t="s">
        <v>4629</v>
      </c>
    </row>
    <row r="2943" spans="1:11" ht="20" customHeight="1">
      <c r="A2943" t="s">
        <v>4628</v>
      </c>
      <c r="B2943" t="s">
        <v>4265</v>
      </c>
      <c r="C2943">
        <v>656.6500244140625</v>
      </c>
      <c r="D2943">
        <v>659.6099853515625</v>
      </c>
      <c r="E2943">
        <v>651.0599975585938</v>
      </c>
      <c r="F2943">
        <v>659.219970703125</v>
      </c>
      <c r="G2943">
        <v>655.8972778320312</v>
      </c>
      <c r="H2943">
        <v>69980400</v>
      </c>
      <c r="I2943" t="s">
        <v>4266</v>
      </c>
      <c r="J2943" t="s">
        <v>4267</v>
      </c>
      <c r="K2943" t="s">
        <v>4629</v>
      </c>
    </row>
    <row r="2944" spans="1:11" ht="20" customHeight="1">
      <c r="A2944" t="s">
        <v>4628</v>
      </c>
      <c r="B2944" t="s">
        <v>4268</v>
      </c>
      <c r="C2944">
        <v>676.3900146484375</v>
      </c>
      <c r="D2944">
        <v>677.0800170898438</v>
      </c>
      <c r="E2944">
        <v>671.4600219726562</v>
      </c>
      <c r="F2944">
        <v>676.010009765625</v>
      </c>
      <c r="G2944">
        <v>672.6027221679688</v>
      </c>
      <c r="H2944">
        <v>93606100</v>
      </c>
      <c r="I2944" t="s">
        <v>4269</v>
      </c>
      <c r="J2944" t="s">
        <v>4270</v>
      </c>
      <c r="K2944" t="s">
        <v>4629</v>
      </c>
    </row>
    <row r="2945" spans="1:11" ht="20" customHeight="1">
      <c r="A2945" t="s">
        <v>4628</v>
      </c>
      <c r="B2945" t="s">
        <v>4271</v>
      </c>
      <c r="C2945">
        <v>674.8400268554688</v>
      </c>
      <c r="D2945">
        <v>681.1599731445312</v>
      </c>
      <c r="E2945">
        <v>673.77001953125</v>
      </c>
      <c r="F2945">
        <v>679.9099731445312</v>
      </c>
      <c r="G2945">
        <v>676.4830322265625</v>
      </c>
      <c r="H2945">
        <v>57134400</v>
      </c>
      <c r="I2945" t="s">
        <v>4272</v>
      </c>
      <c r="J2945" t="s">
        <v>4273</v>
      </c>
      <c r="K2945" t="s">
        <v>4629</v>
      </c>
    </row>
    <row r="2946" spans="1:11" ht="20" customHeight="1">
      <c r="A2946" t="s">
        <v>4628</v>
      </c>
      <c r="B2946" t="s">
        <v>4274</v>
      </c>
      <c r="C2946">
        <v>681.3200073242188</v>
      </c>
      <c r="D2946">
        <v>682.030029296875</v>
      </c>
      <c r="E2946">
        <v>678.4500122070312</v>
      </c>
      <c r="F2946">
        <v>679.4600219726562</v>
      </c>
      <c r="G2946">
        <v>676.0353393554688</v>
      </c>
      <c r="H2946">
        <v>42253500</v>
      </c>
      <c r="I2946" t="s">
        <v>4275</v>
      </c>
      <c r="J2946" t="s">
        <v>4276</v>
      </c>
      <c r="K2946" t="s">
        <v>4629</v>
      </c>
    </row>
    <row r="2947" spans="1:11" ht="20" customHeight="1">
      <c r="A2947" t="s">
        <v>4628</v>
      </c>
      <c r="B2947" t="s">
        <v>4277</v>
      </c>
      <c r="C2947">
        <v>677.4099731445312</v>
      </c>
      <c r="D2947">
        <v>686.2999877929688</v>
      </c>
      <c r="E2947">
        <v>676.5800170898438</v>
      </c>
      <c r="F2947">
        <v>686.0999755859375</v>
      </c>
      <c r="G2947">
        <v>682.6417846679688</v>
      </c>
      <c r="H2947">
        <v>54185800</v>
      </c>
      <c r="I2947" t="s">
        <v>4278</v>
      </c>
      <c r="J2947" t="s">
        <v>4279</v>
      </c>
      <c r="K2947" t="s">
        <v>4629</v>
      </c>
    </row>
    <row r="2948" spans="1:11" ht="20" customHeight="1">
      <c r="A2948" t="s">
        <v>4628</v>
      </c>
      <c r="B2948" t="s">
        <v>4280</v>
      </c>
      <c r="C2948">
        <v>687.6900024414062</v>
      </c>
      <c r="D2948">
        <v>694.5800170898438</v>
      </c>
      <c r="E2948">
        <v>687.6599731445312</v>
      </c>
      <c r="F2948">
        <v>694.4600219726562</v>
      </c>
      <c r="G2948">
        <v>690.959716796875</v>
      </c>
      <c r="H2948">
        <v>63480500</v>
      </c>
      <c r="I2948" t="s">
        <v>4281</v>
      </c>
      <c r="J2948" t="s">
        <v>4282</v>
      </c>
      <c r="K2948" t="s">
        <v>4629</v>
      </c>
    </row>
    <row r="2949" spans="1:11" ht="20" customHeight="1">
      <c r="A2949" t="s">
        <v>4628</v>
      </c>
      <c r="B2949" t="s">
        <v>4283</v>
      </c>
      <c r="C2949">
        <v>695.260009765625</v>
      </c>
      <c r="D2949">
        <v>700.280029296875</v>
      </c>
      <c r="E2949">
        <v>694.2000122070312</v>
      </c>
      <c r="F2949">
        <v>699.9400024414062</v>
      </c>
      <c r="G2949">
        <v>696.412109375</v>
      </c>
      <c r="H2949">
        <v>58240400</v>
      </c>
      <c r="I2949" t="s">
        <v>4284</v>
      </c>
      <c r="J2949" t="s">
        <v>4285</v>
      </c>
      <c r="K2949" t="s">
        <v>4629</v>
      </c>
    </row>
    <row r="2950" spans="1:11" ht="20" customHeight="1">
      <c r="A2950" t="s">
        <v>4628</v>
      </c>
      <c r="B2950" t="s">
        <v>4286</v>
      </c>
      <c r="C2950">
        <v>701.0599975585938</v>
      </c>
      <c r="D2950">
        <v>702.780029296875</v>
      </c>
      <c r="E2950">
        <v>698.530029296875</v>
      </c>
      <c r="F2950">
        <v>701.6599731445312</v>
      </c>
      <c r="G2950">
        <v>698.1234130859375</v>
      </c>
      <c r="H2950">
        <v>49972400</v>
      </c>
      <c r="I2950" t="s">
        <v>4287</v>
      </c>
      <c r="J2950" t="s">
        <v>4288</v>
      </c>
      <c r="K2950" t="s">
        <v>4629</v>
      </c>
    </row>
    <row r="2951" spans="1:11" ht="20" customHeight="1">
      <c r="A2951" t="s">
        <v>4628</v>
      </c>
      <c r="B2951" t="s">
        <v>4289</v>
      </c>
      <c r="C2951">
        <v>706.1400146484375</v>
      </c>
      <c r="D2951">
        <v>712.3900146484375</v>
      </c>
      <c r="E2951">
        <v>705.760009765625</v>
      </c>
      <c r="F2951">
        <v>710.1400146484375</v>
      </c>
      <c r="G2951">
        <v>706.5607299804688</v>
      </c>
      <c r="H2951">
        <v>70661900</v>
      </c>
      <c r="I2951" t="s">
        <v>4290</v>
      </c>
      <c r="J2951" t="s">
        <v>4291</v>
      </c>
      <c r="K2951" t="s">
        <v>4629</v>
      </c>
    </row>
    <row r="2952" spans="1:11" ht="20" customHeight="1">
      <c r="A2952" t="s">
        <v>4628</v>
      </c>
      <c r="B2952" t="s">
        <v>4292</v>
      </c>
      <c r="C2952">
        <v>708.780029296875</v>
      </c>
      <c r="D2952">
        <v>709.9099731445312</v>
      </c>
      <c r="E2952">
        <v>706.1400146484375</v>
      </c>
      <c r="F2952">
        <v>708.719970703125</v>
      </c>
      <c r="G2952">
        <v>705.1477661132812</v>
      </c>
      <c r="H2952">
        <v>43546800</v>
      </c>
      <c r="I2952" t="s">
        <v>4293</v>
      </c>
      <c r="J2952" t="s">
        <v>4294</v>
      </c>
      <c r="K2952" t="s">
        <v>4629</v>
      </c>
    </row>
    <row r="2953" spans="1:11" ht="20" customHeight="1">
      <c r="A2953" t="s">
        <v>4628</v>
      </c>
      <c r="B2953" t="s">
        <v>4295</v>
      </c>
      <c r="C2953">
        <v>710.280029296875</v>
      </c>
      <c r="D2953">
        <v>711.280029296875</v>
      </c>
      <c r="E2953">
        <v>702.6400146484375</v>
      </c>
      <c r="F2953">
        <v>704.0800170898438</v>
      </c>
      <c r="G2953">
        <v>700.53125</v>
      </c>
      <c r="H2953">
        <v>58941400</v>
      </c>
      <c r="I2953" t="s">
        <v>4296</v>
      </c>
      <c r="J2953" t="s">
        <v>4297</v>
      </c>
      <c r="K2953" t="s">
        <v>4629</v>
      </c>
    </row>
    <row r="2954" spans="1:11" ht="20" customHeight="1">
      <c r="A2954" t="s">
        <v>4628</v>
      </c>
      <c r="B2954" t="s">
        <v>4298</v>
      </c>
      <c r="C2954">
        <v>709.1500244140625</v>
      </c>
      <c r="D2954">
        <v>711.4500122070312</v>
      </c>
      <c r="E2954">
        <v>708.219970703125</v>
      </c>
      <c r="F2954">
        <v>711.2100219726562</v>
      </c>
      <c r="G2954">
        <v>707.6253051757812</v>
      </c>
      <c r="H2954">
        <v>42518500</v>
      </c>
      <c r="I2954" t="s">
        <v>4299</v>
      </c>
      <c r="J2954" t="s">
        <v>4300</v>
      </c>
      <c r="K2954" t="s">
        <v>4629</v>
      </c>
    </row>
    <row r="2955" spans="1:11" ht="20" customHeight="1">
      <c r="A2955" t="s">
        <v>4628</v>
      </c>
      <c r="B2955" t="s">
        <v>4301</v>
      </c>
      <c r="C2955">
        <v>709.5</v>
      </c>
      <c r="D2955">
        <v>712.3599853515625</v>
      </c>
      <c r="E2955">
        <v>702.280029296875</v>
      </c>
      <c r="F2955">
        <v>708.4500122070312</v>
      </c>
      <c r="G2955">
        <v>704.8792114257812</v>
      </c>
      <c r="H2955">
        <v>56174000</v>
      </c>
      <c r="I2955" t="s">
        <v>4302</v>
      </c>
      <c r="J2955" t="s">
        <v>4303</v>
      </c>
      <c r="K2955" t="s">
        <v>4629</v>
      </c>
    </row>
    <row r="2956" spans="1:11" ht="20" customHeight="1">
      <c r="A2956" t="s">
        <v>4628</v>
      </c>
      <c r="B2956" t="s">
        <v>4304</v>
      </c>
      <c r="C2956">
        <v>710.75</v>
      </c>
      <c r="D2956">
        <v>714.469970703125</v>
      </c>
      <c r="E2956">
        <v>709.010009765625</v>
      </c>
      <c r="F2956">
        <v>713.9400024414062</v>
      </c>
      <c r="G2956">
        <v>710.3414916992188</v>
      </c>
      <c r="H2956">
        <v>45182000</v>
      </c>
      <c r="I2956" t="s">
        <v>4305</v>
      </c>
      <c r="J2956" t="s">
        <v>4306</v>
      </c>
      <c r="K2956" t="s">
        <v>4629</v>
      </c>
    </row>
    <row r="2957" spans="1:11" ht="20" customHeight="1">
      <c r="A2957" t="s">
        <v>4628</v>
      </c>
      <c r="B2957" t="s">
        <v>4307</v>
      </c>
      <c r="C2957">
        <v>713.1699829101562</v>
      </c>
      <c r="D2957">
        <v>715.6300048828125</v>
      </c>
      <c r="E2957">
        <v>712.2999877929688</v>
      </c>
      <c r="F2957">
        <v>715.1699829101562</v>
      </c>
      <c r="G2957">
        <v>711.5653686523438</v>
      </c>
      <c r="H2957">
        <v>33135900</v>
      </c>
      <c r="I2957" t="s">
        <v>4308</v>
      </c>
      <c r="J2957" t="s">
        <v>4309</v>
      </c>
      <c r="K2957" t="s">
        <v>4629</v>
      </c>
    </row>
    <row r="2958" spans="1:11" ht="20" customHeight="1">
      <c r="A2958" t="s">
        <v>4628</v>
      </c>
      <c r="B2958" t="s">
        <v>4310</v>
      </c>
      <c r="C2958">
        <v>711.8200073242188</v>
      </c>
      <c r="D2958">
        <v>712.8800048828125</v>
      </c>
      <c r="E2958">
        <v>709.25</v>
      </c>
      <c r="F2958">
        <v>711.6900024414062</v>
      </c>
      <c r="G2958">
        <v>708.1029052734375</v>
      </c>
      <c r="H2958">
        <v>43117400</v>
      </c>
      <c r="I2958" t="s">
        <v>4311</v>
      </c>
      <c r="J2958" t="s">
        <v>4312</v>
      </c>
      <c r="K2958" t="s">
        <v>4629</v>
      </c>
    </row>
    <row r="2959" spans="1:11" ht="20" customHeight="1">
      <c r="A2959" t="s">
        <v>4628</v>
      </c>
      <c r="B2959" t="s">
        <v>4313</v>
      </c>
      <c r="C2959">
        <v>711</v>
      </c>
      <c r="D2959">
        <v>712.2000122070312</v>
      </c>
      <c r="E2959">
        <v>708.3699951171875</v>
      </c>
      <c r="F2959">
        <v>711.5800170898438</v>
      </c>
      <c r="G2959">
        <v>707.993408203125</v>
      </c>
      <c r="H2959">
        <v>41859200</v>
      </c>
      <c r="I2959" t="s">
        <v>4314</v>
      </c>
      <c r="J2959" t="s">
        <v>4315</v>
      </c>
      <c r="K2959" t="s">
        <v>4629</v>
      </c>
    </row>
    <row r="2960" spans="1:11" ht="20" customHeight="1">
      <c r="A2960" t="s">
        <v>4628</v>
      </c>
      <c r="B2960" t="s">
        <v>4316</v>
      </c>
      <c r="C2960">
        <v>714.6300048828125</v>
      </c>
      <c r="D2960">
        <v>719.7899780273438</v>
      </c>
      <c r="E2960">
        <v>710.4500122070312</v>
      </c>
      <c r="F2960">
        <v>718.6599731445312</v>
      </c>
      <c r="G2960">
        <v>715.0377197265625</v>
      </c>
      <c r="H2960">
        <v>67240900</v>
      </c>
      <c r="I2960" t="s">
        <v>4317</v>
      </c>
      <c r="J2960" t="s">
        <v>4318</v>
      </c>
      <c r="K2960" t="s">
        <v>4629</v>
      </c>
    </row>
    <row r="2961" spans="1:11" ht="20" customHeight="1">
      <c r="A2961" t="s">
        <v>4628</v>
      </c>
      <c r="B2961" t="s">
        <v>4319</v>
      </c>
      <c r="C2961">
        <v>721.25</v>
      </c>
      <c r="D2961">
        <v>724.8699951171875</v>
      </c>
      <c r="E2961">
        <v>720.469970703125</v>
      </c>
      <c r="F2961">
        <v>720.6500244140625</v>
      </c>
      <c r="G2961">
        <v>717.0177001953125</v>
      </c>
      <c r="H2961">
        <v>43049800</v>
      </c>
      <c r="I2961" t="s">
        <v>4320</v>
      </c>
      <c r="J2961" t="s">
        <v>4321</v>
      </c>
      <c r="K2961" t="s">
        <v>4629</v>
      </c>
    </row>
    <row r="2962" spans="1:11" ht="20" customHeight="1">
      <c r="A2962" t="s">
        <v>4628</v>
      </c>
      <c r="B2962" t="s">
        <v>4322</v>
      </c>
      <c r="C2962">
        <v>720.0700073242188</v>
      </c>
      <c r="D2962">
        <v>722.1199951171875</v>
      </c>
      <c r="E2962">
        <v>714.989990234375</v>
      </c>
      <c r="F2962">
        <v>718.010009765625</v>
      </c>
      <c r="G2962">
        <v>714.3909912109375</v>
      </c>
      <c r="H2962">
        <v>51950600</v>
      </c>
      <c r="I2962" t="s">
        <v>4323</v>
      </c>
      <c r="J2962" t="s">
        <v>4324</v>
      </c>
      <c r="K2962" t="s">
        <v>4629</v>
      </c>
    </row>
    <row r="2963" spans="1:11" ht="20" customHeight="1">
      <c r="A2963" t="s">
        <v>4628</v>
      </c>
      <c r="B2963" t="s">
        <v>4325</v>
      </c>
      <c r="C2963">
        <v>721.77001953125</v>
      </c>
      <c r="D2963">
        <v>725.0399780273438</v>
      </c>
      <c r="E2963">
        <v>721.489990234375</v>
      </c>
      <c r="F2963">
        <v>723.77001953125</v>
      </c>
      <c r="G2963">
        <v>720.1220092773438</v>
      </c>
      <c r="H2963">
        <v>36933200</v>
      </c>
      <c r="I2963" t="s">
        <v>4326</v>
      </c>
      <c r="J2963" t="s">
        <v>4327</v>
      </c>
      <c r="K2963" t="s">
        <v>4629</v>
      </c>
    </row>
    <row r="2964" spans="1:11" ht="20" customHeight="1">
      <c r="A2964" t="s">
        <v>4628</v>
      </c>
      <c r="B2964" t="s">
        <v>4328</v>
      </c>
      <c r="C2964">
        <v>728.1599731445312</v>
      </c>
      <c r="D2964">
        <v>734.5900268554688</v>
      </c>
      <c r="E2964">
        <v>727.8200073242188</v>
      </c>
      <c r="F2964">
        <v>733.8300170898438</v>
      </c>
      <c r="G2964">
        <v>730.1312866210938</v>
      </c>
      <c r="H2964">
        <v>53288900</v>
      </c>
      <c r="I2964" t="s">
        <v>4329</v>
      </c>
      <c r="J2964" t="s">
        <v>4330</v>
      </c>
      <c r="K2964" t="s">
        <v>4629</v>
      </c>
    </row>
    <row r="2965" spans="1:11" ht="20" customHeight="1">
      <c r="A2965" t="s">
        <v>4628</v>
      </c>
      <c r="B2965" t="s">
        <v>4331</v>
      </c>
      <c r="C2965">
        <v>735.0499877929688</v>
      </c>
      <c r="D2965">
        <v>736.1300048828125</v>
      </c>
      <c r="E2965">
        <v>729.75</v>
      </c>
      <c r="F2965">
        <v>731.5800170898438</v>
      </c>
      <c r="G2965">
        <v>727.8926391601562</v>
      </c>
      <c r="H2965">
        <v>51724600</v>
      </c>
      <c r="I2965" t="s">
        <v>4332</v>
      </c>
      <c r="J2965" t="s">
        <v>4333</v>
      </c>
      <c r="K2965" t="s">
        <v>4629</v>
      </c>
    </row>
    <row r="2966" spans="1:11" ht="20" customHeight="1">
      <c r="A2966" t="s">
        <v>4628</v>
      </c>
      <c r="B2966" t="s">
        <v>4334</v>
      </c>
      <c r="C2966">
        <v>734.9299926757812</v>
      </c>
      <c r="D2966">
        <v>738.0800170898438</v>
      </c>
      <c r="E2966">
        <v>734.5700073242188</v>
      </c>
      <c r="F2966">
        <v>737.6199951171875</v>
      </c>
      <c r="G2966">
        <v>733.9021606445312</v>
      </c>
      <c r="H2966">
        <v>47227100</v>
      </c>
      <c r="I2966" t="s">
        <v>4335</v>
      </c>
      <c r="J2966" t="s">
        <v>4336</v>
      </c>
      <c r="K2966" t="s">
        <v>4629</v>
      </c>
    </row>
    <row r="2967" spans="1:11" ht="20" customHeight="1">
      <c r="A2967" t="s">
        <v>4628</v>
      </c>
      <c r="B2967" t="s">
        <v>4337</v>
      </c>
      <c r="C2967">
        <v>736.4500122070312</v>
      </c>
      <c r="D2967">
        <v>740.7899780273438</v>
      </c>
      <c r="E2967">
        <v>736.4500122070312</v>
      </c>
      <c r="F2967">
        <v>739.2999877929688</v>
      </c>
      <c r="G2967">
        <v>735.5736694335938</v>
      </c>
      <c r="H2967">
        <v>44024000</v>
      </c>
      <c r="I2967" t="s">
        <v>4338</v>
      </c>
      <c r="J2967" t="s">
        <v>4339</v>
      </c>
      <c r="K2967" t="s">
        <v>4629</v>
      </c>
    </row>
    <row r="2968" spans="1:11" ht="20" customHeight="1">
      <c r="A2968" t="s">
        <v>4628</v>
      </c>
      <c r="B2968" t="s">
        <v>4340</v>
      </c>
      <c r="C2968">
        <v>736.8900146484375</v>
      </c>
      <c r="D2968">
        <v>738.8400268554688</v>
      </c>
      <c r="E2968">
        <v>731.8300170898438</v>
      </c>
      <c r="F2968">
        <v>738.1799926757812</v>
      </c>
      <c r="G2968">
        <v>734.4593505859375</v>
      </c>
      <c r="H2968">
        <v>54185300</v>
      </c>
      <c r="I2968" t="s">
        <v>4341</v>
      </c>
      <c r="J2968" t="s">
        <v>4342</v>
      </c>
      <c r="K2968" t="s">
        <v>4629</v>
      </c>
    </row>
    <row r="2969" spans="1:11" ht="20" customHeight="1">
      <c r="A2969" t="s">
        <v>4628</v>
      </c>
      <c r="B2969" t="s">
        <v>4343</v>
      </c>
      <c r="C2969">
        <v>738.469970703125</v>
      </c>
      <c r="D2969">
        <v>743.9099731445312</v>
      </c>
      <c r="E2969">
        <v>735.469970703125</v>
      </c>
      <c r="F2969">
        <v>742.3099975585938</v>
      </c>
      <c r="G2969">
        <v>738.5685424804688</v>
      </c>
      <c r="H2969">
        <v>44200200</v>
      </c>
      <c r="I2969" t="s">
        <v>4344</v>
      </c>
      <c r="J2969" t="s">
        <v>4345</v>
      </c>
      <c r="K2969" t="s">
        <v>4629</v>
      </c>
    </row>
    <row r="2970" spans="1:11" ht="20" customHeight="1">
      <c r="A2970" t="s">
        <v>4628</v>
      </c>
      <c r="B2970" t="s">
        <v>4346</v>
      </c>
      <c r="C2970">
        <v>743.6500244140625</v>
      </c>
      <c r="D2970">
        <v>749.530029296875</v>
      </c>
      <c r="E2970">
        <v>743.5599975585938</v>
      </c>
      <c r="F2970">
        <v>748.1699829101562</v>
      </c>
      <c r="G2970">
        <v>744.3989868164062</v>
      </c>
      <c r="H2970">
        <v>45307600</v>
      </c>
      <c r="I2970" t="s">
        <v>4347</v>
      </c>
      <c r="J2970" t="s">
        <v>4348</v>
      </c>
      <c r="K2970" t="s">
        <v>4629</v>
      </c>
    </row>
    <row r="2971" spans="1:11" ht="20" customHeight="1">
      <c r="A2971" t="s">
        <v>4628</v>
      </c>
      <c r="B2971" t="s">
        <v>4349</v>
      </c>
      <c r="C2971">
        <v>741.7899780273438</v>
      </c>
      <c r="D2971">
        <v>743.4600219726562</v>
      </c>
      <c r="E2971">
        <v>737.9600219726562</v>
      </c>
      <c r="F2971">
        <v>739.1699829101562</v>
      </c>
      <c r="G2971">
        <v>735.4443969726562</v>
      </c>
      <c r="H2971">
        <v>60410800</v>
      </c>
      <c r="I2971" t="s">
        <v>4350</v>
      </c>
      <c r="J2971" t="s">
        <v>4351</v>
      </c>
      <c r="K2971" t="s">
        <v>4629</v>
      </c>
    </row>
    <row r="2972" spans="1:11" ht="20" customHeight="1">
      <c r="A2972" t="s">
        <v>4628</v>
      </c>
      <c r="B2972" t="s">
        <v>4352</v>
      </c>
      <c r="C2972">
        <v>739.8300170898438</v>
      </c>
      <c r="D2972">
        <v>741.4199829101562</v>
      </c>
      <c r="E2972">
        <v>733.3900146484375</v>
      </c>
      <c r="F2972">
        <v>738.6500244140625</v>
      </c>
      <c r="G2972">
        <v>734.927001953125</v>
      </c>
      <c r="H2972">
        <v>47843900</v>
      </c>
      <c r="I2972" t="s">
        <v>4353</v>
      </c>
      <c r="J2972" t="s">
        <v>4354</v>
      </c>
      <c r="K2972" t="s">
        <v>4629</v>
      </c>
    </row>
    <row r="2973" spans="1:11" ht="20" customHeight="1">
      <c r="A2973" t="s">
        <v>4628</v>
      </c>
      <c r="B2973" t="s">
        <v>4355</v>
      </c>
      <c r="C2973">
        <v>734.780029296875</v>
      </c>
      <c r="D2973">
        <v>737.6500244140625</v>
      </c>
      <c r="E2973">
        <v>731.530029296875</v>
      </c>
      <c r="F2973">
        <v>733.72998046875</v>
      </c>
      <c r="G2973">
        <v>730.03173828125</v>
      </c>
      <c r="H2973">
        <v>54255900</v>
      </c>
      <c r="I2973" t="s">
        <v>4356</v>
      </c>
      <c r="J2973" t="s">
        <v>4357</v>
      </c>
      <c r="K2973" t="s">
        <v>4629</v>
      </c>
    </row>
    <row r="2974" spans="1:11" ht="20" customHeight="1">
      <c r="A2974" t="s">
        <v>4628</v>
      </c>
      <c r="B2974" t="s">
        <v>4358</v>
      </c>
      <c r="C2974">
        <v>735.7100219726562</v>
      </c>
      <c r="D2974">
        <v>741.8699951171875</v>
      </c>
      <c r="E2974">
        <v>733.8900146484375</v>
      </c>
      <c r="F2974">
        <v>741.25</v>
      </c>
      <c r="G2974">
        <v>737.5138549804688</v>
      </c>
      <c r="H2974">
        <v>45768000</v>
      </c>
      <c r="I2974" t="s">
        <v>4359</v>
      </c>
      <c r="J2974" t="s">
        <v>4360</v>
      </c>
      <c r="K2974" t="s">
        <v>4629</v>
      </c>
    </row>
    <row r="2975" spans="1:11" ht="20" customHeight="1">
      <c r="A2975" t="s">
        <v>4628</v>
      </c>
      <c r="B2975" t="s">
        <v>4361</v>
      </c>
      <c r="C2975">
        <v>738.6400146484375</v>
      </c>
      <c r="D2975">
        <v>744.8699951171875</v>
      </c>
      <c r="E2975">
        <v>737.030029296875</v>
      </c>
      <c r="F2975">
        <v>742.719970703125</v>
      </c>
      <c r="G2975">
        <v>738.9764404296875</v>
      </c>
      <c r="H2975">
        <v>43332200</v>
      </c>
      <c r="I2975" t="s">
        <v>4362</v>
      </c>
      <c r="J2975" t="s">
        <v>4363</v>
      </c>
      <c r="K2975" t="s">
        <v>4629</v>
      </c>
    </row>
    <row r="2976" spans="1:11" ht="20" customHeight="1">
      <c r="A2976" t="s">
        <v>4628</v>
      </c>
      <c r="B2976" t="s">
        <v>4364</v>
      </c>
      <c r="C2976">
        <v>746.239990234375</v>
      </c>
      <c r="D2976">
        <v>748.9400024414062</v>
      </c>
      <c r="E2976">
        <v>744.47998046875</v>
      </c>
      <c r="F2976">
        <v>745.6400146484375</v>
      </c>
      <c r="G2976">
        <v>741.8817749023438</v>
      </c>
      <c r="H2976">
        <v>41762000</v>
      </c>
      <c r="I2976" t="s">
        <v>4365</v>
      </c>
      <c r="J2976" t="s">
        <v>4366</v>
      </c>
      <c r="K2976" t="s">
        <v>4629</v>
      </c>
    </row>
    <row r="2977" spans="1:11" ht="20" customHeight="1">
      <c r="A2977" t="s">
        <v>4628</v>
      </c>
      <c r="B2977" t="s">
        <v>4367</v>
      </c>
      <c r="C2977">
        <v>750.010009765625</v>
      </c>
      <c r="D2977">
        <v>752.1300048828125</v>
      </c>
      <c r="E2977">
        <v>748.3699951171875</v>
      </c>
      <c r="F2977">
        <v>750.5900268554688</v>
      </c>
      <c r="G2977">
        <v>746.8068237304688</v>
      </c>
      <c r="H2977">
        <v>41123600</v>
      </c>
      <c r="I2977" t="s">
        <v>4368</v>
      </c>
      <c r="J2977" t="s">
        <v>4369</v>
      </c>
      <c r="K2977" t="s">
        <v>4629</v>
      </c>
    </row>
    <row r="2978" spans="1:11" ht="20" customHeight="1">
      <c r="A2978" t="s">
        <v>4628</v>
      </c>
      <c r="B2978" t="s">
        <v>4370</v>
      </c>
      <c r="C2978">
        <v>750.8800048828125</v>
      </c>
      <c r="D2978">
        <v>751.3800048828125</v>
      </c>
      <c r="E2978">
        <v>748.219970703125</v>
      </c>
      <c r="F2978">
        <v>750.4600219726562</v>
      </c>
      <c r="G2978">
        <v>746.6774291992188</v>
      </c>
      <c r="H2978">
        <v>42106300</v>
      </c>
      <c r="I2978" t="s">
        <v>4371</v>
      </c>
      <c r="J2978" t="s">
        <v>4372</v>
      </c>
      <c r="K2978" t="s">
        <v>4629</v>
      </c>
    </row>
    <row r="2979" spans="1:11" ht="20" customHeight="1">
      <c r="A2979" t="s">
        <v>4628</v>
      </c>
      <c r="B2979" t="s">
        <v>4373</v>
      </c>
      <c r="C2979">
        <v>750.25</v>
      </c>
      <c r="D2979">
        <v>755.1500244140625</v>
      </c>
      <c r="E2979">
        <v>749.22998046875</v>
      </c>
      <c r="F2979">
        <v>754.5999755859375</v>
      </c>
      <c r="G2979">
        <v>750.7965698242188</v>
      </c>
      <c r="H2979">
        <v>41562600</v>
      </c>
      <c r="I2979" t="s">
        <v>4374</v>
      </c>
      <c r="J2979" t="s">
        <v>4375</v>
      </c>
      <c r="K2979" t="s">
        <v>4629</v>
      </c>
    </row>
    <row r="2980" spans="1:11" ht="20" customHeight="1">
      <c r="A2980" t="s">
        <v>4628</v>
      </c>
      <c r="B2980" t="s">
        <v>4376</v>
      </c>
      <c r="C2980">
        <v>755.9000244140625</v>
      </c>
      <c r="D2980">
        <v>758.0800170898438</v>
      </c>
      <c r="E2980">
        <v>754.6900024414062</v>
      </c>
      <c r="F2980">
        <v>756.47998046875</v>
      </c>
      <c r="G2980">
        <v>752.6671142578125</v>
      </c>
      <c r="H2980">
        <v>55075700</v>
      </c>
      <c r="I2980" t="s">
        <v>4377</v>
      </c>
      <c r="J2980" t="s">
        <v>4378</v>
      </c>
      <c r="K2980" t="s">
        <v>4629</v>
      </c>
    </row>
    <row r="2981" spans="1:11" ht="20" customHeight="1">
      <c r="A2981" t="s">
        <v>4628</v>
      </c>
      <c r="B2981" t="s">
        <v>4379</v>
      </c>
      <c r="C2981">
        <v>755.3599853515625</v>
      </c>
      <c r="D2981">
        <v>760.280029296875</v>
      </c>
      <c r="E2981">
        <v>754.6900024414062</v>
      </c>
      <c r="F2981">
        <v>758.5399780273438</v>
      </c>
      <c r="G2981">
        <v>754.7166748046875</v>
      </c>
      <c r="H2981">
        <v>43634900</v>
      </c>
      <c r="I2981" t="s">
        <v>4380</v>
      </c>
      <c r="J2981" t="s">
        <v>4381</v>
      </c>
      <c r="K2981" t="s">
        <v>4629</v>
      </c>
    </row>
    <row r="2982" spans="1:11" ht="20" customHeight="1">
      <c r="A2982" t="s">
        <v>4628</v>
      </c>
      <c r="B2982" t="s">
        <v>4382</v>
      </c>
      <c r="C2982">
        <v>757.030029296875</v>
      </c>
      <c r="D2982">
        <v>760.4000244140625</v>
      </c>
      <c r="E2982">
        <v>756.75</v>
      </c>
      <c r="F2982">
        <v>759.5700073242188</v>
      </c>
      <c r="G2982">
        <v>755.7415771484375</v>
      </c>
      <c r="H2982">
        <v>31581900</v>
      </c>
      <c r="I2982" t="s">
        <v>4383</v>
      </c>
      <c r="J2982" t="s">
        <v>4384</v>
      </c>
      <c r="K2982" t="s">
        <v>4629</v>
      </c>
    </row>
    <row r="2983" spans="1:11" ht="20" customHeight="1">
      <c r="A2983" t="s">
        <v>4628</v>
      </c>
      <c r="B2983" t="s">
        <v>4385</v>
      </c>
      <c r="C2983">
        <v>758.1500244140625</v>
      </c>
      <c r="D2983">
        <v>758.7999877929688</v>
      </c>
      <c r="E2983">
        <v>753.5700073242188</v>
      </c>
      <c r="F2983">
        <v>754.239990234375</v>
      </c>
      <c r="G2983">
        <v>750.4384155273438</v>
      </c>
      <c r="H2983">
        <v>51402500</v>
      </c>
      <c r="I2983" t="s">
        <v>4386</v>
      </c>
      <c r="J2983" t="s">
        <v>4387</v>
      </c>
      <c r="K2983" t="s">
        <v>4629</v>
      </c>
    </row>
    <row r="2984" spans="1:11" ht="20" customHeight="1">
      <c r="A2984" t="s">
        <v>4628</v>
      </c>
      <c r="B2984" t="s">
        <v>4388</v>
      </c>
      <c r="C2984">
        <v>752.0999755859375</v>
      </c>
      <c r="D2984">
        <v>758.3099975585938</v>
      </c>
      <c r="E2984">
        <v>751.469970703125</v>
      </c>
      <c r="F2984">
        <v>757.0900268554688</v>
      </c>
      <c r="G2984">
        <v>753.2740478515625</v>
      </c>
      <c r="H2984">
        <v>49923000</v>
      </c>
      <c r="I2984" t="s">
        <v>4389</v>
      </c>
      <c r="J2984" t="s">
        <v>4390</v>
      </c>
      <c r="K2984" t="s">
        <v>4629</v>
      </c>
    </row>
    <row r="2985" spans="1:11" ht="20" customHeight="1">
      <c r="A2985" t="s">
        <v>4628</v>
      </c>
      <c r="B2985" t="s">
        <v>4391</v>
      </c>
      <c r="C2985">
        <v>752.3099975585938</v>
      </c>
      <c r="D2985">
        <v>752.8200073242188</v>
      </c>
      <c r="E2985">
        <v>735.530029296875</v>
      </c>
      <c r="F2985">
        <v>737.5499877929688</v>
      </c>
      <c r="G2985">
        <v>733.83251953125</v>
      </c>
      <c r="H2985">
        <v>93989400</v>
      </c>
      <c r="I2985" t="s">
        <v>4392</v>
      </c>
      <c r="J2985" t="s">
        <v>4393</v>
      </c>
      <c r="K2985" t="s">
        <v>4629</v>
      </c>
    </row>
    <row r="2986" spans="1:11" ht="20" customHeight="1">
      <c r="A2986" t="s">
        <v>4628</v>
      </c>
      <c r="B2986" t="s">
        <v>4394</v>
      </c>
      <c r="C2986">
        <v>743.3599853515625</v>
      </c>
      <c r="D2986">
        <v>745.3400268554688</v>
      </c>
      <c r="E2986">
        <v>738.1900024414062</v>
      </c>
      <c r="F2986">
        <v>739.219970703125</v>
      </c>
      <c r="G2986">
        <v>735.4940795898438</v>
      </c>
      <c r="H2986">
        <v>49319100</v>
      </c>
      <c r="I2986" t="s">
        <v>4395</v>
      </c>
      <c r="J2986" t="s">
        <v>4396</v>
      </c>
      <c r="K2986" t="s">
        <v>4629</v>
      </c>
    </row>
    <row r="2987" spans="1:11" ht="20" customHeight="1">
      <c r="A2987" t="s">
        <v>4628</v>
      </c>
      <c r="B2987" t="s">
        <v>4397</v>
      </c>
      <c r="C2987">
        <v>743.6300048828125</v>
      </c>
      <c r="D2987">
        <v>746.9000244140625</v>
      </c>
      <c r="E2987">
        <v>722.5900268554688</v>
      </c>
      <c r="F2987">
        <v>737.0499877929688</v>
      </c>
      <c r="G2987">
        <v>733.3350830078125</v>
      </c>
      <c r="H2987">
        <v>87683500</v>
      </c>
      <c r="I2987" t="s">
        <v>4398</v>
      </c>
      <c r="J2987" t="s">
        <v>4399</v>
      </c>
      <c r="K2987" t="s">
        <v>4629</v>
      </c>
    </row>
    <row r="2988" spans="1:11" ht="20" customHeight="1">
      <c r="A2988" t="s">
        <v>4628</v>
      </c>
      <c r="B2988" t="s">
        <v>4400</v>
      </c>
      <c r="C2988">
        <v>733.3900146484375</v>
      </c>
      <c r="D2988">
        <v>738.3800048828125</v>
      </c>
      <c r="E2988">
        <v>725.3300170898438</v>
      </c>
      <c r="F2988">
        <v>725.4299926757812</v>
      </c>
      <c r="G2988">
        <v>721.7736206054688</v>
      </c>
      <c r="H2988">
        <v>60341300</v>
      </c>
      <c r="I2988" t="s">
        <v>4401</v>
      </c>
      <c r="J2988" t="s">
        <v>4402</v>
      </c>
      <c r="K2988" t="s">
        <v>4629</v>
      </c>
    </row>
    <row r="2989" spans="1:11" ht="20" customHeight="1">
      <c r="A2989" t="s">
        <v>4628</v>
      </c>
      <c r="B2989" t="s">
        <v>4403</v>
      </c>
      <c r="C2989">
        <v>728.760009765625</v>
      </c>
      <c r="D2989">
        <v>740</v>
      </c>
      <c r="E2989">
        <v>724.4099731445312</v>
      </c>
      <c r="F2989">
        <v>737.760009765625</v>
      </c>
      <c r="G2989">
        <v>734.04150390625</v>
      </c>
      <c r="H2989">
        <v>86330500</v>
      </c>
      <c r="I2989" t="s">
        <v>4404</v>
      </c>
      <c r="J2989" t="s">
        <v>4405</v>
      </c>
      <c r="K2989" t="s">
        <v>4629</v>
      </c>
    </row>
    <row r="2990" spans="1:11" ht="20" customHeight="1">
      <c r="A2990" t="s">
        <v>4628</v>
      </c>
      <c r="B2990" t="s">
        <v>4406</v>
      </c>
      <c r="C2990">
        <v>740.7100219726562</v>
      </c>
      <c r="D2990">
        <v>744.4400024414062</v>
      </c>
      <c r="E2990">
        <v>735.030029296875</v>
      </c>
      <c r="F2990">
        <v>741.75</v>
      </c>
      <c r="G2990">
        <v>738.0113525390625</v>
      </c>
      <c r="H2990">
        <v>57079500</v>
      </c>
      <c r="I2990" t="s">
        <v>4407</v>
      </c>
      <c r="J2990" t="s">
        <v>4408</v>
      </c>
      <c r="K2990" t="s">
        <v>4629</v>
      </c>
    </row>
    <row r="2991" spans="1:11" ht="20" customHeight="1">
      <c r="A2991" t="s">
        <v>4628</v>
      </c>
      <c r="B2991" t="s">
        <v>4409</v>
      </c>
      <c r="C2991">
        <v>751.8499755859375</v>
      </c>
      <c r="D2991">
        <v>756.6799926757812</v>
      </c>
      <c r="E2991">
        <v>751.760009765625</v>
      </c>
      <c r="F2991">
        <v>754.8300170898438</v>
      </c>
      <c r="G2991">
        <v>751.0254516601562</v>
      </c>
      <c r="H2991">
        <v>60176400</v>
      </c>
      <c r="I2991" t="s">
        <v>4410</v>
      </c>
      <c r="J2991" t="s">
        <v>4411</v>
      </c>
      <c r="K2991" t="s">
        <v>4629</v>
      </c>
    </row>
    <row r="2992" spans="1:11" ht="20" customHeight="1">
      <c r="A2992" t="s">
        <v>4628</v>
      </c>
      <c r="B2992" t="s">
        <v>4412</v>
      </c>
      <c r="C2992">
        <v>754.5499877929688</v>
      </c>
      <c r="D2992">
        <v>755.4400024414062</v>
      </c>
      <c r="E2992">
        <v>749.8800048828125</v>
      </c>
      <c r="F2992">
        <v>750.3300170898438</v>
      </c>
      <c r="G2992">
        <v>746.5481567382812</v>
      </c>
      <c r="H2992">
        <v>67093100</v>
      </c>
      <c r="I2992" t="s">
        <v>4413</v>
      </c>
      <c r="J2992" t="s">
        <v>4414</v>
      </c>
      <c r="K2992" t="s">
        <v>4629</v>
      </c>
    </row>
    <row r="2993" spans="1:11" ht="20" customHeight="1">
      <c r="A2993" t="s">
        <v>4628</v>
      </c>
      <c r="B2993" t="s">
        <v>4415</v>
      </c>
      <c r="C2993">
        <v>751.2899780273438</v>
      </c>
      <c r="D2993">
        <v>752.1500244140625</v>
      </c>
      <c r="E2993">
        <v>739.219970703125</v>
      </c>
      <c r="F2993">
        <v>740.9600219726562</v>
      </c>
      <c r="G2993">
        <v>737.225341796875</v>
      </c>
      <c r="H2993">
        <v>85945200</v>
      </c>
      <c r="I2993" t="s">
        <v>4416</v>
      </c>
      <c r="J2993" t="s">
        <v>4417</v>
      </c>
      <c r="K2993" t="s">
        <v>4629</v>
      </c>
    </row>
    <row r="2994" spans="1:11" ht="20" customHeight="1">
      <c r="A2994" t="s">
        <v>4628</v>
      </c>
      <c r="B2994" t="s">
        <v>4418</v>
      </c>
      <c r="C2994">
        <v>747.760009765625</v>
      </c>
      <c r="D2994">
        <v>748.22998046875</v>
      </c>
      <c r="E2994">
        <v>743.8599853515625</v>
      </c>
      <c r="F2994">
        <v>746.739990234375</v>
      </c>
      <c r="G2994">
        <v>744.8902587890625</v>
      </c>
      <c r="H2994">
        <v>80875700</v>
      </c>
      <c r="I2994" t="s">
        <v>4419</v>
      </c>
      <c r="J2994" t="s">
        <v>4420</v>
      </c>
      <c r="K2994" t="s">
        <v>4629</v>
      </c>
    </row>
    <row r="2995" spans="1:11" ht="20" customHeight="1">
      <c r="A2995" t="s">
        <v>4628</v>
      </c>
      <c r="B2995" t="s">
        <v>4421</v>
      </c>
      <c r="C2995">
        <v>747.7000122070312</v>
      </c>
      <c r="D2995">
        <v>750.1799926757812</v>
      </c>
      <c r="E2995">
        <v>743.1300048828125</v>
      </c>
      <c r="F2995">
        <v>744.3900146484375</v>
      </c>
      <c r="G2995">
        <v>742.546142578125</v>
      </c>
      <c r="H2995">
        <v>46628100</v>
      </c>
      <c r="I2995" t="s">
        <v>4422</v>
      </c>
      <c r="J2995" t="s">
        <v>4423</v>
      </c>
      <c r="K2995" t="s">
        <v>4629</v>
      </c>
    </row>
    <row r="2996" spans="1:11" ht="20" customHeight="1">
      <c r="A2996" t="s">
        <v>4628</v>
      </c>
      <c r="B2996" t="s">
        <v>4424</v>
      </c>
      <c r="C2996">
        <v>733.8099975585938</v>
      </c>
      <c r="D2996">
        <v>739.6300048828125</v>
      </c>
      <c r="E2996">
        <v>732.2999877929688</v>
      </c>
      <c r="F2996">
        <v>733.5800170898438</v>
      </c>
      <c r="G2996">
        <v>731.7628784179688</v>
      </c>
      <c r="H2996">
        <v>66846800</v>
      </c>
      <c r="I2996" t="s">
        <v>4425</v>
      </c>
      <c r="J2996" t="s">
        <v>4426</v>
      </c>
      <c r="K2996" t="s">
        <v>4629</v>
      </c>
    </row>
    <row r="2997" spans="1:11" ht="20" customHeight="1">
      <c r="A2997" t="s">
        <v>4628</v>
      </c>
      <c r="B2997" t="s">
        <v>4427</v>
      </c>
      <c r="C2997">
        <v>735.1699829101562</v>
      </c>
      <c r="D2997">
        <v>739.9500122070312</v>
      </c>
      <c r="E2997">
        <v>730.8400268554688</v>
      </c>
      <c r="F2997">
        <v>733.239990234375</v>
      </c>
      <c r="G2997">
        <v>731.4237060546875</v>
      </c>
      <c r="H2997">
        <v>57439500</v>
      </c>
      <c r="I2997" t="s">
        <v>4428</v>
      </c>
      <c r="J2997" t="s">
        <v>4429</v>
      </c>
      <c r="K2997" t="s">
        <v>4629</v>
      </c>
    </row>
    <row r="2998" spans="1:11" ht="20" customHeight="1">
      <c r="A2998" t="s">
        <v>4628</v>
      </c>
      <c r="B2998" t="s">
        <v>4430</v>
      </c>
      <c r="C2998">
        <v>738.9099731445312</v>
      </c>
      <c r="D2998">
        <v>739.3699951171875</v>
      </c>
      <c r="E2998">
        <v>729.5999755859375</v>
      </c>
      <c r="F2998">
        <v>734.2999877929688</v>
      </c>
      <c r="G2998">
        <v>732.4810791015625</v>
      </c>
      <c r="H2998">
        <v>53934400</v>
      </c>
      <c r="I2998" t="s">
        <v>4431</v>
      </c>
      <c r="J2998" t="s">
        <v>4432</v>
      </c>
      <c r="K2998" t="s">
        <v>4629</v>
      </c>
    </row>
    <row r="2999" spans="1:11" ht="20" customHeight="1">
      <c r="A2999" t="s">
        <v>4628</v>
      </c>
      <c r="B2999" t="s">
        <v>4433</v>
      </c>
      <c r="C2999">
        <v>728.9500122070312</v>
      </c>
      <c r="D2999">
        <v>736.530029296875</v>
      </c>
      <c r="E2999">
        <v>716.5800170898438</v>
      </c>
      <c r="F2999">
        <v>728.989990234375</v>
      </c>
      <c r="G2999">
        <v>727.1842651367188</v>
      </c>
      <c r="H2999">
        <v>71034000</v>
      </c>
      <c r="I2999" t="s">
        <v>4434</v>
      </c>
      <c r="J2999" t="s">
        <v>4435</v>
      </c>
      <c r="K2999" t="s">
        <v>4629</v>
      </c>
    </row>
    <row r="3000" spans="1:11" ht="20" customHeight="1">
      <c r="A3000" t="s">
        <v>4628</v>
      </c>
      <c r="B3000" t="s">
        <v>4436</v>
      </c>
      <c r="C3000">
        <v>736.530029296875</v>
      </c>
      <c r="D3000">
        <v>741.5599975585938</v>
      </c>
      <c r="E3000">
        <v>732.0900268554688</v>
      </c>
      <c r="F3000">
        <v>741</v>
      </c>
      <c r="G3000">
        <v>739.1644897460938</v>
      </c>
      <c r="H3000">
        <v>58035200</v>
      </c>
      <c r="I3000" t="s">
        <v>4437</v>
      </c>
      <c r="J3000" t="s">
        <v>4438</v>
      </c>
      <c r="K3000" t="s">
        <v>4629</v>
      </c>
    </row>
    <row r="3001" spans="1:11" ht="20" customHeight="1">
      <c r="A3001" t="s">
        <v>4628</v>
      </c>
      <c r="B3001" t="s">
        <v>4439</v>
      </c>
      <c r="C3001">
        <v>741.2899780273438</v>
      </c>
      <c r="D3001">
        <v>748.02001953125</v>
      </c>
      <c r="E3001">
        <v>740.8900146484375</v>
      </c>
      <c r="F3001">
        <v>746.77001953125</v>
      </c>
      <c r="G3001">
        <v>744.9202270507812</v>
      </c>
      <c r="H3001">
        <v>55626000</v>
      </c>
      <c r="I3001" t="s">
        <v>4440</v>
      </c>
      <c r="J3001" t="s">
        <v>4441</v>
      </c>
      <c r="K3001" t="s">
        <v>4629</v>
      </c>
    </row>
    <row r="3002" spans="1:11" ht="20" customHeight="1">
      <c r="A3002" t="s">
        <v>4628</v>
      </c>
      <c r="B3002" t="s">
        <v>4442</v>
      </c>
      <c r="C3002">
        <v>745</v>
      </c>
      <c r="D3002">
        <v>749.4400024414062</v>
      </c>
      <c r="E3002">
        <v>742.3800048828125</v>
      </c>
      <c r="F3002">
        <v>745.760009765625</v>
      </c>
      <c r="G3002">
        <v>743.9127197265625</v>
      </c>
      <c r="H3002">
        <v>47100900</v>
      </c>
      <c r="I3002" t="s">
        <v>4443</v>
      </c>
      <c r="J3002" t="s">
        <v>4444</v>
      </c>
      <c r="K3002" t="s">
        <v>4629</v>
      </c>
    </row>
    <row r="3003" spans="1:11" ht="20" customHeight="1">
      <c r="A3003" t="s">
        <v>4628</v>
      </c>
      <c r="B3003" t="s">
        <v>4445</v>
      </c>
      <c r="C3003">
        <v>747.4000244140625</v>
      </c>
      <c r="D3003">
        <v>751.3099975585938</v>
      </c>
      <c r="E3003">
        <v>740.030029296875</v>
      </c>
      <c r="F3003">
        <v>744.780029296875</v>
      </c>
      <c r="G3003">
        <v>742.9351806640625</v>
      </c>
      <c r="H3003">
        <v>57447800</v>
      </c>
      <c r="I3003" t="s">
        <v>4446</v>
      </c>
      <c r="J3003" t="s">
        <v>4447</v>
      </c>
      <c r="K3003" t="s">
        <v>4629</v>
      </c>
    </row>
    <row r="3004" spans="1:11" ht="20" customHeight="1">
      <c r="A3004" t="s">
        <v>4628</v>
      </c>
      <c r="B3004" t="s">
        <v>4448</v>
      </c>
      <c r="C3004">
        <v>748.739990234375</v>
      </c>
      <c r="D3004">
        <v>752.4099731445312</v>
      </c>
      <c r="E3004">
        <v>747.4099731445312</v>
      </c>
      <c r="F3004">
        <v>751.280029296875</v>
      </c>
      <c r="G3004">
        <v>749.4190673828125</v>
      </c>
      <c r="H3004">
        <v>50673300</v>
      </c>
      <c r="I3004" t="s">
        <v>4449</v>
      </c>
      <c r="J3004" t="s">
        <v>4450</v>
      </c>
      <c r="K3004" t="s">
        <v>4629</v>
      </c>
    </row>
    <row r="3005" spans="1:11" ht="20" customHeight="1">
      <c r="A3005" t="s">
        <v>4628</v>
      </c>
      <c r="B3005" t="s">
        <v>4451</v>
      </c>
      <c r="C3005">
        <v>750.219970703125</v>
      </c>
      <c r="D3005">
        <v>750.9600219726562</v>
      </c>
      <c r="E3005">
        <v>745.2100219726562</v>
      </c>
      <c r="F3005">
        <v>747.7100219726562</v>
      </c>
      <c r="G3005">
        <v>745.85791015625</v>
      </c>
      <c r="H3005">
        <v>43721500</v>
      </c>
      <c r="I3005" t="s">
        <v>4452</v>
      </c>
      <c r="J3005" t="s">
        <v>4453</v>
      </c>
      <c r="K3005" t="s">
        <v>4629</v>
      </c>
    </row>
    <row r="3006" spans="1:11" ht="20" customHeight="1">
      <c r="A3006" t="s">
        <v>4628</v>
      </c>
      <c r="B3006" t="s">
        <v>4454</v>
      </c>
      <c r="C3006">
        <v>743.1599731445312</v>
      </c>
      <c r="D3006">
        <v>746.1500244140625</v>
      </c>
      <c r="E3006">
        <v>739.510009765625</v>
      </c>
      <c r="F3006">
        <v>745.4000244140625</v>
      </c>
      <c r="G3006">
        <v>743.5536499023438</v>
      </c>
      <c r="H3006">
        <v>43767400</v>
      </c>
      <c r="I3006" t="s">
        <v>4455</v>
      </c>
      <c r="J3006" t="s">
        <v>4456</v>
      </c>
      <c r="K3006" t="s">
        <v>4629</v>
      </c>
    </row>
    <row r="3007" spans="1:11" ht="20" customHeight="1">
      <c r="A3007" t="s">
        <v>4628</v>
      </c>
      <c r="B3007" t="s">
        <v>4457</v>
      </c>
      <c r="C3007">
        <v>747.3499755859375</v>
      </c>
      <c r="D3007">
        <v>751.969970703125</v>
      </c>
      <c r="E3007">
        <v>745.5900268554688</v>
      </c>
      <c r="F3007">
        <v>751.7100219726562</v>
      </c>
      <c r="G3007">
        <v>749.8480224609375</v>
      </c>
      <c r="H3007">
        <v>41441700</v>
      </c>
      <c r="I3007" t="s">
        <v>4458</v>
      </c>
      <c r="J3007" t="s">
        <v>4459</v>
      </c>
      <c r="K3007" t="s">
        <v>4629</v>
      </c>
    </row>
    <row r="3008" spans="1:11" ht="20" customHeight="1">
      <c r="A3008" t="s">
        <v>4628</v>
      </c>
      <c r="B3008" t="s">
        <v>4460</v>
      </c>
      <c r="C3008">
        <v>752.0499877929688</v>
      </c>
      <c r="D3008">
        <v>755.4199829101562</v>
      </c>
      <c r="E3008">
        <v>748.0999755859375</v>
      </c>
      <c r="F3008">
        <v>754.9500122070312</v>
      </c>
      <c r="G3008">
        <v>753.0799560546875</v>
      </c>
      <c r="H3008">
        <v>42191300</v>
      </c>
      <c r="I3008" t="s">
        <v>4461</v>
      </c>
      <c r="J3008" t="s">
        <v>4462</v>
      </c>
      <c r="K3008" t="s">
        <v>4629</v>
      </c>
    </row>
    <row r="3009" spans="1:11" ht="20" customHeight="1">
      <c r="A3009" t="s">
        <v>4628</v>
      </c>
      <c r="B3009" t="s">
        <v>4463</v>
      </c>
      <c r="C3009">
        <v>752.469970703125</v>
      </c>
      <c r="D3009">
        <v>753.9099731445312</v>
      </c>
      <c r="E3009">
        <v>748</v>
      </c>
      <c r="F3009">
        <v>749.1699829101562</v>
      </c>
      <c r="G3009">
        <v>747.3142700195312</v>
      </c>
      <c r="H3009">
        <v>44013600</v>
      </c>
      <c r="I3009" t="s">
        <v>4464</v>
      </c>
      <c r="J3009" t="s">
        <v>4465</v>
      </c>
      <c r="K3009" t="s">
        <v>4629</v>
      </c>
    </row>
    <row r="3010" spans="1:11" ht="20" customHeight="1">
      <c r="A3010" t="s">
        <v>4628</v>
      </c>
      <c r="B3010" t="s">
        <v>4466</v>
      </c>
      <c r="C3010">
        <v>750.9099731445312</v>
      </c>
      <c r="D3010">
        <v>753.3400268554688</v>
      </c>
      <c r="E3010">
        <v>748.6599731445312</v>
      </c>
      <c r="F3010">
        <v>751.8300170898438</v>
      </c>
      <c r="G3010">
        <v>749.9677124023438</v>
      </c>
      <c r="H3010">
        <v>35143100</v>
      </c>
      <c r="I3010" t="s">
        <v>4467</v>
      </c>
      <c r="J3010" t="s">
        <v>4468</v>
      </c>
      <c r="K3010" t="s">
        <v>4629</v>
      </c>
    </row>
    <row r="3011" spans="1:11" ht="20" customHeight="1">
      <c r="A3011" t="s">
        <v>4628</v>
      </c>
      <c r="B3011" t="s">
        <v>4469</v>
      </c>
      <c r="C3011">
        <v>754.239990234375</v>
      </c>
      <c r="D3011">
        <v>755.5800170898438</v>
      </c>
      <c r="E3011">
        <v>750.2000122070312</v>
      </c>
      <c r="F3011">
        <v>754.8099975585938</v>
      </c>
      <c r="G3011">
        <v>752.9403076171875</v>
      </c>
      <c r="H3011">
        <v>43844800</v>
      </c>
      <c r="I3011" t="s">
        <v>4470</v>
      </c>
      <c r="J3011" t="s">
        <v>4471</v>
      </c>
      <c r="K3011" t="s">
        <v>4629</v>
      </c>
    </row>
    <row r="3012" spans="1:11" ht="20" customHeight="1">
      <c r="A3012" t="s">
        <v>4628</v>
      </c>
      <c r="B3012" t="s">
        <v>4472</v>
      </c>
      <c r="C3012">
        <v>752.760009765625</v>
      </c>
      <c r="D3012">
        <v>754.5700073242188</v>
      </c>
      <c r="E3012">
        <v>747.8800048828125</v>
      </c>
      <c r="F3012">
        <v>750.719970703125</v>
      </c>
      <c r="G3012">
        <v>748.8604125976562</v>
      </c>
      <c r="H3012">
        <v>46409800</v>
      </c>
      <c r="I3012" t="s">
        <v>4473</v>
      </c>
      <c r="J3012" t="s">
        <v>4474</v>
      </c>
      <c r="K3012" t="s">
        <v>4629</v>
      </c>
    </row>
    <row r="3013" spans="1:11" ht="20" customHeight="1">
      <c r="A3013" t="s">
        <v>4628</v>
      </c>
      <c r="B3013" t="s">
        <v>4475</v>
      </c>
      <c r="C3013">
        <v>742.0800170898438</v>
      </c>
      <c r="D3013">
        <v>747.2899780273438</v>
      </c>
      <c r="E3013">
        <v>740.7999877929688</v>
      </c>
      <c r="F3013">
        <v>743.2899780273438</v>
      </c>
      <c r="G3013">
        <v>741.4487915039062</v>
      </c>
      <c r="H3013">
        <v>62651000</v>
      </c>
      <c r="I3013" t="s">
        <v>4476</v>
      </c>
      <c r="J3013" t="s">
        <v>4477</v>
      </c>
      <c r="K3013" t="s">
        <v>4629</v>
      </c>
    </row>
    <row r="3014" spans="1:11" ht="20" customHeight="1">
      <c r="A3014" t="s">
        <v>4628</v>
      </c>
      <c r="B3014" t="s">
        <v>4478</v>
      </c>
      <c r="C3014">
        <v>747.0599975585938</v>
      </c>
      <c r="D3014">
        <v>748.72998046875</v>
      </c>
      <c r="E3014">
        <v>741.510009765625</v>
      </c>
      <c r="F3014">
        <v>742.0900268554688</v>
      </c>
      <c r="G3014">
        <v>740.2518310546875</v>
      </c>
      <c r="H3014">
        <v>50422300</v>
      </c>
      <c r="I3014" t="s">
        <v>4479</v>
      </c>
      <c r="J3014" t="s">
        <v>4480</v>
      </c>
      <c r="K3014" t="s">
        <v>4629</v>
      </c>
    </row>
    <row r="3015" spans="1:11" ht="20" customHeight="1">
      <c r="A3015" t="s">
        <v>4628</v>
      </c>
      <c r="B3015" t="s">
        <v>4481</v>
      </c>
      <c r="C3015">
        <v>746.2899780273438</v>
      </c>
      <c r="D3015">
        <v>749.0399780273438</v>
      </c>
      <c r="E3015">
        <v>744.1799926757812</v>
      </c>
      <c r="F3015">
        <v>748.280029296875</v>
      </c>
      <c r="G3015">
        <v>746.426513671875</v>
      </c>
      <c r="H3015">
        <v>34324300</v>
      </c>
      <c r="I3015" t="s">
        <v>4482</v>
      </c>
      <c r="J3015" t="s">
        <v>4483</v>
      </c>
      <c r="K3015" t="s">
        <v>4629</v>
      </c>
    </row>
    <row r="3016" spans="1:11" ht="20" customHeight="1">
      <c r="A3016" t="s">
        <v>4628</v>
      </c>
      <c r="B3016" t="s">
        <v>4484</v>
      </c>
      <c r="C3016">
        <v>746.6199951171875</v>
      </c>
      <c r="D3016">
        <v>750.02001953125</v>
      </c>
      <c r="E3016">
        <v>746.3699951171875</v>
      </c>
      <c r="F3016">
        <v>747.4099731445312</v>
      </c>
      <c r="G3016">
        <v>745.55859375</v>
      </c>
      <c r="H3016">
        <v>32836200</v>
      </c>
      <c r="I3016" t="s">
        <v>4485</v>
      </c>
      <c r="J3016" t="s">
        <v>4486</v>
      </c>
      <c r="K3016" t="s">
        <v>4629</v>
      </c>
    </row>
    <row r="3017" spans="1:11" ht="20" customHeight="1">
      <c r="A3017" t="s">
        <v>4628</v>
      </c>
      <c r="B3017" t="s">
        <v>4487</v>
      </c>
      <c r="C3017">
        <v>739.3699951171875</v>
      </c>
      <c r="D3017">
        <v>742.5599975585938</v>
      </c>
      <c r="E3017">
        <v>735.2100219726562</v>
      </c>
      <c r="F3017">
        <v>738.1799926757812</v>
      </c>
      <c r="G3017">
        <v>736.3515014648438</v>
      </c>
      <c r="H3017">
        <v>55437300</v>
      </c>
      <c r="I3017" t="s">
        <v>4488</v>
      </c>
      <c r="J3017" t="s">
        <v>4489</v>
      </c>
      <c r="K3017" t="s">
        <v>4629</v>
      </c>
    </row>
    <row r="3018" spans="1:11" ht="20" customHeight="1">
      <c r="A3018" t="s">
        <v>4628</v>
      </c>
      <c r="B3018" t="s">
        <v>4490</v>
      </c>
      <c r="C3018">
        <v>738.510009765625</v>
      </c>
      <c r="D3018">
        <v>743.719970703125</v>
      </c>
      <c r="E3018">
        <v>737.2899780273438</v>
      </c>
      <c r="F3018">
        <v>738.9299926757812</v>
      </c>
      <c r="G3018">
        <v>737.099609375</v>
      </c>
      <c r="H3018">
        <v>44782000</v>
      </c>
      <c r="I3018" t="s">
        <v>4491</v>
      </c>
      <c r="J3018" t="s">
        <v>4492</v>
      </c>
      <c r="K3018" t="s">
        <v>4629</v>
      </c>
    </row>
    <row r="3019" spans="1:11" ht="20" customHeight="1">
      <c r="A3019" t="s">
        <v>4628</v>
      </c>
      <c r="B3019" t="s">
        <v>4493</v>
      </c>
      <c r="C3019">
        <v>744.9099731445312</v>
      </c>
      <c r="D3019">
        <v>745.530029296875</v>
      </c>
      <c r="E3019">
        <v>735.8699951171875</v>
      </c>
      <c r="F3019">
        <v>739.0900268554688</v>
      </c>
      <c r="G3019">
        <v>737.25927734375</v>
      </c>
      <c r="H3019">
        <v>41461200</v>
      </c>
      <c r="I3019" t="s">
        <v>4494</v>
      </c>
      <c r="J3019" t="s">
        <v>4495</v>
      </c>
      <c r="K3019" t="s">
        <v>4629</v>
      </c>
    </row>
    <row r="3020" spans="1:11" ht="20" customHeight="1">
      <c r="A3020" t="s">
        <v>4628</v>
      </c>
      <c r="B3020" t="s">
        <v>4496</v>
      </c>
      <c r="C3020">
        <v>739.1900024414062</v>
      </c>
      <c r="D3020">
        <v>742.7899780273438</v>
      </c>
      <c r="E3020">
        <v>735.97998046875</v>
      </c>
      <c r="F3020">
        <v>740.8599853515625</v>
      </c>
      <c r="G3020">
        <v>739.0248413085938</v>
      </c>
      <c r="H3020">
        <v>47322200</v>
      </c>
      <c r="I3020" t="s">
        <v>4497</v>
      </c>
      <c r="J3020" t="s">
        <v>4498</v>
      </c>
      <c r="K3020" t="s">
        <v>4629</v>
      </c>
    </row>
    <row r="3021" spans="1:11" ht="20" customHeight="1">
      <c r="A3021" t="s">
        <v>4628</v>
      </c>
      <c r="B3021" t="s">
        <v>4499</v>
      </c>
      <c r="C3021">
        <v>739.969970703125</v>
      </c>
      <c r="D3021">
        <v>742.6799926757812</v>
      </c>
      <c r="E3021">
        <v>729.0999755859375</v>
      </c>
      <c r="F3021">
        <v>729.4600219726562</v>
      </c>
      <c r="G3021">
        <v>727.6531372070312</v>
      </c>
      <c r="H3021">
        <v>70697200</v>
      </c>
      <c r="I3021" t="s">
        <v>4500</v>
      </c>
      <c r="J3021" t="s">
        <v>4501</v>
      </c>
      <c r="K3021" t="s">
        <v>4629</v>
      </c>
    </row>
    <row r="3022" spans="1:11" ht="20" customHeight="1">
      <c r="A3022" t="s">
        <v>4628</v>
      </c>
      <c r="B3022" t="s">
        <v>4502</v>
      </c>
      <c r="C3022">
        <v>736.0499877929688</v>
      </c>
      <c r="D3022">
        <v>742.4500122070312</v>
      </c>
      <c r="E3022">
        <v>734.5900268554688</v>
      </c>
      <c r="F3022">
        <v>741.6900024414062</v>
      </c>
      <c r="G3022">
        <v>739.852783203125</v>
      </c>
      <c r="H3022">
        <v>66811300</v>
      </c>
      <c r="I3022" t="s">
        <v>4503</v>
      </c>
      <c r="J3022" t="s">
        <v>4504</v>
      </c>
      <c r="K3022" t="s">
        <v>4629</v>
      </c>
    </row>
    <row r="3023" spans="1:11" ht="20" customHeight="1">
      <c r="A3023" t="s">
        <v>4628</v>
      </c>
      <c r="B3023" t="s">
        <v>4505</v>
      </c>
      <c r="C3023">
        <v>744.6799926757812</v>
      </c>
      <c r="D3023">
        <v>748.9000244140625</v>
      </c>
      <c r="E3023">
        <v>737.6799926757812</v>
      </c>
      <c r="F3023">
        <v>747.030029296875</v>
      </c>
      <c r="G3023">
        <v>745.1796264648438</v>
      </c>
      <c r="H3023">
        <v>62445900</v>
      </c>
      <c r="I3023" t="s">
        <v>4506</v>
      </c>
      <c r="J3023" t="s">
        <v>4507</v>
      </c>
      <c r="K3023" t="s">
        <v>4629</v>
      </c>
    </row>
    <row r="3024" spans="1:11" ht="20" customHeight="1">
      <c r="A3024" t="s">
        <v>4628</v>
      </c>
      <c r="B3024" t="s">
        <v>4508</v>
      </c>
      <c r="C3024">
        <v>749.4400024414062</v>
      </c>
      <c r="D3024">
        <v>758.5800170898438</v>
      </c>
      <c r="E3024">
        <v>748.7999877929688</v>
      </c>
      <c r="F3024">
        <v>757.6699829101562</v>
      </c>
      <c r="G3024">
        <v>755.793212890625</v>
      </c>
      <c r="H3024">
        <v>59927500</v>
      </c>
      <c r="I3024" t="s">
        <v>4509</v>
      </c>
      <c r="J3024" t="s">
        <v>4510</v>
      </c>
      <c r="K3024" t="s">
        <v>4629</v>
      </c>
    </row>
    <row r="3025" spans="1:11" ht="20" customHeight="1">
      <c r="A3025" t="s">
        <v>4628</v>
      </c>
      <c r="B3025" t="s">
        <v>4511</v>
      </c>
      <c r="C3025">
        <v>760.6300048828125</v>
      </c>
      <c r="D3025">
        <v>773.4099731445312</v>
      </c>
      <c r="E3025">
        <v>760.52001953125</v>
      </c>
      <c r="F3025">
        <v>771.3300170898438</v>
      </c>
      <c r="G3025">
        <v>769.4193725585938</v>
      </c>
      <c r="H3025">
        <v>69154800</v>
      </c>
      <c r="I3025" t="s">
        <v>4512</v>
      </c>
      <c r="J3025" t="s">
        <v>4513</v>
      </c>
      <c r="K3025" t="s">
        <v>4629</v>
      </c>
    </row>
    <row r="3026" spans="1:11" ht="20" customHeight="1">
      <c r="A3026" t="s">
        <v>4628</v>
      </c>
      <c r="B3026" t="s">
        <v>4514</v>
      </c>
      <c r="C3026">
        <v>775.8499755859375</v>
      </c>
      <c r="D3026">
        <v>776.8499755859375</v>
      </c>
      <c r="E3026">
        <v>769.510009765625</v>
      </c>
      <c r="F3026">
        <v>769.7899780273438</v>
      </c>
      <c r="G3026">
        <v>767.8831787109375</v>
      </c>
      <c r="H3026">
        <v>44689100</v>
      </c>
      <c r="I3026" t="s">
        <v>4515</v>
      </c>
      <c r="J3026" t="s">
        <v>4516</v>
      </c>
      <c r="K3026" t="s">
        <v>4629</v>
      </c>
    </row>
    <row r="3027" spans="1:11" ht="20" customHeight="1">
      <c r="A3027" t="s">
        <v>4628</v>
      </c>
      <c r="B3027" t="s">
        <v>4517</v>
      </c>
      <c r="C3027">
        <v>770.2100219726562</v>
      </c>
      <c r="D3027">
        <v>771.8200073242188</v>
      </c>
      <c r="E3027">
        <v>767.4600219726562</v>
      </c>
      <c r="F3027">
        <v>768.5599975585938</v>
      </c>
      <c r="G3027">
        <v>766.65625</v>
      </c>
      <c r="H3027">
        <v>38416900</v>
      </c>
      <c r="I3027" t="s">
        <v>4518</v>
      </c>
      <c r="J3027" t="s">
        <v>4519</v>
      </c>
      <c r="K3027" t="s">
        <v>4629</v>
      </c>
    </row>
    <row r="3028" spans="1:11" ht="20" customHeight="1">
      <c r="A3028" t="s">
        <v>4628</v>
      </c>
      <c r="B3028" t="s">
        <v>4520</v>
      </c>
      <c r="C3028">
        <v>771.02001953125</v>
      </c>
      <c r="D3028">
        <v>773.9199829101562</v>
      </c>
      <c r="E3028">
        <v>769.6099853515625</v>
      </c>
      <c r="F3028">
        <v>773.260009765625</v>
      </c>
      <c r="G3028">
        <v>771.3446044921875</v>
      </c>
      <c r="H3028">
        <v>43586300</v>
      </c>
      <c r="I3028" t="s">
        <v>4521</v>
      </c>
      <c r="J3028" t="s">
        <v>4522</v>
      </c>
      <c r="K3028" t="s">
        <v>4629</v>
      </c>
    </row>
    <row r="3029" spans="1:11" ht="20" customHeight="1">
      <c r="A3029" t="s">
        <v>4628</v>
      </c>
      <c r="B3029" t="s">
        <v>4523</v>
      </c>
      <c r="C3029">
        <v>772.5999755859375</v>
      </c>
      <c r="D3029">
        <v>775.0499877929688</v>
      </c>
      <c r="E3029">
        <v>771.6199951171875</v>
      </c>
      <c r="F3029">
        <v>773.030029296875</v>
      </c>
      <c r="G3029">
        <v>771.1151733398438</v>
      </c>
      <c r="H3029">
        <v>39249500</v>
      </c>
      <c r="I3029" t="s">
        <v>4524</v>
      </c>
      <c r="J3029" t="s">
        <v>4525</v>
      </c>
      <c r="K3029" t="s">
        <v>4629</v>
      </c>
    </row>
    <row r="3030" spans="1:11" ht="20" customHeight="1">
      <c r="A3030" t="s">
        <v>4628</v>
      </c>
      <c r="B3030" t="s">
        <v>4526</v>
      </c>
      <c r="C3030">
        <v>774.530029296875</v>
      </c>
      <c r="D3030">
        <v>774.6099853515625</v>
      </c>
      <c r="E3030">
        <v>769.2000122070312</v>
      </c>
      <c r="F3030">
        <v>770.5599975585938</v>
      </c>
      <c r="G3030">
        <v>768.6513061523438</v>
      </c>
      <c r="H3030">
        <v>36740600</v>
      </c>
      <c r="I3030" t="s">
        <v>4527</v>
      </c>
      <c r="J3030" t="s">
        <v>4528</v>
      </c>
      <c r="K3030" t="s">
        <v>4629</v>
      </c>
    </row>
    <row r="3031" spans="1:11" ht="20" customHeight="1">
      <c r="A3031" t="s">
        <v>4628</v>
      </c>
      <c r="B3031" t="s">
        <v>4529</v>
      </c>
      <c r="C3031">
        <v>774.7100219726562</v>
      </c>
      <c r="D3031">
        <v>774.9000244140625</v>
      </c>
      <c r="E3031">
        <v>771.280029296875</v>
      </c>
      <c r="F3031">
        <v>772.489990234375</v>
      </c>
      <c r="G3031">
        <v>770.5764770507812</v>
      </c>
      <c r="H3031">
        <v>33179100</v>
      </c>
      <c r="I3031" t="s">
        <v>4530</v>
      </c>
      <c r="J3031" t="s">
        <v>4531</v>
      </c>
      <c r="K3031" t="s">
        <v>4629</v>
      </c>
    </row>
    <row r="3032" spans="1:11" ht="20" customHeight="1">
      <c r="A3032" t="s">
        <v>4628</v>
      </c>
      <c r="B3032" t="s">
        <v>4532</v>
      </c>
      <c r="C3032">
        <v>774.8699951171875</v>
      </c>
      <c r="D3032">
        <v>779.3699951171875</v>
      </c>
      <c r="E3032">
        <v>774.1099853515625</v>
      </c>
      <c r="F3032">
        <v>777.8800048828125</v>
      </c>
      <c r="G3032">
        <v>775.9531860351562</v>
      </c>
      <c r="H3032">
        <v>35634500</v>
      </c>
      <c r="I3032" t="s">
        <v>4533</v>
      </c>
      <c r="J3032" t="s">
        <v>4534</v>
      </c>
      <c r="K3032" t="s">
        <v>4629</v>
      </c>
    </row>
    <row r="3033" spans="1:11" ht="20" customHeight="1">
      <c r="A3033" t="s">
        <v>4628</v>
      </c>
      <c r="B3033" t="s">
        <v>4535</v>
      </c>
      <c r="C3033">
        <v>778.5399780273438</v>
      </c>
      <c r="D3033">
        <v>778.7999877929688</v>
      </c>
      <c r="E3033">
        <v>775.4299926757812</v>
      </c>
      <c r="F3033">
        <v>776.3400268554688</v>
      </c>
      <c r="G3033">
        <v>774.4169921875</v>
      </c>
      <c r="H3033">
        <v>31367900</v>
      </c>
      <c r="I3033" t="s">
        <v>4536</v>
      </c>
      <c r="J3033" t="s">
        <v>4537</v>
      </c>
      <c r="K3033" t="s">
        <v>4629</v>
      </c>
    </row>
    <row r="3034" spans="1:11" ht="20" customHeight="1">
      <c r="A3034" t="s">
        <v>4628</v>
      </c>
      <c r="B3034" t="s">
        <v>4538</v>
      </c>
      <c r="C3034">
        <v>776.1799926757812</v>
      </c>
      <c r="D3034">
        <v>776.780029296875</v>
      </c>
      <c r="E3034">
        <v>772.510009765625</v>
      </c>
      <c r="F3034">
        <v>772.6699829101562</v>
      </c>
      <c r="G3034">
        <v>770.7560424804688</v>
      </c>
      <c r="H3034">
        <v>34356600</v>
      </c>
      <c r="I3034" t="s">
        <v>4539</v>
      </c>
      <c r="J3034" t="s">
        <v>4540</v>
      </c>
      <c r="K3034" t="s">
        <v>4629</v>
      </c>
    </row>
    <row r="3035" spans="1:11" ht="20" customHeight="1">
      <c r="A3035" t="s">
        <v>4628</v>
      </c>
      <c r="B3035" t="s">
        <v>4541</v>
      </c>
      <c r="C3035">
        <v>768.7000122070312</v>
      </c>
      <c r="D3035">
        <v>769.5</v>
      </c>
      <c r="E3035">
        <v>766.9199829101562</v>
      </c>
      <c r="F3035">
        <v>767.4500122070312</v>
      </c>
      <c r="G3035">
        <v>765.5490112304688</v>
      </c>
      <c r="H3035">
        <v>43920900</v>
      </c>
      <c r="I3035" t="s">
        <v>4542</v>
      </c>
      <c r="J3035" t="s">
        <v>4543</v>
      </c>
      <c r="K3035" t="s">
        <v>4629</v>
      </c>
    </row>
    <row r="3036" spans="1:11" ht="20" customHeight="1">
      <c r="A3036" t="s">
        <v>4628</v>
      </c>
      <c r="B3036" t="s">
        <v>4544</v>
      </c>
      <c r="C3036">
        <v>770.3599853515625</v>
      </c>
      <c r="D3036">
        <v>772.469970703125</v>
      </c>
      <c r="E3036">
        <v>768.0999755859375</v>
      </c>
      <c r="F3036">
        <v>769.0599975585938</v>
      </c>
      <c r="G3036">
        <v>767.1549682617188</v>
      </c>
      <c r="H3036">
        <v>40306000</v>
      </c>
      <c r="I3036" t="s">
        <v>4545</v>
      </c>
      <c r="J3036" t="s">
        <v>4546</v>
      </c>
      <c r="K3036" t="s">
        <v>4629</v>
      </c>
    </row>
    <row r="3037" spans="1:11" ht="20" customHeight="1">
      <c r="A3037" t="s">
        <v>4628</v>
      </c>
      <c r="B3037" t="s">
        <v>4547</v>
      </c>
      <c r="C3037">
        <v>765.9600219726562</v>
      </c>
      <c r="D3037">
        <v>768.1500244140625</v>
      </c>
      <c r="E3037">
        <v>762.0399780273438</v>
      </c>
      <c r="F3037">
        <v>762.5999755859375</v>
      </c>
      <c r="G3037">
        <v>760.7109985351562</v>
      </c>
      <c r="H3037">
        <v>45520300</v>
      </c>
      <c r="I3037" t="s">
        <v>4548</v>
      </c>
      <c r="J3037" t="s">
        <v>4549</v>
      </c>
      <c r="K3037" t="s">
        <v>4629</v>
      </c>
    </row>
    <row r="3038" spans="1:11" ht="20" customHeight="1">
      <c r="A3038" t="s">
        <v>4628</v>
      </c>
      <c r="B3038" t="s">
        <v>4550</v>
      </c>
      <c r="C3038">
        <v>766.0499877929688</v>
      </c>
      <c r="D3038">
        <v>767.8499755859375</v>
      </c>
      <c r="E3038">
        <v>764.1699829101562</v>
      </c>
      <c r="F3038">
        <v>765.719970703125</v>
      </c>
      <c r="G3038">
        <v>763.8232421875</v>
      </c>
      <c r="H3038">
        <v>39188700</v>
      </c>
      <c r="I3038" t="s">
        <v>4551</v>
      </c>
      <c r="J3038" t="s">
        <v>4552</v>
      </c>
      <c r="K3038" t="s">
        <v>4629</v>
      </c>
    </row>
    <row r="3039" spans="1:11" ht="20" customHeight="1">
      <c r="A3039" t="s">
        <v>4628</v>
      </c>
      <c r="B3039" t="s">
        <v>4553</v>
      </c>
      <c r="C3039">
        <v>764.780029296875</v>
      </c>
      <c r="D3039">
        <v>765.219970703125</v>
      </c>
      <c r="E3039">
        <v>762.0800170898438</v>
      </c>
      <c r="F3039">
        <v>763.469970703125</v>
      </c>
      <c r="G3039">
        <v>761.5787963867188</v>
      </c>
      <c r="H3039">
        <v>32430900</v>
      </c>
      <c r="I3039" t="s">
        <v>4554</v>
      </c>
      <c r="J3039" t="s">
        <v>4555</v>
      </c>
      <c r="K3039" t="s">
        <v>4629</v>
      </c>
    </row>
    <row r="3040" spans="1:11" ht="20" customHeight="1">
      <c r="A3040" t="s">
        <v>4628</v>
      </c>
      <c r="B3040" t="s">
        <v>4556</v>
      </c>
      <c r="C3040">
        <v>766.1599731445312</v>
      </c>
      <c r="D3040">
        <v>766.780029296875</v>
      </c>
      <c r="E3040">
        <v>763.0499877929688</v>
      </c>
      <c r="F3040">
        <v>765.9099731445312</v>
      </c>
      <c r="G3040">
        <v>764.0127563476562</v>
      </c>
      <c r="H3040">
        <v>27422300</v>
      </c>
      <c r="I3040" t="s">
        <v>4557</v>
      </c>
      <c r="J3040" t="s">
        <v>4558</v>
      </c>
      <c r="K3040" t="s">
        <v>4629</v>
      </c>
    </row>
    <row r="3041" spans="1:11" ht="20" customHeight="1">
      <c r="A3041" t="s">
        <v>4628</v>
      </c>
      <c r="B3041" t="s">
        <v>4559</v>
      </c>
      <c r="C3041">
        <v>764.72998046875</v>
      </c>
      <c r="D3041">
        <v>767.3499755859375</v>
      </c>
      <c r="E3041">
        <v>763.9299926757812</v>
      </c>
      <c r="F3041">
        <v>766.0800170898438</v>
      </c>
      <c r="G3041">
        <v>764.182373046875</v>
      </c>
      <c r="H3041">
        <v>28751600</v>
      </c>
      <c r="I3041" t="s">
        <v>4560</v>
      </c>
      <c r="J3041" t="s">
        <v>4561</v>
      </c>
      <c r="K3041" t="s">
        <v>4629</v>
      </c>
    </row>
    <row r="3042" spans="1:11" ht="20" customHeight="1">
      <c r="A3042" t="s">
        <v>4628</v>
      </c>
      <c r="B3042" t="s">
        <v>4562</v>
      </c>
      <c r="C3042">
        <v>768.5</v>
      </c>
      <c r="D3042">
        <v>772.3599853515625</v>
      </c>
      <c r="E3042">
        <v>767.1599731445312</v>
      </c>
      <c r="F3042">
        <v>771.0999755859375</v>
      </c>
      <c r="G3042">
        <v>769.18994140625</v>
      </c>
      <c r="H3042">
        <v>34557100</v>
      </c>
      <c r="I3042" t="s">
        <v>4563</v>
      </c>
      <c r="J3042" t="s">
        <v>4564</v>
      </c>
      <c r="K3042" t="s">
        <v>4629</v>
      </c>
    </row>
    <row r="3043" spans="1:11" ht="20" customHeight="1">
      <c r="A3043" t="s">
        <v>4628</v>
      </c>
      <c r="B3043" t="s">
        <v>4565</v>
      </c>
      <c r="C3043">
        <v>771.760009765625</v>
      </c>
      <c r="D3043">
        <v>775.2999877929688</v>
      </c>
      <c r="E3043">
        <v>768.3099975585938</v>
      </c>
      <c r="F3043">
        <v>769.3499755859375</v>
      </c>
      <c r="G3043">
        <v>767.4442749023438</v>
      </c>
      <c r="H3043">
        <v>36744300</v>
      </c>
      <c r="I3043" t="s">
        <v>4566</v>
      </c>
      <c r="J3043" t="s">
        <v>4567</v>
      </c>
      <c r="K3043" t="s">
        <v>4629</v>
      </c>
    </row>
    <row r="3044" spans="1:11" ht="20" customHeight="1">
      <c r="A3044" t="s">
        <v>4628</v>
      </c>
      <c r="B3044" t="s">
        <v>4568</v>
      </c>
      <c r="C3044">
        <v>767.3300170898438</v>
      </c>
      <c r="D3044">
        <v>768</v>
      </c>
      <c r="E3044">
        <v>764.719970703125</v>
      </c>
      <c r="F3044">
        <v>767.0499877929688</v>
      </c>
      <c r="G3044">
        <v>765.1499633789062</v>
      </c>
      <c r="H3044">
        <v>38810800</v>
      </c>
      <c r="I3044" t="s">
        <v>4569</v>
      </c>
      <c r="J3044" t="s">
        <v>4570</v>
      </c>
      <c r="K3044" t="s">
        <v>4629</v>
      </c>
    </row>
    <row r="3045" spans="1:11" ht="20" customHeight="1">
      <c r="A3045" t="s">
        <v>4628</v>
      </c>
      <c r="B3045" t="s">
        <v>4571</v>
      </c>
      <c r="C3045">
        <v>762.010009765625</v>
      </c>
      <c r="D3045">
        <v>764.6699829101562</v>
      </c>
      <c r="E3045">
        <v>759.47998046875</v>
      </c>
      <c r="F3045">
        <v>761.780029296875</v>
      </c>
      <c r="G3045">
        <v>759.89306640625</v>
      </c>
      <c r="H3045">
        <v>41126300</v>
      </c>
      <c r="I3045" t="s">
        <v>4572</v>
      </c>
      <c r="J3045" t="s">
        <v>4573</v>
      </c>
      <c r="K3045" t="s">
        <v>4629</v>
      </c>
    </row>
    <row r="3046" spans="1:11" ht="20" customHeight="1">
      <c r="A3046" t="s">
        <v>4628</v>
      </c>
      <c r="B3046" t="s">
        <v>4574</v>
      </c>
      <c r="C3046">
        <v>762.4500122070312</v>
      </c>
      <c r="D3046">
        <v>766.4299926757812</v>
      </c>
      <c r="E3046">
        <v>761.72998046875</v>
      </c>
      <c r="F3046">
        <v>765.1599731445312</v>
      </c>
      <c r="G3046">
        <v>763.2646484375</v>
      </c>
      <c r="H3046">
        <v>29566200</v>
      </c>
      <c r="I3046" t="s">
        <v>4575</v>
      </c>
      <c r="J3046" t="s">
        <v>4576</v>
      </c>
      <c r="K3046" t="s">
        <v>4629</v>
      </c>
    </row>
    <row r="3047" spans="1:11" ht="20" customHeight="1">
      <c r="A3047" t="s">
        <v>4628</v>
      </c>
      <c r="B3047" t="s">
        <v>4577</v>
      </c>
      <c r="C3047">
        <v>767.9000244140625</v>
      </c>
      <c r="D3047">
        <v>774.030029296875</v>
      </c>
      <c r="E3047">
        <v>767.4500122070312</v>
      </c>
      <c r="F3047">
        <v>773.1699829101562</v>
      </c>
      <c r="G3047">
        <v>771.2548217773438</v>
      </c>
      <c r="H3047">
        <v>43531600</v>
      </c>
      <c r="I3047" t="s">
        <v>4578</v>
      </c>
      <c r="J3047" t="s">
        <v>4579</v>
      </c>
      <c r="K3047" t="s">
        <v>4629</v>
      </c>
    </row>
    <row r="3048" spans="1:11" ht="20" customHeight="1">
      <c r="A3048" t="s">
        <v>4628</v>
      </c>
      <c r="B3048" t="s">
        <v>4580</v>
      </c>
      <c r="C3048">
        <v>772.010009765625</v>
      </c>
      <c r="D3048">
        <v>772.8699951171875</v>
      </c>
      <c r="E3048">
        <v>769</v>
      </c>
      <c r="F3048">
        <v>770.1900024414062</v>
      </c>
      <c r="G3048">
        <v>768.2822265625</v>
      </c>
      <c r="H3048">
        <v>34054200</v>
      </c>
      <c r="I3048" t="s">
        <v>4581</v>
      </c>
      <c r="J3048" t="s">
        <v>4582</v>
      </c>
      <c r="K3048" t="s">
        <v>4629</v>
      </c>
    </row>
    <row r="3049" spans="1:11" ht="20" customHeight="1">
      <c r="A3049" t="s">
        <v>4628</v>
      </c>
      <c r="B3049" t="s">
        <v>4583</v>
      </c>
      <c r="C3049">
        <v>769.0700073242188</v>
      </c>
      <c r="D3049">
        <v>769.7000122070312</v>
      </c>
      <c r="E3049">
        <v>765.1400146484375</v>
      </c>
      <c r="F3049">
        <v>765.9600219726562</v>
      </c>
      <c r="G3049">
        <v>764.0626831054688</v>
      </c>
      <c r="H3049">
        <v>44746100</v>
      </c>
      <c r="I3049" t="s">
        <v>4584</v>
      </c>
      <c r="J3049" t="s">
        <v>4585</v>
      </c>
      <c r="K3049" t="s">
        <v>4629</v>
      </c>
    </row>
    <row r="3050" spans="1:11" ht="20" customHeight="1">
      <c r="A3050" t="s">
        <v>4628</v>
      </c>
      <c r="B3050" t="s">
        <v>4586</v>
      </c>
      <c r="C3050">
        <v>764.0800170898438</v>
      </c>
      <c r="D3050">
        <v>764.469970703125</v>
      </c>
      <c r="E3050">
        <v>760.9400024414062</v>
      </c>
      <c r="F3050">
        <v>762.4000244140625</v>
      </c>
      <c r="G3050">
        <v>760.5115356445312</v>
      </c>
      <c r="H3050">
        <v>32812400</v>
      </c>
      <c r="I3050" t="s">
        <v>4587</v>
      </c>
      <c r="J3050" t="s">
        <v>4588</v>
      </c>
      <c r="K3050" t="s">
        <v>4629</v>
      </c>
    </row>
    <row r="3051" spans="1:11" ht="20" customHeight="1">
      <c r="A3051" t="s">
        <v>4628</v>
      </c>
      <c r="B3051" t="s">
        <v>4589</v>
      </c>
      <c r="C3051">
        <v>758.030029296875</v>
      </c>
      <c r="D3051">
        <v>760.1099853515625</v>
      </c>
      <c r="E3051">
        <v>756.6400146484375</v>
      </c>
      <c r="F3051">
        <v>757.8300170898438</v>
      </c>
      <c r="G3051">
        <v>755.9528198242188</v>
      </c>
      <c r="H3051">
        <v>42740400</v>
      </c>
      <c r="I3051" t="s">
        <v>4590</v>
      </c>
      <c r="J3051" t="s">
        <v>4591</v>
      </c>
      <c r="K3051" t="s">
        <v>4629</v>
      </c>
    </row>
    <row r="3052" spans="1:11" ht="20" customHeight="1">
      <c r="A3052" t="s">
        <v>4628</v>
      </c>
      <c r="B3052" t="s">
        <v>4592</v>
      </c>
      <c r="C3052">
        <v>764.719970703125</v>
      </c>
      <c r="D3052">
        <v>766.3800048828125</v>
      </c>
      <c r="E3052">
        <v>763.5999755859375</v>
      </c>
      <c r="F3052">
        <v>764.2899780273438</v>
      </c>
      <c r="G3052">
        <v>762.3967895507812</v>
      </c>
      <c r="H3052">
        <v>45512700</v>
      </c>
      <c r="I3052" t="s">
        <v>4593</v>
      </c>
      <c r="J3052" t="s">
        <v>4594</v>
      </c>
      <c r="K3052" t="s">
        <v>4629</v>
      </c>
    </row>
    <row r="3053" spans="1:11" ht="20" customHeight="1">
      <c r="A3053" t="s">
        <v>4628</v>
      </c>
      <c r="B3053" t="s">
        <v>4595</v>
      </c>
      <c r="C3053">
        <v>759</v>
      </c>
      <c r="D3053">
        <v>763.52001953125</v>
      </c>
      <c r="E3053">
        <v>757.9299926757812</v>
      </c>
      <c r="F3053">
        <v>760.8800048828125</v>
      </c>
      <c r="G3053">
        <v>758.9952392578125</v>
      </c>
      <c r="H3053">
        <v>43992400</v>
      </c>
      <c r="I3053" t="s">
        <v>4596</v>
      </c>
      <c r="J3053" t="s">
        <v>4597</v>
      </c>
      <c r="K3053" t="s">
        <v>4629</v>
      </c>
    </row>
    <row r="3054" spans="1:11" ht="20" customHeight="1">
      <c r="A3054" t="s">
        <v>4628</v>
      </c>
      <c r="B3054" t="s">
        <v>4598</v>
      </c>
      <c r="C3054">
        <v>760.1199951171875</v>
      </c>
      <c r="D3054">
        <v>760.3499755859375</v>
      </c>
      <c r="E3054">
        <v>756.1500244140625</v>
      </c>
      <c r="F3054">
        <v>757.3900146484375</v>
      </c>
      <c r="G3054">
        <v>755.513916015625</v>
      </c>
      <c r="H3054">
        <v>46195000</v>
      </c>
      <c r="I3054" t="s">
        <v>4599</v>
      </c>
      <c r="J3054" t="s">
        <v>4600</v>
      </c>
      <c r="K3054" t="s">
        <v>4629</v>
      </c>
    </row>
    <row r="3055" spans="1:11" ht="20" customHeight="1">
      <c r="A3055" t="s">
        <v>4628</v>
      </c>
      <c r="B3055" t="s">
        <v>4601</v>
      </c>
      <c r="C3055">
        <v>759.5</v>
      </c>
      <c r="D3055">
        <v>761.6699829101562</v>
      </c>
      <c r="E3055">
        <v>749.5999755859375</v>
      </c>
      <c r="F3055">
        <v>754.0499877929688</v>
      </c>
      <c r="G3055">
        <v>752.1821899414062</v>
      </c>
      <c r="H3055">
        <v>59217700</v>
      </c>
      <c r="I3055" t="s">
        <v>4602</v>
      </c>
      <c r="J3055" t="s">
        <v>4603</v>
      </c>
      <c r="K3055" t="s">
        <v>4629</v>
      </c>
    </row>
    <row r="3056" spans="1:11" ht="20" customHeight="1">
      <c r="A3056" t="s">
        <v>4628</v>
      </c>
      <c r="B3056" t="s">
        <v>4604</v>
      </c>
      <c r="C3056">
        <v>763.1500244140625</v>
      </c>
      <c r="D3056">
        <v>763.5700073242188</v>
      </c>
      <c r="E3056">
        <v>759.9600219726562</v>
      </c>
      <c r="F3056">
        <v>762.5999755859375</v>
      </c>
      <c r="G3056">
        <v>760.7109985351562</v>
      </c>
      <c r="H3056">
        <v>49652800</v>
      </c>
      <c r="I3056" t="s">
        <v>4605</v>
      </c>
      <c r="J3056" t="s">
        <v>4606</v>
      </c>
      <c r="K3056" t="s">
        <v>4629</v>
      </c>
    </row>
    <row r="3057" spans="1:11" ht="20" customHeight="1">
      <c r="A3057" t="s">
        <v>4628</v>
      </c>
      <c r="B3057" t="s">
        <v>4607</v>
      </c>
      <c r="C3057">
        <v>761.3099975585938</v>
      </c>
      <c r="D3057">
        <v>762</v>
      </c>
      <c r="E3057">
        <v>757.969970703125</v>
      </c>
      <c r="F3057">
        <v>761.6900024414062</v>
      </c>
      <c r="G3057">
        <v>761.6900024414062</v>
      </c>
      <c r="H3057">
        <v>65395100</v>
      </c>
      <c r="I3057" t="s">
        <v>4608</v>
      </c>
      <c r="J3057" t="s">
        <v>4609</v>
      </c>
      <c r="K3057" t="s">
        <v>4629</v>
      </c>
    </row>
    <row r="3058" spans="1:11" ht="20" customHeight="1">
      <c r="A3058" t="s">
        <v>4628</v>
      </c>
      <c r="B3058" t="s">
        <v>4610</v>
      </c>
      <c r="C3058">
        <v>766.25</v>
      </c>
      <c r="D3058">
        <v>774.8900146484375</v>
      </c>
      <c r="E3058">
        <v>766.030029296875</v>
      </c>
      <c r="F3058">
        <v>773.5</v>
      </c>
      <c r="G3058">
        <v>773.5</v>
      </c>
      <c r="H3058">
        <v>50484700</v>
      </c>
      <c r="I3058" t="s">
        <v>4611</v>
      </c>
      <c r="J3058" t="s">
        <v>4612</v>
      </c>
      <c r="K3058" t="s">
        <v>4629</v>
      </c>
    </row>
    <row r="3059" spans="1:11" ht="20" customHeight="1">
      <c r="A3059" t="s">
        <v>4628</v>
      </c>
      <c r="B3059" t="s">
        <v>4613</v>
      </c>
      <c r="C3059">
        <v>774.030029296875</v>
      </c>
      <c r="D3059">
        <v>775.1400146484375</v>
      </c>
      <c r="E3059">
        <v>772.5700073242188</v>
      </c>
      <c r="F3059">
        <v>773.3800048828125</v>
      </c>
      <c r="G3059">
        <v>773.3800048828125</v>
      </c>
      <c r="H3059">
        <v>34802300</v>
      </c>
      <c r="I3059" t="s">
        <v>4614</v>
      </c>
      <c r="J3059" t="s">
        <v>4615</v>
      </c>
      <c r="K3059" t="s">
        <v>4629</v>
      </c>
    </row>
    <row r="3060" spans="1:11" ht="20" customHeight="1">
      <c r="A3060" t="s">
        <v>4628</v>
      </c>
      <c r="B3060" t="s">
        <v>4616</v>
      </c>
      <c r="C3060">
        <v>772.7899780273438</v>
      </c>
      <c r="D3060">
        <v>773.0499877929688</v>
      </c>
      <c r="E3060">
        <v>766.5</v>
      </c>
      <c r="F3060">
        <v>767.8099975585938</v>
      </c>
      <c r="G3060">
        <v>767.8099975585938</v>
      </c>
      <c r="H3060">
        <v>54931700</v>
      </c>
      <c r="I3060" t="s">
        <v>4617</v>
      </c>
      <c r="J3060" t="s">
        <v>4618</v>
      </c>
      <c r="K3060" t="s">
        <v>4629</v>
      </c>
    </row>
    <row r="3061" spans="1:11" ht="20" customHeight="1">
      <c r="A3061" t="s">
        <v>4628</v>
      </c>
      <c r="B3061" t="s">
        <v>4619</v>
      </c>
      <c r="C3061">
        <v>764.0700073242188</v>
      </c>
      <c r="D3061">
        <v>768.9500122070312</v>
      </c>
      <c r="E3061">
        <v>763.25</v>
      </c>
      <c r="F3061">
        <v>767.1799926757812</v>
      </c>
      <c r="G3061">
        <v>767.1799926757812</v>
      </c>
      <c r="H3061">
        <v>43983700</v>
      </c>
      <c r="I3061" t="s">
        <v>4620</v>
      </c>
      <c r="J3061" t="s">
        <v>4621</v>
      </c>
      <c r="K3061" t="s">
        <v>4629</v>
      </c>
    </row>
    <row r="3062" spans="1:11" ht="20" customHeight="1">
      <c r="A3062" t="s">
        <v>4628</v>
      </c>
      <c r="B3062" t="s">
        <v>4622</v>
      </c>
      <c r="C3062">
        <v>768.780029296875</v>
      </c>
      <c r="D3062">
        <v>772.280029296875</v>
      </c>
      <c r="E3062">
        <v>766.2899780273438</v>
      </c>
      <c r="F3062">
        <v>771.3499755859375</v>
      </c>
      <c r="G3062">
        <v>771.3499755859375</v>
      </c>
      <c r="H3062">
        <v>36666700</v>
      </c>
      <c r="I3062" t="s">
        <v>4623</v>
      </c>
      <c r="J3062" t="s">
        <v>4624</v>
      </c>
      <c r="K3062" t="s">
        <v>4629</v>
      </c>
    </row>
    <row r="3063" spans="1:11" ht="20" customHeight="1">
      <c r="A3063" t="s">
        <v>4628</v>
      </c>
      <c r="B3063" t="s">
        <v>4625</v>
      </c>
      <c r="C3063">
        <v>768.3499755859375</v>
      </c>
      <c r="D3063">
        <v>769.5399780273438</v>
      </c>
      <c r="E3063">
        <v>763.719970703125</v>
      </c>
      <c r="F3063">
        <v>765.6099853515625</v>
      </c>
      <c r="G3063">
        <v>765.6099853515625</v>
      </c>
      <c r="H3063">
        <v>42296700</v>
      </c>
      <c r="I3063" t="s">
        <v>4626</v>
      </c>
      <c r="J3063" t="s">
        <v>4627</v>
      </c>
      <c r="K3063" t="s">
        <v>4629</v>
      </c>
    </row>
  </sheetData>
  <autoFilter ref="A1:K306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17.7109375" customWidth="1"/>
    <col min="2" max="2" width="30.7109375" customWidth="1"/>
    <col min="3" max="36" width="17.7109375" customWidth="1"/>
  </cols>
  <sheetData>
    <row r="1" spans="1:4" ht="32" customHeight="1">
      <c r="A1" s="6" t="s">
        <v>4630</v>
      </c>
      <c r="B1" s="6" t="s">
        <v>4631</v>
      </c>
      <c r="C1" s="6" t="s">
        <v>22</v>
      </c>
      <c r="D1" s="6" t="s">
        <v>4632</v>
      </c>
    </row>
    <row r="2" spans="1:4" ht="20" customHeight="1">
      <c r="A2" t="s">
        <v>869</v>
      </c>
      <c r="B2" t="s">
        <v>871</v>
      </c>
      <c r="C2" s="3">
        <f>Daily!G280</f>
        <v>20.625158309936523</v>
      </c>
      <c r="D2" t="s">
        <v>871</v>
      </c>
    </row>
    <row r="3" spans="1:4" ht="20" customHeight="1">
      <c r="A3" t="s">
        <v>932</v>
      </c>
      <c r="B3" t="s">
        <v>934</v>
      </c>
      <c r="C3" s="3">
        <f>Daily!G301</f>
        <v>25.454879760742188</v>
      </c>
      <c r="D3" t="s">
        <v>934</v>
      </c>
    </row>
    <row r="4" spans="1:4" ht="20" customHeight="1">
      <c r="A4" t="s">
        <v>995</v>
      </c>
      <c r="B4" t="s">
        <v>997</v>
      </c>
      <c r="C4" s="3">
        <f>Daily!G322</f>
        <v>32.53269577026367</v>
      </c>
      <c r="D4" t="s">
        <v>997</v>
      </c>
    </row>
    <row r="5" spans="1:4" ht="20" customHeight="1">
      <c r="A5" t="s">
        <v>1061</v>
      </c>
      <c r="B5" t="s">
        <v>1063</v>
      </c>
      <c r="C5" s="3">
        <f>Daily!G344</f>
        <v>29.28561019897461</v>
      </c>
      <c r="D5" t="s">
        <v>1063</v>
      </c>
    </row>
    <row r="6" spans="1:4" ht="20" customHeight="1">
      <c r="A6" t="s">
        <v>1121</v>
      </c>
      <c r="B6" t="s">
        <v>1123</v>
      </c>
      <c r="C6" s="3">
        <f>Daily!G364</f>
        <v>24.38160514831543</v>
      </c>
      <c r="D6" t="s">
        <v>1123</v>
      </c>
    </row>
    <row r="7" spans="1:4" ht="20" customHeight="1">
      <c r="A7" t="s">
        <v>1178</v>
      </c>
      <c r="B7" t="s">
        <v>1180</v>
      </c>
      <c r="C7" s="3">
        <f>Daily!G383</f>
        <v>24.281034469604492</v>
      </c>
      <c r="D7" t="s">
        <v>1180</v>
      </c>
    </row>
    <row r="8" spans="1:4" ht="20" customHeight="1">
      <c r="A8" t="s">
        <v>1247</v>
      </c>
      <c r="B8" t="s">
        <v>1249</v>
      </c>
      <c r="C8" s="3">
        <f>Daily!G406</f>
        <v>27.174299240112305</v>
      </c>
      <c r="D8" t="s">
        <v>1249</v>
      </c>
    </row>
    <row r="9" spans="1:4" ht="20" customHeight="1">
      <c r="A9" t="s">
        <v>1307</v>
      </c>
      <c r="B9" t="s">
        <v>1309</v>
      </c>
      <c r="C9" s="3">
        <f>Daily!G426</f>
        <v>18.471080780029297</v>
      </c>
      <c r="D9" t="s">
        <v>1309</v>
      </c>
    </row>
    <row r="10" spans="1:4" ht="20" customHeight="1">
      <c r="A10" t="s">
        <v>1370</v>
      </c>
      <c r="B10" t="s">
        <v>1372</v>
      </c>
      <c r="C10" s="3">
        <f>Daily!G447</f>
        <v>18.595565795898438</v>
      </c>
      <c r="D10" t="s">
        <v>1372</v>
      </c>
    </row>
    <row r="11" spans="1:4" ht="20" customHeight="1">
      <c r="A11" t="s">
        <v>1433</v>
      </c>
      <c r="B11" t="s">
        <v>1435</v>
      </c>
      <c r="C11" s="3">
        <f>Daily!G468</f>
        <v>15.100133895874023</v>
      </c>
      <c r="D11" t="s">
        <v>1435</v>
      </c>
    </row>
    <row r="12" spans="1:4" ht="20" customHeight="1">
      <c r="A12" t="s">
        <v>1493</v>
      </c>
      <c r="B12" t="s">
        <v>1495</v>
      </c>
      <c r="C12" s="3">
        <f>Daily!G488</f>
        <v>18.09246826171875</v>
      </c>
      <c r="D12" t="s">
        <v>1495</v>
      </c>
    </row>
    <row r="13" spans="1:4" ht="20" customHeight="1">
      <c r="A13" t="s">
        <v>1562</v>
      </c>
      <c r="B13" t="s">
        <v>1564</v>
      </c>
      <c r="C13" s="3">
        <f>Daily!G511</f>
        <v>15.03538990020752</v>
      </c>
      <c r="D13" t="s">
        <v>1564</v>
      </c>
    </row>
    <row r="14" spans="1:4" ht="20" customHeight="1">
      <c r="A14" t="s">
        <v>1625</v>
      </c>
      <c r="B14" t="s">
        <v>1627</v>
      </c>
      <c r="C14" s="3">
        <f>Daily!G532</f>
        <v>12.095454216003418</v>
      </c>
      <c r="D14" t="s">
        <v>1627</v>
      </c>
    </row>
    <row r="15" spans="1:4" ht="20" customHeight="1">
      <c r="A15" t="s">
        <v>1688</v>
      </c>
      <c r="B15" t="s">
        <v>1690</v>
      </c>
      <c r="C15" s="3">
        <f>Daily!G553</f>
        <v>13.448582649230957</v>
      </c>
      <c r="D15" t="s">
        <v>1690</v>
      </c>
    </row>
    <row r="16" spans="1:4" ht="20" customHeight="1">
      <c r="A16" t="s">
        <v>1751</v>
      </c>
      <c r="B16" t="s">
        <v>1753</v>
      </c>
      <c r="C16" s="3">
        <f>Daily!G574</f>
        <v>16.866609573364258</v>
      </c>
      <c r="D16" t="s">
        <v>1753</v>
      </c>
    </row>
    <row r="17" spans="1:4" ht="20" customHeight="1">
      <c r="A17" t="s">
        <v>1814</v>
      </c>
      <c r="B17" t="s">
        <v>1816</v>
      </c>
      <c r="C17" s="3">
        <f>Daily!G595</f>
        <v>14.565300941467285</v>
      </c>
      <c r="D17" t="s">
        <v>1816</v>
      </c>
    </row>
    <row r="18" spans="1:4" ht="20" customHeight="1">
      <c r="A18" t="s">
        <v>1874</v>
      </c>
      <c r="B18" t="s">
        <v>1876</v>
      </c>
      <c r="C18" s="3">
        <f>Daily!G615</f>
        <v>19.471899032592773</v>
      </c>
      <c r="D18" t="s">
        <v>1876</v>
      </c>
    </row>
    <row r="19" spans="1:4" ht="20" customHeight="1">
      <c r="A19" t="s">
        <v>1931</v>
      </c>
      <c r="B19" t="s">
        <v>1933</v>
      </c>
      <c r="C19" s="3">
        <f>Daily!G634</f>
        <v>23.138635635375977</v>
      </c>
      <c r="D19" t="s">
        <v>1933</v>
      </c>
    </row>
    <row r="20" spans="1:4" ht="20" customHeight="1">
      <c r="A20" t="s">
        <v>2000</v>
      </c>
      <c r="B20" t="s">
        <v>2002</v>
      </c>
      <c r="C20" s="3">
        <f>Daily!G657</f>
        <v>27.68914222717285</v>
      </c>
      <c r="D20" t="s">
        <v>2002</v>
      </c>
    </row>
    <row r="21" spans="1:4" ht="20" customHeight="1">
      <c r="A21" t="s">
        <v>2057</v>
      </c>
      <c r="B21" t="s">
        <v>2059</v>
      </c>
      <c r="C21" s="3">
        <f>Daily!G676</f>
        <v>27.661235809326172</v>
      </c>
      <c r="D21" t="s">
        <v>2059</v>
      </c>
    </row>
    <row r="22" spans="1:4" ht="20" customHeight="1">
      <c r="A22" t="s">
        <v>2123</v>
      </c>
      <c r="B22" t="s">
        <v>2125</v>
      </c>
      <c r="C22" s="3">
        <f>Daily!G698</f>
        <v>37.71434020996094</v>
      </c>
      <c r="D22" t="s">
        <v>2125</v>
      </c>
    </row>
    <row r="23" spans="1:4" ht="20" customHeight="1">
      <c r="A23" t="s">
        <v>2186</v>
      </c>
      <c r="B23" t="s">
        <v>2188</v>
      </c>
      <c r="C23" s="3">
        <f>Daily!G719</f>
        <v>42.17256164550781</v>
      </c>
      <c r="D23" t="s">
        <v>2188</v>
      </c>
    </row>
    <row r="24" spans="1:4" ht="20" customHeight="1">
      <c r="A24" t="s">
        <v>2246</v>
      </c>
      <c r="B24" t="s">
        <v>2248</v>
      </c>
      <c r="C24" s="3">
        <f>Daily!G739</f>
        <v>46.586021423339844</v>
      </c>
      <c r="D24" t="s">
        <v>2248</v>
      </c>
    </row>
    <row r="25" spans="1:4" ht="20" customHeight="1">
      <c r="A25" t="s">
        <v>2315</v>
      </c>
      <c r="B25" t="s">
        <v>2317</v>
      </c>
      <c r="C25" s="3">
        <f>Daily!G762</f>
        <v>49.20398712158203</v>
      </c>
      <c r="D25" t="s">
        <v>2317</v>
      </c>
    </row>
    <row r="26" spans="1:4" ht="20" customHeight="1">
      <c r="A26" t="s">
        <v>2375</v>
      </c>
      <c r="B26" t="s">
        <v>2377</v>
      </c>
      <c r="C26" s="3">
        <f>Daily!G782</f>
        <v>43.369468688964844</v>
      </c>
      <c r="D26" t="s">
        <v>2377</v>
      </c>
    </row>
    <row r="27" spans="1:4" ht="20" customHeight="1">
      <c r="A27" t="s">
        <v>2441</v>
      </c>
      <c r="B27" t="s">
        <v>2443</v>
      </c>
      <c r="C27" s="3">
        <f>Daily!G804</f>
        <v>40.658573150634766</v>
      </c>
      <c r="D27" t="s">
        <v>2443</v>
      </c>
    </row>
    <row r="28" spans="1:4" ht="20" customHeight="1">
      <c r="A28" t="s">
        <v>2504</v>
      </c>
      <c r="B28" t="s">
        <v>2506</v>
      </c>
      <c r="C28" s="3">
        <f>Daily!G825</f>
        <v>46.6307373046875</v>
      </c>
      <c r="D28" t="s">
        <v>2506</v>
      </c>
    </row>
    <row r="29" spans="1:4" ht="20" customHeight="1">
      <c r="A29" t="s">
        <v>2564</v>
      </c>
      <c r="B29" t="s">
        <v>2566</v>
      </c>
      <c r="C29" s="3">
        <f>Daily!G845</f>
        <v>49.378875732421875</v>
      </c>
      <c r="D29" t="s">
        <v>2566</v>
      </c>
    </row>
    <row r="30" spans="1:4" ht="20" customHeight="1">
      <c r="A30" t="s">
        <v>2627</v>
      </c>
      <c r="B30" t="s">
        <v>2629</v>
      </c>
      <c r="C30" s="3">
        <f>Daily!G866</f>
        <v>61.349185943603516</v>
      </c>
      <c r="D30" t="s">
        <v>2629</v>
      </c>
    </row>
    <row r="31" spans="1:4" ht="20" customHeight="1">
      <c r="A31" t="s">
        <v>2687</v>
      </c>
      <c r="B31" t="s">
        <v>2689</v>
      </c>
      <c r="C31" s="3">
        <f>Daily!G886</f>
        <v>78.88336181640625</v>
      </c>
      <c r="D31" t="s">
        <v>2689</v>
      </c>
    </row>
    <row r="32" spans="1:4" ht="20" customHeight="1">
      <c r="A32" t="s">
        <v>2747</v>
      </c>
      <c r="B32" t="s">
        <v>2749</v>
      </c>
      <c r="C32" s="3">
        <f>Daily!G906</f>
        <v>90.09909057617188</v>
      </c>
      <c r="D32" t="s">
        <v>2749</v>
      </c>
    </row>
    <row r="33" spans="1:4" ht="20" customHeight="1">
      <c r="A33" t="s">
        <v>2813</v>
      </c>
      <c r="B33" t="s">
        <v>2815</v>
      </c>
      <c r="C33" s="3">
        <f>Daily!G928</f>
        <v>86.15633392333984</v>
      </c>
      <c r="D33" t="s">
        <v>2815</v>
      </c>
    </row>
    <row r="34" spans="1:4" ht="20" customHeight="1">
      <c r="A34" t="s">
        <v>2879</v>
      </c>
      <c r="B34" t="s">
        <v>2881</v>
      </c>
      <c r="C34" s="3">
        <f>Daily!G950</f>
        <v>109.32128143310547</v>
      </c>
      <c r="D34" t="s">
        <v>2881</v>
      </c>
    </row>
    <row r="35" spans="1:4" ht="20" customHeight="1">
      <c r="A35" t="s">
        <v>2936</v>
      </c>
      <c r="B35" t="s">
        <v>2938</v>
      </c>
      <c r="C35" s="3">
        <f>Daily!G969</f>
        <v>123.19886779785156</v>
      </c>
      <c r="D35" t="s">
        <v>2938</v>
      </c>
    </row>
    <row r="36" spans="1:4" ht="20" customHeight="1">
      <c r="A36" t="s">
        <v>3002</v>
      </c>
      <c r="B36" t="s">
        <v>3004</v>
      </c>
      <c r="C36" s="3">
        <f>Daily!G991</f>
        <v>116.69685363769531</v>
      </c>
      <c r="D36" t="s">
        <v>3004</v>
      </c>
    </row>
    <row r="37" spans="1:4" ht="20" customHeight="1">
      <c r="A37" t="s">
        <v>3068</v>
      </c>
      <c r="B37" t="s">
        <v>3070</v>
      </c>
      <c r="C37" s="3">
        <f>Daily!G1013</f>
        <v>119.04036712646484</v>
      </c>
      <c r="D37" t="s">
        <v>3070</v>
      </c>
    </row>
    <row r="38" spans="1:4" ht="20" customHeight="1">
      <c r="A38" t="s">
        <v>3128</v>
      </c>
      <c r="B38" t="s">
        <v>3130</v>
      </c>
      <c r="C38" s="3">
        <f>Daily!G1033</f>
        <v>121.11502075195312</v>
      </c>
      <c r="D38" t="s">
        <v>3130</v>
      </c>
    </row>
    <row r="39" spans="1:4" ht="20" customHeight="1">
      <c r="A39" t="s">
        <v>3197</v>
      </c>
      <c r="B39" t="s">
        <v>3199</v>
      </c>
      <c r="C39" s="3">
        <f>Daily!G1056</f>
        <v>132.4047393798828</v>
      </c>
      <c r="D39" t="s">
        <v>3199</v>
      </c>
    </row>
    <row r="40" spans="1:4" ht="20" customHeight="1">
      <c r="A40" t="s">
        <v>3257</v>
      </c>
      <c r="B40" t="s">
        <v>3259</v>
      </c>
      <c r="C40" s="3">
        <f>Daily!G1076</f>
        <v>137.8800506591797</v>
      </c>
      <c r="D40" t="s">
        <v>3259</v>
      </c>
    </row>
    <row r="41" spans="1:4" ht="20" customHeight="1">
      <c r="A41" t="s">
        <v>3320</v>
      </c>
      <c r="B41" t="s">
        <v>3322</v>
      </c>
      <c r="C41" s="3">
        <f>Daily!G1097</f>
        <v>133.9398651123047</v>
      </c>
      <c r="D41" t="s">
        <v>3322</v>
      </c>
    </row>
    <row r="42" spans="1:4" ht="20" customHeight="1">
      <c r="A42" t="s">
        <v>3380</v>
      </c>
      <c r="B42" t="s">
        <v>3382</v>
      </c>
      <c r="C42" s="3">
        <f>Daily!G1117</f>
        <v>119.75694274902344</v>
      </c>
      <c r="D42" t="s">
        <v>3382</v>
      </c>
    </row>
    <row r="43" spans="1:4" ht="20" customHeight="1">
      <c r="A43" t="s">
        <v>3437</v>
      </c>
      <c r="B43" t="s">
        <v>3439</v>
      </c>
      <c r="C43" s="3">
        <f>Daily!G1136</f>
        <v>124.59429168701172</v>
      </c>
      <c r="D43" t="s">
        <v>3439</v>
      </c>
    </row>
    <row r="44" spans="1:4" ht="20" customHeight="1">
      <c r="A44" t="s">
        <v>3500</v>
      </c>
      <c r="B44" t="s">
        <v>3502</v>
      </c>
      <c r="C44" s="3">
        <f>Daily!G1157</f>
        <v>108.10735321044922</v>
      </c>
      <c r="D44" t="s">
        <v>3502</v>
      </c>
    </row>
    <row r="45" spans="1:4" ht="20" customHeight="1">
      <c r="A45" t="s">
        <v>3563</v>
      </c>
      <c r="B45" t="s">
        <v>3565</v>
      </c>
      <c r="C45" s="3">
        <f>Daily!G1178</f>
        <v>108.64599609375</v>
      </c>
      <c r="D45" t="s">
        <v>3565</v>
      </c>
    </row>
    <row r="46" spans="1:4" ht="20" customHeight="1">
      <c r="A46" t="s">
        <v>3626</v>
      </c>
      <c r="B46" t="s">
        <v>3628</v>
      </c>
      <c r="C46" s="3">
        <f>Daily!G1199</f>
        <v>134.79006958007812</v>
      </c>
      <c r="D46" t="s">
        <v>3628</v>
      </c>
    </row>
    <row r="47" spans="1:4" ht="20" customHeight="1">
      <c r="A47" t="s">
        <v>3686</v>
      </c>
      <c r="B47" t="s">
        <v>3688</v>
      </c>
      <c r="C47" s="3">
        <f>Daily!G1219</f>
        <v>157.603515625</v>
      </c>
      <c r="D47" t="s">
        <v>3688</v>
      </c>
    </row>
    <row r="48" spans="1:4" ht="20" customHeight="1">
      <c r="A48" t="s">
        <v>3752</v>
      </c>
      <c r="B48" t="s">
        <v>3754</v>
      </c>
      <c r="C48" s="3">
        <f>Daily!G1241</f>
        <v>177.4348602294922</v>
      </c>
      <c r="D48" t="s">
        <v>3754</v>
      </c>
    </row>
    <row r="49" spans="1:4" ht="20" customHeight="1">
      <c r="A49" t="s">
        <v>3815</v>
      </c>
      <c r="B49" t="s">
        <v>3817</v>
      </c>
      <c r="C49" s="3">
        <f>Daily!G1262</f>
        <v>173.75389099121094</v>
      </c>
      <c r="D49" t="s">
        <v>3817</v>
      </c>
    </row>
    <row r="50" spans="1:4" ht="20" customHeight="1">
      <c r="A50" t="s">
        <v>3878</v>
      </c>
      <c r="B50" t="s">
        <v>3880</v>
      </c>
      <c r="C50" s="3">
        <f>Daily!G1283</f>
        <v>186.13406372070312</v>
      </c>
      <c r="D50" t="s">
        <v>3880</v>
      </c>
    </row>
    <row r="51" spans="1:4" ht="20" customHeight="1">
      <c r="A51" t="s">
        <v>3947</v>
      </c>
      <c r="B51" t="s">
        <v>3949</v>
      </c>
      <c r="C51" s="3">
        <f>Daily!G1306</f>
        <v>202.00604248046875</v>
      </c>
      <c r="D51" t="s">
        <v>3949</v>
      </c>
    </row>
    <row r="52" spans="1:4" ht="20" customHeight="1">
      <c r="A52" t="s">
        <v>4004</v>
      </c>
      <c r="B52" t="s">
        <v>4006</v>
      </c>
      <c r="C52" s="3">
        <f>Daily!G1325</f>
        <v>176.5769500732422</v>
      </c>
      <c r="D52" t="s">
        <v>4006</v>
      </c>
    </row>
    <row r="53" spans="1:4" ht="20" customHeight="1">
      <c r="A53" t="s">
        <v>4070</v>
      </c>
      <c r="B53" t="s">
        <v>4072</v>
      </c>
      <c r="C53" s="3">
        <f>Daily!G1347</f>
        <v>186.0646209716797</v>
      </c>
      <c r="D53" t="s">
        <v>4072</v>
      </c>
    </row>
    <row r="54" spans="1:4" ht="20" customHeight="1">
      <c r="A54" t="s">
        <v>4130</v>
      </c>
      <c r="B54" t="s">
        <v>4132</v>
      </c>
      <c r="C54" s="3">
        <f>Daily!G1367</f>
        <v>190.6837921142578</v>
      </c>
      <c r="D54" t="s">
        <v>4132</v>
      </c>
    </row>
    <row r="55" spans="1:4" ht="20" customHeight="1">
      <c r="A55" t="s">
        <v>4187</v>
      </c>
      <c r="B55" t="s">
        <v>4189</v>
      </c>
      <c r="C55" s="3">
        <f>Daily!G1386</f>
        <v>176.77635192871094</v>
      </c>
      <c r="D55" t="s">
        <v>4189</v>
      </c>
    </row>
    <row r="56" spans="1:4" ht="20" customHeight="1">
      <c r="A56" t="s">
        <v>4253</v>
      </c>
      <c r="B56" t="s">
        <v>4255</v>
      </c>
      <c r="C56" s="3">
        <f>Daily!G1408</f>
        <v>174.00225830078125</v>
      </c>
      <c r="D56" t="s">
        <v>4255</v>
      </c>
    </row>
    <row r="57" spans="1:4" ht="20" customHeight="1">
      <c r="A57" t="s">
        <v>4316</v>
      </c>
      <c r="B57" t="s">
        <v>4318</v>
      </c>
      <c r="C57" s="3">
        <f>Daily!G1429</f>
        <v>199.1148681640625</v>
      </c>
      <c r="D57" t="s">
        <v>4318</v>
      </c>
    </row>
    <row r="58" spans="1:4" ht="20" customHeight="1">
      <c r="A58" t="s">
        <v>4376</v>
      </c>
      <c r="B58" t="s">
        <v>4378</v>
      </c>
      <c r="C58" s="3">
        <f>Daily!G1449</f>
        <v>210.6584930419922</v>
      </c>
      <c r="D58" t="s">
        <v>4378</v>
      </c>
    </row>
    <row r="59" spans="1:4" ht="20" customHeight="1">
      <c r="A59" t="s">
        <v>4439</v>
      </c>
      <c r="B59" t="s">
        <v>4441</v>
      </c>
      <c r="C59" s="3">
        <f>Daily!G1470</f>
        <v>199.86634826660156</v>
      </c>
      <c r="D59" t="s">
        <v>4441</v>
      </c>
    </row>
    <row r="60" spans="1:4" ht="20" customHeight="1">
      <c r="A60" t="s">
        <v>4505</v>
      </c>
      <c r="B60" t="s">
        <v>4507</v>
      </c>
      <c r="C60" s="3">
        <f>Daily!G1492</f>
        <v>200.52561950683594</v>
      </c>
      <c r="D60" t="s">
        <v>4507</v>
      </c>
    </row>
    <row r="61" spans="1:4" ht="20" customHeight="1">
      <c r="A61" t="s">
        <v>4568</v>
      </c>
      <c r="B61" t="s">
        <v>4570</v>
      </c>
      <c r="C61" s="3">
        <f>Daily!G1513</f>
        <v>220.53323364257812</v>
      </c>
      <c r="D61" t="s">
        <v>4570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36" width="17.7109375" customWidth="1"/>
  </cols>
  <sheetData>
    <row r="1" spans="1:13" ht="32" customHeight="1">
      <c r="A1" s="6" t="s">
        <v>4630</v>
      </c>
      <c r="B1" s="6" t="s">
        <v>4633</v>
      </c>
      <c r="C1" s="6" t="s">
        <v>4634</v>
      </c>
      <c r="D1" s="6" t="s">
        <v>4635</v>
      </c>
      <c r="E1" s="6" t="s">
        <v>4636</v>
      </c>
      <c r="F1" s="6" t="s">
        <v>4637</v>
      </c>
      <c r="G1" s="6" t="s">
        <v>4638</v>
      </c>
      <c r="H1" s="6" t="s">
        <v>4639</v>
      </c>
      <c r="I1" s="6" t="s">
        <v>4640</v>
      </c>
      <c r="J1" s="6" t="s">
        <v>4641</v>
      </c>
      <c r="K1" s="6" t="s">
        <v>4642</v>
      </c>
      <c r="L1" s="6" t="s">
        <v>4643</v>
      </c>
      <c r="M1" s="6" t="s">
        <v>4644</v>
      </c>
    </row>
    <row r="2" spans="1:13" ht="20" customHeight="1">
      <c r="A2" t="str">
        <f>Monthly!A2</f>
        <v>2021-09-30</v>
      </c>
      <c r="B2" s="3">
        <f>Parameters!$B$2*Parameters!$B$8</f>
        <v>100000.0</v>
      </c>
      <c r="C2" s="3">
        <f>SUM(B2:B2)</f>
        <v>100000.0</v>
      </c>
      <c r="D2" t="b">
        <f>TRUE()</f>
        <v>1</v>
      </c>
      <c r="E2" s="3">
        <f>C2</f>
        <v>100000.0</v>
      </c>
      <c r="F2" s="3">
        <f>IF(D2,E2*Parameters!$B$3/10000,0)</f>
        <v>100.0</v>
      </c>
      <c r="G2" s="3">
        <f>IF(ABS(Parameters!$B$5-1)&gt;0.00000001,NA(),C2-F2)</f>
        <v>99900.0</v>
      </c>
      <c r="H2" s="3">
        <f>IF(D2,G2*Parameters!$B$8,B2)</f>
        <v>99900.0</v>
      </c>
      <c r="I2" s="3">
        <f>MAX(Parameters!$B$2,G$2:G2)</f>
        <v>100000.0</v>
      </c>
      <c r="J2" s="4">
        <f>G2/I2-1</f>
        <v>-0.0010000000000000009</v>
      </c>
      <c r="K2" s="4">
        <f>G2/Parameters!$B$2-1</f>
        <v>-0.0010000000000000009</v>
      </c>
      <c r="L2" s="3">
        <v>99900</v>
      </c>
      <c r="M2" s="5">
        <f>G2-L2</f>
        <v>0</v>
      </c>
    </row>
    <row r="3" spans="1:13" ht="20" customHeight="1">
      <c r="A3" t="str">
        <f>Monthly!A3</f>
        <v>2021-10-29</v>
      </c>
      <c r="B3" s="3">
        <f>H2*Monthly!C3/Monthly!C2</f>
        <v>123293.23488746451</v>
      </c>
      <c r="C3" s="3">
        <f>SUM(B3:B3)</f>
        <v>123293.23488746451</v>
      </c>
      <c r="D3" t="b">
        <f>IF(Parameters!$B$4=0,FALSE(),MOD(1,Parameters!$B$4)=0)</f>
        <v>1</v>
      </c>
      <c r="E3" s="3">
        <f>ABS(C3*Parameters!$B$8-B3)</f>
        <v>0.0</v>
      </c>
      <c r="F3" s="3">
        <f>IF(D3,E3*Parameters!$B$3/10000,0)</f>
        <v>0.0</v>
      </c>
      <c r="G3" s="3">
        <f>IF(ABS(Parameters!$B$5-1)&gt;0.00000001,NA(),C3-F3)</f>
        <v>123293.23488746451</v>
      </c>
      <c r="H3" s="3">
        <f>IF(D3,G3*Parameters!$B$8,B3)</f>
        <v>123293.23488746451</v>
      </c>
      <c r="I3" s="3">
        <f>MAX(Parameters!$B$2,G$2:G3)</f>
        <v>123293.23488746451</v>
      </c>
      <c r="J3" s="4">
        <f>G3/I3-1</f>
        <v>0.0</v>
      </c>
      <c r="K3" s="4">
        <f>G3/G2-1</f>
        <v>0.2341665153900352</v>
      </c>
      <c r="L3" s="3">
        <v>123293.2348874645</v>
      </c>
      <c r="M3" s="5">
        <f>G3-L3</f>
        <v>0</v>
      </c>
    </row>
    <row r="4" spans="1:13" ht="20" customHeight="1">
      <c r="A4" t="str">
        <f>Monthly!A4</f>
        <v>2021-11-30</v>
      </c>
      <c r="B4" s="3">
        <f>H3*Monthly!C4/Monthly!C3</f>
        <v>157575.33874945287</v>
      </c>
      <c r="C4" s="3">
        <f>SUM(B4:B4)</f>
        <v>157575.33874945287</v>
      </c>
      <c r="D4" t="b">
        <f>IF(Parameters!$B$4=0,FALSE(),MOD(2,Parameters!$B$4)=0)</f>
        <v>1</v>
      </c>
      <c r="E4" s="3">
        <f>ABS(C4*Parameters!$B$8-B4)</f>
        <v>0.0</v>
      </c>
      <c r="F4" s="3">
        <f>IF(D4,E4*Parameters!$B$3/10000,0)</f>
        <v>0.0</v>
      </c>
      <c r="G4" s="3">
        <f>IF(ABS(Parameters!$B$5-1)&gt;0.00000001,NA(),C4-F4)</f>
        <v>157575.33874945287</v>
      </c>
      <c r="H4" s="3">
        <f>IF(D4,G4*Parameters!$B$8,B4)</f>
        <v>157575.33874945287</v>
      </c>
      <c r="I4" s="3">
        <f>MAX(Parameters!$B$2,G$2:G4)</f>
        <v>157575.33874945287</v>
      </c>
      <c r="J4" s="4">
        <f>G4/I4-1</f>
        <v>0.0</v>
      </c>
      <c r="K4" s="4">
        <f>G4/G3-1</f>
        <v>0.2780534057142652</v>
      </c>
      <c r="L4" s="3">
        <v>157575.3387494529</v>
      </c>
      <c r="M4" s="5">
        <f>G4-L4</f>
        <v>0</v>
      </c>
    </row>
    <row r="5" spans="1:13" ht="20" customHeight="1">
      <c r="A5" t="str">
        <f>Monthly!A5</f>
        <v>2021-12-31</v>
      </c>
      <c r="B5" s="3">
        <f>H4*Monthly!C5/Monthly!C4</f>
        <v>141847.75771966268</v>
      </c>
      <c r="C5" s="3">
        <f>SUM(B5:B5)</f>
        <v>141847.75771966268</v>
      </c>
      <c r="D5" t="b">
        <f>IF(Parameters!$B$4=0,FALSE(),MOD(3,Parameters!$B$4)=0)</f>
        <v>1</v>
      </c>
      <c r="E5" s="3">
        <f>ABS(C5*Parameters!$B$8-B5)</f>
        <v>0.0</v>
      </c>
      <c r="F5" s="3">
        <f>IF(D5,E5*Parameters!$B$3/10000,0)</f>
        <v>0.0</v>
      </c>
      <c r="G5" s="3">
        <f>IF(ABS(Parameters!$B$5-1)&gt;0.00000001,NA(),C5-F5)</f>
        <v>141847.75771966268</v>
      </c>
      <c r="H5" s="3">
        <f>IF(D5,G5*Parameters!$B$8,B5)</f>
        <v>141847.75771966268</v>
      </c>
      <c r="I5" s="3">
        <f>MAX(Parameters!$B$2,G$2:G5)</f>
        <v>157575.33874945287</v>
      </c>
      <c r="J5" s="4">
        <f>G5/I5-1</f>
        <v>-0.0998099141312796</v>
      </c>
      <c r="K5" s="4">
        <f>G5/G4-1</f>
        <v>-0.0998099141312796</v>
      </c>
      <c r="L5" s="3">
        <v>141847.7577196627</v>
      </c>
      <c r="M5" s="5">
        <f>G5-L5</f>
        <v>0</v>
      </c>
    </row>
    <row r="6" spans="1:13" ht="20" customHeight="1">
      <c r="A6" t="str">
        <f>Monthly!A6</f>
        <v>2022-01-31</v>
      </c>
      <c r="B6" s="3">
        <f>H5*Monthly!C6/Monthly!C5</f>
        <v>118094.72284841859</v>
      </c>
      <c r="C6" s="3">
        <f>SUM(B6:B6)</f>
        <v>118094.72284841859</v>
      </c>
      <c r="D6" t="b">
        <f>IF(Parameters!$B$4=0,FALSE(),MOD(4,Parameters!$B$4)=0)</f>
        <v>1</v>
      </c>
      <c r="E6" s="3">
        <f>ABS(C6*Parameters!$B$8-B6)</f>
        <v>0.0</v>
      </c>
      <c r="F6" s="3">
        <f>IF(D6,E6*Parameters!$B$3/10000,0)</f>
        <v>0.0</v>
      </c>
      <c r="G6" s="3">
        <f>IF(ABS(Parameters!$B$5-1)&gt;0.00000001,NA(),C6-F6)</f>
        <v>118094.72284841859</v>
      </c>
      <c r="H6" s="3">
        <f>IF(D6,G6*Parameters!$B$8,B6)</f>
        <v>118094.72284841859</v>
      </c>
      <c r="I6" s="3">
        <f>MAX(Parameters!$B$2,G$2:G6)</f>
        <v>157575.33874945287</v>
      </c>
      <c r="J6" s="4">
        <f>G6/I6-1</f>
        <v>-0.25055072839671344</v>
      </c>
      <c r="K6" s="4">
        <f>G6/G5-1</f>
        <v>-0.16745442616151762</v>
      </c>
      <c r="L6" s="3">
        <v>118094.7228484186</v>
      </c>
      <c r="M6" s="5">
        <f>G6-L6</f>
        <v>0</v>
      </c>
    </row>
    <row r="7" spans="1:13" ht="20" customHeight="1">
      <c r="A7" t="str">
        <f>Monthly!A7</f>
        <v>2022-02-28</v>
      </c>
      <c r="B7" s="3">
        <f>H6*Monthly!C7/Monthly!C6</f>
        <v>117607.59879088432</v>
      </c>
      <c r="C7" s="3">
        <f>SUM(B7:B7)</f>
        <v>117607.59879088432</v>
      </c>
      <c r="D7" t="b">
        <f>IF(Parameters!$B$4=0,FALSE(),MOD(5,Parameters!$B$4)=0)</f>
        <v>1</v>
      </c>
      <c r="E7" s="3">
        <f>ABS(C7*Parameters!$B$8-B7)</f>
        <v>0.0</v>
      </c>
      <c r="F7" s="3">
        <f>IF(D7,E7*Parameters!$B$3/10000,0)</f>
        <v>0.0</v>
      </c>
      <c r="G7" s="3">
        <f>IF(ABS(Parameters!$B$5-1)&gt;0.00000001,NA(),C7-F7)</f>
        <v>117607.59879088432</v>
      </c>
      <c r="H7" s="3">
        <f>IF(D7,G7*Parameters!$B$8,B7)</f>
        <v>117607.59879088432</v>
      </c>
      <c r="I7" s="3">
        <f>MAX(Parameters!$B$2,G$2:G7)</f>
        <v>157575.33874945287</v>
      </c>
      <c r="J7" s="4">
        <f>G7/I7-1</f>
        <v>-0.2536421008246592</v>
      </c>
      <c r="K7" s="4">
        <f>G7/G6-1</f>
        <v>-0.0041248588064305425</v>
      </c>
      <c r="L7" s="3">
        <v>117607.5987908843</v>
      </c>
      <c r="M7" s="5">
        <f>G7-L7</f>
        <v>0</v>
      </c>
    </row>
    <row r="8" spans="1:13" ht="20" customHeight="1">
      <c r="A8" t="str">
        <f>Monthly!A8</f>
        <v>2022-03-31</v>
      </c>
      <c r="B8" s="3">
        <f>H7*Monthly!C8/Monthly!C7</f>
        <v>131621.41367803997</v>
      </c>
      <c r="C8" s="3">
        <f>SUM(B8:B8)</f>
        <v>131621.41367803997</v>
      </c>
      <c r="D8" t="b">
        <f>IF(Parameters!$B$4=0,FALSE(),MOD(6,Parameters!$B$4)=0)</f>
        <v>1</v>
      </c>
      <c r="E8" s="3">
        <f>ABS(C8*Parameters!$B$8-B8)</f>
        <v>0.0</v>
      </c>
      <c r="F8" s="3">
        <f>IF(D8,E8*Parameters!$B$3/10000,0)</f>
        <v>0.0</v>
      </c>
      <c r="G8" s="3">
        <f>IF(ABS(Parameters!$B$5-1)&gt;0.00000001,NA(),C8-F8)</f>
        <v>131621.41367803997</v>
      </c>
      <c r="H8" s="3">
        <f>IF(D8,G8*Parameters!$B$8,B8)</f>
        <v>131621.41367803997</v>
      </c>
      <c r="I8" s="3">
        <f>MAX(Parameters!$B$2,G$2:G8)</f>
        <v>157575.33874945287</v>
      </c>
      <c r="J8" s="4">
        <f>G8/I8-1</f>
        <v>-0.16470803919818966</v>
      </c>
      <c r="K8" s="4">
        <f>G8/G7-1</f>
        <v>0.1191573931551253</v>
      </c>
      <c r="L8" s="3">
        <v>131621.41367804</v>
      </c>
      <c r="M8" s="5">
        <f>G8-L8</f>
        <v>0</v>
      </c>
    </row>
    <row r="9" spans="1:13" ht="20" customHeight="1">
      <c r="A9" t="str">
        <f>Monthly!A9</f>
        <v>2022-04-29</v>
      </c>
      <c r="B9" s="3">
        <f>H8*Monthly!C9/Monthly!C8</f>
        <v>89466.51182967843</v>
      </c>
      <c r="C9" s="3">
        <f>SUM(B9:B9)</f>
        <v>89466.51182967843</v>
      </c>
      <c r="D9" t="b">
        <f>IF(Parameters!$B$4=0,FALSE(),MOD(7,Parameters!$B$4)=0)</f>
        <v>1</v>
      </c>
      <c r="E9" s="3">
        <f>ABS(C9*Parameters!$B$8-B9)</f>
        <v>0.0</v>
      </c>
      <c r="F9" s="3">
        <f>IF(D9,E9*Parameters!$B$3/10000,0)</f>
        <v>0.0</v>
      </c>
      <c r="G9" s="3">
        <f>IF(ABS(Parameters!$B$5-1)&gt;0.00000001,NA(),C9-F9)</f>
        <v>89466.51182967843</v>
      </c>
      <c r="H9" s="3">
        <f>IF(D9,G9*Parameters!$B$8,B9)</f>
        <v>89466.51182967843</v>
      </c>
      <c r="I9" s="3">
        <f>MAX(Parameters!$B$2,G$2:G9)</f>
        <v>157575.33874945287</v>
      </c>
      <c r="J9" s="4">
        <f>G9/I9-1</f>
        <v>-0.43223024275434674</v>
      </c>
      <c r="K9" s="4">
        <f>G9/G8-1</f>
        <v>-0.32027388758699193</v>
      </c>
      <c r="L9" s="3">
        <v>89466.51182967843</v>
      </c>
      <c r="M9" s="5">
        <f>G9-L9</f>
        <v>0</v>
      </c>
    </row>
    <row r="10" spans="1:13" ht="20" customHeight="1">
      <c r="A10" t="str">
        <f>Monthly!A10</f>
        <v>2022-05-31</v>
      </c>
      <c r="B10" s="3">
        <f>H9*Monthly!C10/Monthly!C9</f>
        <v>90069.46735120457</v>
      </c>
      <c r="C10" s="3">
        <f>SUM(B10:B10)</f>
        <v>90069.46735120457</v>
      </c>
      <c r="D10" t="b">
        <f>IF(Parameters!$B$4=0,FALSE(),MOD(8,Parameters!$B$4)=0)</f>
        <v>1</v>
      </c>
      <c r="E10" s="3">
        <f>ABS(C10*Parameters!$B$8-B10)</f>
        <v>0.0</v>
      </c>
      <c r="F10" s="3">
        <f>IF(D10,E10*Parameters!$B$3/10000,0)</f>
        <v>0.0</v>
      </c>
      <c r="G10" s="3">
        <f>IF(ABS(Parameters!$B$5-1)&gt;0.00000001,NA(),C10-F10)</f>
        <v>90069.46735120457</v>
      </c>
      <c r="H10" s="3">
        <f>IF(D10,G10*Parameters!$B$8,B10)</f>
        <v>90069.46735120457</v>
      </c>
      <c r="I10" s="3">
        <f>MAX(Parameters!$B$2,G$2:G10)</f>
        <v>157575.33874945287</v>
      </c>
      <c r="J10" s="4">
        <f>G10/I10-1</f>
        <v>-0.4284037840818711</v>
      </c>
      <c r="K10" s="4">
        <f>G10/G9-1</f>
        <v>0.006739454899884922</v>
      </c>
      <c r="L10" s="3">
        <v>90069.46735120457</v>
      </c>
      <c r="M10" s="5">
        <f>G10-L10</f>
        <v>0</v>
      </c>
    </row>
    <row r="11" spans="1:13" ht="20" customHeight="1">
      <c r="A11" t="str">
        <f>Monthly!A11</f>
        <v>2022-06-30</v>
      </c>
      <c r="B11" s="3">
        <f>H10*Monthly!C11/Monthly!C10</f>
        <v>73138.99624571935</v>
      </c>
      <c r="C11" s="3">
        <f>SUM(B11:B11)</f>
        <v>73138.99624571935</v>
      </c>
      <c r="D11" t="b">
        <f>IF(Parameters!$B$4=0,FALSE(),MOD(9,Parameters!$B$4)=0)</f>
        <v>1</v>
      </c>
      <c r="E11" s="3">
        <f>ABS(C11*Parameters!$B$8-B11)</f>
        <v>0.0</v>
      </c>
      <c r="F11" s="3">
        <f>IF(D11,E11*Parameters!$B$3/10000,0)</f>
        <v>0.0</v>
      </c>
      <c r="G11" s="3">
        <f>IF(ABS(Parameters!$B$5-1)&gt;0.00000001,NA(),C11-F11)</f>
        <v>73138.99624571935</v>
      </c>
      <c r="H11" s="3">
        <f>IF(D11,G11*Parameters!$B$8,B11)</f>
        <v>73138.99624571935</v>
      </c>
      <c r="I11" s="3">
        <f>MAX(Parameters!$B$2,G$2:G11)</f>
        <v>157575.33874945287</v>
      </c>
      <c r="J11" s="4">
        <f>G11/I11-1</f>
        <v>-0.535847443983532</v>
      </c>
      <c r="K11" s="4">
        <f>G11/G10-1</f>
        <v>-0.18797125822304306</v>
      </c>
      <c r="L11" s="3">
        <v>73138.99624571935</v>
      </c>
      <c r="M11" s="5">
        <f>G11-L11</f>
        <v>0</v>
      </c>
    </row>
    <row r="12" spans="1:13" ht="20" customHeight="1">
      <c r="A12" t="str">
        <f>Monthly!A12</f>
        <v>2022-07-29</v>
      </c>
      <c r="B12" s="3">
        <f>H11*Monthly!C12/Monthly!C11</f>
        <v>87632.66454420079</v>
      </c>
      <c r="C12" s="3">
        <f>SUM(B12:B12)</f>
        <v>87632.66454420079</v>
      </c>
      <c r="D12" t="b">
        <f>IF(Parameters!$B$4=0,FALSE(),MOD(10,Parameters!$B$4)=0)</f>
        <v>1</v>
      </c>
      <c r="E12" s="3">
        <f>ABS(C12*Parameters!$B$8-B12)</f>
        <v>0.0</v>
      </c>
      <c r="F12" s="3">
        <f>IF(D12,E12*Parameters!$B$3/10000,0)</f>
        <v>0.0</v>
      </c>
      <c r="G12" s="3">
        <f>IF(ABS(Parameters!$B$5-1)&gt;0.00000001,NA(),C12-F12)</f>
        <v>87632.66454420079</v>
      </c>
      <c r="H12" s="3">
        <f>IF(D12,G12*Parameters!$B$8,B12)</f>
        <v>87632.66454420079</v>
      </c>
      <c r="I12" s="3">
        <f>MAX(Parameters!$B$2,G$2:G12)</f>
        <v>157575.33874945287</v>
      </c>
      <c r="J12" s="4">
        <f>G12/I12-1</f>
        <v>-0.4438681506911559</v>
      </c>
      <c r="K12" s="4">
        <f>G12/G11-1</f>
        <v>0.19816608160424032</v>
      </c>
      <c r="L12" s="3">
        <v>87632.66454420079</v>
      </c>
      <c r="M12" s="5">
        <f>G12-L12</f>
        <v>0</v>
      </c>
    </row>
    <row r="13" spans="1:13" ht="20" customHeight="1">
      <c r="A13" t="str">
        <f>Monthly!A13</f>
        <v>2022-08-31</v>
      </c>
      <c r="B13" s="3">
        <f>H12*Monthly!C13/Monthly!C12</f>
        <v>72825.40228101422</v>
      </c>
      <c r="C13" s="3">
        <f>SUM(B13:B13)</f>
        <v>72825.40228101422</v>
      </c>
      <c r="D13" t="b">
        <f>IF(Parameters!$B$4=0,FALSE(),MOD(11,Parameters!$B$4)=0)</f>
        <v>1</v>
      </c>
      <c r="E13" s="3">
        <f>ABS(C13*Parameters!$B$8-B13)</f>
        <v>0.0</v>
      </c>
      <c r="F13" s="3">
        <f>IF(D13,E13*Parameters!$B$3/10000,0)</f>
        <v>0.0</v>
      </c>
      <c r="G13" s="3">
        <f>IF(ABS(Parameters!$B$5-1)&gt;0.00000001,NA(),C13-F13)</f>
        <v>72825.40228101422</v>
      </c>
      <c r="H13" s="3">
        <f>IF(D13,G13*Parameters!$B$8,B13)</f>
        <v>72825.40228101422</v>
      </c>
      <c r="I13" s="3">
        <f>MAX(Parameters!$B$2,G$2:G13)</f>
        <v>157575.33874945287</v>
      </c>
      <c r="J13" s="4">
        <f>G13/I13-1</f>
        <v>-0.5378375648183902</v>
      </c>
      <c r="K13" s="4">
        <f>G13/G12-1</f>
        <v>-0.1689696683331816</v>
      </c>
      <c r="L13" s="3">
        <v>72825.40228101422</v>
      </c>
      <c r="M13" s="5">
        <f>G13-L13</f>
        <v>0</v>
      </c>
    </row>
    <row r="14" spans="1:13" ht="20" customHeight="1">
      <c r="A14" t="str">
        <f>Monthly!A14</f>
        <v>2022-09-30</v>
      </c>
      <c r="B14" s="3">
        <f>H13*Monthly!C14/Monthly!C13</f>
        <v>58585.53219427191</v>
      </c>
      <c r="C14" s="3">
        <f>SUM(B14:B14)</f>
        <v>58585.53219427191</v>
      </c>
      <c r="D14" t="b">
        <f>IF(Parameters!$B$4=0,FALSE(),MOD(12,Parameters!$B$4)=0)</f>
        <v>1</v>
      </c>
      <c r="E14" s="3">
        <f>ABS(C14*Parameters!$B$8-B14)</f>
        <v>0.0</v>
      </c>
      <c r="F14" s="3">
        <f>IF(D14,E14*Parameters!$B$3/10000,0)</f>
        <v>0.0</v>
      </c>
      <c r="G14" s="3">
        <f>IF(ABS(Parameters!$B$5-1)&gt;0.00000001,NA(),C14-F14)</f>
        <v>58585.53219427191</v>
      </c>
      <c r="H14" s="3">
        <f>IF(D14,G14*Parameters!$B$8,B14)</f>
        <v>58585.53219427191</v>
      </c>
      <c r="I14" s="3">
        <f>MAX(Parameters!$B$2,G$2:G14)</f>
        <v>157575.33874945287</v>
      </c>
      <c r="J14" s="4">
        <f>G14/I14-1</f>
        <v>-0.6282062113321947</v>
      </c>
      <c r="K14" s="4">
        <f>G14/G13-1</f>
        <v>-0.19553438279399227</v>
      </c>
      <c r="L14" s="3">
        <v>58585.53219427191</v>
      </c>
      <c r="M14" s="5">
        <f>G14-L14</f>
        <v>0</v>
      </c>
    </row>
    <row r="15" spans="1:13" ht="20" customHeight="1">
      <c r="A15" t="str">
        <f>Monthly!A15</f>
        <v>2022-10-31</v>
      </c>
      <c r="B15" s="3">
        <f>H14*Monthly!C15/Monthly!C14</f>
        <v>65139.54397193216</v>
      </c>
      <c r="C15" s="3">
        <f>SUM(B15:B15)</f>
        <v>65139.54397193216</v>
      </c>
      <c r="D15" t="b">
        <f>IF(Parameters!$B$4=0,FALSE(),MOD(13,Parameters!$B$4)=0)</f>
        <v>1</v>
      </c>
      <c r="E15" s="3">
        <f>ABS(C15*Parameters!$B$8-B15)</f>
        <v>0.0</v>
      </c>
      <c r="F15" s="3">
        <f>IF(D15,E15*Parameters!$B$3/10000,0)</f>
        <v>0.0</v>
      </c>
      <c r="G15" s="3">
        <f>IF(ABS(Parameters!$B$5-1)&gt;0.00000001,NA(),C15-F15)</f>
        <v>65139.54397193216</v>
      </c>
      <c r="H15" s="3">
        <f>IF(D15,G15*Parameters!$B$8,B15)</f>
        <v>65139.54397193216</v>
      </c>
      <c r="I15" s="3">
        <f>MAX(Parameters!$B$2,G$2:G15)</f>
        <v>157575.33874945287</v>
      </c>
      <c r="J15" s="4">
        <f>G15/I15-1</f>
        <v>-0.5866133337304449</v>
      </c>
      <c r="K15" s="4">
        <f>G15/G14-1</f>
        <v>0.11187082428349182</v>
      </c>
      <c r="L15" s="3">
        <v>65139.54397193216</v>
      </c>
      <c r="M15" s="5">
        <f>G15-L15</f>
        <v>0</v>
      </c>
    </row>
    <row r="16" spans="1:13" ht="20" customHeight="1">
      <c r="A16" t="str">
        <f>Monthly!A16</f>
        <v>2022-11-30</v>
      </c>
      <c r="B16" s="3">
        <f>H15*Monthly!C16/Monthly!C15</f>
        <v>81695.09639920307</v>
      </c>
      <c r="C16" s="3">
        <f>SUM(B16:B16)</f>
        <v>81695.09639920307</v>
      </c>
      <c r="D16" t="b">
        <f>IF(Parameters!$B$4=0,FALSE(),MOD(14,Parameters!$B$4)=0)</f>
        <v>1</v>
      </c>
      <c r="E16" s="3">
        <f>ABS(C16*Parameters!$B$8-B16)</f>
        <v>0.0</v>
      </c>
      <c r="F16" s="3">
        <f>IF(D16,E16*Parameters!$B$3/10000,0)</f>
        <v>0.0</v>
      </c>
      <c r="G16" s="3">
        <f>IF(ABS(Parameters!$B$5-1)&gt;0.00000001,NA(),C16-F16)</f>
        <v>81695.09639920307</v>
      </c>
      <c r="H16" s="3">
        <f>IF(D16,G16*Parameters!$B$8,B16)</f>
        <v>81695.09639920307</v>
      </c>
      <c r="I16" s="3">
        <f>MAX(Parameters!$B$2,G$2:G16)</f>
        <v>157575.33874945287</v>
      </c>
      <c r="J16" s="4">
        <f>G16/I16-1</f>
        <v>-0.4815489717645507</v>
      </c>
      <c r="K16" s="4">
        <f>G16/G15-1</f>
        <v>0.2541551785257279</v>
      </c>
      <c r="L16" s="3">
        <v>81695.09639920307</v>
      </c>
      <c r="M16" s="5">
        <f>G16-L16</f>
        <v>0</v>
      </c>
    </row>
    <row r="17" spans="1:13" ht="20" customHeight="1">
      <c r="A17" t="str">
        <f>Monthly!A17</f>
        <v>2022-12-30</v>
      </c>
      <c r="B17" s="3">
        <f>H16*Monthly!C17/Monthly!C16</f>
        <v>70548.47978313817</v>
      </c>
      <c r="C17" s="3">
        <f>SUM(B17:B17)</f>
        <v>70548.47978313817</v>
      </c>
      <c r="D17" t="b">
        <f>IF(Parameters!$B$4=0,FALSE(),MOD(15,Parameters!$B$4)=0)</f>
        <v>1</v>
      </c>
      <c r="E17" s="3">
        <f>ABS(C17*Parameters!$B$8-B17)</f>
        <v>0.0</v>
      </c>
      <c r="F17" s="3">
        <f>IF(D17,E17*Parameters!$B$3/10000,0)</f>
        <v>0.0</v>
      </c>
      <c r="G17" s="3">
        <f>IF(ABS(Parameters!$B$5-1)&gt;0.00000001,NA(),C17-F17)</f>
        <v>70548.47978313817</v>
      </c>
      <c r="H17" s="3">
        <f>IF(D17,G17*Parameters!$B$8,B17)</f>
        <v>70548.47978313817</v>
      </c>
      <c r="I17" s="3">
        <f>MAX(Parameters!$B$2,G$2:G17)</f>
        <v>157575.33874945287</v>
      </c>
      <c r="J17" s="4">
        <f>G17/I17-1</f>
        <v>-0.552287303692164</v>
      </c>
      <c r="K17" s="4">
        <f>G17/G16-1</f>
        <v>-0.13644168508715582</v>
      </c>
      <c r="L17" s="3">
        <v>70548.47978313817</v>
      </c>
      <c r="M17" s="5">
        <f>G17-L17</f>
        <v>0</v>
      </c>
    </row>
    <row r="18" spans="1:13" ht="20" customHeight="1">
      <c r="A18" t="str">
        <f>Monthly!A18</f>
        <v>2023-01-31</v>
      </c>
      <c r="B18" s="3">
        <f>H17*Monthly!C18/Monthly!C17</f>
        <v>94314.07430307398</v>
      </c>
      <c r="C18" s="3">
        <f>SUM(B18:B18)</f>
        <v>94314.07430307398</v>
      </c>
      <c r="D18" t="b">
        <f>IF(Parameters!$B$4=0,FALSE(),MOD(16,Parameters!$B$4)=0)</f>
        <v>1</v>
      </c>
      <c r="E18" s="3">
        <f>ABS(C18*Parameters!$B$8-B18)</f>
        <v>0.0</v>
      </c>
      <c r="F18" s="3">
        <f>IF(D18,E18*Parameters!$B$3/10000,0)</f>
        <v>0.0</v>
      </c>
      <c r="G18" s="3">
        <f>IF(ABS(Parameters!$B$5-1)&gt;0.00000001,NA(),C18-F18)</f>
        <v>94314.07430307398</v>
      </c>
      <c r="H18" s="3">
        <f>IF(D18,G18*Parameters!$B$8,B18)</f>
        <v>94314.07430307398</v>
      </c>
      <c r="I18" s="3">
        <f>MAX(Parameters!$B$2,G$2:G18)</f>
        <v>157575.33874945287</v>
      </c>
      <c r="J18" s="4">
        <f>G18/I18-1</f>
        <v>-0.40146678375202627</v>
      </c>
      <c r="K18" s="4">
        <f>G18/G17-1</f>
        <v>0.33686898134431575</v>
      </c>
      <c r="L18" s="3">
        <v>94314.07430307398</v>
      </c>
      <c r="M18" s="5">
        <f>G18-L18</f>
        <v>0</v>
      </c>
    </row>
    <row r="19" spans="1:13" ht="20" customHeight="1">
      <c r="A19" t="str">
        <f>Monthly!A19</f>
        <v>2023-02-28</v>
      </c>
      <c r="B19" s="3">
        <f>H18*Monthly!C19/Monthly!C18</f>
        <v>112074.27672739026</v>
      </c>
      <c r="C19" s="3">
        <f>SUM(B19:B19)</f>
        <v>112074.27672739026</v>
      </c>
      <c r="D19" t="b">
        <f>IF(Parameters!$B$4=0,FALSE(),MOD(17,Parameters!$B$4)=0)</f>
        <v>1</v>
      </c>
      <c r="E19" s="3">
        <f>ABS(C19*Parameters!$B$8-B19)</f>
        <v>0.0</v>
      </c>
      <c r="F19" s="3">
        <f>IF(D19,E19*Parameters!$B$3/10000,0)</f>
        <v>0.0</v>
      </c>
      <c r="G19" s="3">
        <f>IF(ABS(Parameters!$B$5-1)&gt;0.00000001,NA(),C19-F19)</f>
        <v>112074.27672739026</v>
      </c>
      <c r="H19" s="3">
        <f>IF(D19,G19*Parameters!$B$8,B19)</f>
        <v>112074.27672739026</v>
      </c>
      <c r="I19" s="3">
        <f>MAX(Parameters!$B$2,G$2:G19)</f>
        <v>157575.33874945287</v>
      </c>
      <c r="J19" s="4">
        <f>G19/I19-1</f>
        <v>-0.2887575072544186</v>
      </c>
      <c r="K19" s="4">
        <f>G19/G18-1</f>
        <v>0.1883091421461094</v>
      </c>
      <c r="L19" s="3">
        <v>112074.2767273903</v>
      </c>
      <c r="M19" s="5">
        <f>G19-L19</f>
        <v>0</v>
      </c>
    </row>
    <row r="20" spans="1:13" ht="20" customHeight="1">
      <c r="A20" t="str">
        <f>Monthly!A20</f>
        <v>2023-03-31</v>
      </c>
      <c r="B20" s="3">
        <f>H19*Monthly!C20/Monthly!C19</f>
        <v>134115.10675105598</v>
      </c>
      <c r="C20" s="3">
        <f>SUM(B20:B20)</f>
        <v>134115.10675105598</v>
      </c>
      <c r="D20" t="b">
        <f>IF(Parameters!$B$4=0,FALSE(),MOD(18,Parameters!$B$4)=0)</f>
        <v>1</v>
      </c>
      <c r="E20" s="3">
        <f>ABS(C20*Parameters!$B$8-B20)</f>
        <v>0.0</v>
      </c>
      <c r="F20" s="3">
        <f>IF(D20,E20*Parameters!$B$3/10000,0)</f>
        <v>0.0</v>
      </c>
      <c r="G20" s="3">
        <f>IF(ABS(Parameters!$B$5-1)&gt;0.00000001,NA(),C20-F20)</f>
        <v>134115.10675105598</v>
      </c>
      <c r="H20" s="3">
        <f>IF(D20,G20*Parameters!$B$8,B20)</f>
        <v>134115.10675105598</v>
      </c>
      <c r="I20" s="3">
        <f>MAX(Parameters!$B$2,G$2:G20)</f>
        <v>157575.33874945287</v>
      </c>
      <c r="J20" s="4">
        <f>G20/I20-1</f>
        <v>-0.14888263724883377</v>
      </c>
      <c r="K20" s="4">
        <f>G20/G19-1</f>
        <v>0.1966627014446669</v>
      </c>
      <c r="L20" s="3">
        <v>134115.106751056</v>
      </c>
      <c r="M20" s="5">
        <f>G20-L20</f>
        <v>0</v>
      </c>
    </row>
    <row r="21" spans="1:13" ht="20" customHeight="1">
      <c r="A21" t="str">
        <f>Monthly!A21</f>
        <v>2023-04-28</v>
      </c>
      <c r="B21" s="3">
        <f>H20*Monthly!C21/Monthly!C20</f>
        <v>133979.93924829116</v>
      </c>
      <c r="C21" s="3">
        <f>SUM(B21:B21)</f>
        <v>133979.93924829116</v>
      </c>
      <c r="D21" t="b">
        <f>IF(Parameters!$B$4=0,FALSE(),MOD(19,Parameters!$B$4)=0)</f>
        <v>1</v>
      </c>
      <c r="E21" s="3">
        <f>ABS(C21*Parameters!$B$8-B21)</f>
        <v>0.0</v>
      </c>
      <c r="F21" s="3">
        <f>IF(D21,E21*Parameters!$B$3/10000,0)</f>
        <v>0.0</v>
      </c>
      <c r="G21" s="3">
        <f>IF(ABS(Parameters!$B$5-1)&gt;0.00000001,NA(),C21-F21)</f>
        <v>133979.93924829116</v>
      </c>
      <c r="H21" s="3">
        <f>IF(D21,G21*Parameters!$B$8,B21)</f>
        <v>133979.93924829116</v>
      </c>
      <c r="I21" s="3">
        <f>MAX(Parameters!$B$2,G$2:G21)</f>
        <v>157575.33874945287</v>
      </c>
      <c r="J21" s="4">
        <f>G21/I21-1</f>
        <v>-0.1497404332963469</v>
      </c>
      <c r="K21" s="4">
        <f>G21/G20-1</f>
        <v>-0.001007846961011749</v>
      </c>
      <c r="L21" s="3">
        <v>133979.9392482912</v>
      </c>
      <c r="M21" s="5">
        <f>G21-L21</f>
        <v>0</v>
      </c>
    </row>
    <row r="22" spans="1:13" ht="20" customHeight="1">
      <c r="A22" t="str">
        <f>Monthly!A22</f>
        <v>2023-05-31</v>
      </c>
      <c r="B22" s="3">
        <f>H21*Monthly!C22/Monthly!C21</f>
        <v>182673.1475394281</v>
      </c>
      <c r="C22" s="3">
        <f>SUM(B22:B22)</f>
        <v>182673.1475394281</v>
      </c>
      <c r="D22" t="b">
        <f>IF(Parameters!$B$4=0,FALSE(),MOD(20,Parameters!$B$4)=0)</f>
        <v>1</v>
      </c>
      <c r="E22" s="3">
        <f>ABS(C22*Parameters!$B$8-B22)</f>
        <v>0.0</v>
      </c>
      <c r="F22" s="3">
        <f>IF(D22,E22*Parameters!$B$3/10000,0)</f>
        <v>0.0</v>
      </c>
      <c r="G22" s="3">
        <f>IF(ABS(Parameters!$B$5-1)&gt;0.00000001,NA(),C22-F22)</f>
        <v>182673.1475394281</v>
      </c>
      <c r="H22" s="3">
        <f>IF(D22,G22*Parameters!$B$8,B22)</f>
        <v>182673.1475394281</v>
      </c>
      <c r="I22" s="3">
        <f>MAX(Parameters!$B$2,G$2:G22)</f>
        <v>182673.1475394281</v>
      </c>
      <c r="J22" s="4">
        <f>G22/I22-1</f>
        <v>0.0</v>
      </c>
      <c r="K22" s="4">
        <f>G22/G21-1</f>
        <v>0.363436560460733</v>
      </c>
      <c r="L22" s="3">
        <v>182673.1475394281</v>
      </c>
      <c r="M22" s="5">
        <f>G22-L22</f>
        <v>0</v>
      </c>
    </row>
    <row r="23" spans="1:13" ht="20" customHeight="1">
      <c r="A23" t="str">
        <f>Monthly!A23</f>
        <v>2023-06-30</v>
      </c>
      <c r="B23" s="3">
        <f>H22*Monthly!C23/Monthly!C22</f>
        <v>204266.98525540647</v>
      </c>
      <c r="C23" s="3">
        <f>SUM(B23:B23)</f>
        <v>204266.98525540647</v>
      </c>
      <c r="D23" t="b">
        <f>IF(Parameters!$B$4=0,FALSE(),MOD(21,Parameters!$B$4)=0)</f>
        <v>1</v>
      </c>
      <c r="E23" s="3">
        <f>ABS(C23*Parameters!$B$8-B23)</f>
        <v>0.0</v>
      </c>
      <c r="F23" s="3">
        <f>IF(D23,E23*Parameters!$B$3/10000,0)</f>
        <v>0.0</v>
      </c>
      <c r="G23" s="3">
        <f>IF(ABS(Parameters!$B$5-1)&gt;0.00000001,NA(),C23-F23)</f>
        <v>204266.98525540647</v>
      </c>
      <c r="H23" s="3">
        <f>IF(D23,G23*Parameters!$B$8,B23)</f>
        <v>204266.98525540647</v>
      </c>
      <c r="I23" s="3">
        <f>MAX(Parameters!$B$2,G$2:G23)</f>
        <v>204266.98525540647</v>
      </c>
      <c r="J23" s="4">
        <f>G23/I23-1</f>
        <v>0.0</v>
      </c>
      <c r="K23" s="4">
        <f>G23/G22-1</f>
        <v>0.11821024604241614</v>
      </c>
      <c r="L23" s="3">
        <v>204266.9852554065</v>
      </c>
      <c r="M23" s="5">
        <f>G23-L23</f>
        <v>0</v>
      </c>
    </row>
    <row r="24" spans="1:13" ht="20" customHeight="1">
      <c r="A24" t="str">
        <f>Monthly!A24</f>
        <v>2023-07-31</v>
      </c>
      <c r="B24" s="3">
        <f>H23*Monthly!C24/Monthly!C23</f>
        <v>225644.0154425157</v>
      </c>
      <c r="C24" s="3">
        <f>SUM(B24:B24)</f>
        <v>225644.0154425157</v>
      </c>
      <c r="D24" t="b">
        <f>IF(Parameters!$B$4=0,FALSE(),MOD(22,Parameters!$B$4)=0)</f>
        <v>1</v>
      </c>
      <c r="E24" s="3">
        <f>ABS(C24*Parameters!$B$8-B24)</f>
        <v>0.0</v>
      </c>
      <c r="F24" s="3">
        <f>IF(D24,E24*Parameters!$B$3/10000,0)</f>
        <v>0.0</v>
      </c>
      <c r="G24" s="3">
        <f>IF(ABS(Parameters!$B$5-1)&gt;0.00000001,NA(),C24-F24)</f>
        <v>225644.0154425157</v>
      </c>
      <c r="H24" s="3">
        <f>IF(D24,G24*Parameters!$B$8,B24)</f>
        <v>225644.0154425157</v>
      </c>
      <c r="I24" s="3">
        <f>MAX(Parameters!$B$2,G$2:G24)</f>
        <v>225644.0154425157</v>
      </c>
      <c r="J24" s="4">
        <f>G24/I24-1</f>
        <v>0.0</v>
      </c>
      <c r="K24" s="4">
        <f>G24/G23-1</f>
        <v>0.10465239970316453</v>
      </c>
      <c r="L24" s="3">
        <v>225644.0154425157</v>
      </c>
      <c r="M24" s="5">
        <f>G24-L24</f>
        <v>0</v>
      </c>
    </row>
    <row r="25" spans="1:13" ht="20" customHeight="1">
      <c r="A25" t="str">
        <f>Monthly!A25</f>
        <v>2023-08-31</v>
      </c>
      <c r="B25" s="3">
        <f>H24*Monthly!C25/Monthly!C24</f>
        <v>238324.39196735408</v>
      </c>
      <c r="C25" s="3">
        <f>SUM(B25:B25)</f>
        <v>238324.39196735408</v>
      </c>
      <c r="D25" t="b">
        <f>IF(Parameters!$B$4=0,FALSE(),MOD(23,Parameters!$B$4)=0)</f>
        <v>1</v>
      </c>
      <c r="E25" s="3">
        <f>ABS(C25*Parameters!$B$8-B25)</f>
        <v>0.0</v>
      </c>
      <c r="F25" s="3">
        <f>IF(D25,E25*Parameters!$B$3/10000,0)</f>
        <v>0.0</v>
      </c>
      <c r="G25" s="3">
        <f>IF(ABS(Parameters!$B$5-1)&gt;0.00000001,NA(),C25-F25)</f>
        <v>238324.39196735408</v>
      </c>
      <c r="H25" s="3">
        <f>IF(D25,G25*Parameters!$B$8,B25)</f>
        <v>238324.39196735408</v>
      </c>
      <c r="I25" s="3">
        <f>MAX(Parameters!$B$2,G$2:G25)</f>
        <v>238324.39196735408</v>
      </c>
      <c r="J25" s="4">
        <f>G25/I25-1</f>
        <v>0.0</v>
      </c>
      <c r="K25" s="4">
        <f>G25/G24-1</f>
        <v>0.05619637861864235</v>
      </c>
      <c r="L25" s="3">
        <v>238324.3919673541</v>
      </c>
      <c r="M25" s="5">
        <f>G25-L25</f>
        <v>0</v>
      </c>
    </row>
    <row r="26" spans="1:13" ht="20" customHeight="1">
      <c r="A26" t="str">
        <f>Monthly!A26</f>
        <v>2023-09-29</v>
      </c>
      <c r="B26" s="3">
        <f>H25*Monthly!C26/Monthly!C25</f>
        <v>210064.32323674706</v>
      </c>
      <c r="C26" s="3">
        <f>SUM(B26:B26)</f>
        <v>210064.32323674706</v>
      </c>
      <c r="D26" t="b">
        <f>IF(Parameters!$B$4=0,FALSE(),MOD(24,Parameters!$B$4)=0)</f>
        <v>1</v>
      </c>
      <c r="E26" s="3">
        <f>ABS(C26*Parameters!$B$8-B26)</f>
        <v>0.0</v>
      </c>
      <c r="F26" s="3">
        <f>IF(D26,E26*Parameters!$B$3/10000,0)</f>
        <v>0.0</v>
      </c>
      <c r="G26" s="3">
        <f>IF(ABS(Parameters!$B$5-1)&gt;0.00000001,NA(),C26-F26)</f>
        <v>210064.32323674706</v>
      </c>
      <c r="H26" s="3">
        <f>IF(D26,G26*Parameters!$B$8,B26)</f>
        <v>210064.32323674706</v>
      </c>
      <c r="I26" s="3">
        <f>MAX(Parameters!$B$2,G$2:G26)</f>
        <v>238324.39196735408</v>
      </c>
      <c r="J26" s="4">
        <f>G26/I26-1</f>
        <v>-0.11857816355817286</v>
      </c>
      <c r="K26" s="4">
        <f>G26/G25-1</f>
        <v>-0.11857816355817286</v>
      </c>
      <c r="L26" s="3">
        <v>210064.3232367471</v>
      </c>
      <c r="M26" s="5">
        <f>G26-L26</f>
        <v>0</v>
      </c>
    </row>
    <row r="27" spans="1:13" ht="20" customHeight="1">
      <c r="A27" t="str">
        <f>Monthly!A27</f>
        <v>2023-10-31</v>
      </c>
      <c r="B27" s="3">
        <f>H26*Monthly!C27/Monthly!C26</f>
        <v>196933.83181410894</v>
      </c>
      <c r="C27" s="3">
        <f>SUM(B27:B27)</f>
        <v>196933.83181410894</v>
      </c>
      <c r="D27" t="b">
        <f>IF(Parameters!$B$4=0,FALSE(),MOD(25,Parameters!$B$4)=0)</f>
        <v>1</v>
      </c>
      <c r="E27" s="3">
        <f>ABS(C27*Parameters!$B$8-B27)</f>
        <v>0.0</v>
      </c>
      <c r="F27" s="3">
        <f>IF(D27,E27*Parameters!$B$3/10000,0)</f>
        <v>0.0</v>
      </c>
      <c r="G27" s="3">
        <f>IF(ABS(Parameters!$B$5-1)&gt;0.00000001,NA(),C27-F27)</f>
        <v>196933.83181410894</v>
      </c>
      <c r="H27" s="3">
        <f>IF(D27,G27*Parameters!$B$8,B27)</f>
        <v>196933.83181410894</v>
      </c>
      <c r="I27" s="3">
        <f>MAX(Parameters!$B$2,G$2:G27)</f>
        <v>238324.39196735408</v>
      </c>
      <c r="J27" s="4">
        <f>G27/I27-1</f>
        <v>-0.1736732015198631</v>
      </c>
      <c r="K27" s="4">
        <f>G27/G26-1</f>
        <v>-0.06250700366591888</v>
      </c>
      <c r="L27" s="3">
        <v>196933.8318141089</v>
      </c>
      <c r="M27" s="5">
        <f>G27-L27</f>
        <v>0</v>
      </c>
    </row>
    <row r="28" spans="1:13" ht="20" customHeight="1">
      <c r="A28" t="str">
        <f>Monthly!A28</f>
        <v>2023-11-30</v>
      </c>
      <c r="B28" s="3">
        <f>H27*Monthly!C28/Monthly!C27</f>
        <v>225860.60124901</v>
      </c>
      <c r="C28" s="3">
        <f>SUM(B28:B28)</f>
        <v>225860.60124901</v>
      </c>
      <c r="D28" t="b">
        <f>IF(Parameters!$B$4=0,FALSE(),MOD(26,Parameters!$B$4)=0)</f>
        <v>1</v>
      </c>
      <c r="E28" s="3">
        <f>ABS(C28*Parameters!$B$8-B28)</f>
        <v>0.0</v>
      </c>
      <c r="F28" s="3">
        <f>IF(D28,E28*Parameters!$B$3/10000,0)</f>
        <v>0.0</v>
      </c>
      <c r="G28" s="3">
        <f>IF(ABS(Parameters!$B$5-1)&gt;0.00000001,NA(),C28-F28)</f>
        <v>225860.60124901</v>
      </c>
      <c r="H28" s="3">
        <f>IF(D28,G28*Parameters!$B$8,B28)</f>
        <v>225860.60124901</v>
      </c>
      <c r="I28" s="3">
        <f>MAX(Parameters!$B$2,G$2:G28)</f>
        <v>238324.39196735408</v>
      </c>
      <c r="J28" s="4">
        <f>G28/I28-1</f>
        <v>-0.052297587399494416</v>
      </c>
      <c r="K28" s="4">
        <f>G28/G27-1</f>
        <v>0.14688572891937546</v>
      </c>
      <c r="L28" s="3">
        <v>225860.60124901</v>
      </c>
      <c r="M28" s="5">
        <f>G28-L28</f>
        <v>0</v>
      </c>
    </row>
    <row r="29" spans="1:13" ht="20" customHeight="1">
      <c r="A29" t="str">
        <f>Monthly!A29</f>
        <v>2023-12-29</v>
      </c>
      <c r="B29" s="3">
        <f>H28*Monthly!C29/Monthly!C28</f>
        <v>239171.48230044902</v>
      </c>
      <c r="C29" s="3">
        <f>SUM(B29:B29)</f>
        <v>239171.48230044902</v>
      </c>
      <c r="D29" t="b">
        <f>IF(Parameters!$B$4=0,FALSE(),MOD(27,Parameters!$B$4)=0)</f>
        <v>1</v>
      </c>
      <c r="E29" s="3">
        <f>ABS(C29*Parameters!$B$8-B29)</f>
        <v>0.0</v>
      </c>
      <c r="F29" s="3">
        <f>IF(D29,E29*Parameters!$B$3/10000,0)</f>
        <v>0.0</v>
      </c>
      <c r="G29" s="3">
        <f>IF(ABS(Parameters!$B$5-1)&gt;0.00000001,NA(),C29-F29)</f>
        <v>239171.48230044902</v>
      </c>
      <c r="H29" s="3">
        <f>IF(D29,G29*Parameters!$B$8,B29)</f>
        <v>239171.48230044902</v>
      </c>
      <c r="I29" s="3">
        <f>MAX(Parameters!$B$2,G$2:G29)</f>
        <v>239171.48230044902</v>
      </c>
      <c r="J29" s="4">
        <f>G29/I29-1</f>
        <v>0.0</v>
      </c>
      <c r="K29" s="4">
        <f>G29/G28-1</f>
        <v>0.058934054801190516</v>
      </c>
      <c r="L29" s="3">
        <v>239171.482300449</v>
      </c>
      <c r="M29" s="5">
        <f>G29-L29</f>
        <v>0</v>
      </c>
    </row>
    <row r="30" spans="1:13" ht="20" customHeight="1">
      <c r="A30" t="str">
        <f>Monthly!A30</f>
        <v>2024-01-31</v>
      </c>
      <c r="B30" s="3">
        <f>H29*Monthly!C30/Monthly!C29</f>
        <v>297150.8670948402</v>
      </c>
      <c r="C30" s="3">
        <f>SUM(B30:B30)</f>
        <v>297150.8670948402</v>
      </c>
      <c r="D30" t="b">
        <f>IF(Parameters!$B$4=0,FALSE(),MOD(28,Parameters!$B$4)=0)</f>
        <v>1</v>
      </c>
      <c r="E30" s="3">
        <f>ABS(C30*Parameters!$B$8-B30)</f>
        <v>0.0</v>
      </c>
      <c r="F30" s="3">
        <f>IF(D30,E30*Parameters!$B$3/10000,0)</f>
        <v>0.0</v>
      </c>
      <c r="G30" s="3">
        <f>IF(ABS(Parameters!$B$5-1)&gt;0.00000001,NA(),C30-F30)</f>
        <v>297150.8670948402</v>
      </c>
      <c r="H30" s="3">
        <f>IF(D30,G30*Parameters!$B$8,B30)</f>
        <v>297150.8670948402</v>
      </c>
      <c r="I30" s="3">
        <f>MAX(Parameters!$B$2,G$2:G30)</f>
        <v>297150.8670948402</v>
      </c>
      <c r="J30" s="4">
        <f>G30/I30-1</f>
        <v>0.0</v>
      </c>
      <c r="K30" s="4">
        <f>G30/G29-1</f>
        <v>0.24241763372757408</v>
      </c>
      <c r="L30" s="3">
        <v>297150.8670948402</v>
      </c>
      <c r="M30" s="5">
        <f>G30-L30</f>
        <v>0</v>
      </c>
    </row>
    <row r="31" spans="1:13" ht="20" customHeight="1">
      <c r="A31" t="str">
        <f>Monthly!A31</f>
        <v>2024-02-29</v>
      </c>
      <c r="B31" s="3">
        <f>H30*Monthly!C31/Monthly!C30</f>
        <v>382079.38707856793</v>
      </c>
      <c r="C31" s="3">
        <f>SUM(B31:B31)</f>
        <v>382079.38707856793</v>
      </c>
      <c r="D31" t="b">
        <f>IF(Parameters!$B$4=0,FALSE(),MOD(29,Parameters!$B$4)=0)</f>
        <v>1</v>
      </c>
      <c r="E31" s="3">
        <f>ABS(C31*Parameters!$B$8-B31)</f>
        <v>0.0</v>
      </c>
      <c r="F31" s="3">
        <f>IF(D31,E31*Parameters!$B$3/10000,0)</f>
        <v>0.0</v>
      </c>
      <c r="G31" s="3">
        <f>IF(ABS(Parameters!$B$5-1)&gt;0.00000001,NA(),C31-F31)</f>
        <v>382079.38707856793</v>
      </c>
      <c r="H31" s="3">
        <f>IF(D31,G31*Parameters!$B$8,B31)</f>
        <v>382079.38707856793</v>
      </c>
      <c r="I31" s="3">
        <f>MAX(Parameters!$B$2,G$2:G31)</f>
        <v>382079.38707856793</v>
      </c>
      <c r="J31" s="4">
        <f>G31/I31-1</f>
        <v>0.0</v>
      </c>
      <c r="K31" s="4">
        <f>G31/G30-1</f>
        <v>0.28580943011894866</v>
      </c>
      <c r="L31" s="3">
        <v>382079.3870785679</v>
      </c>
      <c r="M31" s="5">
        <f>G31-L31</f>
        <v>0</v>
      </c>
    </row>
    <row r="32" spans="1:13" ht="20" customHeight="1">
      <c r="A32" t="str">
        <f>Monthly!A32</f>
        <v>2024-03-28</v>
      </c>
      <c r="B32" s="3">
        <f>H31*Monthly!C32/Monthly!C31</f>
        <v>436403.88176915114</v>
      </c>
      <c r="C32" s="3">
        <f>SUM(B32:B32)</f>
        <v>436403.88176915114</v>
      </c>
      <c r="D32" t="b">
        <f>IF(Parameters!$B$4=0,FALSE(),MOD(30,Parameters!$B$4)=0)</f>
        <v>1</v>
      </c>
      <c r="E32" s="3">
        <f>ABS(C32*Parameters!$B$8-B32)</f>
        <v>0.0</v>
      </c>
      <c r="F32" s="3">
        <f>IF(D32,E32*Parameters!$B$3/10000,0)</f>
        <v>0.0</v>
      </c>
      <c r="G32" s="3">
        <f>IF(ABS(Parameters!$B$5-1)&gt;0.00000001,NA(),C32-F32)</f>
        <v>436403.88176915114</v>
      </c>
      <c r="H32" s="3">
        <f>IF(D32,G32*Parameters!$B$8,B32)</f>
        <v>436403.88176915114</v>
      </c>
      <c r="I32" s="3">
        <f>MAX(Parameters!$B$2,G$2:G32)</f>
        <v>436403.88176915114</v>
      </c>
      <c r="J32" s="4">
        <f>G32/I32-1</f>
        <v>0.0</v>
      </c>
      <c r="K32" s="4">
        <f>G32/G31-1</f>
        <v>0.1421811710544132</v>
      </c>
      <c r="L32" s="3">
        <v>436403.8817691511</v>
      </c>
      <c r="M32" s="5">
        <f>G32-L32</f>
        <v>0</v>
      </c>
    </row>
    <row r="33" spans="1:13" ht="20" customHeight="1">
      <c r="A33" t="str">
        <f>Monthly!A33</f>
        <v>2024-04-30</v>
      </c>
      <c r="B33" s="3">
        <f>H32*Monthly!C33/Monthly!C32</f>
        <v>417306.7488551138</v>
      </c>
      <c r="C33" s="3">
        <f>SUM(B33:B33)</f>
        <v>417306.7488551138</v>
      </c>
      <c r="D33" t="b">
        <f>IF(Parameters!$B$4=0,FALSE(),MOD(31,Parameters!$B$4)=0)</f>
        <v>1</v>
      </c>
      <c r="E33" s="3">
        <f>ABS(C33*Parameters!$B$8-B33)</f>
        <v>0.0</v>
      </c>
      <c r="F33" s="3">
        <f>IF(D33,E33*Parameters!$B$3/10000,0)</f>
        <v>0.0</v>
      </c>
      <c r="G33" s="3">
        <f>IF(ABS(Parameters!$B$5-1)&gt;0.00000001,NA(),C33-F33)</f>
        <v>417306.7488551138</v>
      </c>
      <c r="H33" s="3">
        <f>IF(D33,G33*Parameters!$B$8,B33)</f>
        <v>417306.7488551138</v>
      </c>
      <c r="I33" s="3">
        <f>MAX(Parameters!$B$2,G$2:G33)</f>
        <v>436403.88176915114</v>
      </c>
      <c r="J33" s="4">
        <f>G33/I33-1</f>
        <v>-0.043760226963653226</v>
      </c>
      <c r="K33" s="4">
        <f>G33/G32-1</f>
        <v>-0.043760226963653226</v>
      </c>
      <c r="L33" s="3">
        <v>417306.7488551138</v>
      </c>
      <c r="M33" s="5">
        <f>G33-L33</f>
        <v>0</v>
      </c>
    </row>
    <row r="34" spans="1:13" ht="20" customHeight="1">
      <c r="A34" t="str">
        <f>Monthly!A34</f>
        <v>2024-05-31</v>
      </c>
      <c r="B34" s="3">
        <f>H33*Monthly!C34/Monthly!C33</f>
        <v>529508.4697558784</v>
      </c>
      <c r="C34" s="3">
        <f>SUM(B34:B34)</f>
        <v>529508.4697558784</v>
      </c>
      <c r="D34" t="b">
        <f>IF(Parameters!$B$4=0,FALSE(),MOD(32,Parameters!$B$4)=0)</f>
        <v>1</v>
      </c>
      <c r="E34" s="3">
        <f>ABS(C34*Parameters!$B$8-B34)</f>
        <v>0.0</v>
      </c>
      <c r="F34" s="3">
        <f>IF(D34,E34*Parameters!$B$3/10000,0)</f>
        <v>0.0</v>
      </c>
      <c r="G34" s="3">
        <f>IF(ABS(Parameters!$B$5-1)&gt;0.00000001,NA(),C34-F34)</f>
        <v>529508.4697558784</v>
      </c>
      <c r="H34" s="3">
        <f>IF(D34,G34*Parameters!$B$8,B34)</f>
        <v>529508.4697558784</v>
      </c>
      <c r="I34" s="3">
        <f>MAX(Parameters!$B$2,G$2:G34)</f>
        <v>529508.4697558784</v>
      </c>
      <c r="J34" s="4">
        <f>G34/I34-1</f>
        <v>0.0</v>
      </c>
      <c r="K34" s="4">
        <f>G34/G33-1</f>
        <v>0.26887109113042484</v>
      </c>
      <c r="L34" s="3">
        <v>529508.4697558784</v>
      </c>
      <c r="M34" s="5">
        <f>G34-L34</f>
        <v>0</v>
      </c>
    </row>
    <row r="35" spans="1:13" ht="20" customHeight="1">
      <c r="A35" t="str">
        <f>Monthly!A35</f>
        <v>2024-06-28</v>
      </c>
      <c r="B35" s="3">
        <f>H34*Monthly!C35/Monthly!C34</f>
        <v>596725.9357750472</v>
      </c>
      <c r="C35" s="3">
        <f>SUM(B35:B35)</f>
        <v>596725.9357750472</v>
      </c>
      <c r="D35" t="b">
        <f>IF(Parameters!$B$4=0,FALSE(),MOD(33,Parameters!$B$4)=0)</f>
        <v>1</v>
      </c>
      <c r="E35" s="3">
        <f>ABS(C35*Parameters!$B$8-B35)</f>
        <v>0.0</v>
      </c>
      <c r="F35" s="3">
        <f>IF(D35,E35*Parameters!$B$3/10000,0)</f>
        <v>0.0</v>
      </c>
      <c r="G35" s="3">
        <f>IF(ABS(Parameters!$B$5-1)&gt;0.00000001,NA(),C35-F35)</f>
        <v>596725.9357750472</v>
      </c>
      <c r="H35" s="3">
        <f>IF(D35,G35*Parameters!$B$8,B35)</f>
        <v>596725.9357750472</v>
      </c>
      <c r="I35" s="3">
        <f>MAX(Parameters!$B$2,G$2:G35)</f>
        <v>596725.9357750472</v>
      </c>
      <c r="J35" s="4">
        <f>G35/I35-1</f>
        <v>0.0</v>
      </c>
      <c r="K35" s="4">
        <f>G35/G34-1</f>
        <v>0.12694313662283485</v>
      </c>
      <c r="L35" s="3">
        <v>596725.9357750472</v>
      </c>
      <c r="M35" s="5">
        <f>G35-L35</f>
        <v>0</v>
      </c>
    </row>
    <row r="36" spans="1:13" ht="20" customHeight="1">
      <c r="A36" t="str">
        <f>Monthly!A36</f>
        <v>2024-07-31</v>
      </c>
      <c r="B36" s="3">
        <f>H35*Monthly!C36/Monthly!C35</f>
        <v>565232.78528191</v>
      </c>
      <c r="C36" s="3">
        <f>SUM(B36:B36)</f>
        <v>565232.78528191</v>
      </c>
      <c r="D36" t="b">
        <f>IF(Parameters!$B$4=0,FALSE(),MOD(34,Parameters!$B$4)=0)</f>
        <v>1</v>
      </c>
      <c r="E36" s="3">
        <f>ABS(C36*Parameters!$B$8-B36)</f>
        <v>0.0</v>
      </c>
      <c r="F36" s="3">
        <f>IF(D36,E36*Parameters!$B$3/10000,0)</f>
        <v>0.0</v>
      </c>
      <c r="G36" s="3">
        <f>IF(ABS(Parameters!$B$5-1)&gt;0.00000001,NA(),C36-F36)</f>
        <v>565232.78528191</v>
      </c>
      <c r="H36" s="3">
        <f>IF(D36,G36*Parameters!$B$8,B36)</f>
        <v>565232.78528191</v>
      </c>
      <c r="I36" s="3">
        <f>MAX(Parameters!$B$2,G$2:G36)</f>
        <v>596725.9357750472</v>
      </c>
      <c r="J36" s="4">
        <f>G36/I36-1</f>
        <v>-0.05277657397651547</v>
      </c>
      <c r="K36" s="4">
        <f>G36/G35-1</f>
        <v>-0.05277657397651547</v>
      </c>
      <c r="L36" s="3">
        <v>565232.78528191</v>
      </c>
      <c r="M36" s="5">
        <f>G36-L36</f>
        <v>0</v>
      </c>
    </row>
    <row r="37" spans="1:13" ht="20" customHeight="1">
      <c r="A37" t="str">
        <f>Monthly!A37</f>
        <v>2024-08-30</v>
      </c>
      <c r="B37" s="3">
        <f>H36*Monthly!C37/Monthly!C36</f>
        <v>576583.8253083657</v>
      </c>
      <c r="C37" s="3">
        <f>SUM(B37:B37)</f>
        <v>576583.8253083657</v>
      </c>
      <c r="D37" t="b">
        <f>IF(Parameters!$B$4=0,FALSE(),MOD(35,Parameters!$B$4)=0)</f>
        <v>1</v>
      </c>
      <c r="E37" s="3">
        <f>ABS(C37*Parameters!$B$8-B37)</f>
        <v>0.0</v>
      </c>
      <c r="F37" s="3">
        <f>IF(D37,E37*Parameters!$B$3/10000,0)</f>
        <v>0.0</v>
      </c>
      <c r="G37" s="3">
        <f>IF(ABS(Parameters!$B$5-1)&gt;0.00000001,NA(),C37-F37)</f>
        <v>576583.8253083657</v>
      </c>
      <c r="H37" s="3">
        <f>IF(D37,G37*Parameters!$B$8,B37)</f>
        <v>576583.8253083657</v>
      </c>
      <c r="I37" s="3">
        <f>MAX(Parameters!$B$2,G$2:G37)</f>
        <v>596725.9357750472</v>
      </c>
      <c r="J37" s="4">
        <f>G37/I37-1</f>
        <v>-0.03375437409222071</v>
      </c>
      <c r="K37" s="4">
        <f>G37/G36-1</f>
        <v>0.020082062332591688</v>
      </c>
      <c r="L37" s="3">
        <v>576583.8253083657</v>
      </c>
      <c r="M37" s="5">
        <f>G37-L37</f>
        <v>0</v>
      </c>
    </row>
    <row r="38" spans="1:13" ht="20" customHeight="1">
      <c r="A38" t="str">
        <f>Monthly!A38</f>
        <v>2024-09-30</v>
      </c>
      <c r="B38" s="3">
        <f>H37*Monthly!C38/Monthly!C37</f>
        <v>586632.6159198991</v>
      </c>
      <c r="C38" s="3">
        <f>SUM(B38:B38)</f>
        <v>586632.6159198991</v>
      </c>
      <c r="D38" t="b">
        <f>IF(Parameters!$B$4=0,FALSE(),MOD(36,Parameters!$B$4)=0)</f>
        <v>1</v>
      </c>
      <c r="E38" s="3">
        <f>ABS(C38*Parameters!$B$8-B38)</f>
        <v>0.0</v>
      </c>
      <c r="F38" s="3">
        <f>IF(D38,E38*Parameters!$B$3/10000,0)</f>
        <v>0.0</v>
      </c>
      <c r="G38" s="3">
        <f>IF(ABS(Parameters!$B$5-1)&gt;0.00000001,NA(),C38-F38)</f>
        <v>586632.6159198991</v>
      </c>
      <c r="H38" s="3">
        <f>IF(D38,G38*Parameters!$B$8,B38)</f>
        <v>586632.6159198991</v>
      </c>
      <c r="I38" s="3">
        <f>MAX(Parameters!$B$2,G$2:G38)</f>
        <v>596725.9357750472</v>
      </c>
      <c r="J38" s="4">
        <f>G38/I38-1</f>
        <v>-0.016914498348456375</v>
      </c>
      <c r="K38" s="4">
        <f>G38/G37-1</f>
        <v>0.017428152109815187</v>
      </c>
      <c r="L38" s="3">
        <v>586632.6159198991</v>
      </c>
      <c r="M38" s="5">
        <f>G38-L38</f>
        <v>0</v>
      </c>
    </row>
    <row r="39" spans="1:13" ht="20" customHeight="1">
      <c r="A39" t="str">
        <f>Monthly!A39</f>
        <v>2024-10-31</v>
      </c>
      <c r="B39" s="3">
        <f>H38*Monthly!C39/Monthly!C38</f>
        <v>641315.48787569</v>
      </c>
      <c r="C39" s="3">
        <f>SUM(B39:B39)</f>
        <v>641315.48787569</v>
      </c>
      <c r="D39" t="b">
        <f>IF(Parameters!$B$4=0,FALSE(),MOD(37,Parameters!$B$4)=0)</f>
        <v>1</v>
      </c>
      <c r="E39" s="3">
        <f>ABS(C39*Parameters!$B$8-B39)</f>
        <v>0.0</v>
      </c>
      <c r="F39" s="3">
        <f>IF(D39,E39*Parameters!$B$3/10000,0)</f>
        <v>0.0</v>
      </c>
      <c r="G39" s="3">
        <f>IF(ABS(Parameters!$B$5-1)&gt;0.00000001,NA(),C39-F39)</f>
        <v>641315.48787569</v>
      </c>
      <c r="H39" s="3">
        <f>IF(D39,G39*Parameters!$B$8,B39)</f>
        <v>641315.48787569</v>
      </c>
      <c r="I39" s="3">
        <f>MAX(Parameters!$B$2,G$2:G39)</f>
        <v>641315.48787569</v>
      </c>
      <c r="J39" s="4">
        <f>G39/I39-1</f>
        <v>0.0</v>
      </c>
      <c r="K39" s="4">
        <f>G39/G38-1</f>
        <v>0.09321485112116146</v>
      </c>
      <c r="L39" s="3">
        <v>641315.48787569</v>
      </c>
      <c r="M39" s="5">
        <f>G39-L39</f>
        <v>0</v>
      </c>
    </row>
    <row r="40" spans="1:13" ht="20" customHeight="1">
      <c r="A40" t="str">
        <f>Monthly!A40</f>
        <v>2024-11-29</v>
      </c>
      <c r="B40" s="3">
        <f>H39*Monthly!C40/Monthly!C39</f>
        <v>667835.701130889</v>
      </c>
      <c r="C40" s="3">
        <f>SUM(B40:B40)</f>
        <v>667835.701130889</v>
      </c>
      <c r="D40" t="b">
        <f>IF(Parameters!$B$4=0,FALSE(),MOD(38,Parameters!$B$4)=0)</f>
        <v>1</v>
      </c>
      <c r="E40" s="3">
        <f>ABS(C40*Parameters!$B$8-B40)</f>
        <v>0.0</v>
      </c>
      <c r="F40" s="3">
        <f>IF(D40,E40*Parameters!$B$3/10000,0)</f>
        <v>0.0</v>
      </c>
      <c r="G40" s="3">
        <f>IF(ABS(Parameters!$B$5-1)&gt;0.00000001,NA(),C40-F40)</f>
        <v>667835.701130889</v>
      </c>
      <c r="H40" s="3">
        <f>IF(D40,G40*Parameters!$B$8,B40)</f>
        <v>667835.701130889</v>
      </c>
      <c r="I40" s="3">
        <f>MAX(Parameters!$B$2,G$2:G40)</f>
        <v>667835.701130889</v>
      </c>
      <c r="J40" s="4">
        <f>G40/I40-1</f>
        <v>0.0</v>
      </c>
      <c r="K40" s="4">
        <f>G40/G39-1</f>
        <v>0.04135283453553451</v>
      </c>
      <c r="L40" s="3">
        <v>667835.701130889</v>
      </c>
      <c r="M40" s="5">
        <f>G40-L40</f>
        <v>0</v>
      </c>
    </row>
    <row r="41" spans="1:13" ht="20" customHeight="1">
      <c r="A41" t="str">
        <f>Monthly!A41</f>
        <v>2024-12-31</v>
      </c>
      <c r="B41" s="3">
        <f>H40*Monthly!C41/Monthly!C40</f>
        <v>648751.0216235721</v>
      </c>
      <c r="C41" s="3">
        <f>SUM(B41:B41)</f>
        <v>648751.0216235721</v>
      </c>
      <c r="D41" t="b">
        <f>IF(Parameters!$B$4=0,FALSE(),MOD(39,Parameters!$B$4)=0)</f>
        <v>1</v>
      </c>
      <c r="E41" s="3">
        <f>ABS(C41*Parameters!$B$8-B41)</f>
        <v>0.0</v>
      </c>
      <c r="F41" s="3">
        <f>IF(D41,E41*Parameters!$B$3/10000,0)</f>
        <v>0.0</v>
      </c>
      <c r="G41" s="3">
        <f>IF(ABS(Parameters!$B$5-1)&gt;0.00000001,NA(),C41-F41)</f>
        <v>648751.0216235721</v>
      </c>
      <c r="H41" s="3">
        <f>IF(D41,G41*Parameters!$B$8,B41)</f>
        <v>648751.0216235721</v>
      </c>
      <c r="I41" s="3">
        <f>MAX(Parameters!$B$2,G$2:G41)</f>
        <v>667835.701130889</v>
      </c>
      <c r="J41" s="4">
        <f>G41/I41-1</f>
        <v>-0.02857690817516878</v>
      </c>
      <c r="K41" s="4">
        <f>G41/G40-1</f>
        <v>-0.02857690817516878</v>
      </c>
      <c r="L41" s="3">
        <v>648751.0216235721</v>
      </c>
      <c r="M41" s="5">
        <f>G41-L41</f>
        <v>0</v>
      </c>
    </row>
    <row r="42" spans="1:13" ht="20" customHeight="1">
      <c r="A42" t="str">
        <f>Monthly!A42</f>
        <v>2025-01-31</v>
      </c>
      <c r="B42" s="3">
        <f>H41*Monthly!C42/Monthly!C41</f>
        <v>580054.6304104587</v>
      </c>
      <c r="C42" s="3">
        <f>SUM(B42:B42)</f>
        <v>580054.6304104587</v>
      </c>
      <c r="D42" t="b">
        <f>IF(Parameters!$B$4=0,FALSE(),MOD(40,Parameters!$B$4)=0)</f>
        <v>1</v>
      </c>
      <c r="E42" s="3">
        <f>ABS(C42*Parameters!$B$8-B42)</f>
        <v>0.0</v>
      </c>
      <c r="F42" s="3">
        <f>IF(D42,E42*Parameters!$B$3/10000,0)</f>
        <v>0.0</v>
      </c>
      <c r="G42" s="3">
        <f>IF(ABS(Parameters!$B$5-1)&gt;0.00000001,NA(),C42-F42)</f>
        <v>580054.6304104587</v>
      </c>
      <c r="H42" s="3">
        <f>IF(D42,G42*Parameters!$B$8,B42)</f>
        <v>580054.6304104587</v>
      </c>
      <c r="I42" s="3">
        <f>MAX(Parameters!$B$2,G$2:G42)</f>
        <v>667835.701130889</v>
      </c>
      <c r="J42" s="4">
        <f>G42/I42-1</f>
        <v>-0.1314411172864599</v>
      </c>
      <c r="K42" s="4">
        <f>G42/G41-1</f>
        <v>-0.10589022432857687</v>
      </c>
      <c r="L42" s="3">
        <v>580054.6304104587</v>
      </c>
      <c r="M42" s="5">
        <f>G42-L42</f>
        <v>0</v>
      </c>
    </row>
    <row r="43" spans="1:13" ht="20" customHeight="1">
      <c r="A43" t="str">
        <f>Monthly!A43</f>
        <v>2025-02-28</v>
      </c>
      <c r="B43" s="3">
        <f>H42*Monthly!C43/Monthly!C42</f>
        <v>603484.8097886316</v>
      </c>
      <c r="C43" s="3">
        <f>SUM(B43:B43)</f>
        <v>603484.8097886316</v>
      </c>
      <c r="D43" t="b">
        <f>IF(Parameters!$B$4=0,FALSE(),MOD(41,Parameters!$B$4)=0)</f>
        <v>1</v>
      </c>
      <c r="E43" s="3">
        <f>ABS(C43*Parameters!$B$8-B43)</f>
        <v>0.0</v>
      </c>
      <c r="F43" s="3">
        <f>IF(D43,E43*Parameters!$B$3/10000,0)</f>
        <v>0.0</v>
      </c>
      <c r="G43" s="3">
        <f>IF(ABS(Parameters!$B$5-1)&gt;0.00000001,NA(),C43-F43)</f>
        <v>603484.8097886316</v>
      </c>
      <c r="H43" s="3">
        <f>IF(D43,G43*Parameters!$B$8,B43)</f>
        <v>603484.8097886316</v>
      </c>
      <c r="I43" s="3">
        <f>MAX(Parameters!$B$2,G$2:G43)</f>
        <v>667835.701130889</v>
      </c>
      <c r="J43" s="4">
        <f>G43/I43-1</f>
        <v>-0.09635736938484707</v>
      </c>
      <c r="K43" s="4">
        <f>G43/G42-1</f>
        <v>0.0403930563602144</v>
      </c>
      <c r="L43" s="3">
        <v>603484.8097886316</v>
      </c>
      <c r="M43" s="5">
        <f>G43-L43</f>
        <v>0</v>
      </c>
    </row>
    <row r="44" spans="1:13" ht="20" customHeight="1">
      <c r="A44" t="str">
        <f>Monthly!A44</f>
        <v>2025-03-31</v>
      </c>
      <c r="B44" s="3">
        <f>H43*Monthly!C44/Monthly!C43</f>
        <v>523628.68800482457</v>
      </c>
      <c r="C44" s="3">
        <f>SUM(B44:B44)</f>
        <v>523628.68800482457</v>
      </c>
      <c r="D44" t="b">
        <f>IF(Parameters!$B$4=0,FALSE(),MOD(42,Parameters!$B$4)=0)</f>
        <v>1</v>
      </c>
      <c r="E44" s="3">
        <f>ABS(C44*Parameters!$B$8-B44)</f>
        <v>0.0</v>
      </c>
      <c r="F44" s="3">
        <f>IF(D44,E44*Parameters!$B$3/10000,0)</f>
        <v>0.0</v>
      </c>
      <c r="G44" s="3">
        <f>IF(ABS(Parameters!$B$5-1)&gt;0.00000001,NA(),C44-F44)</f>
        <v>523628.68800482457</v>
      </c>
      <c r="H44" s="3">
        <f>IF(D44,G44*Parameters!$B$8,B44)</f>
        <v>523628.68800482457</v>
      </c>
      <c r="I44" s="3">
        <f>MAX(Parameters!$B$2,G$2:G44)</f>
        <v>667835.701130889</v>
      </c>
      <c r="J44" s="4">
        <f>G44/I44-1</f>
        <v>-0.21593187198867847</v>
      </c>
      <c r="K44" s="4">
        <f>G44/G43-1</f>
        <v>-0.132324990602127</v>
      </c>
      <c r="L44" s="3">
        <v>523628.6880048246</v>
      </c>
      <c r="M44" s="5">
        <f>G44-L44</f>
        <v>0</v>
      </c>
    </row>
    <row r="45" spans="1:13" ht="20" customHeight="1">
      <c r="A45" t="str">
        <f>Monthly!A45</f>
        <v>2025-04-30</v>
      </c>
      <c r="B45" s="3">
        <f>H44*Monthly!C45/Monthly!C44</f>
        <v>526237.6582358953</v>
      </c>
      <c r="C45" s="3">
        <f>SUM(B45:B45)</f>
        <v>526237.6582358953</v>
      </c>
      <c r="D45" t="b">
        <f>IF(Parameters!$B$4=0,FALSE(),MOD(43,Parameters!$B$4)=0)</f>
        <v>1</v>
      </c>
      <c r="E45" s="3">
        <f>ABS(C45*Parameters!$B$8-B45)</f>
        <v>0.0</v>
      </c>
      <c r="F45" s="3">
        <f>IF(D45,E45*Parameters!$B$3/10000,0)</f>
        <v>0.0</v>
      </c>
      <c r="G45" s="3">
        <f>IF(ABS(Parameters!$B$5-1)&gt;0.00000001,NA(),C45-F45)</f>
        <v>526237.6582358953</v>
      </c>
      <c r="H45" s="3">
        <f>IF(D45,G45*Parameters!$B$8,B45)</f>
        <v>526237.6582358953</v>
      </c>
      <c r="I45" s="3">
        <f>MAX(Parameters!$B$2,G$2:G45)</f>
        <v>667835.701130889</v>
      </c>
      <c r="J45" s="4">
        <f>G45/I45-1</f>
        <v>-0.21202526707574432</v>
      </c>
      <c r="K45" s="4">
        <f>G45/G44-1</f>
        <v>0.004982481462220356</v>
      </c>
      <c r="L45" s="3">
        <v>526237.6582358953</v>
      </c>
      <c r="M45" s="5">
        <f>G45-L45</f>
        <v>0</v>
      </c>
    </row>
    <row r="46" spans="1:13" ht="20" customHeight="1">
      <c r="A46" t="str">
        <f>Monthly!A46</f>
        <v>2025-05-30</v>
      </c>
      <c r="B46" s="3">
        <f>H45*Monthly!C46/Monthly!C45</f>
        <v>652869.0712915662</v>
      </c>
      <c r="C46" s="3">
        <f>SUM(B46:B46)</f>
        <v>652869.0712915662</v>
      </c>
      <c r="D46" t="b">
        <f>IF(Parameters!$B$4=0,FALSE(),MOD(44,Parameters!$B$4)=0)</f>
        <v>1</v>
      </c>
      <c r="E46" s="3">
        <f>ABS(C46*Parameters!$B$8-B46)</f>
        <v>0.0</v>
      </c>
      <c r="F46" s="3">
        <f>IF(D46,E46*Parameters!$B$3/10000,0)</f>
        <v>0.0</v>
      </c>
      <c r="G46" s="3">
        <f>IF(ABS(Parameters!$B$5-1)&gt;0.00000001,NA(),C46-F46)</f>
        <v>652869.0712915662</v>
      </c>
      <c r="H46" s="3">
        <f>IF(D46,G46*Parameters!$B$8,B46)</f>
        <v>652869.0712915662</v>
      </c>
      <c r="I46" s="3">
        <f>MAX(Parameters!$B$2,G$2:G46)</f>
        <v>667835.701130889</v>
      </c>
      <c r="J46" s="4">
        <f>G46/I46-1</f>
        <v>-0.022410646531742517</v>
      </c>
      <c r="K46" s="4">
        <f>G46/G45-1</f>
        <v>0.2406354069759602</v>
      </c>
      <c r="L46" s="3">
        <v>652869.0712915662</v>
      </c>
      <c r="M46" s="5">
        <f>G46-L46</f>
        <v>0</v>
      </c>
    </row>
    <row r="47" spans="1:13" ht="20" customHeight="1">
      <c r="A47" t="str">
        <f>Monthly!A47</f>
        <v>2025-06-30</v>
      </c>
      <c r="B47" s="3">
        <f>H46*Monthly!C47/Monthly!C46</f>
        <v>763368.2599833552</v>
      </c>
      <c r="C47" s="3">
        <f>SUM(B47:B47)</f>
        <v>763368.2599833552</v>
      </c>
      <c r="D47" t="b">
        <f>IF(Parameters!$B$4=0,FALSE(),MOD(45,Parameters!$B$4)=0)</f>
        <v>1</v>
      </c>
      <c r="E47" s="3">
        <f>ABS(C47*Parameters!$B$8-B47)</f>
        <v>0.0</v>
      </c>
      <c r="F47" s="3">
        <f>IF(D47,E47*Parameters!$B$3/10000,0)</f>
        <v>0.0</v>
      </c>
      <c r="G47" s="3">
        <f>IF(ABS(Parameters!$B$5-1)&gt;0.00000001,NA(),C47-F47)</f>
        <v>763368.2599833552</v>
      </c>
      <c r="H47" s="3">
        <f>IF(D47,G47*Parameters!$B$8,B47)</f>
        <v>763368.2599833552</v>
      </c>
      <c r="I47" s="3">
        <f>MAX(Parameters!$B$2,G$2:G47)</f>
        <v>763368.2599833552</v>
      </c>
      <c r="J47" s="4">
        <f>G47/I47-1</f>
        <v>0.0</v>
      </c>
      <c r="K47" s="4">
        <f>G47/G46-1</f>
        <v>0.16925168238279253</v>
      </c>
      <c r="L47" s="3">
        <v>763368.2599833552</v>
      </c>
      <c r="M47" s="5">
        <f>G47-L47</f>
        <v>0</v>
      </c>
    </row>
    <row r="48" spans="1:13" ht="20" customHeight="1">
      <c r="A48" t="str">
        <f>Monthly!A48</f>
        <v>2025-07-31</v>
      </c>
      <c r="B48" s="3">
        <f>H47*Monthly!C48/Monthly!C47</f>
        <v>859423.3445658728</v>
      </c>
      <c r="C48" s="3">
        <f>SUM(B48:B48)</f>
        <v>859423.3445658728</v>
      </c>
      <c r="D48" t="b">
        <f>IF(Parameters!$B$4=0,FALSE(),MOD(46,Parameters!$B$4)=0)</f>
        <v>1</v>
      </c>
      <c r="E48" s="3">
        <f>ABS(C48*Parameters!$B$8-B48)</f>
        <v>0.0</v>
      </c>
      <c r="F48" s="3">
        <f>IF(D48,E48*Parameters!$B$3/10000,0)</f>
        <v>0.0</v>
      </c>
      <c r="G48" s="3">
        <f>IF(ABS(Parameters!$B$5-1)&gt;0.00000001,NA(),C48-F48)</f>
        <v>859423.3445658728</v>
      </c>
      <c r="H48" s="3">
        <f>IF(D48,G48*Parameters!$B$8,B48)</f>
        <v>859423.3445658728</v>
      </c>
      <c r="I48" s="3">
        <f>MAX(Parameters!$B$2,G$2:G48)</f>
        <v>859423.3445658728</v>
      </c>
      <c r="J48" s="4">
        <f>G48/I48-1</f>
        <v>0.0</v>
      </c>
      <c r="K48" s="4">
        <f>G48/G47-1</f>
        <v>0.12583059791431728</v>
      </c>
      <c r="L48" s="3">
        <v>859423.3445658728</v>
      </c>
      <c r="M48" s="5">
        <f>G48-L48</f>
        <v>0</v>
      </c>
    </row>
    <row r="49" spans="1:13" ht="20" customHeight="1">
      <c r="A49" t="str">
        <f>Monthly!A49</f>
        <v>2025-08-29</v>
      </c>
      <c r="B49" s="3">
        <f>H48*Monthly!C49/Monthly!C48</f>
        <v>841594.2049598444</v>
      </c>
      <c r="C49" s="3">
        <f>SUM(B49:B49)</f>
        <v>841594.2049598444</v>
      </c>
      <c r="D49" t="b">
        <f>IF(Parameters!$B$4=0,FALSE(),MOD(47,Parameters!$B$4)=0)</f>
        <v>1</v>
      </c>
      <c r="E49" s="3">
        <f>ABS(C49*Parameters!$B$8-B49)</f>
        <v>0.0</v>
      </c>
      <c r="F49" s="3">
        <f>IF(D49,E49*Parameters!$B$3/10000,0)</f>
        <v>0.0</v>
      </c>
      <c r="G49" s="3">
        <f>IF(ABS(Parameters!$B$5-1)&gt;0.00000001,NA(),C49-F49)</f>
        <v>841594.2049598444</v>
      </c>
      <c r="H49" s="3">
        <f>IF(D49,G49*Parameters!$B$8,B49)</f>
        <v>841594.2049598444</v>
      </c>
      <c r="I49" s="3">
        <f>MAX(Parameters!$B$2,G$2:G49)</f>
        <v>859423.3445658728</v>
      </c>
      <c r="J49" s="4">
        <f>G49/I49-1</f>
        <v>-0.0207454681313487</v>
      </c>
      <c r="K49" s="4">
        <f>G49/G48-1</f>
        <v>-0.0207454681313487</v>
      </c>
      <c r="L49" s="3">
        <v>841594.2049598444</v>
      </c>
      <c r="M49" s="5">
        <f>G49-L49</f>
        <v>0</v>
      </c>
    </row>
    <row r="50" spans="1:13" ht="20" customHeight="1">
      <c r="A50" t="str">
        <f>Monthly!A50</f>
        <v>2025-09-30</v>
      </c>
      <c r="B50" s="3">
        <f>H49*Monthly!C50/Monthly!C49</f>
        <v>901558.799514274</v>
      </c>
      <c r="C50" s="3">
        <f>SUM(B50:B50)</f>
        <v>901558.799514274</v>
      </c>
      <c r="D50" t="b">
        <f>IF(Parameters!$B$4=0,FALSE(),MOD(48,Parameters!$B$4)=0)</f>
        <v>1</v>
      </c>
      <c r="E50" s="3">
        <f>ABS(C50*Parameters!$B$8-B50)</f>
        <v>0.0</v>
      </c>
      <c r="F50" s="3">
        <f>IF(D50,E50*Parameters!$B$3/10000,0)</f>
        <v>0.0</v>
      </c>
      <c r="G50" s="3">
        <f>IF(ABS(Parameters!$B$5-1)&gt;0.00000001,NA(),C50-F50)</f>
        <v>901558.799514274</v>
      </c>
      <c r="H50" s="3">
        <f>IF(D50,G50*Parameters!$B$8,B50)</f>
        <v>901558.799514274</v>
      </c>
      <c r="I50" s="3">
        <f>MAX(Parameters!$B$2,G$2:G50)</f>
        <v>901558.799514274</v>
      </c>
      <c r="J50" s="4">
        <f>G50/I50-1</f>
        <v>0.0</v>
      </c>
      <c r="K50" s="4">
        <f>G50/G49-1</f>
        <v>0.07125119707459349</v>
      </c>
      <c r="L50" s="3">
        <v>901558.799514274</v>
      </c>
      <c r="M50" s="5">
        <f>G50-L50</f>
        <v>0</v>
      </c>
    </row>
    <row r="51" spans="1:13" ht="20" customHeight="1">
      <c r="A51" t="str">
        <f>Monthly!A51</f>
        <v>2025-10-31</v>
      </c>
      <c r="B51" s="3">
        <f>H50*Monthly!C51/Monthly!C50</f>
        <v>978436.3029144147</v>
      </c>
      <c r="C51" s="3">
        <f>SUM(B51:B51)</f>
        <v>978436.3029144147</v>
      </c>
      <c r="D51" t="b">
        <f>IF(Parameters!$B$4=0,FALSE(),MOD(49,Parameters!$B$4)=0)</f>
        <v>1</v>
      </c>
      <c r="E51" s="3">
        <f>ABS(C51*Parameters!$B$8-B51)</f>
        <v>0.0</v>
      </c>
      <c r="F51" s="3">
        <f>IF(D51,E51*Parameters!$B$3/10000,0)</f>
        <v>0.0</v>
      </c>
      <c r="G51" s="3">
        <f>IF(ABS(Parameters!$B$5-1)&gt;0.00000001,NA(),C51-F51)</f>
        <v>978436.3029144147</v>
      </c>
      <c r="H51" s="3">
        <f>IF(D51,G51*Parameters!$B$8,B51)</f>
        <v>978436.3029144147</v>
      </c>
      <c r="I51" s="3">
        <f>MAX(Parameters!$B$2,G$2:G51)</f>
        <v>978436.3029144147</v>
      </c>
      <c r="J51" s="4">
        <f>G51/I51-1</f>
        <v>0.0</v>
      </c>
      <c r="K51" s="4">
        <f>G51/G50-1</f>
        <v>0.08527175758426342</v>
      </c>
      <c r="L51" s="3">
        <v>978436.3029144147</v>
      </c>
      <c r="M51" s="5">
        <f>G51-L51</f>
        <v>0</v>
      </c>
    </row>
    <row r="52" spans="1:13" ht="20" customHeight="1">
      <c r="A52" t="str">
        <f>Monthly!A52</f>
        <v>2025-11-28</v>
      </c>
      <c r="B52" s="3">
        <f>H51*Monthly!C52/Monthly!C51</f>
        <v>855267.9716314463</v>
      </c>
      <c r="C52" s="3">
        <f>SUM(B52:B52)</f>
        <v>855267.9716314463</v>
      </c>
      <c r="D52" t="b">
        <f>IF(Parameters!$B$4=0,FALSE(),MOD(50,Parameters!$B$4)=0)</f>
        <v>1</v>
      </c>
      <c r="E52" s="3">
        <f>ABS(C52*Parameters!$B$8-B52)</f>
        <v>0.0</v>
      </c>
      <c r="F52" s="3">
        <f>IF(D52,E52*Parameters!$B$3/10000,0)</f>
        <v>0.0</v>
      </c>
      <c r="G52" s="3">
        <f>IF(ABS(Parameters!$B$5-1)&gt;0.00000001,NA(),C52-F52)</f>
        <v>855267.9716314463</v>
      </c>
      <c r="H52" s="3">
        <f>IF(D52,G52*Parameters!$B$8,B52)</f>
        <v>855267.9716314463</v>
      </c>
      <c r="I52" s="3">
        <f>MAX(Parameters!$B$2,G$2:G52)</f>
        <v>978436.3029144147</v>
      </c>
      <c r="J52" s="4">
        <f>G52/I52-1</f>
        <v>-0.12588283050832605</v>
      </c>
      <c r="K52" s="4">
        <f>G52/G51-1</f>
        <v>-0.12588283050832605</v>
      </c>
      <c r="L52" s="3">
        <v>855267.9716314463</v>
      </c>
      <c r="M52" s="5">
        <f>G52-L52</f>
        <v>0</v>
      </c>
    </row>
    <row r="53" spans="1:13" ht="20" customHeight="1">
      <c r="A53" t="str">
        <f>Monthly!A53</f>
        <v>2025-12-31</v>
      </c>
      <c r="B53" s="3">
        <f>H52*Monthly!C53/Monthly!C52</f>
        <v>901222.4466716343</v>
      </c>
      <c r="C53" s="3">
        <f>SUM(B53:B53)</f>
        <v>901222.4466716343</v>
      </c>
      <c r="D53" t="b">
        <f>IF(Parameters!$B$4=0,FALSE(),MOD(51,Parameters!$B$4)=0)</f>
        <v>1</v>
      </c>
      <c r="E53" s="3">
        <f>ABS(C53*Parameters!$B$8-B53)</f>
        <v>0.0</v>
      </c>
      <c r="F53" s="3">
        <f>IF(D53,E53*Parameters!$B$3/10000,0)</f>
        <v>0.0</v>
      </c>
      <c r="G53" s="3">
        <f>IF(ABS(Parameters!$B$5-1)&gt;0.00000001,NA(),C53-F53)</f>
        <v>901222.4466716343</v>
      </c>
      <c r="H53" s="3">
        <f>IF(D53,G53*Parameters!$B$8,B53)</f>
        <v>901222.4466716343</v>
      </c>
      <c r="I53" s="3">
        <f>MAX(Parameters!$B$2,G$2:G53)</f>
        <v>978436.3029144147</v>
      </c>
      <c r="J53" s="4">
        <f>G53/I53-1</f>
        <v>-0.0789155676386778</v>
      </c>
      <c r="K53" s="4">
        <f>G53/G52-1</f>
        <v>0.05373108378246494</v>
      </c>
      <c r="L53" s="3">
        <v>901222.4466716343</v>
      </c>
      <c r="M53" s="5">
        <f>G53-L53</f>
        <v>0</v>
      </c>
    </row>
    <row r="54" spans="1:13" ht="20" customHeight="1">
      <c r="A54" t="str">
        <f>Monthly!A54</f>
        <v>2026-01-30</v>
      </c>
      <c r="B54" s="3">
        <f>H53*Monthly!C54/Monthly!C53</f>
        <v>923595.8602575674</v>
      </c>
      <c r="C54" s="3">
        <f>SUM(B54:B54)</f>
        <v>923595.8602575674</v>
      </c>
      <c r="D54" t="b">
        <f>IF(Parameters!$B$4=0,FALSE(),MOD(52,Parameters!$B$4)=0)</f>
        <v>1</v>
      </c>
      <c r="E54" s="3">
        <f>ABS(C54*Parameters!$B$8-B54)</f>
        <v>0.0</v>
      </c>
      <c r="F54" s="3">
        <f>IF(D54,E54*Parameters!$B$3/10000,0)</f>
        <v>0.0</v>
      </c>
      <c r="G54" s="3">
        <f>IF(ABS(Parameters!$B$5-1)&gt;0.00000001,NA(),C54-F54)</f>
        <v>923595.8602575674</v>
      </c>
      <c r="H54" s="3">
        <f>IF(D54,G54*Parameters!$B$8,B54)</f>
        <v>923595.8602575674</v>
      </c>
      <c r="I54" s="3">
        <f>MAX(Parameters!$B$2,G$2:G54)</f>
        <v>978436.3029144147</v>
      </c>
      <c r="J54" s="4">
        <f>G54/I54-1</f>
        <v>-0.05604906777630503</v>
      </c>
      <c r="K54" s="4">
        <f>G54/G53-1</f>
        <v>0.02482562842122027</v>
      </c>
      <c r="L54" s="3">
        <v>923595.8602575674</v>
      </c>
      <c r="M54" s="5">
        <f>G54-L54</f>
        <v>0</v>
      </c>
    </row>
    <row r="55" spans="1:13" ht="20" customHeight="1">
      <c r="A55" t="str">
        <f>Monthly!A55</f>
        <v>2026-02-27</v>
      </c>
      <c r="B55" s="3">
        <f>H54*Monthly!C55/Monthly!C54</f>
        <v>856233.7942962706</v>
      </c>
      <c r="C55" s="3">
        <f>SUM(B55:B55)</f>
        <v>856233.7942962706</v>
      </c>
      <c r="D55" t="b">
        <f>IF(Parameters!$B$4=0,FALSE(),MOD(53,Parameters!$B$4)=0)</f>
        <v>1</v>
      </c>
      <c r="E55" s="3">
        <f>ABS(C55*Parameters!$B$8-B55)</f>
        <v>0.0</v>
      </c>
      <c r="F55" s="3">
        <f>IF(D55,E55*Parameters!$B$3/10000,0)</f>
        <v>0.0</v>
      </c>
      <c r="G55" s="3">
        <f>IF(ABS(Parameters!$B$5-1)&gt;0.00000001,NA(),C55-F55)</f>
        <v>856233.7942962706</v>
      </c>
      <c r="H55" s="3">
        <f>IF(D55,G55*Parameters!$B$8,B55)</f>
        <v>856233.7942962706</v>
      </c>
      <c r="I55" s="3">
        <f>MAX(Parameters!$B$2,G$2:G55)</f>
        <v>978436.3029144147</v>
      </c>
      <c r="J55" s="4">
        <f>G55/I55-1</f>
        <v>-0.1248957221376048</v>
      </c>
      <c r="K55" s="4">
        <f>G55/G54-1</f>
        <v>-0.0729345689601848</v>
      </c>
      <c r="L55" s="3">
        <v>856233.7942962706</v>
      </c>
      <c r="M55" s="5">
        <f>G55-L55</f>
        <v>0</v>
      </c>
    </row>
    <row r="56" spans="1:13" ht="20" customHeight="1">
      <c r="A56" t="str">
        <f>Monthly!A56</f>
        <v>2026-03-31</v>
      </c>
      <c r="B56" s="3">
        <f>H55*Monthly!C56/Monthly!C55</f>
        <v>842797.1966582945</v>
      </c>
      <c r="C56" s="3">
        <f>SUM(B56:B56)</f>
        <v>842797.1966582945</v>
      </c>
      <c r="D56" t="b">
        <f>IF(Parameters!$B$4=0,FALSE(),MOD(54,Parameters!$B$4)=0)</f>
        <v>1</v>
      </c>
      <c r="E56" s="3">
        <f>ABS(C56*Parameters!$B$8-B56)</f>
        <v>0.0</v>
      </c>
      <c r="F56" s="3">
        <f>IF(D56,E56*Parameters!$B$3/10000,0)</f>
        <v>0.0</v>
      </c>
      <c r="G56" s="3">
        <f>IF(ABS(Parameters!$B$5-1)&gt;0.00000001,NA(),C56-F56)</f>
        <v>842797.1966582945</v>
      </c>
      <c r="H56" s="3">
        <f>IF(D56,G56*Parameters!$B$8,B56)</f>
        <v>842797.1966582945</v>
      </c>
      <c r="I56" s="3">
        <f>MAX(Parameters!$B$2,G$2:G56)</f>
        <v>978436.3029144147</v>
      </c>
      <c r="J56" s="4">
        <f>G56/I56-1</f>
        <v>-0.1386284481187987</v>
      </c>
      <c r="K56" s="4">
        <f>G56/G55-1</f>
        <v>-0.015692673808815782</v>
      </c>
      <c r="L56" s="3">
        <v>842797.1966582945</v>
      </c>
      <c r="M56" s="5">
        <f>G56-L56</f>
        <v>0</v>
      </c>
    </row>
    <row r="57" spans="1:13" ht="20" customHeight="1">
      <c r="A57" t="str">
        <f>Monthly!A57</f>
        <v>2026-04-30</v>
      </c>
      <c r="B57" s="3">
        <f>H56*Monthly!C57/Monthly!C56</f>
        <v>964432.6133490435</v>
      </c>
      <c r="C57" s="3">
        <f>SUM(B57:B57)</f>
        <v>964432.6133490435</v>
      </c>
      <c r="D57" t="b">
        <f>IF(Parameters!$B$4=0,FALSE(),MOD(55,Parameters!$B$4)=0)</f>
        <v>1</v>
      </c>
      <c r="E57" s="3">
        <f>ABS(C57*Parameters!$B$8-B57)</f>
        <v>0.0</v>
      </c>
      <c r="F57" s="3">
        <f>IF(D57,E57*Parameters!$B$3/10000,0)</f>
        <v>0.0</v>
      </c>
      <c r="G57" s="3">
        <f>IF(ABS(Parameters!$B$5-1)&gt;0.00000001,NA(),C57-F57)</f>
        <v>964432.6133490435</v>
      </c>
      <c r="H57" s="3">
        <f>IF(D57,G57*Parameters!$B$8,B57)</f>
        <v>964432.6133490435</v>
      </c>
      <c r="I57" s="3">
        <f>MAX(Parameters!$B$2,G$2:G57)</f>
        <v>978436.3029144147</v>
      </c>
      <c r="J57" s="4">
        <f>G57/I57-1</f>
        <v>-0.014312316012456971</v>
      </c>
      <c r="K57" s="4">
        <f>G57/G56-1</f>
        <v>0.14432347090502384</v>
      </c>
      <c r="L57" s="3">
        <v>964432.6133490435</v>
      </c>
      <c r="M57" s="5">
        <f>G57-L57</f>
        <v>0</v>
      </c>
    </row>
    <row r="58" spans="1:13" ht="20" customHeight="1">
      <c r="A58" t="str">
        <f>Monthly!A58</f>
        <v>2026-05-29</v>
      </c>
      <c r="B58" s="3">
        <f>H57*Monthly!C58/Monthly!C57</f>
        <v>1020345.3054106408</v>
      </c>
      <c r="C58" s="3">
        <f>SUM(B58:B58)</f>
        <v>1020345.3054106408</v>
      </c>
      <c r="D58" t="b">
        <f>IF(Parameters!$B$4=0,FALSE(),MOD(56,Parameters!$B$4)=0)</f>
        <v>1</v>
      </c>
      <c r="E58" s="3">
        <f>ABS(C58*Parameters!$B$8-B58)</f>
        <v>0.0</v>
      </c>
      <c r="F58" s="3">
        <f>IF(D58,E58*Parameters!$B$3/10000,0)</f>
        <v>0.0</v>
      </c>
      <c r="G58" s="3">
        <f>IF(ABS(Parameters!$B$5-1)&gt;0.00000001,NA(),C58-F58)</f>
        <v>1020345.3054106408</v>
      </c>
      <c r="H58" s="3">
        <f>IF(D58,G58*Parameters!$B$8,B58)</f>
        <v>1020345.3054106408</v>
      </c>
      <c r="I58" s="3">
        <f>MAX(Parameters!$B$2,G$2:G58)</f>
        <v>1020345.3054106408</v>
      </c>
      <c r="J58" s="4">
        <f>G58/I58-1</f>
        <v>0.0</v>
      </c>
      <c r="K58" s="4">
        <f>G58/G57-1</f>
        <v>0.05797470065579535</v>
      </c>
      <c r="L58" s="3">
        <v>1020345.305410641</v>
      </c>
      <c r="M58" s="5">
        <f>G58-L58</f>
        <v>0</v>
      </c>
    </row>
    <row r="59" spans="1:13" ht="20" customHeight="1">
      <c r="A59" t="str">
        <f>Monthly!A59</f>
        <v>2026-06-30</v>
      </c>
      <c r="B59" s="3">
        <f>H58*Monthly!C59/Monthly!C58</f>
        <v>968072.4817619558</v>
      </c>
      <c r="C59" s="3">
        <f>SUM(B59:B59)</f>
        <v>968072.4817619558</v>
      </c>
      <c r="D59" t="b">
        <f>IF(Parameters!$B$4=0,FALSE(),MOD(57,Parameters!$B$4)=0)</f>
        <v>1</v>
      </c>
      <c r="E59" s="3">
        <f>ABS(C59*Parameters!$B$8-B59)</f>
        <v>0.0</v>
      </c>
      <c r="F59" s="3">
        <f>IF(D59,E59*Parameters!$B$3/10000,0)</f>
        <v>0.0</v>
      </c>
      <c r="G59" s="3">
        <f>IF(ABS(Parameters!$B$5-1)&gt;0.00000001,NA(),C59-F59)</f>
        <v>968072.4817619558</v>
      </c>
      <c r="H59" s="3">
        <f>IF(D59,G59*Parameters!$B$8,B59)</f>
        <v>968072.4817619558</v>
      </c>
      <c r="I59" s="3">
        <f>MAX(Parameters!$B$2,G$2:G59)</f>
        <v>1020345.3054106408</v>
      </c>
      <c r="J59" s="4">
        <f>G59/I59-1</f>
        <v>-0.05123052301166575</v>
      </c>
      <c r="K59" s="4">
        <f>G59/G58-1</f>
        <v>-0.05123052301166575</v>
      </c>
      <c r="L59" s="3">
        <v>968072.4817619558</v>
      </c>
      <c r="M59" s="5">
        <f>G59-L59</f>
        <v>0</v>
      </c>
    </row>
    <row r="60" spans="1:13" ht="20" customHeight="1">
      <c r="A60" t="str">
        <f>Monthly!A60</f>
        <v>2026-07-31</v>
      </c>
      <c r="B60" s="3">
        <f>H59*Monthly!C60/Monthly!C59</f>
        <v>971265.7274044721</v>
      </c>
      <c r="C60" s="3">
        <f>SUM(B60:B60)</f>
        <v>971265.7274044721</v>
      </c>
      <c r="D60" t="b">
        <f>IF(Parameters!$B$4=0,FALSE(),MOD(58,Parameters!$B$4)=0)</f>
        <v>1</v>
      </c>
      <c r="E60" s="3">
        <f>ABS(C60*Parameters!$B$8-B60)</f>
        <v>0.0</v>
      </c>
      <c r="F60" s="3">
        <f>IF(D60,E60*Parameters!$B$3/10000,0)</f>
        <v>0.0</v>
      </c>
      <c r="G60" s="3">
        <f>IF(ABS(Parameters!$B$5-1)&gt;0.00000001,NA(),C60-F60)</f>
        <v>971265.7274044721</v>
      </c>
      <c r="H60" s="3">
        <f>IF(D60,G60*Parameters!$B$8,B60)</f>
        <v>971265.7274044721</v>
      </c>
      <c r="I60" s="3">
        <f>MAX(Parameters!$B$2,G$2:G60)</f>
        <v>1020345.3054106408</v>
      </c>
      <c r="J60" s="4">
        <f>G60/I60-1</f>
        <v>-0.0481009494980883</v>
      </c>
      <c r="K60" s="4">
        <f>G60/G59-1</f>
        <v>0.0032985604928097434</v>
      </c>
      <c r="L60" s="3">
        <v>971265.7274044721</v>
      </c>
      <c r="M60" s="5">
        <f>G60-L60</f>
        <v>0</v>
      </c>
    </row>
    <row r="61" spans="1:13" ht="20" customHeight="1">
      <c r="A61" t="str">
        <f>Monthly!A61</f>
        <v>2026-08-31</v>
      </c>
      <c r="B61" s="3">
        <f>H60*Monthly!C61/Monthly!C60</f>
        <v>1068174.5909450592</v>
      </c>
      <c r="C61" s="3">
        <f>SUM(B61:B61)</f>
        <v>1068174.5909450592</v>
      </c>
      <c r="D61" t="b">
        <f>IF(Parameters!$B$4=0,FALSE(),MOD(59,Parameters!$B$4)=0)</f>
        <v>1</v>
      </c>
      <c r="E61" s="3">
        <f>ABS(C61*Parameters!$B$8-B61)</f>
        <v>0.0</v>
      </c>
      <c r="F61" s="3">
        <f>IF(D61,E61*Parameters!$B$3/10000,0)</f>
        <v>0.0</v>
      </c>
      <c r="G61" s="3">
        <f>IF(ABS(Parameters!$B$5-1)&gt;0.00000001,NA(),C61-F61)</f>
        <v>1068174.5909450592</v>
      </c>
      <c r="H61" s="3">
        <f>IF(D61,G61*Parameters!$B$8,B61)</f>
        <v>1068174.5909450592</v>
      </c>
      <c r="I61" s="3">
        <f>MAX(Parameters!$B$2,G$2:G61)</f>
        <v>1068174.5909450592</v>
      </c>
      <c r="J61" s="4">
        <f>G61/I61-1</f>
        <v>0.0</v>
      </c>
      <c r="K61" s="4">
        <f>G61/G60-1</f>
        <v>0.09977585001332034</v>
      </c>
      <c r="L61" s="3">
        <v>1068174.590945059</v>
      </c>
      <c r="M61" s="5">
        <f>G61-L61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17.7109375" customWidth="1"/>
    <col min="2" max="3" width="30.7109375" customWidth="1"/>
    <col min="4" max="36" width="17.7109375" customWidth="1"/>
  </cols>
  <sheetData>
    <row r="1" spans="1:8" ht="32" customHeight="1">
      <c r="A1" s="6" t="s">
        <v>23</v>
      </c>
      <c r="B1" s="6" t="s">
        <v>4650</v>
      </c>
      <c r="C1" s="6" t="s">
        <v>4651</v>
      </c>
      <c r="D1" s="6" t="s">
        <v>4652</v>
      </c>
      <c r="E1" s="6" t="s">
        <v>4653</v>
      </c>
      <c r="F1" s="6" t="s">
        <v>4654</v>
      </c>
      <c r="G1" s="6" t="s">
        <v>4655</v>
      </c>
      <c r="H1" s="6" t="s">
        <v>4656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32.7109375" customWidth="1"/>
    <col min="2" max="2" width="55.7109375" customWidth="1"/>
    <col min="3" max="11" width="17.7109375" customWidth="1"/>
    <col min="12" max="12" width="40.7109375" customWidth="1"/>
    <col min="13" max="13" width="80.7109375" customWidth="1"/>
    <col min="14" max="15" width="30.7109375" customWidth="1"/>
    <col min="16" max="36" width="17.7109375" customWidth="1"/>
  </cols>
  <sheetData>
    <row r="1" spans="1:15" ht="32" customHeight="1">
      <c r="A1" s="6" t="s">
        <v>4657</v>
      </c>
      <c r="B1" s="6" t="s">
        <v>4658</v>
      </c>
      <c r="C1" s="6" t="s">
        <v>4659</v>
      </c>
      <c r="D1" s="6" t="s">
        <v>4660</v>
      </c>
      <c r="E1" s="6" t="s">
        <v>23</v>
      </c>
      <c r="F1" s="6" t="s">
        <v>4661</v>
      </c>
      <c r="G1" s="6" t="s">
        <v>4662</v>
      </c>
      <c r="H1" s="6" t="s">
        <v>4663</v>
      </c>
      <c r="I1" s="6" t="s">
        <v>4664</v>
      </c>
      <c r="J1" s="6" t="s">
        <v>4665</v>
      </c>
      <c r="K1" s="6" t="s">
        <v>4666</v>
      </c>
      <c r="L1" s="6" t="s">
        <v>4667</v>
      </c>
      <c r="M1" s="6" t="s">
        <v>4668</v>
      </c>
      <c r="N1" s="6" t="s">
        <v>4669</v>
      </c>
      <c r="O1" s="6" t="s">
        <v>4670</v>
      </c>
    </row>
    <row r="2" spans="1:15" ht="20" customHeight="1">
      <c r="A2" t="s">
        <v>4671</v>
      </c>
      <c r="B2" t="s">
        <v>4672</v>
      </c>
      <c r="C2" t="s">
        <v>1751</v>
      </c>
      <c r="D2" t="s">
        <v>1751</v>
      </c>
      <c r="E2" t="s">
        <v>22</v>
      </c>
      <c r="F2">
        <v>1</v>
      </c>
      <c r="G2">
        <v>0.08237930615790012</v>
      </c>
      <c r="H2">
        <v>0.03150052755698418</v>
      </c>
      <c r="I2">
        <v>0.05087877860091594</v>
      </c>
      <c r="J2" t="s">
        <v>4673</v>
      </c>
      <c r="K2" t="s">
        <v>4674</v>
      </c>
      <c r="L2" t="s">
        <v>4675</v>
      </c>
      <c r="M2" t="s">
        <v>4676</v>
      </c>
      <c r="N2" t="s">
        <v>1750</v>
      </c>
      <c r="O2" t="s">
        <v>1753</v>
      </c>
    </row>
    <row r="3" spans="1:15" ht="20" customHeight="1">
      <c r="A3" t="s">
        <v>4671</v>
      </c>
      <c r="B3" t="s">
        <v>4672</v>
      </c>
      <c r="C3" t="s">
        <v>1751</v>
      </c>
      <c r="D3" t="s">
        <v>1751</v>
      </c>
      <c r="E3" t="s">
        <v>22</v>
      </c>
      <c r="F3">
        <v>5</v>
      </c>
      <c r="G3">
        <v>0.02251353989900529</v>
      </c>
      <c r="H3">
        <v>-0.003542528477260887</v>
      </c>
      <c r="I3">
        <v>0.02605606837626617</v>
      </c>
      <c r="J3" t="s">
        <v>4673</v>
      </c>
      <c r="K3" t="s">
        <v>4674</v>
      </c>
      <c r="L3" t="s">
        <v>4675</v>
      </c>
      <c r="M3" t="s">
        <v>4676</v>
      </c>
      <c r="N3" t="s">
        <v>1750</v>
      </c>
      <c r="O3" t="s">
        <v>1765</v>
      </c>
    </row>
    <row r="4" spans="1:15" ht="20" customHeight="1">
      <c r="A4" t="s">
        <v>4671</v>
      </c>
      <c r="B4" t="s">
        <v>4672</v>
      </c>
      <c r="C4" t="s">
        <v>1751</v>
      </c>
      <c r="D4" t="s">
        <v>1751</v>
      </c>
      <c r="E4" t="s">
        <v>22</v>
      </c>
      <c r="F4">
        <v>20</v>
      </c>
      <c r="G4">
        <v>-0.1022706075255498</v>
      </c>
      <c r="H4">
        <v>-0.04260898927173384</v>
      </c>
      <c r="I4">
        <v>-0.059661618253816</v>
      </c>
      <c r="J4" t="s">
        <v>4673</v>
      </c>
      <c r="K4" t="s">
        <v>4674</v>
      </c>
      <c r="L4" t="s">
        <v>4675</v>
      </c>
      <c r="M4" t="s">
        <v>4676</v>
      </c>
      <c r="N4" t="s">
        <v>1750</v>
      </c>
      <c r="O4" t="s">
        <v>1810</v>
      </c>
    </row>
    <row r="5" spans="1:15" ht="20" customHeight="1">
      <c r="A5" t="s">
        <v>4677</v>
      </c>
      <c r="B5" t="s">
        <v>4678</v>
      </c>
      <c r="C5" t="s">
        <v>2111</v>
      </c>
      <c r="D5" t="s">
        <v>2114</v>
      </c>
      <c r="E5" t="s">
        <v>22</v>
      </c>
      <c r="F5">
        <v>1</v>
      </c>
      <c r="G5">
        <v>0.2436961100286177</v>
      </c>
      <c r="H5">
        <v>0.008660052411719965</v>
      </c>
      <c r="I5">
        <v>0.2350360576168977</v>
      </c>
      <c r="J5" t="s">
        <v>4679</v>
      </c>
      <c r="K5" t="s">
        <v>4680</v>
      </c>
      <c r="L5" t="s">
        <v>4681</v>
      </c>
      <c r="M5" t="s">
        <v>4682</v>
      </c>
      <c r="N5" t="s">
        <v>2113</v>
      </c>
      <c r="O5" t="s">
        <v>2116</v>
      </c>
    </row>
    <row r="6" spans="1:15" ht="20" customHeight="1">
      <c r="A6" t="s">
        <v>4677</v>
      </c>
      <c r="B6" t="s">
        <v>4678</v>
      </c>
      <c r="C6" t="s">
        <v>2111</v>
      </c>
      <c r="D6" t="s">
        <v>2114</v>
      </c>
      <c r="E6" t="s">
        <v>22</v>
      </c>
      <c r="F6">
        <v>5</v>
      </c>
      <c r="G6">
        <v>0.3023117824199475</v>
      </c>
      <c r="H6">
        <v>0.02610157614302988</v>
      </c>
      <c r="I6">
        <v>0.2762102062769176</v>
      </c>
      <c r="J6" t="s">
        <v>4679</v>
      </c>
      <c r="K6" t="s">
        <v>4680</v>
      </c>
      <c r="L6" t="s">
        <v>4681</v>
      </c>
      <c r="M6" t="s">
        <v>4682</v>
      </c>
      <c r="N6" t="s">
        <v>2113</v>
      </c>
      <c r="O6" t="s">
        <v>2128</v>
      </c>
    </row>
    <row r="7" spans="1:15" ht="20" customHeight="1">
      <c r="A7" t="s">
        <v>4677</v>
      </c>
      <c r="B7" t="s">
        <v>4678</v>
      </c>
      <c r="C7" t="s">
        <v>2111</v>
      </c>
      <c r="D7" t="s">
        <v>2114</v>
      </c>
      <c r="E7" t="s">
        <v>22</v>
      </c>
      <c r="F7">
        <v>20</v>
      </c>
      <c r="G7">
        <v>0.3823226044303325</v>
      </c>
      <c r="H7">
        <v>0.05772290545987335</v>
      </c>
      <c r="I7">
        <v>0.3245996989704591</v>
      </c>
      <c r="J7" t="s">
        <v>4679</v>
      </c>
      <c r="K7" t="s">
        <v>4680</v>
      </c>
      <c r="L7" t="s">
        <v>4681</v>
      </c>
      <c r="M7" t="s">
        <v>4682</v>
      </c>
      <c r="N7" t="s">
        <v>2113</v>
      </c>
      <c r="O7" t="s">
        <v>2173</v>
      </c>
    </row>
    <row r="8" spans="1:15" ht="20" customHeight="1">
      <c r="A8" t="s">
        <v>4683</v>
      </c>
      <c r="B8" t="s">
        <v>4684</v>
      </c>
      <c r="C8" t="s">
        <v>2723</v>
      </c>
      <c r="D8" t="s">
        <v>2726</v>
      </c>
      <c r="E8" t="s">
        <v>22</v>
      </c>
      <c r="F8">
        <v>1</v>
      </c>
      <c r="G8">
        <v>0.01066074676866458</v>
      </c>
      <c r="H8">
        <v>0.005557166056051388</v>
      </c>
      <c r="I8">
        <v>0.005103580712613187</v>
      </c>
      <c r="J8" t="s">
        <v>4673</v>
      </c>
      <c r="K8" t="s">
        <v>4680</v>
      </c>
      <c r="L8" t="s">
        <v>4685</v>
      </c>
      <c r="M8" t="s">
        <v>4686</v>
      </c>
      <c r="N8" t="s">
        <v>2725</v>
      </c>
      <c r="O8" t="s">
        <v>2728</v>
      </c>
    </row>
    <row r="9" spans="1:15" ht="20" customHeight="1">
      <c r="A9" t="s">
        <v>4683</v>
      </c>
      <c r="B9" t="s">
        <v>4684</v>
      </c>
      <c r="C9" t="s">
        <v>2723</v>
      </c>
      <c r="D9" t="s">
        <v>2726</v>
      </c>
      <c r="E9" t="s">
        <v>22</v>
      </c>
      <c r="F9">
        <v>5</v>
      </c>
      <c r="G9">
        <v>0.07401498657989225</v>
      </c>
      <c r="H9">
        <v>0.01347345667833988</v>
      </c>
      <c r="I9">
        <v>0.06054152990155237</v>
      </c>
      <c r="J9" t="s">
        <v>4673</v>
      </c>
      <c r="K9" t="s">
        <v>4680</v>
      </c>
      <c r="L9" t="s">
        <v>4685</v>
      </c>
      <c r="M9" t="s">
        <v>4686</v>
      </c>
      <c r="N9" t="s">
        <v>2725</v>
      </c>
      <c r="O9" t="s">
        <v>2740</v>
      </c>
    </row>
    <row r="10" spans="1:15" ht="20" customHeight="1">
      <c r="A10" t="s">
        <v>4683</v>
      </c>
      <c r="B10" t="s">
        <v>4684</v>
      </c>
      <c r="C10" t="s">
        <v>2723</v>
      </c>
      <c r="D10" t="s">
        <v>2726</v>
      </c>
      <c r="E10" t="s">
        <v>22</v>
      </c>
      <c r="F10">
        <v>20</v>
      </c>
      <c r="G10">
        <v>-0.01175745025737374</v>
      </c>
      <c r="H10">
        <v>-0.01819207338066486</v>
      </c>
      <c r="I10">
        <v>0.006434623123291128</v>
      </c>
      <c r="J10" t="s">
        <v>4673</v>
      </c>
      <c r="K10" t="s">
        <v>4680</v>
      </c>
      <c r="L10" t="s">
        <v>4685</v>
      </c>
      <c r="M10" t="s">
        <v>4686</v>
      </c>
      <c r="N10" t="s">
        <v>2725</v>
      </c>
      <c r="O10" t="s">
        <v>2785</v>
      </c>
    </row>
    <row r="11" spans="1:15" ht="20" customHeight="1">
      <c r="A11" t="s">
        <v>4687</v>
      </c>
      <c r="B11" t="s">
        <v>4688</v>
      </c>
      <c r="C11" t="s">
        <v>3359</v>
      </c>
      <c r="D11" t="s">
        <v>3359</v>
      </c>
      <c r="E11" t="s">
        <v>22</v>
      </c>
      <c r="F11">
        <v>1</v>
      </c>
      <c r="G11">
        <v>0.04430891968492312</v>
      </c>
      <c r="H11">
        <v>0.005621359328503939</v>
      </c>
      <c r="I11">
        <v>0.03868756035641918</v>
      </c>
      <c r="J11" t="s">
        <v>4689</v>
      </c>
      <c r="K11" t="s">
        <v>4674</v>
      </c>
      <c r="L11" t="s">
        <v>4690</v>
      </c>
      <c r="M11" t="s">
        <v>4691</v>
      </c>
      <c r="N11" t="s">
        <v>3358</v>
      </c>
      <c r="O11" t="s">
        <v>3361</v>
      </c>
    </row>
    <row r="12" spans="1:15" ht="20" customHeight="1">
      <c r="A12" t="s">
        <v>4687</v>
      </c>
      <c r="B12" t="s">
        <v>4688</v>
      </c>
      <c r="C12" t="s">
        <v>3359</v>
      </c>
      <c r="D12" t="s">
        <v>3359</v>
      </c>
      <c r="E12" t="s">
        <v>22</v>
      </c>
      <c r="F12">
        <v>5</v>
      </c>
      <c r="G12">
        <v>-0.08407288354514808</v>
      </c>
      <c r="H12">
        <v>0.002437666440832542</v>
      </c>
      <c r="I12">
        <v>-0.08651054998598062</v>
      </c>
      <c r="J12" t="s">
        <v>4689</v>
      </c>
      <c r="K12" t="s">
        <v>4674</v>
      </c>
      <c r="L12" t="s">
        <v>4690</v>
      </c>
      <c r="M12" t="s">
        <v>4691</v>
      </c>
      <c r="N12" t="s">
        <v>3358</v>
      </c>
      <c r="O12" t="s">
        <v>3373</v>
      </c>
    </row>
    <row r="13" spans="1:15" ht="20" customHeight="1">
      <c r="A13" t="s">
        <v>4687</v>
      </c>
      <c r="B13" t="s">
        <v>4688</v>
      </c>
      <c r="C13" t="s">
        <v>3359</v>
      </c>
      <c r="D13" t="s">
        <v>3359</v>
      </c>
      <c r="E13" t="s">
        <v>22</v>
      </c>
      <c r="F13">
        <v>20</v>
      </c>
      <c r="G13">
        <v>-0.01136119460706086</v>
      </c>
      <c r="H13">
        <v>0.01638347967828713</v>
      </c>
      <c r="I13">
        <v>-0.02774467428534799</v>
      </c>
      <c r="J13" t="s">
        <v>4689</v>
      </c>
      <c r="K13" t="s">
        <v>4674</v>
      </c>
      <c r="L13" t="s">
        <v>4690</v>
      </c>
      <c r="M13" t="s">
        <v>4691</v>
      </c>
      <c r="N13" t="s">
        <v>3358</v>
      </c>
      <c r="O13" t="s">
        <v>3418</v>
      </c>
    </row>
    <row r="14" spans="1:15" ht="20" customHeight="1">
      <c r="A14" t="s">
        <v>4692</v>
      </c>
      <c r="B14" t="s">
        <v>4693</v>
      </c>
      <c r="C14" t="s">
        <v>3368</v>
      </c>
      <c r="D14" t="s">
        <v>3368</v>
      </c>
      <c r="E14" t="s">
        <v>22</v>
      </c>
      <c r="F14">
        <v>1</v>
      </c>
      <c r="G14">
        <v>-0.1696817602810443</v>
      </c>
      <c r="H14">
        <v>-0.01414537035387842</v>
      </c>
      <c r="I14">
        <v>-0.1555363899271659</v>
      </c>
      <c r="J14" t="s">
        <v>4679</v>
      </c>
      <c r="K14" t="s">
        <v>4674</v>
      </c>
      <c r="L14" t="s">
        <v>4694</v>
      </c>
      <c r="M14" t="s">
        <v>4695</v>
      </c>
      <c r="N14" t="s">
        <v>3367</v>
      </c>
      <c r="O14" t="s">
        <v>3370</v>
      </c>
    </row>
    <row r="15" spans="1:15" ht="20" customHeight="1">
      <c r="A15" t="s">
        <v>4692</v>
      </c>
      <c r="B15" t="s">
        <v>4693</v>
      </c>
      <c r="C15" t="s">
        <v>3368</v>
      </c>
      <c r="D15" t="s">
        <v>3368</v>
      </c>
      <c r="E15" t="s">
        <v>22</v>
      </c>
      <c r="F15">
        <v>5</v>
      </c>
      <c r="G15">
        <v>-0.1581124981563174</v>
      </c>
      <c r="H15">
        <v>-0.01011571018793822</v>
      </c>
      <c r="I15">
        <v>-0.1479967879683792</v>
      </c>
      <c r="J15" t="s">
        <v>4679</v>
      </c>
      <c r="K15" t="s">
        <v>4674</v>
      </c>
      <c r="L15" t="s">
        <v>4694</v>
      </c>
      <c r="M15" t="s">
        <v>4695</v>
      </c>
      <c r="N15" t="s">
        <v>3367</v>
      </c>
      <c r="O15" t="s">
        <v>3382</v>
      </c>
    </row>
    <row r="16" spans="1:15" ht="20" customHeight="1">
      <c r="A16" t="s">
        <v>4692</v>
      </c>
      <c r="B16" t="s">
        <v>4693</v>
      </c>
      <c r="C16" t="s">
        <v>3368</v>
      </c>
      <c r="D16" t="s">
        <v>3368</v>
      </c>
      <c r="E16" t="s">
        <v>22</v>
      </c>
      <c r="F16">
        <v>20</v>
      </c>
      <c r="G16">
        <v>-0.08652365947518736</v>
      </c>
      <c r="H16">
        <v>-0.01769821913301395</v>
      </c>
      <c r="I16">
        <v>-0.06882544034217342</v>
      </c>
      <c r="J16" t="s">
        <v>4679</v>
      </c>
      <c r="K16" t="s">
        <v>4674</v>
      </c>
      <c r="L16" t="s">
        <v>4694</v>
      </c>
      <c r="M16" t="s">
        <v>4695</v>
      </c>
      <c r="N16" t="s">
        <v>3367</v>
      </c>
      <c r="O16" t="s">
        <v>3427</v>
      </c>
    </row>
    <row r="17" spans="1:15" ht="20" customHeight="1">
      <c r="A17" t="s">
        <v>4696</v>
      </c>
      <c r="B17" t="s">
        <v>4697</v>
      </c>
      <c r="C17" t="s">
        <v>3521</v>
      </c>
      <c r="D17" t="s">
        <v>3521</v>
      </c>
      <c r="E17" t="s">
        <v>22</v>
      </c>
      <c r="F17">
        <v>1</v>
      </c>
      <c r="G17">
        <v>0.1872273833519638</v>
      </c>
      <c r="H17">
        <v>0.1050192758263111</v>
      </c>
      <c r="I17">
        <v>0.08220810752565266</v>
      </c>
      <c r="J17" t="s">
        <v>4673</v>
      </c>
      <c r="K17" t="s">
        <v>4698</v>
      </c>
      <c r="L17" t="s">
        <v>4699</v>
      </c>
      <c r="M17" t="s">
        <v>4700</v>
      </c>
      <c r="N17" t="s">
        <v>3520</v>
      </c>
      <c r="O17" t="s">
        <v>3523</v>
      </c>
    </row>
    <row r="18" spans="1:15" ht="20" customHeight="1">
      <c r="A18" t="s">
        <v>4696</v>
      </c>
      <c r="B18" t="s">
        <v>4697</v>
      </c>
      <c r="C18" t="s">
        <v>3521</v>
      </c>
      <c r="D18" t="s">
        <v>3521</v>
      </c>
      <c r="E18" t="s">
        <v>22</v>
      </c>
      <c r="F18">
        <v>5</v>
      </c>
      <c r="G18">
        <v>0.1651089291101009</v>
      </c>
      <c r="H18">
        <v>0.08284309299293491</v>
      </c>
      <c r="I18">
        <v>0.08226583611716598</v>
      </c>
      <c r="J18" t="s">
        <v>4673</v>
      </c>
      <c r="K18" t="s">
        <v>4698</v>
      </c>
      <c r="L18" t="s">
        <v>4699</v>
      </c>
      <c r="M18" t="s">
        <v>4700</v>
      </c>
      <c r="N18" t="s">
        <v>3520</v>
      </c>
      <c r="O18" t="s">
        <v>3535</v>
      </c>
    </row>
    <row r="19" spans="1:15" ht="20" customHeight="1">
      <c r="A19" t="s">
        <v>4696</v>
      </c>
      <c r="B19" t="s">
        <v>4697</v>
      </c>
      <c r="C19" t="s">
        <v>3521</v>
      </c>
      <c r="D19" t="s">
        <v>3521</v>
      </c>
      <c r="E19" t="s">
        <v>22</v>
      </c>
      <c r="F19">
        <v>20</v>
      </c>
      <c r="G19">
        <v>0.2155762583195782</v>
      </c>
      <c r="H19">
        <v>0.1302569704006167</v>
      </c>
      <c r="I19">
        <v>0.08531928791896148</v>
      </c>
      <c r="J19" t="s">
        <v>4673</v>
      </c>
      <c r="K19" t="s">
        <v>4698</v>
      </c>
      <c r="L19" t="s">
        <v>4699</v>
      </c>
      <c r="M19" t="s">
        <v>4700</v>
      </c>
      <c r="N19" t="s">
        <v>3520</v>
      </c>
      <c r="O19" t="s">
        <v>3580</v>
      </c>
    </row>
    <row r="20" spans="1:15" ht="20" customHeight="1">
      <c r="A20" t="s">
        <v>4701</v>
      </c>
      <c r="B20" t="s">
        <v>4702</v>
      </c>
      <c r="C20" t="s">
        <v>4559</v>
      </c>
      <c r="D20" t="s">
        <v>4559</v>
      </c>
      <c r="E20" t="s">
        <v>22</v>
      </c>
      <c r="F20">
        <v>1</v>
      </c>
      <c r="G20">
        <v>-0.01591177757196449</v>
      </c>
      <c r="H20">
        <v>0.0002220076795962367</v>
      </c>
      <c r="I20">
        <v>-0.01613378525156073</v>
      </c>
      <c r="J20" t="s">
        <v>4673</v>
      </c>
      <c r="K20" t="s">
        <v>4680</v>
      </c>
      <c r="L20" t="s">
        <v>4703</v>
      </c>
      <c r="M20" t="s">
        <v>4704</v>
      </c>
      <c r="N20" t="s">
        <v>4558</v>
      </c>
      <c r="O20" t="s">
        <v>4561</v>
      </c>
    </row>
    <row r="21" spans="1:15" ht="20" customHeight="1">
      <c r="A21" t="s">
        <v>4701</v>
      </c>
      <c r="B21" t="s">
        <v>4702</v>
      </c>
      <c r="C21" t="s">
        <v>4559</v>
      </c>
      <c r="D21" t="s">
        <v>4559</v>
      </c>
      <c r="E21" t="s">
        <v>22</v>
      </c>
      <c r="F21">
        <v>5</v>
      </c>
      <c r="G21">
        <v>0.02060552932460169</v>
      </c>
      <c r="H21">
        <v>-0.005392174289209906</v>
      </c>
      <c r="I21">
        <v>0.0259977036138116</v>
      </c>
      <c r="J21" t="s">
        <v>4673</v>
      </c>
      <c r="K21" t="s">
        <v>4680</v>
      </c>
      <c r="L21" t="s">
        <v>4703</v>
      </c>
      <c r="M21" t="s">
        <v>4704</v>
      </c>
      <c r="N21" t="s">
        <v>4558</v>
      </c>
      <c r="O21" t="s">
        <v>4573</v>
      </c>
    </row>
    <row r="22" spans="1:15" ht="20" customHeight="1">
      <c r="A22" t="s">
        <v>4701</v>
      </c>
      <c r="B22" t="s">
        <v>4702</v>
      </c>
      <c r="C22" t="s">
        <v>4559</v>
      </c>
      <c r="D22" t="s">
        <v>4559</v>
      </c>
      <c r="E22" t="s">
        <v>22</v>
      </c>
      <c r="F22">
        <v>20</v>
      </c>
      <c r="G22">
        <v>0.05966828755963993</v>
      </c>
      <c r="H22">
        <v>0.00497012802389607</v>
      </c>
      <c r="I22">
        <v>0.05469815953574386</v>
      </c>
      <c r="J22" t="s">
        <v>4673</v>
      </c>
      <c r="K22" t="s">
        <v>4680</v>
      </c>
      <c r="L22" t="s">
        <v>4703</v>
      </c>
      <c r="M22" t="s">
        <v>4704</v>
      </c>
      <c r="N22" t="s">
        <v>4558</v>
      </c>
      <c r="O22" t="s">
        <v>4618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34.7109375" customWidth="1"/>
    <col min="2" max="2" width="65.7109375" customWidth="1"/>
    <col min="3" max="3" width="85.7109375" customWidth="1"/>
    <col min="4" max="4" width="30.7109375" customWidth="1"/>
    <col min="5" max="5" width="70.7109375" customWidth="1"/>
    <col min="6" max="36" width="17.7109375" customWidth="1"/>
  </cols>
  <sheetData>
    <row r="1" spans="1:6" ht="32" customHeight="1">
      <c r="A1" s="6" t="s">
        <v>4705</v>
      </c>
      <c r="B1" s="6" t="s">
        <v>4706</v>
      </c>
      <c r="C1" s="6" t="s">
        <v>4707</v>
      </c>
      <c r="D1" s="6" t="s">
        <v>4708</v>
      </c>
      <c r="E1" s="6" t="s">
        <v>4709</v>
      </c>
      <c r="F1" s="6" t="s">
        <v>4710</v>
      </c>
    </row>
    <row r="2" spans="1:6" ht="20" customHeight="1">
      <c r="A2" t="s">
        <v>4711</v>
      </c>
      <c r="B2" t="s">
        <v>4712</v>
      </c>
      <c r="C2" s="9" t="s">
        <v>4713</v>
      </c>
      <c r="D2" t="s">
        <v>4714</v>
      </c>
      <c r="E2" t="s">
        <v>4715</v>
      </c>
      <c r="F2" t="s">
        <v>4716</v>
      </c>
    </row>
    <row r="3" spans="1:6" ht="20" customHeight="1">
      <c r="A3" t="s">
        <v>4717</v>
      </c>
      <c r="B3" t="s">
        <v>4718</v>
      </c>
      <c r="C3" s="9" t="s">
        <v>4719</v>
      </c>
      <c r="D3" t="s">
        <v>4720</v>
      </c>
      <c r="E3" t="s">
        <v>4721</v>
      </c>
      <c r="F3" t="s">
        <v>4716</v>
      </c>
    </row>
    <row r="4" spans="1:6" ht="20" customHeight="1">
      <c r="A4" t="s">
        <v>4722</v>
      </c>
      <c r="B4" t="s">
        <v>4723</v>
      </c>
      <c r="C4" s="9" t="s">
        <v>4724</v>
      </c>
      <c r="D4" t="s">
        <v>4725</v>
      </c>
      <c r="E4" t="s">
        <v>4726</v>
      </c>
      <c r="F4" t="s">
        <v>4716</v>
      </c>
    </row>
    <row r="5" spans="1:6" ht="20" customHeight="1">
      <c r="A5" t="s">
        <v>4694</v>
      </c>
      <c r="B5" t="s">
        <v>4727</v>
      </c>
      <c r="C5" s="9" t="s">
        <v>4728</v>
      </c>
      <c r="D5" t="s">
        <v>4729</v>
      </c>
      <c r="E5" t="s">
        <v>4730</v>
      </c>
      <c r="F5" t="s">
        <v>4716</v>
      </c>
    </row>
    <row r="6" spans="1:6" ht="20" customHeight="1">
      <c r="A6" t="s">
        <v>4731</v>
      </c>
      <c r="B6" t="s">
        <v>4732</v>
      </c>
      <c r="C6" s="9" t="s">
        <v>4733</v>
      </c>
      <c r="D6" t="s">
        <v>4734</v>
      </c>
      <c r="E6" t="s">
        <v>4735</v>
      </c>
      <c r="F6" t="s">
        <v>4716</v>
      </c>
    </row>
    <row r="7" spans="1:6" ht="20" customHeight="1">
      <c r="A7" t="s">
        <v>4699</v>
      </c>
      <c r="B7" t="s">
        <v>4736</v>
      </c>
      <c r="C7" s="9" t="s">
        <v>4737</v>
      </c>
      <c r="D7" t="s">
        <v>4738</v>
      </c>
      <c r="E7" t="s">
        <v>4739</v>
      </c>
      <c r="F7" t="s">
        <v>4716</v>
      </c>
    </row>
    <row r="8" spans="1:6" ht="20" customHeight="1">
      <c r="A8" t="s">
        <v>4703</v>
      </c>
      <c r="B8" t="s">
        <v>4740</v>
      </c>
      <c r="C8" s="9" t="s">
        <v>4741</v>
      </c>
      <c r="D8" t="s">
        <v>4742</v>
      </c>
      <c r="E8" t="s">
        <v>4743</v>
      </c>
      <c r="F8" t="s">
        <v>4716</v>
      </c>
    </row>
    <row r="9" spans="1:6" ht="20" customHeight="1">
      <c r="A9" t="s">
        <v>4744</v>
      </c>
      <c r="B9" t="s">
        <v>4745</v>
      </c>
      <c r="C9" s="9" t="s">
        <v>4746</v>
      </c>
      <c r="D9" t="s">
        <v>4747</v>
      </c>
      <c r="E9" t="s">
        <v>4748</v>
      </c>
      <c r="F9" t="s">
        <v>4716</v>
      </c>
    </row>
    <row r="10" spans="1:6" ht="20" customHeight="1">
      <c r="A10" t="s">
        <v>4675</v>
      </c>
      <c r="B10" t="s">
        <v>4749</v>
      </c>
      <c r="C10" s="9" t="s">
        <v>4750</v>
      </c>
      <c r="D10" t="s">
        <v>4751</v>
      </c>
      <c r="E10" t="s">
        <v>4752</v>
      </c>
      <c r="F10" t="s">
        <v>4716</v>
      </c>
    </row>
    <row r="11" spans="1:6" ht="20" customHeight="1">
      <c r="A11" t="s">
        <v>4690</v>
      </c>
      <c r="B11" t="s">
        <v>4753</v>
      </c>
      <c r="C11" s="9" t="s">
        <v>4754</v>
      </c>
      <c r="D11" t="s">
        <v>4755</v>
      </c>
      <c r="E11" t="s">
        <v>4756</v>
      </c>
      <c r="F11" t="s">
        <v>4716</v>
      </c>
    </row>
    <row r="12" spans="1:6" ht="20" customHeight="1">
      <c r="A12" t="s">
        <v>4757</v>
      </c>
      <c r="B12" t="s">
        <v>4758</v>
      </c>
      <c r="C12" s="9" t="s">
        <v>4759</v>
      </c>
      <c r="D12" t="s">
        <v>4760</v>
      </c>
      <c r="E12" t="s">
        <v>4761</v>
      </c>
      <c r="F12" t="s">
        <v>4716</v>
      </c>
    </row>
    <row r="13" spans="1:6" ht="20" customHeight="1">
      <c r="A13" t="s">
        <v>4762</v>
      </c>
      <c r="B13" t="s">
        <v>4763</v>
      </c>
      <c r="C13" s="9" t="s">
        <v>4764</v>
      </c>
      <c r="D13" t="s">
        <v>4765</v>
      </c>
      <c r="E13" t="s">
        <v>4766</v>
      </c>
      <c r="F13" t="s">
        <v>4716</v>
      </c>
    </row>
    <row r="14" spans="1:6" ht="20" customHeight="1">
      <c r="A14" t="s">
        <v>4767</v>
      </c>
      <c r="B14" t="s">
        <v>4768</v>
      </c>
      <c r="C14" s="9" t="s">
        <v>4769</v>
      </c>
      <c r="D14" t="s">
        <v>4770</v>
      </c>
      <c r="E14" t="s">
        <v>4771</v>
      </c>
      <c r="F14" t="s">
        <v>4716</v>
      </c>
    </row>
    <row r="15" spans="1:6" ht="20" customHeight="1">
      <c r="A15" t="s">
        <v>4772</v>
      </c>
      <c r="B15" t="s">
        <v>4773</v>
      </c>
      <c r="C15" s="9" t="s">
        <v>4774</v>
      </c>
      <c r="D15" t="s">
        <v>4775</v>
      </c>
      <c r="E15" t="s">
        <v>4776</v>
      </c>
      <c r="F15" t="s">
        <v>4716</v>
      </c>
    </row>
    <row r="16" spans="1:6" ht="20" customHeight="1">
      <c r="A16" t="s">
        <v>4777</v>
      </c>
      <c r="B16" t="s">
        <v>4778</v>
      </c>
      <c r="C16" s="9" t="s">
        <v>4779</v>
      </c>
      <c r="D16" t="s">
        <v>4780</v>
      </c>
      <c r="E16" t="s">
        <v>4781</v>
      </c>
      <c r="F16" t="s">
        <v>4716</v>
      </c>
    </row>
    <row r="17" spans="1:6" ht="20" customHeight="1">
      <c r="A17" t="s">
        <v>4782</v>
      </c>
      <c r="B17" t="s">
        <v>4783</v>
      </c>
      <c r="C17" s="9" t="s">
        <v>4784</v>
      </c>
      <c r="D17" t="s">
        <v>4785</v>
      </c>
      <c r="E17" t="s">
        <v>4786</v>
      </c>
      <c r="F17" t="s">
        <v>4716</v>
      </c>
    </row>
    <row r="18" spans="1:6" ht="20" customHeight="1">
      <c r="A18" t="s">
        <v>4787</v>
      </c>
      <c r="B18" t="s">
        <v>4788</v>
      </c>
      <c r="C18" s="9" t="s">
        <v>4789</v>
      </c>
      <c r="D18" t="s">
        <v>4790</v>
      </c>
      <c r="E18" t="s">
        <v>4791</v>
      </c>
      <c r="F18" t="s">
        <v>4716</v>
      </c>
    </row>
    <row r="19" spans="1:6" ht="20" customHeight="1">
      <c r="A19" t="s">
        <v>37</v>
      </c>
      <c r="B19" t="s">
        <v>22</v>
      </c>
      <c r="C19" s="9" t="s">
        <v>4792</v>
      </c>
      <c r="D19" t="s">
        <v>4793</v>
      </c>
      <c r="E19" t="s">
        <v>4794</v>
      </c>
      <c r="F19" t="s">
        <v>4795</v>
      </c>
    </row>
    <row r="20" spans="1:6" ht="20" customHeight="1">
      <c r="A20" t="s">
        <v>4629</v>
      </c>
      <c r="B20" t="s">
        <v>4628</v>
      </c>
      <c r="C20" s="9" t="s">
        <v>4796</v>
      </c>
      <c r="D20" t="s">
        <v>4797</v>
      </c>
      <c r="E20" t="s">
        <v>4798</v>
      </c>
      <c r="F20" t="s">
        <v>4795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3" width="17.7109375" customWidth="1"/>
    <col min="4" max="4" width="60.7109375" customWidth="1"/>
    <col min="5" max="36" width="17.7109375" customWidth="1"/>
  </cols>
  <sheetData>
    <row r="1" spans="1:4" ht="32" customHeight="1">
      <c r="A1" s="6" t="s">
        <v>4799</v>
      </c>
      <c r="B1" s="6" t="s">
        <v>4800</v>
      </c>
      <c r="C1" s="6" t="s">
        <v>4801</v>
      </c>
      <c r="D1" s="6" t="s">
        <v>4802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1" width="40.7109375" customWidth="1"/>
    <col min="2" max="2" width="20.7109375" customWidth="1"/>
    <col min="3" max="3" width="95.7109375" customWidth="1"/>
    <col min="4" max="36" width="17.7109375" customWidth="1"/>
  </cols>
  <sheetData>
    <row r="1" spans="1:3" ht="32" customHeight="1">
      <c r="A1" s="6" t="s">
        <v>4803</v>
      </c>
      <c r="B1" s="6" t="s">
        <v>4804</v>
      </c>
      <c r="C1" s="6" t="s">
        <v>4805</v>
      </c>
    </row>
    <row r="2" spans="1:3" ht="20" customHeight="1">
      <c r="A2" t="s">
        <v>4806</v>
      </c>
      <c r="B2" t="s">
        <v>4807</v>
      </c>
      <c r="C2" t="s">
        <v>4808</v>
      </c>
    </row>
    <row r="3" spans="1:3" ht="20" customHeight="1">
      <c r="A3" s="2" t="s">
        <v>4809</v>
      </c>
      <c r="B3" s="2" t="s">
        <v>4810</v>
      </c>
      <c r="C3" s="2" t="s">
        <v>4671</v>
      </c>
    </row>
    <row r="4" spans="1:3" ht="20" customHeight="1">
      <c r="A4" s="2" t="s">
        <v>4811</v>
      </c>
      <c r="B4" s="2" t="s">
        <v>4810</v>
      </c>
      <c r="C4" s="2" t="s">
        <v>4683</v>
      </c>
    </row>
    <row r="5" spans="1:3" ht="20" customHeight="1">
      <c r="A5" s="2" t="s">
        <v>4812</v>
      </c>
      <c r="B5" s="2" t="s">
        <v>4810</v>
      </c>
      <c r="C5" s="2" t="s">
        <v>4687</v>
      </c>
    </row>
    <row r="6" spans="1:3" ht="20" customHeight="1">
      <c r="A6" s="2" t="s">
        <v>4813</v>
      </c>
      <c r="B6" s="2" t="s">
        <v>4810</v>
      </c>
      <c r="C6" s="2" t="s">
        <v>4692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0" customHeight="1"/>
  <cols>
    <col min="1" max="2" width="17.7109375" customWidth="1"/>
    <col min="3" max="3" width="35.7109375" customWidth="1"/>
    <col min="4" max="4" width="17.7109375" customWidth="1"/>
    <col min="5" max="5" width="30.7109375" customWidth="1"/>
    <col min="6" max="6" width="85.7109375" customWidth="1"/>
    <col min="7" max="7" width="45.7109375" customWidth="1"/>
    <col min="8" max="36" width="17.7109375" customWidth="1"/>
  </cols>
  <sheetData>
    <row r="1" spans="1:7" ht="32" customHeight="1">
      <c r="A1" s="6" t="s">
        <v>4814</v>
      </c>
      <c r="B1" s="6" t="s">
        <v>4815</v>
      </c>
      <c r="C1" s="6" t="s">
        <v>4816</v>
      </c>
      <c r="D1" s="6" t="s">
        <v>4817</v>
      </c>
      <c r="E1" s="6" t="s">
        <v>4818</v>
      </c>
      <c r="F1" s="6" t="s">
        <v>4819</v>
      </c>
      <c r="G1" s="6" t="s">
        <v>4820</v>
      </c>
    </row>
    <row r="2" spans="1:7" ht="20" customHeight="1">
      <c r="A2" s="2" t="s">
        <v>2114</v>
      </c>
      <c r="B2" s="2" t="s">
        <v>22</v>
      </c>
      <c r="C2" s="2" t="s">
        <v>4677</v>
      </c>
      <c r="D2" s="2">
        <v>0</v>
      </c>
      <c r="E2" s="2" t="s">
        <v>4821</v>
      </c>
      <c r="F2" s="2" t="s">
        <v>4822</v>
      </c>
      <c r="G2" s="2" t="s">
        <v>4681</v>
      </c>
    </row>
    <row r="3" spans="1:7" ht="20" customHeight="1">
      <c r="A3" s="2" t="s">
        <v>3368</v>
      </c>
      <c r="B3" s="2" t="s">
        <v>22</v>
      </c>
      <c r="C3" s="2" t="s">
        <v>4692</v>
      </c>
      <c r="D3" s="2">
        <v>0</v>
      </c>
      <c r="E3" s="2" t="s">
        <v>4823</v>
      </c>
      <c r="F3" s="2" t="s">
        <v>4824</v>
      </c>
      <c r="G3" s="2" t="s">
        <v>4694</v>
      </c>
    </row>
    <row r="4" spans="1:7" ht="20" customHeight="1">
      <c r="A4" s="2" t="s">
        <v>3368</v>
      </c>
      <c r="B4" s="2" t="s">
        <v>22</v>
      </c>
      <c r="C4" s="2" t="s">
        <v>4687</v>
      </c>
      <c r="D4" s="2">
        <v>3</v>
      </c>
      <c r="E4" s="2" t="s">
        <v>4825</v>
      </c>
      <c r="F4" s="2" t="s">
        <v>4826</v>
      </c>
      <c r="G4" s="2" t="s">
        <v>4690</v>
      </c>
    </row>
    <row r="5" spans="1:7" ht="20" customHeight="1">
      <c r="A5" s="2" t="s">
        <v>3521</v>
      </c>
      <c r="B5" s="2" t="s">
        <v>22</v>
      </c>
      <c r="C5" s="2" t="s">
        <v>4696</v>
      </c>
      <c r="D5" s="2">
        <v>0</v>
      </c>
      <c r="E5" s="2" t="s">
        <v>4823</v>
      </c>
      <c r="F5" s="2" t="s">
        <v>4824</v>
      </c>
      <c r="G5" s="2" t="s">
        <v>4699</v>
      </c>
    </row>
    <row r="6" spans="1:7" ht="20" customHeight="1">
      <c r="A6" s="2" t="s">
        <v>4562</v>
      </c>
      <c r="B6" s="2" t="s">
        <v>22</v>
      </c>
      <c r="C6" s="2" t="s">
        <v>4701</v>
      </c>
      <c r="D6" s="2">
        <v>1</v>
      </c>
      <c r="E6" s="2" t="s">
        <v>4825</v>
      </c>
      <c r="F6" s="2" t="s">
        <v>4827</v>
      </c>
      <c r="G6" s="2" t="s">
        <v>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Parameters</vt:lpstr>
      <vt:lpstr>Daily</vt:lpstr>
      <vt:lpstr>Monthly</vt:lpstr>
      <vt:lpstr>MonthlyCalc</vt:lpstr>
      <vt:lpstr>ExecutionLedger</vt:lpstr>
      <vt:lpstr>EventWindows</vt:lpstr>
      <vt:lpstr>Sources</vt:lpstr>
      <vt:lpstr>Macro</vt:lpstr>
      <vt:lpstr>Coverage</vt:lpstr>
      <vt:lpstr>Associations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NVDA 近五年日线行情回顾与 AI 行业大事件研究（含 2025-01-27 下跌归因）</dc:title>
  <dc:creator>Evidence</dc:creator>
  <dc:description>Research 15412514d7234a05</dc:description>
  <cp:lastModifiedBy>Evidence</cp:lastModifiedBy>
  <dcterms:created xsi:type="dcterms:W3CDTF">2026-09-29T10:24:15Z</dcterms:created>
  <dcterms:modified xsi:type="dcterms:W3CDTF">2026-09-29T10:24:15Z</dcterms:modified>
</cp:coreProperties>
</file>