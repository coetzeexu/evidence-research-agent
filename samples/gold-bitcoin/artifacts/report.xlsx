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ameters" sheetId="2" r:id="rId2"/>
    <sheet name="Daily" sheetId="3" r:id="rId3"/>
    <sheet name="Monthly" sheetId="4" r:id="rId4"/>
    <sheet name="MonthlyCalc" sheetId="5" r:id="rId5"/>
    <sheet name="ExecutionLedger" sheetId="6" r:id="rId6"/>
    <sheet name="EventWindows" sheetId="7" r:id="rId7"/>
    <sheet name="Sources" sheetId="8" r:id="rId8"/>
    <sheet name="Macro" sheetId="9" r:id="rId9"/>
    <sheet name="Coverage" sheetId="10" r:id="rId10"/>
    <sheet name="Associations" sheetId="11" r:id="rId11"/>
    <sheet name="Sensitivity" sheetId="12" r:id="rId12"/>
  </sheets>
  <definedNames>
    <definedName name="_xlnm._FilterDatabase" localSheetId="2" hidden="1">Daily!$A$1:$K$5289</definedName>
  </definedNames>
  <calcPr calcId="124519" fullCalcOnLoad="1"/>
</workbook>
</file>

<file path=xl/sharedStrings.xml><?xml version="1.0" encoding="utf-8"?>
<sst xmlns="http://schemas.openxmlformats.org/spreadsheetml/2006/main" count="32354" uniqueCount="7776">
  <si>
    <t>Evidence · 研究回测底稿</t>
  </si>
  <si>
    <t>黄金 ETF 代理（GLD）与比特币（BTC-USD）近五年避险与抗通胀表现比较：60/40 组合、季度再平衡</t>
  </si>
  <si>
    <t>蓝色单元格为输入。Parameters 修改权重、成本与再平衡频率后，MonthlyCalc 与本页公式自动重算。ExecutionLedger 为原研究下一开盘成交快照，不随 Excel 参数更改。</t>
  </si>
  <si>
    <t>所有价格来自有哈希的行情快照。月度估值采用不晚于股票收盘的可用日线；BTC 价格可能来自前一 UTC 日。宏观数据为当前历史版本，仅作事后解释。</t>
  </si>
  <si>
    <t>研究版本</t>
  </si>
  <si>
    <t>3302715305fc4dac</t>
  </si>
  <si>
    <t>区间</t>
  </si>
  <si>
    <t>2021-09-28 / 2026-09-29</t>
  </si>
  <si>
    <t>GLD（SPDR Gold Shares）由实物黄金支持，目标是反映扣除信托费用后的金价表现。它于 2004 年上市，在 NYSE Arca 以美元交易，参考 LBMA Gold Price PM。采用 GLD 是因为其黄金敞口明确、交易历史较长，并具有可复核的美元行情，适合构建可投资代理的比较与回测。</t>
  </si>
  <si>
    <t>ETF 价格与现货金价存在费用、跟踪及交易时段差异。官方披露费用率为 0.40%（2026-09-28 核验）；历史价格已体现基金费用，回测只另计指定交易成本，避免重复扣费。</t>
  </si>
  <si>
    <t>GLD 官方产品说明</t>
  </si>
  <si>
    <t>参数</t>
  </si>
  <si>
    <t>可修改数值</t>
  </si>
  <si>
    <t>口径 / 约束</t>
  </si>
  <si>
    <t>初始资金</t>
  </si>
  <si>
    <t>美元</t>
  </si>
  <si>
    <t>交易成本 bps</t>
  </si>
  <si>
    <t>0–100；只按成交额计费，GLD 管理费已体现在价格中</t>
  </si>
  <si>
    <t>再平衡月数</t>
  </si>
  <si>
    <t>0=持有；1=每月；3=每季；12=每年</t>
  </si>
  <si>
    <t>权重合计</t>
  </si>
  <si>
    <t>必须为 100%</t>
  </si>
  <si>
    <t>公式口径</t>
  </si>
  <si>
    <t>月度配置近似</t>
  </si>
  <si>
    <t>上期持仓获得下一期收益，在估值时点近似调仓；不等同于开盘执行台账</t>
  </si>
  <si>
    <t>GLD</t>
  </si>
  <si>
    <t>BTC-USD</t>
  </si>
  <si>
    <t>Symbol</t>
  </si>
  <si>
    <t>Date</t>
  </si>
  <si>
    <t>Open</t>
  </si>
  <si>
    <t>High</t>
  </si>
  <si>
    <t>Low</t>
  </si>
  <si>
    <t>Close</t>
  </si>
  <si>
    <t>AdjClose</t>
  </si>
  <si>
    <t>Volume</t>
  </si>
  <si>
    <t>Opened UTC</t>
  </si>
  <si>
    <t>Closed UTC</t>
  </si>
  <si>
    <t>Dataset ID</t>
  </si>
  <si>
    <t>2020-08-24</t>
  </si>
  <si>
    <t>2020-08-24T13:30:00+00:00</t>
  </si>
  <si>
    <t>2020-08-24T20:00:00+00:00</t>
  </si>
  <si>
    <t>prices-GLD-1a8f833cf4e3</t>
  </si>
  <si>
    <t>2020-08-25</t>
  </si>
  <si>
    <t>2020-08-25T13:30:00+00:00</t>
  </si>
  <si>
    <t>2020-08-25T20:00:00+00:00</t>
  </si>
  <si>
    <t>2020-08-26</t>
  </si>
  <si>
    <t>2020-08-26T13:30:00+00:00</t>
  </si>
  <si>
    <t>2020-08-26T20:00:00+00:00</t>
  </si>
  <si>
    <t>2020-08-27</t>
  </si>
  <si>
    <t>2020-08-27T13:30:00+00:00</t>
  </si>
  <si>
    <t>2020-08-27T20:00:00+00:00</t>
  </si>
  <si>
    <t>2020-08-28</t>
  </si>
  <si>
    <t>2020-08-28T13:30:00+00:00</t>
  </si>
  <si>
    <t>2020-08-28T20:00:00+00:00</t>
  </si>
  <si>
    <t>2020-08-31</t>
  </si>
  <si>
    <t>2020-08-31T13:30:00+00:00</t>
  </si>
  <si>
    <t>2020-08-31T20:00:00+00:00</t>
  </si>
  <si>
    <t>2020-09-01</t>
  </si>
  <si>
    <t>2020-09-01T13:30:00+00:00</t>
  </si>
  <si>
    <t>2020-09-01T20:00:00+00:00</t>
  </si>
  <si>
    <t>2020-09-02</t>
  </si>
  <si>
    <t>2020-09-02T13:30:00+00:00</t>
  </si>
  <si>
    <t>2020-09-02T20:00:00+00:00</t>
  </si>
  <si>
    <t>2020-09-03</t>
  </si>
  <si>
    <t>2020-09-03T13:30:00+00:00</t>
  </si>
  <si>
    <t>2020-09-03T20:00:00+00:00</t>
  </si>
  <si>
    <t>2020-09-04</t>
  </si>
  <si>
    <t>2020-09-04T13:30:00+00:00</t>
  </si>
  <si>
    <t>2020-09-04T20:00:00+00:00</t>
  </si>
  <si>
    <t>2020-09-08</t>
  </si>
  <si>
    <t>2020-09-08T13:30:00+00:00</t>
  </si>
  <si>
    <t>2020-09-08T20:00:00+00:00</t>
  </si>
  <si>
    <t>2020-09-09</t>
  </si>
  <si>
    <t>2020-09-09T13:30:00+00:00</t>
  </si>
  <si>
    <t>2020-09-09T20:00:00+00:00</t>
  </si>
  <si>
    <t>2020-09-10</t>
  </si>
  <si>
    <t>2020-09-10T13:30:00+00:00</t>
  </si>
  <si>
    <t>2020-09-10T20:00:00+00:00</t>
  </si>
  <si>
    <t>2020-09-11</t>
  </si>
  <si>
    <t>2020-09-11T13:30:00+00:00</t>
  </si>
  <si>
    <t>2020-09-11T20:00:00+00:00</t>
  </si>
  <si>
    <t>2020-09-14</t>
  </si>
  <si>
    <t>2020-09-14T13:30:00+00:00</t>
  </si>
  <si>
    <t>2020-09-14T20:00:00+00:00</t>
  </si>
  <si>
    <t>2020-09-15</t>
  </si>
  <si>
    <t>2020-09-15T13:30:00+00:00</t>
  </si>
  <si>
    <t>2020-09-15T20:00:00+00:00</t>
  </si>
  <si>
    <t>2020-09-16</t>
  </si>
  <si>
    <t>2020-09-16T13:30:00+00:00</t>
  </si>
  <si>
    <t>2020-09-16T20:00:00+00:00</t>
  </si>
  <si>
    <t>2020-09-17</t>
  </si>
  <si>
    <t>2020-09-17T13:30:00+00:00</t>
  </si>
  <si>
    <t>2020-09-17T20:00:00+00:00</t>
  </si>
  <si>
    <t>2020-09-18</t>
  </si>
  <si>
    <t>2020-09-18T13:30:00+00:00</t>
  </si>
  <si>
    <t>2020-09-18T20:00:00+00:00</t>
  </si>
  <si>
    <t>2020-09-21</t>
  </si>
  <si>
    <t>2020-09-21T13:30:00+00:00</t>
  </si>
  <si>
    <t>2020-09-21T20:00:00+00:00</t>
  </si>
  <si>
    <t>2020-09-22</t>
  </si>
  <si>
    <t>2020-09-22T13:30:00+00:00</t>
  </si>
  <si>
    <t>2020-09-22T20:00:00+00:00</t>
  </si>
  <si>
    <t>2020-09-23</t>
  </si>
  <si>
    <t>2020-09-23T13:30:00+00:00</t>
  </si>
  <si>
    <t>2020-09-23T20:00:00+00:00</t>
  </si>
  <si>
    <t>2020-09-24</t>
  </si>
  <si>
    <t>2020-09-24T13:30:00+00:00</t>
  </si>
  <si>
    <t>2020-09-24T20:00:00+00:00</t>
  </si>
  <si>
    <t>2020-09-25</t>
  </si>
  <si>
    <t>2020-09-25T13:30:00+00:00</t>
  </si>
  <si>
    <t>2020-09-25T20:00:00+00:00</t>
  </si>
  <si>
    <t>2020-09-28</t>
  </si>
  <si>
    <t>2020-09-28T13:30:00+00:00</t>
  </si>
  <si>
    <t>2020-09-28T20:00:00+00:00</t>
  </si>
  <si>
    <t>2020-09-29</t>
  </si>
  <si>
    <t>2020-09-29T13:30:00+00:00</t>
  </si>
  <si>
    <t>2020-09-29T20:00:00+00:00</t>
  </si>
  <si>
    <t>2020-09-30</t>
  </si>
  <si>
    <t>2020-09-30T13:30:00+00:00</t>
  </si>
  <si>
    <t>2020-09-30T20:00:00+00:00</t>
  </si>
  <si>
    <t>2020-10-01</t>
  </si>
  <si>
    <t>2020-10-01T13:30:00+00:00</t>
  </si>
  <si>
    <t>2020-10-01T20:00:00+00:00</t>
  </si>
  <si>
    <t>2020-10-02</t>
  </si>
  <si>
    <t>2020-10-02T13:30:00+00:00</t>
  </si>
  <si>
    <t>2020-10-02T20:00:00+00:00</t>
  </si>
  <si>
    <t>2020-10-05</t>
  </si>
  <si>
    <t>2020-10-05T13:30:00+00:00</t>
  </si>
  <si>
    <t>2020-10-05T20:00:00+00:00</t>
  </si>
  <si>
    <t>2020-10-06</t>
  </si>
  <si>
    <t>2020-10-06T13:30:00+00:00</t>
  </si>
  <si>
    <t>2020-10-06T20:00:00+00:00</t>
  </si>
  <si>
    <t>2020-10-07</t>
  </si>
  <si>
    <t>2020-10-07T13:30:00+00:00</t>
  </si>
  <si>
    <t>2020-10-07T20:00:00+00:00</t>
  </si>
  <si>
    <t>2020-10-08</t>
  </si>
  <si>
    <t>2020-10-08T13:30:00+00:00</t>
  </si>
  <si>
    <t>2020-10-08T20:00:00+00:00</t>
  </si>
  <si>
    <t>2020-10-09</t>
  </si>
  <si>
    <t>2020-10-09T13:30:00+00:00</t>
  </si>
  <si>
    <t>2020-10-09T20:00:00+00:00</t>
  </si>
  <si>
    <t>2020-10-12</t>
  </si>
  <si>
    <t>2020-10-12T13:30:00+00:00</t>
  </si>
  <si>
    <t>2020-10-12T20:00:00+00:00</t>
  </si>
  <si>
    <t>2020-10-13</t>
  </si>
  <si>
    <t>2020-10-13T13:30:00+00:00</t>
  </si>
  <si>
    <t>2020-10-13T20:00:00+00:00</t>
  </si>
  <si>
    <t>2020-10-14</t>
  </si>
  <si>
    <t>2020-10-14T13:30:00+00:00</t>
  </si>
  <si>
    <t>2020-10-14T20:00:00+00:00</t>
  </si>
  <si>
    <t>2020-10-15</t>
  </si>
  <si>
    <t>2020-10-15T13:30:00+00:00</t>
  </si>
  <si>
    <t>2020-10-15T20:00:00+00:00</t>
  </si>
  <si>
    <t>2020-10-16</t>
  </si>
  <si>
    <t>2020-10-16T13:30:00+00:00</t>
  </si>
  <si>
    <t>2020-10-16T20:00:00+00:00</t>
  </si>
  <si>
    <t>2020-10-19</t>
  </si>
  <si>
    <t>2020-10-19T13:30:00+00:00</t>
  </si>
  <si>
    <t>2020-10-19T20:00:00+00:00</t>
  </si>
  <si>
    <t>2020-10-20</t>
  </si>
  <si>
    <t>2020-10-20T13:30:00+00:00</t>
  </si>
  <si>
    <t>2020-10-20T20:00:00+00:00</t>
  </si>
  <si>
    <t>2020-10-21</t>
  </si>
  <si>
    <t>2020-10-21T13:30:00+00:00</t>
  </si>
  <si>
    <t>2020-10-21T20:00:00+00:00</t>
  </si>
  <si>
    <t>2020-10-22</t>
  </si>
  <si>
    <t>2020-10-22T13:30:00+00:00</t>
  </si>
  <si>
    <t>2020-10-22T20:00:00+00:00</t>
  </si>
  <si>
    <t>2020-10-23</t>
  </si>
  <si>
    <t>2020-10-23T13:30:00+00:00</t>
  </si>
  <si>
    <t>2020-10-23T20:00:00+00:00</t>
  </si>
  <si>
    <t>2020-10-26</t>
  </si>
  <si>
    <t>2020-10-26T13:30:00+00:00</t>
  </si>
  <si>
    <t>2020-10-26T20:00:00+00:00</t>
  </si>
  <si>
    <t>2020-10-27</t>
  </si>
  <si>
    <t>2020-10-27T13:30:00+00:00</t>
  </si>
  <si>
    <t>2020-10-27T20:00:00+00:00</t>
  </si>
  <si>
    <t>2020-10-28</t>
  </si>
  <si>
    <t>2020-10-28T13:30:00+00:00</t>
  </si>
  <si>
    <t>2020-10-28T20:00:00+00:00</t>
  </si>
  <si>
    <t>2020-10-29</t>
  </si>
  <si>
    <t>2020-10-29T13:30:00+00:00</t>
  </si>
  <si>
    <t>2020-10-29T20:00:00+00:00</t>
  </si>
  <si>
    <t>2020-10-30</t>
  </si>
  <si>
    <t>2020-10-30T13:30:00+00:00</t>
  </si>
  <si>
    <t>2020-10-30T20:00:00+00:00</t>
  </si>
  <si>
    <t>2020-11-02</t>
  </si>
  <si>
    <t>2020-11-02T14:30:00+00:00</t>
  </si>
  <si>
    <t>2020-11-02T21:00:00+00:00</t>
  </si>
  <si>
    <t>2020-11-03</t>
  </si>
  <si>
    <t>2020-11-03T14:30:00+00:00</t>
  </si>
  <si>
    <t>2020-11-03T21:00:00+00:00</t>
  </si>
  <si>
    <t>2020-11-04</t>
  </si>
  <si>
    <t>2020-11-04T14:30:00+00:00</t>
  </si>
  <si>
    <t>2020-11-04T21:00:00+00:00</t>
  </si>
  <si>
    <t>2020-11-05</t>
  </si>
  <si>
    <t>2020-11-05T14:30:00+00:00</t>
  </si>
  <si>
    <t>2020-11-05T21:00:00+00:00</t>
  </si>
  <si>
    <t>2020-11-06</t>
  </si>
  <si>
    <t>2020-11-06T14:30:00+00:00</t>
  </si>
  <si>
    <t>2020-11-06T21:00:00+00:00</t>
  </si>
  <si>
    <t>2020-11-09</t>
  </si>
  <si>
    <t>2020-11-09T14:30:00+00:00</t>
  </si>
  <si>
    <t>2020-11-09T21:00:00+00:00</t>
  </si>
  <si>
    <t>2020-11-10</t>
  </si>
  <si>
    <t>2020-11-10T14:30:00+00:00</t>
  </si>
  <si>
    <t>2020-11-10T21:00:00+00:00</t>
  </si>
  <si>
    <t>2020-11-11</t>
  </si>
  <si>
    <t>2020-11-11T14:30:00+00:00</t>
  </si>
  <si>
    <t>2020-11-11T21:00:00+00:00</t>
  </si>
  <si>
    <t>2020-11-12</t>
  </si>
  <si>
    <t>2020-11-12T14:30:00+00:00</t>
  </si>
  <si>
    <t>2020-11-12T21:00:00+00:00</t>
  </si>
  <si>
    <t>2020-11-13</t>
  </si>
  <si>
    <t>2020-11-13T14:30:00+00:00</t>
  </si>
  <si>
    <t>2020-11-13T21:00:00+00:00</t>
  </si>
  <si>
    <t>2020-11-16</t>
  </si>
  <si>
    <t>2020-11-16T14:30:00+00:00</t>
  </si>
  <si>
    <t>2020-11-16T21:00:00+00:00</t>
  </si>
  <si>
    <t>2020-11-17</t>
  </si>
  <si>
    <t>2020-11-17T14:30:00+00:00</t>
  </si>
  <si>
    <t>2020-11-17T21:00:00+00:00</t>
  </si>
  <si>
    <t>2020-11-18</t>
  </si>
  <si>
    <t>2020-11-18T14:30:00+00:00</t>
  </si>
  <si>
    <t>2020-11-18T21:00:00+00:00</t>
  </si>
  <si>
    <t>2020-11-19</t>
  </si>
  <si>
    <t>2020-11-19T14:30:00+00:00</t>
  </si>
  <si>
    <t>2020-11-19T21:00:00+00:00</t>
  </si>
  <si>
    <t>2020-11-20</t>
  </si>
  <si>
    <t>2020-11-20T14:30:00+00:00</t>
  </si>
  <si>
    <t>2020-11-20T21:00:00+00:00</t>
  </si>
  <si>
    <t>2020-11-23</t>
  </si>
  <si>
    <t>2020-11-23T14:30:00+00:00</t>
  </si>
  <si>
    <t>2020-11-23T21:00:00+00:00</t>
  </si>
  <si>
    <t>2020-11-24</t>
  </si>
  <si>
    <t>2020-11-24T14:30:00+00:00</t>
  </si>
  <si>
    <t>2020-11-24T21:00:00+00:00</t>
  </si>
  <si>
    <t>2020-11-25</t>
  </si>
  <si>
    <t>2020-11-25T14:30:00+00:00</t>
  </si>
  <si>
    <t>2020-11-25T21:00:00+00:00</t>
  </si>
  <si>
    <t>2020-11-27</t>
  </si>
  <si>
    <t>2020-11-27T14:30:00+00:00</t>
  </si>
  <si>
    <t>2020-11-27T18:00:00+00:00</t>
  </si>
  <si>
    <t>2020-11-30</t>
  </si>
  <si>
    <t>2020-11-30T14:30:00+00:00</t>
  </si>
  <si>
    <t>2020-11-30T21:00:00+00:00</t>
  </si>
  <si>
    <t>2020-12-01</t>
  </si>
  <si>
    <t>2020-12-01T14:30:00+00:00</t>
  </si>
  <si>
    <t>2020-12-01T21:00:00+00:00</t>
  </si>
  <si>
    <t>2020-12-02</t>
  </si>
  <si>
    <t>2020-12-02T14:30:00+00:00</t>
  </si>
  <si>
    <t>2020-12-02T21:00:00+00:00</t>
  </si>
  <si>
    <t>2020-12-03</t>
  </si>
  <si>
    <t>2020-12-03T14:30:00+00:00</t>
  </si>
  <si>
    <t>2020-12-03T21:00:00+00:00</t>
  </si>
  <si>
    <t>2020-12-04</t>
  </si>
  <si>
    <t>2020-12-04T14:30:00+00:00</t>
  </si>
  <si>
    <t>2020-12-04T21:00:00+00:00</t>
  </si>
  <si>
    <t>2020-12-07</t>
  </si>
  <si>
    <t>2020-12-07T14:30:00+00:00</t>
  </si>
  <si>
    <t>2020-12-07T21:00:00+00:00</t>
  </si>
  <si>
    <t>2020-12-08</t>
  </si>
  <si>
    <t>2020-12-08T14:30:00+00:00</t>
  </si>
  <si>
    <t>2020-12-08T21:00:00+00:00</t>
  </si>
  <si>
    <t>2020-12-09</t>
  </si>
  <si>
    <t>2020-12-09T14:30:00+00:00</t>
  </si>
  <si>
    <t>2020-12-09T21:00:00+00:00</t>
  </si>
  <si>
    <t>2020-12-10</t>
  </si>
  <si>
    <t>2020-12-10T14:30:00+00:00</t>
  </si>
  <si>
    <t>2020-12-10T21:00:00+00:00</t>
  </si>
  <si>
    <t>2020-12-11</t>
  </si>
  <si>
    <t>2020-12-11T14:30:00+00:00</t>
  </si>
  <si>
    <t>2020-12-11T21:00:00+00:00</t>
  </si>
  <si>
    <t>2020-12-14</t>
  </si>
  <si>
    <t>2020-12-14T14:30:00+00:00</t>
  </si>
  <si>
    <t>2020-12-14T21:00:00+00:00</t>
  </si>
  <si>
    <t>2020-12-15</t>
  </si>
  <si>
    <t>2020-12-15T14:30:00+00:00</t>
  </si>
  <si>
    <t>2020-12-15T21:00:00+00:00</t>
  </si>
  <si>
    <t>2020-12-16</t>
  </si>
  <si>
    <t>2020-12-16T14:30:00+00:00</t>
  </si>
  <si>
    <t>2020-12-16T21:00:00+00:00</t>
  </si>
  <si>
    <t>2020-12-17</t>
  </si>
  <si>
    <t>2020-12-17T14:30:00+00:00</t>
  </si>
  <si>
    <t>2020-12-17T21:00:00+00:00</t>
  </si>
  <si>
    <t>2020-12-18</t>
  </si>
  <si>
    <t>2020-12-18T14:30:00+00:00</t>
  </si>
  <si>
    <t>2020-12-18T21:00:00+00:00</t>
  </si>
  <si>
    <t>2020-12-21</t>
  </si>
  <si>
    <t>2020-12-21T14:30:00+00:00</t>
  </si>
  <si>
    <t>2020-12-21T21:00:00+00:00</t>
  </si>
  <si>
    <t>2020-12-22</t>
  </si>
  <si>
    <t>2020-12-22T14:30:00+00:00</t>
  </si>
  <si>
    <t>2020-12-22T21:00:00+00:00</t>
  </si>
  <si>
    <t>2020-12-23</t>
  </si>
  <si>
    <t>2020-12-23T14:30:00+00:00</t>
  </si>
  <si>
    <t>2020-12-23T21:00:00+00:00</t>
  </si>
  <si>
    <t>2020-12-24</t>
  </si>
  <si>
    <t>2020-12-24T14:30:00+00:00</t>
  </si>
  <si>
    <t>2020-12-24T18:00:00+00:00</t>
  </si>
  <si>
    <t>2020-12-28</t>
  </si>
  <si>
    <t>2020-12-28T14:30:00+00:00</t>
  </si>
  <si>
    <t>2020-12-28T21:00:00+00:00</t>
  </si>
  <si>
    <t>2020-12-29</t>
  </si>
  <si>
    <t>2020-12-29T14:30:00+00:00</t>
  </si>
  <si>
    <t>2020-12-29T21:00:00+00:00</t>
  </si>
  <si>
    <t>2020-12-30</t>
  </si>
  <si>
    <t>2020-12-30T14:30:00+00:00</t>
  </si>
  <si>
    <t>2020-12-30T21:00:00+00:00</t>
  </si>
  <si>
    <t>2020-12-31</t>
  </si>
  <si>
    <t>2020-12-31T14:30:00+00:00</t>
  </si>
  <si>
    <t>2020-12-31T21:00:00+00:00</t>
  </si>
  <si>
    <t>2021-01-04</t>
  </si>
  <si>
    <t>2021-01-04T14:30:00+00:00</t>
  </si>
  <si>
    <t>2021-01-04T21:00:00+00:00</t>
  </si>
  <si>
    <t>2021-01-05</t>
  </si>
  <si>
    <t>2021-01-05T14:30:00+00:00</t>
  </si>
  <si>
    <t>2021-01-05T21:00:00+00:00</t>
  </si>
  <si>
    <t>2021-01-06</t>
  </si>
  <si>
    <t>2021-01-06T14:30:00+00:00</t>
  </si>
  <si>
    <t>2021-01-06T21:00:00+00:00</t>
  </si>
  <si>
    <t>2021-01-07</t>
  </si>
  <si>
    <t>2021-01-07T14:30:00+00:00</t>
  </si>
  <si>
    <t>2021-01-07T21:00:00+00:00</t>
  </si>
  <si>
    <t>2021-01-08</t>
  </si>
  <si>
    <t>2021-01-08T14:30:00+00:00</t>
  </si>
  <si>
    <t>2021-01-08T21:00:00+00:00</t>
  </si>
  <si>
    <t>2021-01-11</t>
  </si>
  <si>
    <t>2021-01-11T14:30:00+00:00</t>
  </si>
  <si>
    <t>2021-01-11T21:00:00+00:00</t>
  </si>
  <si>
    <t>2021-01-12</t>
  </si>
  <si>
    <t>2021-01-12T14:30:00+00:00</t>
  </si>
  <si>
    <t>2021-01-12T21:00:00+00:00</t>
  </si>
  <si>
    <t>2021-01-13</t>
  </si>
  <si>
    <t>2021-01-13T14:30:00+00:00</t>
  </si>
  <si>
    <t>2021-01-13T21:00:00+00:00</t>
  </si>
  <si>
    <t>2021-01-14</t>
  </si>
  <si>
    <t>2021-01-14T14:30:00+00:00</t>
  </si>
  <si>
    <t>2021-01-14T21:00:00+00:00</t>
  </si>
  <si>
    <t>2021-01-15</t>
  </si>
  <si>
    <t>2021-01-15T14:30:00+00:00</t>
  </si>
  <si>
    <t>2021-01-15T21:00:00+00:00</t>
  </si>
  <si>
    <t>2021-01-19</t>
  </si>
  <si>
    <t>2021-01-19T14:30:00+00:00</t>
  </si>
  <si>
    <t>2021-01-19T21:00:00+00:00</t>
  </si>
  <si>
    <t>2021-01-20</t>
  </si>
  <si>
    <t>2021-01-20T14:30:00+00:00</t>
  </si>
  <si>
    <t>2021-01-20T21:00:00+00:00</t>
  </si>
  <si>
    <t>2021-01-21</t>
  </si>
  <si>
    <t>2021-01-21T14:30:00+00:00</t>
  </si>
  <si>
    <t>2021-01-21T21:00:00+00:00</t>
  </si>
  <si>
    <t>2021-01-22</t>
  </si>
  <si>
    <t>2021-01-22T14:30:00+00:00</t>
  </si>
  <si>
    <t>2021-01-22T21:00:00+00:00</t>
  </si>
  <si>
    <t>2021-01-25</t>
  </si>
  <si>
    <t>2021-01-25T14:30:00+00:00</t>
  </si>
  <si>
    <t>2021-01-25T21:00:00+00:00</t>
  </si>
  <si>
    <t>2021-01-26</t>
  </si>
  <si>
    <t>2021-01-26T14:30:00+00:00</t>
  </si>
  <si>
    <t>2021-01-26T21:00:00+00:00</t>
  </si>
  <si>
    <t>2021-01-27</t>
  </si>
  <si>
    <t>2021-01-27T14:30:00+00:00</t>
  </si>
  <si>
    <t>2021-01-27T21:00:00+00:00</t>
  </si>
  <si>
    <t>2021-01-28</t>
  </si>
  <si>
    <t>2021-01-28T14:30:00+00:00</t>
  </si>
  <si>
    <t>2021-01-28T21:00:00+00:00</t>
  </si>
  <si>
    <t>2021-01-29</t>
  </si>
  <si>
    <t>2021-01-29T14:30:00+00:00</t>
  </si>
  <si>
    <t>2021-01-29T21:00:00+00:00</t>
  </si>
  <si>
    <t>2021-02-01</t>
  </si>
  <si>
    <t>2021-02-01T14:30:00+00:00</t>
  </si>
  <si>
    <t>2021-02-01T21:00:00+00:00</t>
  </si>
  <si>
    <t>2021-02-02</t>
  </si>
  <si>
    <t>2021-02-02T14:30:00+00:00</t>
  </si>
  <si>
    <t>2021-02-02T21:00:00+00:00</t>
  </si>
  <si>
    <t>2021-02-03</t>
  </si>
  <si>
    <t>2021-02-03T14:30:00+00:00</t>
  </si>
  <si>
    <t>2021-02-03T21:00:00+00:00</t>
  </si>
  <si>
    <t>2021-02-04</t>
  </si>
  <si>
    <t>2021-02-04T14:30:00+00:00</t>
  </si>
  <si>
    <t>2021-02-04T21:00:00+00:00</t>
  </si>
  <si>
    <t>2021-02-05</t>
  </si>
  <si>
    <t>2021-02-05T14:30:00+00:00</t>
  </si>
  <si>
    <t>2021-02-05T21:00:00+00:00</t>
  </si>
  <si>
    <t>2021-02-08</t>
  </si>
  <si>
    <t>2021-02-08T14:30:00+00:00</t>
  </si>
  <si>
    <t>2021-02-08T21:00:00+00:00</t>
  </si>
  <si>
    <t>2021-02-09</t>
  </si>
  <si>
    <t>2021-02-09T14:30:00+00:00</t>
  </si>
  <si>
    <t>2021-02-09T21:00:00+00:00</t>
  </si>
  <si>
    <t>2021-02-10</t>
  </si>
  <si>
    <t>2021-02-10T14:30:00+00:00</t>
  </si>
  <si>
    <t>2021-02-10T21:00:00+00:00</t>
  </si>
  <si>
    <t>2021-02-11</t>
  </si>
  <si>
    <t>2021-02-11T14:30:00+00:00</t>
  </si>
  <si>
    <t>2021-02-11T21:00:00+00:00</t>
  </si>
  <si>
    <t>2021-02-12</t>
  </si>
  <si>
    <t>2021-02-12T14:30:00+00:00</t>
  </si>
  <si>
    <t>2021-02-12T21:00:00+00:00</t>
  </si>
  <si>
    <t>2021-02-16</t>
  </si>
  <si>
    <t>2021-02-16T14:30:00+00:00</t>
  </si>
  <si>
    <t>2021-02-16T21:00:00+00:00</t>
  </si>
  <si>
    <t>2021-02-17</t>
  </si>
  <si>
    <t>2021-02-17T14:30:00+00:00</t>
  </si>
  <si>
    <t>2021-02-17T21:00:00+00:00</t>
  </si>
  <si>
    <t>2021-02-18</t>
  </si>
  <si>
    <t>2021-02-18T14:30:00+00:00</t>
  </si>
  <si>
    <t>2021-02-18T21:00:00+00:00</t>
  </si>
  <si>
    <t>2021-02-19</t>
  </si>
  <si>
    <t>2021-02-19T14:30:00+00:00</t>
  </si>
  <si>
    <t>2021-02-19T21:00:00+00:00</t>
  </si>
  <si>
    <t>2021-02-22</t>
  </si>
  <si>
    <t>2021-02-22T14:30:00+00:00</t>
  </si>
  <si>
    <t>2021-02-22T21:00:00+00:00</t>
  </si>
  <si>
    <t>2021-02-23</t>
  </si>
  <si>
    <t>2021-02-23T14:30:00+00:00</t>
  </si>
  <si>
    <t>2021-02-23T21:00:00+00:00</t>
  </si>
  <si>
    <t>2021-02-24</t>
  </si>
  <si>
    <t>2021-02-24T14:30:00+00:00</t>
  </si>
  <si>
    <t>2021-02-24T21:00:00+00:00</t>
  </si>
  <si>
    <t>2021-02-25</t>
  </si>
  <si>
    <t>2021-02-25T14:30:00+00:00</t>
  </si>
  <si>
    <t>2021-02-25T21:00:00+00:00</t>
  </si>
  <si>
    <t>2021-02-26</t>
  </si>
  <si>
    <t>2021-02-26T14:30:00+00:00</t>
  </si>
  <si>
    <t>2021-02-26T21:00:00+00:00</t>
  </si>
  <si>
    <t>2021-03-01</t>
  </si>
  <si>
    <t>2021-03-01T14:30:00+00:00</t>
  </si>
  <si>
    <t>2021-03-01T21:00:00+00:00</t>
  </si>
  <si>
    <t>2021-03-02</t>
  </si>
  <si>
    <t>2021-03-02T14:30:00+00:00</t>
  </si>
  <si>
    <t>2021-03-02T21:00:00+00:00</t>
  </si>
  <si>
    <t>2021-03-03</t>
  </si>
  <si>
    <t>2021-03-03T14:30:00+00:00</t>
  </si>
  <si>
    <t>2021-03-03T21:00:00+00:00</t>
  </si>
  <si>
    <t>2021-03-04</t>
  </si>
  <si>
    <t>2021-03-04T14:30:00+00:00</t>
  </si>
  <si>
    <t>2021-03-04T21:00:00+00:00</t>
  </si>
  <si>
    <t>2021-03-05</t>
  </si>
  <si>
    <t>2021-03-05T14:30:00+00:00</t>
  </si>
  <si>
    <t>2021-03-05T21:00:00+00:00</t>
  </si>
  <si>
    <t>2021-03-08</t>
  </si>
  <si>
    <t>2021-03-08T14:30:00+00:00</t>
  </si>
  <si>
    <t>2021-03-08T21:00:00+00:00</t>
  </si>
  <si>
    <t>2021-03-09</t>
  </si>
  <si>
    <t>2021-03-09T14:30:00+00:00</t>
  </si>
  <si>
    <t>2021-03-09T21:00:00+00:00</t>
  </si>
  <si>
    <t>2021-03-10</t>
  </si>
  <si>
    <t>2021-03-10T14:30:00+00:00</t>
  </si>
  <si>
    <t>2021-03-10T21:00:00+00:00</t>
  </si>
  <si>
    <t>2021-03-11</t>
  </si>
  <si>
    <t>2021-03-11T14:30:00+00:00</t>
  </si>
  <si>
    <t>2021-03-11T21:00:00+00:00</t>
  </si>
  <si>
    <t>2021-03-12</t>
  </si>
  <si>
    <t>2021-03-12T14:30:00+00:00</t>
  </si>
  <si>
    <t>2021-03-12T21:00:00+00:00</t>
  </si>
  <si>
    <t>2021-03-15</t>
  </si>
  <si>
    <t>2021-03-15T13:30:00+00:00</t>
  </si>
  <si>
    <t>2021-03-15T20:00:00+00:00</t>
  </si>
  <si>
    <t>2021-03-16</t>
  </si>
  <si>
    <t>2021-03-16T13:30:00+00:00</t>
  </si>
  <si>
    <t>2021-03-16T20:00:00+00:00</t>
  </si>
  <si>
    <t>2021-03-17</t>
  </si>
  <si>
    <t>2021-03-17T13:30:00+00:00</t>
  </si>
  <si>
    <t>2021-03-17T20:00:00+00:00</t>
  </si>
  <si>
    <t>2021-03-18</t>
  </si>
  <si>
    <t>2021-03-18T13:30:00+00:00</t>
  </si>
  <si>
    <t>2021-03-18T20:00:00+00:00</t>
  </si>
  <si>
    <t>2021-03-19</t>
  </si>
  <si>
    <t>2021-03-19T13:30:00+00:00</t>
  </si>
  <si>
    <t>2021-03-19T20:00:00+00:00</t>
  </si>
  <si>
    <t>2021-03-22</t>
  </si>
  <si>
    <t>2021-03-22T13:30:00+00:00</t>
  </si>
  <si>
    <t>2021-03-22T20:00:00+00:00</t>
  </si>
  <si>
    <t>2021-03-23</t>
  </si>
  <si>
    <t>2021-03-23T13:30:00+00:00</t>
  </si>
  <si>
    <t>2021-03-23T20:00:00+00:00</t>
  </si>
  <si>
    <t>2021-03-24</t>
  </si>
  <si>
    <t>2021-03-24T13:30:00+00:00</t>
  </si>
  <si>
    <t>2021-03-24T20:00:00+00:00</t>
  </si>
  <si>
    <t>2021-03-25</t>
  </si>
  <si>
    <t>2021-03-25T13:30:00+00:00</t>
  </si>
  <si>
    <t>2021-03-25T20:00:00+00:00</t>
  </si>
  <si>
    <t>2021-03-26</t>
  </si>
  <si>
    <t>2021-03-26T13:30:00+00:00</t>
  </si>
  <si>
    <t>2021-03-26T20:00:00+00:00</t>
  </si>
  <si>
    <t>2021-03-29</t>
  </si>
  <si>
    <t>2021-03-29T13:30:00+00:00</t>
  </si>
  <si>
    <t>2021-03-29T20:00:00+00:00</t>
  </si>
  <si>
    <t>2021-03-30</t>
  </si>
  <si>
    <t>2021-03-30T13:30:00+00:00</t>
  </si>
  <si>
    <t>2021-03-30T20:00:00+00:00</t>
  </si>
  <si>
    <t>2021-03-31</t>
  </si>
  <si>
    <t>2021-03-31T13:30:00+00:00</t>
  </si>
  <si>
    <t>2021-03-31T20:00:00+00:00</t>
  </si>
  <si>
    <t>2021-04-01</t>
  </si>
  <si>
    <t>2021-04-01T13:30:00+00:00</t>
  </si>
  <si>
    <t>2021-04-01T20:00:00+00:00</t>
  </si>
  <si>
    <t>2021-04-05</t>
  </si>
  <si>
    <t>2021-04-05T13:30:00+00:00</t>
  </si>
  <si>
    <t>2021-04-05T20:00:00+00:00</t>
  </si>
  <si>
    <t>2021-04-06</t>
  </si>
  <si>
    <t>2021-04-06T13:30:00+00:00</t>
  </si>
  <si>
    <t>2021-04-06T20:00:00+00:00</t>
  </si>
  <si>
    <t>2021-04-07</t>
  </si>
  <si>
    <t>2021-04-07T13:30:00+00:00</t>
  </si>
  <si>
    <t>2021-04-07T20:00:00+00:00</t>
  </si>
  <si>
    <t>2021-04-08</t>
  </si>
  <si>
    <t>2021-04-08T13:30:00+00:00</t>
  </si>
  <si>
    <t>2021-04-08T20:00:00+00:00</t>
  </si>
  <si>
    <t>2021-04-09</t>
  </si>
  <si>
    <t>2021-04-09T13:30:00+00:00</t>
  </si>
  <si>
    <t>2021-04-09T20:00:00+00:00</t>
  </si>
  <si>
    <t>2021-04-12</t>
  </si>
  <si>
    <t>2021-04-12T13:30:00+00:00</t>
  </si>
  <si>
    <t>2021-04-12T20:00:00+00:00</t>
  </si>
  <si>
    <t>2021-04-13</t>
  </si>
  <si>
    <t>2021-04-13T13:30:00+00:00</t>
  </si>
  <si>
    <t>2021-04-13T20:00:00+00:00</t>
  </si>
  <si>
    <t>2021-04-14</t>
  </si>
  <si>
    <t>2021-04-14T13:30:00+00:00</t>
  </si>
  <si>
    <t>2021-04-14T20:00:00+00:00</t>
  </si>
  <si>
    <t>2021-04-15</t>
  </si>
  <si>
    <t>2021-04-15T13:30:00+00:00</t>
  </si>
  <si>
    <t>2021-04-15T20:00:00+00:00</t>
  </si>
  <si>
    <t>2021-04-16</t>
  </si>
  <si>
    <t>2021-04-16T13:30:00+00:00</t>
  </si>
  <si>
    <t>2021-04-16T20:00:00+00:00</t>
  </si>
  <si>
    <t>2021-04-19</t>
  </si>
  <si>
    <t>2021-04-19T13:30:00+00:00</t>
  </si>
  <si>
    <t>2021-04-19T20:00:00+00:00</t>
  </si>
  <si>
    <t>2021-04-20</t>
  </si>
  <si>
    <t>2021-04-20T13:30:00+00:00</t>
  </si>
  <si>
    <t>2021-04-20T20:00:00+00:00</t>
  </si>
  <si>
    <t>2021-04-21</t>
  </si>
  <si>
    <t>2021-04-21T13:30:00+00:00</t>
  </si>
  <si>
    <t>2021-04-21T20:00:00+00:00</t>
  </si>
  <si>
    <t>2021-04-22</t>
  </si>
  <si>
    <t>2021-04-22T13:30:00+00:00</t>
  </si>
  <si>
    <t>2021-04-22T20:00:00+00:00</t>
  </si>
  <si>
    <t>2021-04-23</t>
  </si>
  <si>
    <t>2021-04-23T13:30:00+00:00</t>
  </si>
  <si>
    <t>2021-04-23T20:00:00+00:00</t>
  </si>
  <si>
    <t>2021-04-26</t>
  </si>
  <si>
    <t>2021-04-26T13:30:00+00:00</t>
  </si>
  <si>
    <t>2021-04-26T20:00:00+00:00</t>
  </si>
  <si>
    <t>2021-04-27</t>
  </si>
  <si>
    <t>2021-04-27T13:30:00+00:00</t>
  </si>
  <si>
    <t>2021-04-27T20:00:00+00:00</t>
  </si>
  <si>
    <t>2021-04-28</t>
  </si>
  <si>
    <t>2021-04-28T13:30:00+00:00</t>
  </si>
  <si>
    <t>2021-04-28T20:00:00+00:00</t>
  </si>
  <si>
    <t>2021-04-29</t>
  </si>
  <si>
    <t>2021-04-29T13:30:00+00:00</t>
  </si>
  <si>
    <t>2021-04-29T20:00:00+00:00</t>
  </si>
  <si>
    <t>2021-04-30</t>
  </si>
  <si>
    <t>2021-04-30T13:30:00+00:00</t>
  </si>
  <si>
    <t>2021-04-30T20:00:00+00:00</t>
  </si>
  <si>
    <t>2021-05-03</t>
  </si>
  <si>
    <t>2021-05-03T13:30:00+00:00</t>
  </si>
  <si>
    <t>2021-05-03T20:00:00+00:00</t>
  </si>
  <si>
    <t>2021-05-04</t>
  </si>
  <si>
    <t>2021-05-04T13:30:00+00:00</t>
  </si>
  <si>
    <t>2021-05-04T20:00:00+00:00</t>
  </si>
  <si>
    <t>2021-05-05</t>
  </si>
  <si>
    <t>2021-05-05T13:30:00+00:00</t>
  </si>
  <si>
    <t>2021-05-05T20:00:00+00:00</t>
  </si>
  <si>
    <t>2021-05-06</t>
  </si>
  <si>
    <t>2021-05-06T13:30:00+00:00</t>
  </si>
  <si>
    <t>2021-05-06T20:00:00+00:00</t>
  </si>
  <si>
    <t>2021-05-07</t>
  </si>
  <si>
    <t>2021-05-07T13:30:00+00:00</t>
  </si>
  <si>
    <t>2021-05-07T20:00:00+00:00</t>
  </si>
  <si>
    <t>2021-05-10</t>
  </si>
  <si>
    <t>2021-05-10T13:30:00+00:00</t>
  </si>
  <si>
    <t>2021-05-10T20:00:00+00:00</t>
  </si>
  <si>
    <t>2021-05-11</t>
  </si>
  <si>
    <t>2021-05-11T13:30:00+00:00</t>
  </si>
  <si>
    <t>2021-05-11T20:00:00+00:00</t>
  </si>
  <si>
    <t>2021-05-12</t>
  </si>
  <si>
    <t>2021-05-12T13:30:00+00:00</t>
  </si>
  <si>
    <t>2021-05-12T20:00:00+00:00</t>
  </si>
  <si>
    <t>2021-05-13</t>
  </si>
  <si>
    <t>2021-05-13T13:30:00+00:00</t>
  </si>
  <si>
    <t>2021-05-13T20:00:00+00:00</t>
  </si>
  <si>
    <t>2021-05-14</t>
  </si>
  <si>
    <t>2021-05-14T13:30:00+00:00</t>
  </si>
  <si>
    <t>2021-05-14T20:00:00+00:00</t>
  </si>
  <si>
    <t>2021-05-17</t>
  </si>
  <si>
    <t>2021-05-17T13:30:00+00:00</t>
  </si>
  <si>
    <t>2021-05-17T20:00:00+00:00</t>
  </si>
  <si>
    <t>2021-05-18</t>
  </si>
  <si>
    <t>2021-05-18T13:30:00+00:00</t>
  </si>
  <si>
    <t>2021-05-18T20:00:00+00:00</t>
  </si>
  <si>
    <t>2021-05-19</t>
  </si>
  <si>
    <t>2021-05-19T13:30:00+00:00</t>
  </si>
  <si>
    <t>2021-05-19T20:00:00+00:00</t>
  </si>
  <si>
    <t>2021-05-20</t>
  </si>
  <si>
    <t>2021-05-20T13:30:00+00:00</t>
  </si>
  <si>
    <t>2021-05-20T20:00:00+00:00</t>
  </si>
  <si>
    <t>2021-05-21</t>
  </si>
  <si>
    <t>2021-05-21T13:30:00+00:00</t>
  </si>
  <si>
    <t>2021-05-21T20:00:00+00:00</t>
  </si>
  <si>
    <t>2021-05-24</t>
  </si>
  <si>
    <t>2021-05-24T13:30:00+00:00</t>
  </si>
  <si>
    <t>2021-05-24T20:00:00+00:00</t>
  </si>
  <si>
    <t>2021-05-25</t>
  </si>
  <si>
    <t>2021-05-25T13:30:00+00:00</t>
  </si>
  <si>
    <t>2021-05-25T20:00:00+00:00</t>
  </si>
  <si>
    <t>2021-05-26</t>
  </si>
  <si>
    <t>2021-05-26T13:30:00+00:00</t>
  </si>
  <si>
    <t>2021-05-26T20:00:00+00:00</t>
  </si>
  <si>
    <t>2021-05-27</t>
  </si>
  <si>
    <t>2021-05-27T13:30:00+00:00</t>
  </si>
  <si>
    <t>2021-05-27T20:00:00+00:00</t>
  </si>
  <si>
    <t>2021-05-28</t>
  </si>
  <si>
    <t>2021-05-28T13:30:00+00:00</t>
  </si>
  <si>
    <t>2021-05-28T20:00:00+00:00</t>
  </si>
  <si>
    <t>2021-06-01</t>
  </si>
  <si>
    <t>2021-06-01T13:30:00+00:00</t>
  </si>
  <si>
    <t>2021-06-01T20:00:00+00:00</t>
  </si>
  <si>
    <t>2021-06-02</t>
  </si>
  <si>
    <t>2021-06-02T13:30:00+00:00</t>
  </si>
  <si>
    <t>2021-06-02T20:00:00+00:00</t>
  </si>
  <si>
    <t>2021-06-03</t>
  </si>
  <si>
    <t>2021-06-03T13:30:00+00:00</t>
  </si>
  <si>
    <t>2021-06-03T20:00:00+00:00</t>
  </si>
  <si>
    <t>2021-06-04</t>
  </si>
  <si>
    <t>2021-06-04T13:30:00+00:00</t>
  </si>
  <si>
    <t>2021-06-04T20:00:00+00:00</t>
  </si>
  <si>
    <t>2021-06-07</t>
  </si>
  <si>
    <t>2021-06-07T13:30:00+00:00</t>
  </si>
  <si>
    <t>2021-06-07T20:00:00+00:00</t>
  </si>
  <si>
    <t>2021-06-08</t>
  </si>
  <si>
    <t>2021-06-08T13:30:00+00:00</t>
  </si>
  <si>
    <t>2021-06-08T20:00:00+00:00</t>
  </si>
  <si>
    <t>2021-06-09</t>
  </si>
  <si>
    <t>2021-06-09T13:30:00+00:00</t>
  </si>
  <si>
    <t>2021-06-09T20:00:00+00:00</t>
  </si>
  <si>
    <t>2021-06-10</t>
  </si>
  <si>
    <t>2021-06-10T13:30:00+00:00</t>
  </si>
  <si>
    <t>2021-06-10T20:00:00+00:00</t>
  </si>
  <si>
    <t>2021-06-11</t>
  </si>
  <si>
    <t>2021-06-11T13:30:00+00:00</t>
  </si>
  <si>
    <t>2021-06-11T20:00:00+00:00</t>
  </si>
  <si>
    <t>2021-06-14</t>
  </si>
  <si>
    <t>2021-06-14T13:30:00+00:00</t>
  </si>
  <si>
    <t>2021-06-14T20:00:00+00:00</t>
  </si>
  <si>
    <t>2021-06-15</t>
  </si>
  <si>
    <t>2021-06-15T13:30:00+00:00</t>
  </si>
  <si>
    <t>2021-06-15T20:00:00+00:00</t>
  </si>
  <si>
    <t>2021-06-16</t>
  </si>
  <si>
    <t>2021-06-16T13:30:00+00:00</t>
  </si>
  <si>
    <t>2021-06-16T20:00:00+00:00</t>
  </si>
  <si>
    <t>2021-06-17</t>
  </si>
  <si>
    <t>2021-06-17T13:30:00+00:00</t>
  </si>
  <si>
    <t>2021-06-17T20:00:00+00:00</t>
  </si>
  <si>
    <t>2021-06-18</t>
  </si>
  <si>
    <t>2021-06-18T13:30:00+00:00</t>
  </si>
  <si>
    <t>2021-06-18T20:00:00+00:00</t>
  </si>
  <si>
    <t>2021-06-21</t>
  </si>
  <si>
    <t>2021-06-21T13:30:00+00:00</t>
  </si>
  <si>
    <t>2021-06-21T20:00:00+00:00</t>
  </si>
  <si>
    <t>2021-06-22</t>
  </si>
  <si>
    <t>2021-06-22T13:30:00+00:00</t>
  </si>
  <si>
    <t>2021-06-22T20:00:00+00:00</t>
  </si>
  <si>
    <t>2021-06-23</t>
  </si>
  <si>
    <t>2021-06-23T13:30:00+00:00</t>
  </si>
  <si>
    <t>2021-06-23T20:00:00+00:00</t>
  </si>
  <si>
    <t>2021-06-24</t>
  </si>
  <si>
    <t>2021-06-24T13:30:00+00:00</t>
  </si>
  <si>
    <t>2021-06-24T20:00:00+00:00</t>
  </si>
  <si>
    <t>2021-06-25</t>
  </si>
  <si>
    <t>2021-06-25T13:30:00+00:00</t>
  </si>
  <si>
    <t>2021-06-25T20:00:00+00:00</t>
  </si>
  <si>
    <t>2021-06-28</t>
  </si>
  <si>
    <t>2021-06-28T13:30:00+00:00</t>
  </si>
  <si>
    <t>2021-06-28T20:00:00+00:00</t>
  </si>
  <si>
    <t>2021-06-29</t>
  </si>
  <si>
    <t>2021-06-29T13:30:00+00:00</t>
  </si>
  <si>
    <t>2021-06-29T20:00:00+00:00</t>
  </si>
  <si>
    <t>2021-06-30</t>
  </si>
  <si>
    <t>2021-06-30T13:30:00+00:00</t>
  </si>
  <si>
    <t>2021-06-30T20:00:00+00:00</t>
  </si>
  <si>
    <t>2021-07-01</t>
  </si>
  <si>
    <t>2021-07-01T13:30:00+00:00</t>
  </si>
  <si>
    <t>2021-07-01T20:00:00+00:00</t>
  </si>
  <si>
    <t>2021-07-02</t>
  </si>
  <si>
    <t>2021-07-02T13:30:00+00:00</t>
  </si>
  <si>
    <t>2021-07-02T20:00:00+00:00</t>
  </si>
  <si>
    <t>2021-07-06</t>
  </si>
  <si>
    <t>2021-07-06T13:30:00+00:00</t>
  </si>
  <si>
    <t>2021-07-06T20:00:00+00:00</t>
  </si>
  <si>
    <t>2021-07-07</t>
  </si>
  <si>
    <t>2021-07-07T13:30:00+00:00</t>
  </si>
  <si>
    <t>2021-07-07T20:00:00+00:00</t>
  </si>
  <si>
    <t>2021-07-08</t>
  </si>
  <si>
    <t>2021-07-08T13:30:00+00:00</t>
  </si>
  <si>
    <t>2021-07-08T20:00:00+00:00</t>
  </si>
  <si>
    <t>2021-07-09</t>
  </si>
  <si>
    <t>2021-07-09T13:30:00+00:00</t>
  </si>
  <si>
    <t>2021-07-09T20:00:00+00:00</t>
  </si>
  <si>
    <t>2021-07-12</t>
  </si>
  <si>
    <t>2021-07-12T13:30:00+00:00</t>
  </si>
  <si>
    <t>2021-07-12T20:00:00+00:00</t>
  </si>
  <si>
    <t>2021-07-13</t>
  </si>
  <si>
    <t>2021-07-13T13:30:00+00:00</t>
  </si>
  <si>
    <t>2021-07-13T20:00:00+00:00</t>
  </si>
  <si>
    <t>2021-07-14</t>
  </si>
  <si>
    <t>2021-07-14T13:30:00+00:00</t>
  </si>
  <si>
    <t>2021-07-14T20:00:00+00:00</t>
  </si>
  <si>
    <t>2021-07-15</t>
  </si>
  <si>
    <t>2021-07-15T13:30:00+00:00</t>
  </si>
  <si>
    <t>2021-07-15T20:00:00+00:00</t>
  </si>
  <si>
    <t>2021-07-16</t>
  </si>
  <si>
    <t>2021-07-16T13:30:00+00:00</t>
  </si>
  <si>
    <t>2021-07-16T20:00:00+00:00</t>
  </si>
  <si>
    <t>2021-07-19</t>
  </si>
  <si>
    <t>2021-07-19T13:30:00+00:00</t>
  </si>
  <si>
    <t>2021-07-19T20:00:00+00:00</t>
  </si>
  <si>
    <t>2021-07-20</t>
  </si>
  <si>
    <t>2021-07-20T13:30:00+00:00</t>
  </si>
  <si>
    <t>2021-07-20T20:00:00+00:00</t>
  </si>
  <si>
    <t>2021-07-21</t>
  </si>
  <si>
    <t>2021-07-21T13:30:00+00:00</t>
  </si>
  <si>
    <t>2021-07-21T20:00:00+00:00</t>
  </si>
  <si>
    <t>2021-07-22</t>
  </si>
  <si>
    <t>2021-07-22T13:30:00+00:00</t>
  </si>
  <si>
    <t>2021-07-22T20:00:00+00:00</t>
  </si>
  <si>
    <t>2021-07-23</t>
  </si>
  <si>
    <t>2021-07-23T13:30:00+00:00</t>
  </si>
  <si>
    <t>2021-07-23T20:00:00+00:00</t>
  </si>
  <si>
    <t>2021-07-26</t>
  </si>
  <si>
    <t>2021-07-26T13:30:00+00:00</t>
  </si>
  <si>
    <t>2021-07-26T20:00:00+00:00</t>
  </si>
  <si>
    <t>2021-07-27</t>
  </si>
  <si>
    <t>2021-07-27T13:30:00+00:00</t>
  </si>
  <si>
    <t>2021-07-27T20:00:00+00:00</t>
  </si>
  <si>
    <t>2021-07-28</t>
  </si>
  <si>
    <t>2021-07-28T13:30:00+00:00</t>
  </si>
  <si>
    <t>2021-07-28T20:00:00+00:00</t>
  </si>
  <si>
    <t>2021-07-29</t>
  </si>
  <si>
    <t>2021-07-29T13:30:00+00:00</t>
  </si>
  <si>
    <t>2021-07-29T20:00:00+00:00</t>
  </si>
  <si>
    <t>2021-07-30</t>
  </si>
  <si>
    <t>2021-07-30T13:30:00+00:00</t>
  </si>
  <si>
    <t>2021-07-30T20:00:00+00:00</t>
  </si>
  <si>
    <t>2021-08-02</t>
  </si>
  <si>
    <t>2021-08-02T13:30:00+00:00</t>
  </si>
  <si>
    <t>2021-08-02T20:00:00+00:00</t>
  </si>
  <si>
    <t>2021-08-03</t>
  </si>
  <si>
    <t>2021-08-03T13:30:00+00:00</t>
  </si>
  <si>
    <t>2021-08-03T20:00:00+00:00</t>
  </si>
  <si>
    <t>2021-08-04</t>
  </si>
  <si>
    <t>2021-08-04T13:30:00+00:00</t>
  </si>
  <si>
    <t>2021-08-04T20:00:00+00:00</t>
  </si>
  <si>
    <t>2021-08-05</t>
  </si>
  <si>
    <t>2021-08-05T13:30:00+00:00</t>
  </si>
  <si>
    <t>2021-08-05T20:00:00+00:00</t>
  </si>
  <si>
    <t>2021-08-06</t>
  </si>
  <si>
    <t>2021-08-06T13:30:00+00:00</t>
  </si>
  <si>
    <t>2021-08-06T20:00:00+00:00</t>
  </si>
  <si>
    <t>2021-08-09</t>
  </si>
  <si>
    <t>2021-08-09T13:30:00+00:00</t>
  </si>
  <si>
    <t>2021-08-09T20:00:00+00:00</t>
  </si>
  <si>
    <t>2021-08-10</t>
  </si>
  <si>
    <t>2021-08-10T13:30:00+00:00</t>
  </si>
  <si>
    <t>2021-08-10T20:00:00+00:00</t>
  </si>
  <si>
    <t>2021-08-11</t>
  </si>
  <si>
    <t>2021-08-11T13:30:00+00:00</t>
  </si>
  <si>
    <t>2021-08-11T20:00:00+00:00</t>
  </si>
  <si>
    <t>2021-08-12</t>
  </si>
  <si>
    <t>2021-08-12T13:30:00+00:00</t>
  </si>
  <si>
    <t>2021-08-12T20:00:00+00:00</t>
  </si>
  <si>
    <t>2021-08-13</t>
  </si>
  <si>
    <t>2021-08-13T13:30:00+00:00</t>
  </si>
  <si>
    <t>2021-08-13T20:00:00+00:00</t>
  </si>
  <si>
    <t>2021-08-16</t>
  </si>
  <si>
    <t>2021-08-16T13:30:00+00:00</t>
  </si>
  <si>
    <t>2021-08-16T20:00:00+00:00</t>
  </si>
  <si>
    <t>2021-08-17</t>
  </si>
  <si>
    <t>2021-08-17T13:30:00+00:00</t>
  </si>
  <si>
    <t>2021-08-17T20:00:00+00:00</t>
  </si>
  <si>
    <t>2021-08-18</t>
  </si>
  <si>
    <t>2021-08-18T13:30:00+00:00</t>
  </si>
  <si>
    <t>2021-08-18T20:00:00+00:00</t>
  </si>
  <si>
    <t>2021-08-19</t>
  </si>
  <si>
    <t>2021-08-19T13:30:00+00:00</t>
  </si>
  <si>
    <t>2021-08-19T20:00:00+00:00</t>
  </si>
  <si>
    <t>2021-08-20</t>
  </si>
  <si>
    <t>2021-08-20T13:30:00+00:00</t>
  </si>
  <si>
    <t>2021-08-20T20:00:00+00:00</t>
  </si>
  <si>
    <t>2021-08-23</t>
  </si>
  <si>
    <t>2021-08-23T13:30:00+00:00</t>
  </si>
  <si>
    <t>2021-08-23T20:00:00+00:00</t>
  </si>
  <si>
    <t>2021-08-24</t>
  </si>
  <si>
    <t>2021-08-24T13:30:00+00:00</t>
  </si>
  <si>
    <t>2021-08-24T20:00:00+00:00</t>
  </si>
  <si>
    <t>2021-08-25</t>
  </si>
  <si>
    <t>2021-08-25T13:30:00+00:00</t>
  </si>
  <si>
    <t>2021-08-25T20:00:00+00:00</t>
  </si>
  <si>
    <t>2021-08-26</t>
  </si>
  <si>
    <t>2021-08-26T13:30:00+00:00</t>
  </si>
  <si>
    <t>2021-08-26T20:00:00+00:00</t>
  </si>
  <si>
    <t>2021-08-27</t>
  </si>
  <si>
    <t>2021-08-27T13:30:00+00:00</t>
  </si>
  <si>
    <t>2021-08-27T20:00:00+00:00</t>
  </si>
  <si>
    <t>2021-08-30</t>
  </si>
  <si>
    <t>2021-08-30T13:30:00+00:00</t>
  </si>
  <si>
    <t>2021-08-30T20:00:00+00:00</t>
  </si>
  <si>
    <t>2021-08-31</t>
  </si>
  <si>
    <t>2021-08-31T13:30:00+00:00</t>
  </si>
  <si>
    <t>2021-08-31T20:00:00+00:00</t>
  </si>
  <si>
    <t>2021-09-01</t>
  </si>
  <si>
    <t>2021-09-01T13:30:00+00:00</t>
  </si>
  <si>
    <t>2021-09-01T20:00:00+00:00</t>
  </si>
  <si>
    <t>2021-09-02</t>
  </si>
  <si>
    <t>2021-09-02T13:30:00+00:00</t>
  </si>
  <si>
    <t>2021-09-02T20:00:00+00:00</t>
  </si>
  <si>
    <t>2021-09-03</t>
  </si>
  <si>
    <t>2021-09-03T13:30:00+00:00</t>
  </si>
  <si>
    <t>2021-09-03T20:00:00+00:00</t>
  </si>
  <si>
    <t>2021-09-07</t>
  </si>
  <si>
    <t>2021-09-07T13:30:00+00:00</t>
  </si>
  <si>
    <t>2021-09-07T20:00:00+00:00</t>
  </si>
  <si>
    <t>2021-09-08</t>
  </si>
  <si>
    <t>2021-09-08T13:30:00+00:00</t>
  </si>
  <si>
    <t>2021-09-08T20:00:00+00:00</t>
  </si>
  <si>
    <t>2021-09-09</t>
  </si>
  <si>
    <t>2021-09-09T13:30:00+00:00</t>
  </si>
  <si>
    <t>2021-09-09T20:00:00+00:00</t>
  </si>
  <si>
    <t>2021-09-10</t>
  </si>
  <si>
    <t>2021-09-10T13:30:00+00:00</t>
  </si>
  <si>
    <t>2021-09-10T20:00:00+00:00</t>
  </si>
  <si>
    <t>2021-09-13</t>
  </si>
  <si>
    <t>2021-09-13T13:30:00+00:00</t>
  </si>
  <si>
    <t>2021-09-13T20:00:00+00:00</t>
  </si>
  <si>
    <t>2021-09-14</t>
  </si>
  <si>
    <t>2021-09-14T13:30:00+00:00</t>
  </si>
  <si>
    <t>2021-09-14T20:00:00+00:00</t>
  </si>
  <si>
    <t>2021-09-15</t>
  </si>
  <si>
    <t>2021-09-15T13:30:00+00:00</t>
  </si>
  <si>
    <t>2021-09-15T20:00:00+00:00</t>
  </si>
  <si>
    <t>2021-09-16</t>
  </si>
  <si>
    <t>2021-09-16T13:30:00+00:00</t>
  </si>
  <si>
    <t>2021-09-16T20:00:00+00:00</t>
  </si>
  <si>
    <t>2021-09-17</t>
  </si>
  <si>
    <t>2021-09-17T13:30:00+00:00</t>
  </si>
  <si>
    <t>2021-09-17T20:00:00+00:00</t>
  </si>
  <si>
    <t>2021-09-20</t>
  </si>
  <si>
    <t>2021-09-20T13:30:00+00:00</t>
  </si>
  <si>
    <t>2021-09-20T20:00:00+00:00</t>
  </si>
  <si>
    <t>2021-09-21</t>
  </si>
  <si>
    <t>2021-09-21T13:30:00+00:00</t>
  </si>
  <si>
    <t>2021-09-21T20:00:00+00:00</t>
  </si>
  <si>
    <t>2021-09-22</t>
  </si>
  <si>
    <t>2021-09-22T13:30:00+00:00</t>
  </si>
  <si>
    <t>2021-09-22T20:00:00+00:00</t>
  </si>
  <si>
    <t>2021-09-23</t>
  </si>
  <si>
    <t>2021-09-23T13:30:00+00:00</t>
  </si>
  <si>
    <t>2021-09-23T20:00:00+00:00</t>
  </si>
  <si>
    <t>2021-09-24</t>
  </si>
  <si>
    <t>2021-09-24T13:30:00+00:00</t>
  </si>
  <si>
    <t>2021-09-24T20:00:00+00:00</t>
  </si>
  <si>
    <t>2021-09-27</t>
  </si>
  <si>
    <t>2021-09-27T13:30:00+00:00</t>
  </si>
  <si>
    <t>2021-09-27T20:00:00+00:00</t>
  </si>
  <si>
    <t>2021-09-28</t>
  </si>
  <si>
    <t>2021-09-28T13:30:00+00:00</t>
  </si>
  <si>
    <t>2021-09-28T20:00:00+00:00</t>
  </si>
  <si>
    <t>2021-09-29</t>
  </si>
  <si>
    <t>2021-09-29T13:30:00+00:00</t>
  </si>
  <si>
    <t>2021-09-29T20:00:00+00:00</t>
  </si>
  <si>
    <t>2021-09-30</t>
  </si>
  <si>
    <t>2021-09-30T13:30:00+00:00</t>
  </si>
  <si>
    <t>2021-09-30T20:00:00+00:00</t>
  </si>
  <si>
    <t>2021-10-01</t>
  </si>
  <si>
    <t>2021-10-01T13:30:00+00:00</t>
  </si>
  <si>
    <t>2021-10-01T20:00:00+00:00</t>
  </si>
  <si>
    <t>2021-10-04</t>
  </si>
  <si>
    <t>2021-10-04T13:30:00+00:00</t>
  </si>
  <si>
    <t>2021-10-04T20:00:00+00:00</t>
  </si>
  <si>
    <t>2021-10-05</t>
  </si>
  <si>
    <t>2021-10-05T13:30:00+00:00</t>
  </si>
  <si>
    <t>2021-10-05T20:00:00+00:00</t>
  </si>
  <si>
    <t>2021-10-06</t>
  </si>
  <si>
    <t>2021-10-06T13:30:00+00:00</t>
  </si>
  <si>
    <t>2021-10-06T20:00:00+00:00</t>
  </si>
  <si>
    <t>2021-10-07</t>
  </si>
  <si>
    <t>2021-10-07T13:30:00+00:00</t>
  </si>
  <si>
    <t>2021-10-07T20:00:00+00:00</t>
  </si>
  <si>
    <t>2021-10-08</t>
  </si>
  <si>
    <t>2021-10-08T13:30:00+00:00</t>
  </si>
  <si>
    <t>2021-10-08T20:00:00+00:00</t>
  </si>
  <si>
    <t>2021-10-11</t>
  </si>
  <si>
    <t>2021-10-11T13:30:00+00:00</t>
  </si>
  <si>
    <t>2021-10-11T20:00:00+00:00</t>
  </si>
  <si>
    <t>2021-10-12</t>
  </si>
  <si>
    <t>2021-10-12T13:30:00+00:00</t>
  </si>
  <si>
    <t>2021-10-12T20:00:00+00:00</t>
  </si>
  <si>
    <t>2021-10-13</t>
  </si>
  <si>
    <t>2021-10-13T13:30:00+00:00</t>
  </si>
  <si>
    <t>2021-10-13T20:00:00+00:00</t>
  </si>
  <si>
    <t>2021-10-14</t>
  </si>
  <si>
    <t>2021-10-14T13:30:00+00:00</t>
  </si>
  <si>
    <t>2021-10-14T20:00:00+00:00</t>
  </si>
  <si>
    <t>2021-10-15</t>
  </si>
  <si>
    <t>2021-10-15T13:30:00+00:00</t>
  </si>
  <si>
    <t>2021-10-15T20:00:00+00:00</t>
  </si>
  <si>
    <t>2021-10-18</t>
  </si>
  <si>
    <t>2021-10-18T13:30:00+00:00</t>
  </si>
  <si>
    <t>2021-10-18T20:00:00+00:00</t>
  </si>
  <si>
    <t>2021-10-19</t>
  </si>
  <si>
    <t>2021-10-19T13:30:00+00:00</t>
  </si>
  <si>
    <t>2021-10-19T20:00:00+00:00</t>
  </si>
  <si>
    <t>2021-10-20</t>
  </si>
  <si>
    <t>2021-10-20T13:30:00+00:00</t>
  </si>
  <si>
    <t>2021-10-20T20:00:00+00:00</t>
  </si>
  <si>
    <t>2021-10-21</t>
  </si>
  <si>
    <t>2021-10-21T13:30:00+00:00</t>
  </si>
  <si>
    <t>2021-10-21T20:00:00+00:00</t>
  </si>
  <si>
    <t>2021-10-22</t>
  </si>
  <si>
    <t>2021-10-22T13:30:00+00:00</t>
  </si>
  <si>
    <t>2021-10-22T20:00:00+00:00</t>
  </si>
  <si>
    <t>2021-10-25</t>
  </si>
  <si>
    <t>2021-10-25T13:30:00+00:00</t>
  </si>
  <si>
    <t>2021-10-25T20:00:00+00:00</t>
  </si>
  <si>
    <t>2021-10-26</t>
  </si>
  <si>
    <t>2021-10-26T13:30:00+00:00</t>
  </si>
  <si>
    <t>2021-10-26T20:00:00+00:00</t>
  </si>
  <si>
    <t>2021-10-27</t>
  </si>
  <si>
    <t>2021-10-27T13:30:00+00:00</t>
  </si>
  <si>
    <t>2021-10-27T20:00:00+00:00</t>
  </si>
  <si>
    <t>2021-10-28</t>
  </si>
  <si>
    <t>2021-10-28T13:30:00+00:00</t>
  </si>
  <si>
    <t>2021-10-28T20:00:00+00:00</t>
  </si>
  <si>
    <t>2021-10-29</t>
  </si>
  <si>
    <t>2021-10-29T13:30:00+00:00</t>
  </si>
  <si>
    <t>2021-10-29T20:00:00+00:00</t>
  </si>
  <si>
    <t>2021-11-01</t>
  </si>
  <si>
    <t>2021-11-01T13:30:00+00:00</t>
  </si>
  <si>
    <t>2021-11-01T20:00:00+00:00</t>
  </si>
  <si>
    <t>2021-11-02</t>
  </si>
  <si>
    <t>2021-11-02T13:30:00+00:00</t>
  </si>
  <si>
    <t>2021-11-02T20:00:00+00:00</t>
  </si>
  <si>
    <t>2021-11-03</t>
  </si>
  <si>
    <t>2021-11-03T13:30:00+00:00</t>
  </si>
  <si>
    <t>2021-11-03T20:00:00+00:00</t>
  </si>
  <si>
    <t>2021-11-04</t>
  </si>
  <si>
    <t>2021-11-04T13:30:00+00:00</t>
  </si>
  <si>
    <t>2021-11-04T20:00:00+00:00</t>
  </si>
  <si>
    <t>2021-11-05</t>
  </si>
  <si>
    <t>2021-11-05T13:30:00+00:00</t>
  </si>
  <si>
    <t>2021-11-05T20:00:00+00:00</t>
  </si>
  <si>
    <t>2021-11-08</t>
  </si>
  <si>
    <t>2021-11-08T14:30:00+00:00</t>
  </si>
  <si>
    <t>2021-11-08T21:00:00+00:00</t>
  </si>
  <si>
    <t>2021-11-09</t>
  </si>
  <si>
    <t>2021-11-09T14:30:00+00:00</t>
  </si>
  <si>
    <t>2021-11-09T21:00:00+00:00</t>
  </si>
  <si>
    <t>2021-11-10</t>
  </si>
  <si>
    <t>2021-11-10T14:30:00+00:00</t>
  </si>
  <si>
    <t>2021-11-10T21:00:00+00:00</t>
  </si>
  <si>
    <t>2021-11-11</t>
  </si>
  <si>
    <t>2021-11-11T14:30:00+00:00</t>
  </si>
  <si>
    <t>2021-11-11T21:00:00+00:00</t>
  </si>
  <si>
    <t>2021-11-12</t>
  </si>
  <si>
    <t>2021-11-12T14:30:00+00:00</t>
  </si>
  <si>
    <t>2021-11-12T21:00:00+00:00</t>
  </si>
  <si>
    <t>2021-11-15</t>
  </si>
  <si>
    <t>2021-11-15T14:30:00+00:00</t>
  </si>
  <si>
    <t>2021-11-15T21:00:00+00:00</t>
  </si>
  <si>
    <t>2021-11-16</t>
  </si>
  <si>
    <t>2021-11-16T14:30:00+00:00</t>
  </si>
  <si>
    <t>2021-11-16T21:00:00+00:00</t>
  </si>
  <si>
    <t>2021-11-17</t>
  </si>
  <si>
    <t>2021-11-17T14:30:00+00:00</t>
  </si>
  <si>
    <t>2021-11-17T21:00:00+00:00</t>
  </si>
  <si>
    <t>2021-11-18</t>
  </si>
  <si>
    <t>2021-11-18T14:30:00+00:00</t>
  </si>
  <si>
    <t>2021-11-18T21:00:00+00:00</t>
  </si>
  <si>
    <t>2021-11-19</t>
  </si>
  <si>
    <t>2021-11-19T14:30:00+00:00</t>
  </si>
  <si>
    <t>2021-11-19T21:00:00+00:00</t>
  </si>
  <si>
    <t>2021-11-22</t>
  </si>
  <si>
    <t>2021-11-22T14:30:00+00:00</t>
  </si>
  <si>
    <t>2021-11-22T21:00:00+00:00</t>
  </si>
  <si>
    <t>2021-11-23</t>
  </si>
  <si>
    <t>2021-11-23T14:30:00+00:00</t>
  </si>
  <si>
    <t>2021-11-23T21:00:00+00:00</t>
  </si>
  <si>
    <t>2021-11-24</t>
  </si>
  <si>
    <t>2021-11-24T14:30:00+00:00</t>
  </si>
  <si>
    <t>2021-11-24T21:00:00+00:00</t>
  </si>
  <si>
    <t>2021-11-26</t>
  </si>
  <si>
    <t>2021-11-26T14:30:00+00:00</t>
  </si>
  <si>
    <t>2021-11-26T18:00:00+00:00</t>
  </si>
  <si>
    <t>2021-11-29</t>
  </si>
  <si>
    <t>2021-11-29T14:30:00+00:00</t>
  </si>
  <si>
    <t>2021-11-29T21:00:00+00:00</t>
  </si>
  <si>
    <t>2021-11-30</t>
  </si>
  <si>
    <t>2021-11-30T14:30:00+00:00</t>
  </si>
  <si>
    <t>2021-11-30T21:00:00+00:00</t>
  </si>
  <si>
    <t>2021-12-01</t>
  </si>
  <si>
    <t>2021-12-01T14:30:00+00:00</t>
  </si>
  <si>
    <t>2021-12-01T21:00:00+00:00</t>
  </si>
  <si>
    <t>2021-12-02</t>
  </si>
  <si>
    <t>2021-12-02T14:30:00+00:00</t>
  </si>
  <si>
    <t>2021-12-02T21:00:00+00:00</t>
  </si>
  <si>
    <t>2021-12-03</t>
  </si>
  <si>
    <t>2021-12-03T14:30:00+00:00</t>
  </si>
  <si>
    <t>2021-12-03T21:00:00+00:00</t>
  </si>
  <si>
    <t>2021-12-06</t>
  </si>
  <si>
    <t>2021-12-06T14:30:00+00:00</t>
  </si>
  <si>
    <t>2021-12-06T21:00:00+00:00</t>
  </si>
  <si>
    <t>2021-12-07</t>
  </si>
  <si>
    <t>2021-12-07T14:30:00+00:00</t>
  </si>
  <si>
    <t>2021-12-07T21:00:00+00:00</t>
  </si>
  <si>
    <t>2021-12-08</t>
  </si>
  <si>
    <t>2021-12-08T14:30:00+00:00</t>
  </si>
  <si>
    <t>2021-12-08T21:00:00+00:00</t>
  </si>
  <si>
    <t>2021-12-09</t>
  </si>
  <si>
    <t>2021-12-09T14:30:00+00:00</t>
  </si>
  <si>
    <t>2021-12-09T21:00:00+00:00</t>
  </si>
  <si>
    <t>2021-12-10</t>
  </si>
  <si>
    <t>2021-12-10T14:30:00+00:00</t>
  </si>
  <si>
    <t>2021-12-10T21:00:00+00:00</t>
  </si>
  <si>
    <t>2021-12-13</t>
  </si>
  <si>
    <t>2021-12-13T14:30:00+00:00</t>
  </si>
  <si>
    <t>2021-12-13T21:00:00+00:00</t>
  </si>
  <si>
    <t>2021-12-14</t>
  </si>
  <si>
    <t>2021-12-14T14:30:00+00:00</t>
  </si>
  <si>
    <t>2021-12-14T21:00:00+00:00</t>
  </si>
  <si>
    <t>2021-12-15</t>
  </si>
  <si>
    <t>2021-12-15T14:30:00+00:00</t>
  </si>
  <si>
    <t>2021-12-15T21:00:00+00:00</t>
  </si>
  <si>
    <t>2021-12-16</t>
  </si>
  <si>
    <t>2021-12-16T14:30:00+00:00</t>
  </si>
  <si>
    <t>2021-12-16T21:00:00+00:00</t>
  </si>
  <si>
    <t>2021-12-17</t>
  </si>
  <si>
    <t>2021-12-17T14:30:00+00:00</t>
  </si>
  <si>
    <t>2021-12-17T21:00:00+00:00</t>
  </si>
  <si>
    <t>2021-12-20</t>
  </si>
  <si>
    <t>2021-12-20T14:30:00+00:00</t>
  </si>
  <si>
    <t>2021-12-20T21:00:00+00:00</t>
  </si>
  <si>
    <t>2021-12-21</t>
  </si>
  <si>
    <t>2021-12-21T14:30:00+00:00</t>
  </si>
  <si>
    <t>2021-12-21T21:00:00+00:00</t>
  </si>
  <si>
    <t>2021-12-22</t>
  </si>
  <si>
    <t>2021-12-22T14:30:00+00:00</t>
  </si>
  <si>
    <t>2021-12-22T21:00:00+00:00</t>
  </si>
  <si>
    <t>2021-12-23</t>
  </si>
  <si>
    <t>2021-12-23T14:30:00+00:00</t>
  </si>
  <si>
    <t>2021-12-23T21:00:00+00:00</t>
  </si>
  <si>
    <t>2021-12-27</t>
  </si>
  <si>
    <t>2021-12-27T14:30:00+00:00</t>
  </si>
  <si>
    <t>2021-12-27T21:00:00+00:00</t>
  </si>
  <si>
    <t>2021-12-28</t>
  </si>
  <si>
    <t>2021-12-28T14:30:00+00:00</t>
  </si>
  <si>
    <t>2021-12-28T21:00:00+00:00</t>
  </si>
  <si>
    <t>2021-12-29</t>
  </si>
  <si>
    <t>2021-12-29T14:30:00+00:00</t>
  </si>
  <si>
    <t>2021-12-29T21:00:00+00:00</t>
  </si>
  <si>
    <t>2021-12-30</t>
  </si>
  <si>
    <t>2021-12-30T14:30:00+00:00</t>
  </si>
  <si>
    <t>2021-12-30T21:00:00+00:00</t>
  </si>
  <si>
    <t>2021-12-31</t>
  </si>
  <si>
    <t>2021-12-31T14:30:00+00:00</t>
  </si>
  <si>
    <t>2021-12-31T21:00:00+00:00</t>
  </si>
  <si>
    <t>2022-01-03</t>
  </si>
  <si>
    <t>2022-01-03T14:30:00+00:00</t>
  </si>
  <si>
    <t>2022-01-03T21:00:00+00:00</t>
  </si>
  <si>
    <t>2022-01-04</t>
  </si>
  <si>
    <t>2022-01-04T14:30:00+00:00</t>
  </si>
  <si>
    <t>2022-01-04T21:00:00+00:00</t>
  </si>
  <si>
    <t>2022-01-05</t>
  </si>
  <si>
    <t>2022-01-05T14:30:00+00:00</t>
  </si>
  <si>
    <t>2022-01-05T21:00:00+00:00</t>
  </si>
  <si>
    <t>2022-01-06</t>
  </si>
  <si>
    <t>2022-01-06T14:30:00+00:00</t>
  </si>
  <si>
    <t>2022-01-06T21:00:00+00:00</t>
  </si>
  <si>
    <t>2022-01-07</t>
  </si>
  <si>
    <t>2022-01-07T14:30:00+00:00</t>
  </si>
  <si>
    <t>2022-01-07T21:00:00+00:00</t>
  </si>
  <si>
    <t>2022-01-10</t>
  </si>
  <si>
    <t>2022-01-10T14:30:00+00:00</t>
  </si>
  <si>
    <t>2022-01-10T21:00:00+00:00</t>
  </si>
  <si>
    <t>2022-01-11</t>
  </si>
  <si>
    <t>2022-01-11T14:30:00+00:00</t>
  </si>
  <si>
    <t>2022-01-11T21:00:00+00:00</t>
  </si>
  <si>
    <t>2022-01-12</t>
  </si>
  <si>
    <t>2022-01-12T14:30:00+00:00</t>
  </si>
  <si>
    <t>2022-01-12T21:00:00+00:00</t>
  </si>
  <si>
    <t>2022-01-13</t>
  </si>
  <si>
    <t>2022-01-13T14:30:00+00:00</t>
  </si>
  <si>
    <t>2022-01-13T21:00:00+00:00</t>
  </si>
  <si>
    <t>2022-01-14</t>
  </si>
  <si>
    <t>2022-01-14T14:30:00+00:00</t>
  </si>
  <si>
    <t>2022-01-14T21:00:00+00:00</t>
  </si>
  <si>
    <t>2022-01-18</t>
  </si>
  <si>
    <t>2022-01-18T14:30:00+00:00</t>
  </si>
  <si>
    <t>2022-01-18T21:00:00+00:00</t>
  </si>
  <si>
    <t>2022-01-19</t>
  </si>
  <si>
    <t>2022-01-19T14:30:00+00:00</t>
  </si>
  <si>
    <t>2022-01-19T21:00:00+00:00</t>
  </si>
  <si>
    <t>2022-01-20</t>
  </si>
  <si>
    <t>2022-01-20T14:30:00+00:00</t>
  </si>
  <si>
    <t>2022-01-20T21:00:00+00:00</t>
  </si>
  <si>
    <t>2022-01-21</t>
  </si>
  <si>
    <t>2022-01-21T14:30:00+00:00</t>
  </si>
  <si>
    <t>2022-01-21T21:00:00+00:00</t>
  </si>
  <si>
    <t>2022-01-24</t>
  </si>
  <si>
    <t>2022-01-24T14:30:00+00:00</t>
  </si>
  <si>
    <t>2022-01-24T21:00:00+00:00</t>
  </si>
  <si>
    <t>2022-01-25</t>
  </si>
  <si>
    <t>2022-01-25T14:30:00+00:00</t>
  </si>
  <si>
    <t>2022-01-25T21:00:00+00:00</t>
  </si>
  <si>
    <t>2022-01-26</t>
  </si>
  <si>
    <t>2022-01-26T14:30:00+00:00</t>
  </si>
  <si>
    <t>2022-01-26T21:00:00+00:00</t>
  </si>
  <si>
    <t>2022-01-27</t>
  </si>
  <si>
    <t>2022-01-27T14:30:00+00:00</t>
  </si>
  <si>
    <t>2022-01-27T21:00:00+00:00</t>
  </si>
  <si>
    <t>2022-01-28</t>
  </si>
  <si>
    <t>2022-01-28T14:30:00+00:00</t>
  </si>
  <si>
    <t>2022-01-28T21:00:00+00:00</t>
  </si>
  <si>
    <t>2022-01-31</t>
  </si>
  <si>
    <t>2022-01-31T14:30:00+00:00</t>
  </si>
  <si>
    <t>2022-01-31T21:00:00+00:00</t>
  </si>
  <si>
    <t>2022-02-01</t>
  </si>
  <si>
    <t>2022-02-01T14:30:00+00:00</t>
  </si>
  <si>
    <t>2022-02-01T21:00:00+00:00</t>
  </si>
  <si>
    <t>2022-02-02</t>
  </si>
  <si>
    <t>2022-02-02T14:30:00+00:00</t>
  </si>
  <si>
    <t>2022-02-02T21:00:00+00:00</t>
  </si>
  <si>
    <t>2022-02-03</t>
  </si>
  <si>
    <t>2022-02-03T14:30:00+00:00</t>
  </si>
  <si>
    <t>2022-02-03T21:00:00+00:00</t>
  </si>
  <si>
    <t>2022-02-04</t>
  </si>
  <si>
    <t>2022-02-04T14:30:00+00:00</t>
  </si>
  <si>
    <t>2022-02-04T21:00:00+00:00</t>
  </si>
  <si>
    <t>2022-02-07</t>
  </si>
  <si>
    <t>2022-02-07T14:30:00+00:00</t>
  </si>
  <si>
    <t>2022-02-07T21:00:00+00:00</t>
  </si>
  <si>
    <t>2022-02-08</t>
  </si>
  <si>
    <t>2022-02-08T14:30:00+00:00</t>
  </si>
  <si>
    <t>2022-02-08T21:00:00+00:00</t>
  </si>
  <si>
    <t>2022-02-09</t>
  </si>
  <si>
    <t>2022-02-09T14:30:00+00:00</t>
  </si>
  <si>
    <t>2022-02-09T21:00:00+00:00</t>
  </si>
  <si>
    <t>2022-02-10</t>
  </si>
  <si>
    <t>2022-02-10T14:30:00+00:00</t>
  </si>
  <si>
    <t>2022-02-10T21:00:00+00:00</t>
  </si>
  <si>
    <t>2022-02-11</t>
  </si>
  <si>
    <t>2022-02-11T14:30:00+00:00</t>
  </si>
  <si>
    <t>2022-02-11T21:00:00+00:00</t>
  </si>
  <si>
    <t>2022-02-14</t>
  </si>
  <si>
    <t>2022-02-14T14:30:00+00:00</t>
  </si>
  <si>
    <t>2022-02-14T21:00:00+00:00</t>
  </si>
  <si>
    <t>2022-02-15</t>
  </si>
  <si>
    <t>2022-02-15T14:30:00+00:00</t>
  </si>
  <si>
    <t>2022-02-15T21:00:00+00:00</t>
  </si>
  <si>
    <t>2022-02-16</t>
  </si>
  <si>
    <t>2022-02-16T14:30:00+00:00</t>
  </si>
  <si>
    <t>2022-02-16T21:00:00+00:00</t>
  </si>
  <si>
    <t>2022-02-17</t>
  </si>
  <si>
    <t>2022-02-17T14:30:00+00:00</t>
  </si>
  <si>
    <t>2022-02-17T21:00:00+00:00</t>
  </si>
  <si>
    <t>2022-02-18</t>
  </si>
  <si>
    <t>2022-02-18T14:30:00+00:00</t>
  </si>
  <si>
    <t>2022-02-18T21:00:00+00:00</t>
  </si>
  <si>
    <t>2022-02-22</t>
  </si>
  <si>
    <t>2022-02-22T14:30:00+00:00</t>
  </si>
  <si>
    <t>2022-02-22T21:00:00+00:00</t>
  </si>
  <si>
    <t>2022-02-23</t>
  </si>
  <si>
    <t>2022-02-23T14:30:00+00:00</t>
  </si>
  <si>
    <t>2022-02-23T21:00:00+00:00</t>
  </si>
  <si>
    <t>2022-02-24</t>
  </si>
  <si>
    <t>2022-02-24T14:30:00+00:00</t>
  </si>
  <si>
    <t>2022-02-24T21:00:00+00:00</t>
  </si>
  <si>
    <t>2022-02-25</t>
  </si>
  <si>
    <t>2022-02-25T14:30:00+00:00</t>
  </si>
  <si>
    <t>2022-02-25T21:00:00+00:00</t>
  </si>
  <si>
    <t>2022-02-28</t>
  </si>
  <si>
    <t>2022-02-28T14:30:00+00:00</t>
  </si>
  <si>
    <t>2022-02-28T21:00:00+00:00</t>
  </si>
  <si>
    <t>2022-03-01</t>
  </si>
  <si>
    <t>2022-03-01T14:30:00+00:00</t>
  </si>
  <si>
    <t>2022-03-01T21:00:00+00:00</t>
  </si>
  <si>
    <t>2022-03-02</t>
  </si>
  <si>
    <t>2022-03-02T14:30:00+00:00</t>
  </si>
  <si>
    <t>2022-03-02T21:00:00+00:00</t>
  </si>
  <si>
    <t>2022-03-03</t>
  </si>
  <si>
    <t>2022-03-03T14:30:00+00:00</t>
  </si>
  <si>
    <t>2022-03-03T21:00:00+00:00</t>
  </si>
  <si>
    <t>2022-03-04</t>
  </si>
  <si>
    <t>2022-03-04T14:30:00+00:00</t>
  </si>
  <si>
    <t>2022-03-04T21:00:00+00:00</t>
  </si>
  <si>
    <t>2022-03-07</t>
  </si>
  <si>
    <t>2022-03-07T14:30:00+00:00</t>
  </si>
  <si>
    <t>2022-03-07T21:00:00+00:00</t>
  </si>
  <si>
    <t>2022-03-08</t>
  </si>
  <si>
    <t>2022-03-08T14:30:00+00:00</t>
  </si>
  <si>
    <t>2022-03-08T21:00:00+00:00</t>
  </si>
  <si>
    <t>2022-03-09</t>
  </si>
  <si>
    <t>2022-03-09T14:30:00+00:00</t>
  </si>
  <si>
    <t>2022-03-09T21:00:00+00:00</t>
  </si>
  <si>
    <t>2022-03-10</t>
  </si>
  <si>
    <t>2022-03-10T14:30:00+00:00</t>
  </si>
  <si>
    <t>2022-03-10T21:00:00+00:00</t>
  </si>
  <si>
    <t>2022-03-11</t>
  </si>
  <si>
    <t>2022-03-11T14:30:00+00:00</t>
  </si>
  <si>
    <t>2022-03-11T21:00:00+00:00</t>
  </si>
  <si>
    <t>2022-03-14</t>
  </si>
  <si>
    <t>2022-03-14T13:30:00+00:00</t>
  </si>
  <si>
    <t>2022-03-14T20:00:00+00:00</t>
  </si>
  <si>
    <t>2022-03-15</t>
  </si>
  <si>
    <t>2022-03-15T13:30:00+00:00</t>
  </si>
  <si>
    <t>2022-03-15T20:00:00+00:00</t>
  </si>
  <si>
    <t>2022-03-16</t>
  </si>
  <si>
    <t>2022-03-16T13:30:00+00:00</t>
  </si>
  <si>
    <t>2022-03-16T20:00:00+00:00</t>
  </si>
  <si>
    <t>2022-03-17</t>
  </si>
  <si>
    <t>2022-03-17T13:30:00+00:00</t>
  </si>
  <si>
    <t>2022-03-17T20:00:00+00:00</t>
  </si>
  <si>
    <t>2022-03-18</t>
  </si>
  <si>
    <t>2022-03-18T13:30:00+00:00</t>
  </si>
  <si>
    <t>2022-03-18T20:00:00+00:00</t>
  </si>
  <si>
    <t>2022-03-21</t>
  </si>
  <si>
    <t>2022-03-21T13:30:00+00:00</t>
  </si>
  <si>
    <t>2022-03-21T20:00:00+00:00</t>
  </si>
  <si>
    <t>2022-03-22</t>
  </si>
  <si>
    <t>2022-03-22T13:30:00+00:00</t>
  </si>
  <si>
    <t>2022-03-22T20:00:00+00:00</t>
  </si>
  <si>
    <t>2022-03-23</t>
  </si>
  <si>
    <t>2022-03-23T13:30:00+00:00</t>
  </si>
  <si>
    <t>2022-03-23T20:00:00+00:00</t>
  </si>
  <si>
    <t>2022-03-24</t>
  </si>
  <si>
    <t>2022-03-24T13:30:00+00:00</t>
  </si>
  <si>
    <t>2022-03-24T20:00:00+00:00</t>
  </si>
  <si>
    <t>2022-03-25</t>
  </si>
  <si>
    <t>2022-03-25T13:30:00+00:00</t>
  </si>
  <si>
    <t>2022-03-25T20:00:00+00:00</t>
  </si>
  <si>
    <t>2022-03-28</t>
  </si>
  <si>
    <t>2022-03-28T13:30:00+00:00</t>
  </si>
  <si>
    <t>2022-03-28T20:00:00+00:00</t>
  </si>
  <si>
    <t>2022-03-29</t>
  </si>
  <si>
    <t>2022-03-29T13:30:00+00:00</t>
  </si>
  <si>
    <t>2022-03-29T20:00:00+00:00</t>
  </si>
  <si>
    <t>2022-03-30</t>
  </si>
  <si>
    <t>2022-03-30T13:30:00+00:00</t>
  </si>
  <si>
    <t>2022-03-30T20:00:00+00:00</t>
  </si>
  <si>
    <t>2022-03-31</t>
  </si>
  <si>
    <t>2022-03-31T13:30:00+00:00</t>
  </si>
  <si>
    <t>2022-03-31T20:00:00+00:00</t>
  </si>
  <si>
    <t>2022-04-01</t>
  </si>
  <si>
    <t>2022-04-01T13:30:00+00:00</t>
  </si>
  <si>
    <t>2022-04-01T20:00:00+00:00</t>
  </si>
  <si>
    <t>2022-04-04</t>
  </si>
  <si>
    <t>2022-04-04T13:30:00+00:00</t>
  </si>
  <si>
    <t>2022-04-04T20:00:00+00:00</t>
  </si>
  <si>
    <t>2022-04-05</t>
  </si>
  <si>
    <t>2022-04-05T13:30:00+00:00</t>
  </si>
  <si>
    <t>2022-04-05T20:00:00+00:00</t>
  </si>
  <si>
    <t>2022-04-06</t>
  </si>
  <si>
    <t>2022-04-06T13:30:00+00:00</t>
  </si>
  <si>
    <t>2022-04-06T20:00:00+00:00</t>
  </si>
  <si>
    <t>2022-04-07</t>
  </si>
  <si>
    <t>2022-04-07T13:30:00+00:00</t>
  </si>
  <si>
    <t>2022-04-07T20:00:00+00:00</t>
  </si>
  <si>
    <t>2022-04-08</t>
  </si>
  <si>
    <t>2022-04-08T13:30:00+00:00</t>
  </si>
  <si>
    <t>2022-04-08T20:00:00+00:00</t>
  </si>
  <si>
    <t>2022-04-11</t>
  </si>
  <si>
    <t>2022-04-11T13:30:00+00:00</t>
  </si>
  <si>
    <t>2022-04-11T20:00:00+00:00</t>
  </si>
  <si>
    <t>2022-04-12</t>
  </si>
  <si>
    <t>2022-04-12T13:30:00+00:00</t>
  </si>
  <si>
    <t>2022-04-12T20:00:00+00:00</t>
  </si>
  <si>
    <t>2022-04-13</t>
  </si>
  <si>
    <t>2022-04-13T13:30:00+00:00</t>
  </si>
  <si>
    <t>2022-04-13T20:00:00+00:00</t>
  </si>
  <si>
    <t>2022-04-14</t>
  </si>
  <si>
    <t>2022-04-14T13:30:00+00:00</t>
  </si>
  <si>
    <t>2022-04-14T20:00:00+00:00</t>
  </si>
  <si>
    <t>2022-04-18</t>
  </si>
  <si>
    <t>2022-04-18T13:30:00+00:00</t>
  </si>
  <si>
    <t>2022-04-18T20:00:00+00:00</t>
  </si>
  <si>
    <t>2022-04-19</t>
  </si>
  <si>
    <t>2022-04-19T13:30:00+00:00</t>
  </si>
  <si>
    <t>2022-04-19T20:00:00+00:00</t>
  </si>
  <si>
    <t>2022-04-20</t>
  </si>
  <si>
    <t>2022-04-20T13:30:00+00:00</t>
  </si>
  <si>
    <t>2022-04-20T20:00:00+00:00</t>
  </si>
  <si>
    <t>2022-04-21</t>
  </si>
  <si>
    <t>2022-04-21T13:30:00+00:00</t>
  </si>
  <si>
    <t>2022-04-21T20:00:00+00:00</t>
  </si>
  <si>
    <t>2022-04-22</t>
  </si>
  <si>
    <t>2022-04-22T13:30:00+00:00</t>
  </si>
  <si>
    <t>2022-04-22T20:00:00+00:00</t>
  </si>
  <si>
    <t>2022-04-25</t>
  </si>
  <si>
    <t>2022-04-25T13:30:00+00:00</t>
  </si>
  <si>
    <t>2022-04-25T20:00:00+00:00</t>
  </si>
  <si>
    <t>2022-04-26</t>
  </si>
  <si>
    <t>2022-04-26T13:30:00+00:00</t>
  </si>
  <si>
    <t>2022-04-26T20:00:00+00:00</t>
  </si>
  <si>
    <t>2022-04-27</t>
  </si>
  <si>
    <t>2022-04-27T13:30:00+00:00</t>
  </si>
  <si>
    <t>2022-04-27T20:00:00+00:00</t>
  </si>
  <si>
    <t>2022-04-28</t>
  </si>
  <si>
    <t>2022-04-28T13:30:00+00:00</t>
  </si>
  <si>
    <t>2022-04-28T20:00:00+00:00</t>
  </si>
  <si>
    <t>2022-04-29</t>
  </si>
  <si>
    <t>2022-04-29T13:30:00+00:00</t>
  </si>
  <si>
    <t>2022-04-29T20:00:00+00:00</t>
  </si>
  <si>
    <t>2022-05-02</t>
  </si>
  <si>
    <t>2022-05-02T13:30:00+00:00</t>
  </si>
  <si>
    <t>2022-05-02T20:00:00+00:00</t>
  </si>
  <si>
    <t>2022-05-03</t>
  </si>
  <si>
    <t>2022-05-03T13:30:00+00:00</t>
  </si>
  <si>
    <t>2022-05-03T20:00:00+00:00</t>
  </si>
  <si>
    <t>2022-05-04</t>
  </si>
  <si>
    <t>2022-05-04T13:30:00+00:00</t>
  </si>
  <si>
    <t>2022-05-04T20:00:00+00:00</t>
  </si>
  <si>
    <t>2022-05-05</t>
  </si>
  <si>
    <t>2022-05-05T13:30:00+00:00</t>
  </si>
  <si>
    <t>2022-05-05T20:00:00+00:00</t>
  </si>
  <si>
    <t>2022-05-06</t>
  </si>
  <si>
    <t>2022-05-06T13:30:00+00:00</t>
  </si>
  <si>
    <t>2022-05-06T20:00:00+00:00</t>
  </si>
  <si>
    <t>2022-05-09</t>
  </si>
  <si>
    <t>2022-05-09T13:30:00+00:00</t>
  </si>
  <si>
    <t>2022-05-09T20:00:00+00:00</t>
  </si>
  <si>
    <t>2022-05-10</t>
  </si>
  <si>
    <t>2022-05-10T13:30:00+00:00</t>
  </si>
  <si>
    <t>2022-05-10T20:00:00+00:00</t>
  </si>
  <si>
    <t>2022-05-11</t>
  </si>
  <si>
    <t>2022-05-11T13:30:00+00:00</t>
  </si>
  <si>
    <t>2022-05-11T20:00:00+00:00</t>
  </si>
  <si>
    <t>2022-05-12</t>
  </si>
  <si>
    <t>2022-05-12T13:30:00+00:00</t>
  </si>
  <si>
    <t>2022-05-12T20:00:00+00:00</t>
  </si>
  <si>
    <t>2022-05-13</t>
  </si>
  <si>
    <t>2022-05-13T13:30:00+00:00</t>
  </si>
  <si>
    <t>2022-05-13T20:00:00+00:00</t>
  </si>
  <si>
    <t>2022-05-16</t>
  </si>
  <si>
    <t>2022-05-16T13:30:00+00:00</t>
  </si>
  <si>
    <t>2022-05-16T20:00:00+00:00</t>
  </si>
  <si>
    <t>2022-05-17</t>
  </si>
  <si>
    <t>2022-05-17T13:30:00+00:00</t>
  </si>
  <si>
    <t>2022-05-17T20:00:00+00:00</t>
  </si>
  <si>
    <t>2022-05-18</t>
  </si>
  <si>
    <t>2022-05-18T13:30:00+00:00</t>
  </si>
  <si>
    <t>2022-05-18T20:00:00+00:00</t>
  </si>
  <si>
    <t>2022-05-19</t>
  </si>
  <si>
    <t>2022-05-19T13:30:00+00:00</t>
  </si>
  <si>
    <t>2022-05-19T20:00:00+00:00</t>
  </si>
  <si>
    <t>2022-05-20</t>
  </si>
  <si>
    <t>2022-05-20T13:30:00+00:00</t>
  </si>
  <si>
    <t>2022-05-20T20:00:00+00:00</t>
  </si>
  <si>
    <t>2022-05-23</t>
  </si>
  <si>
    <t>2022-05-23T13:30:00+00:00</t>
  </si>
  <si>
    <t>2022-05-23T20:00:00+00:00</t>
  </si>
  <si>
    <t>2022-05-24</t>
  </si>
  <si>
    <t>2022-05-24T13:30:00+00:00</t>
  </si>
  <si>
    <t>2022-05-24T20:00:00+00:00</t>
  </si>
  <si>
    <t>2022-05-25</t>
  </si>
  <si>
    <t>2022-05-25T13:30:00+00:00</t>
  </si>
  <si>
    <t>2022-05-25T20:00:00+00:00</t>
  </si>
  <si>
    <t>2022-05-26</t>
  </si>
  <si>
    <t>2022-05-26T13:30:00+00:00</t>
  </si>
  <si>
    <t>2022-05-26T20:00:00+00:00</t>
  </si>
  <si>
    <t>2022-05-27</t>
  </si>
  <si>
    <t>2022-05-27T13:30:00+00:00</t>
  </si>
  <si>
    <t>2022-05-27T20:00:00+00:00</t>
  </si>
  <si>
    <t>2022-05-31</t>
  </si>
  <si>
    <t>2022-05-31T13:30:00+00:00</t>
  </si>
  <si>
    <t>2022-05-31T20:00:00+00:00</t>
  </si>
  <si>
    <t>2022-06-01</t>
  </si>
  <si>
    <t>2022-06-01T13:30:00+00:00</t>
  </si>
  <si>
    <t>2022-06-01T20:00:00+00:00</t>
  </si>
  <si>
    <t>2022-06-02</t>
  </si>
  <si>
    <t>2022-06-02T13:30:00+00:00</t>
  </si>
  <si>
    <t>2022-06-02T20:00:00+00:00</t>
  </si>
  <si>
    <t>2022-06-03</t>
  </si>
  <si>
    <t>2022-06-03T13:30:00+00:00</t>
  </si>
  <si>
    <t>2022-06-03T20:00:00+00:00</t>
  </si>
  <si>
    <t>2022-06-06</t>
  </si>
  <si>
    <t>2022-06-06T13:30:00+00:00</t>
  </si>
  <si>
    <t>2022-06-06T20:00:00+00:00</t>
  </si>
  <si>
    <t>2022-06-07</t>
  </si>
  <si>
    <t>2022-06-07T13:30:00+00:00</t>
  </si>
  <si>
    <t>2022-06-07T20:00:00+00:00</t>
  </si>
  <si>
    <t>2022-06-08</t>
  </si>
  <si>
    <t>2022-06-08T13:30:00+00:00</t>
  </si>
  <si>
    <t>2022-06-08T20:00:00+00:00</t>
  </si>
  <si>
    <t>2022-06-09</t>
  </si>
  <si>
    <t>2022-06-09T13:30:00+00:00</t>
  </si>
  <si>
    <t>2022-06-09T20:00:00+00:00</t>
  </si>
  <si>
    <t>2022-06-10</t>
  </si>
  <si>
    <t>2022-06-10T13:30:00+00:00</t>
  </si>
  <si>
    <t>2022-06-10T20:00:00+00:00</t>
  </si>
  <si>
    <t>2022-06-13</t>
  </si>
  <si>
    <t>2022-06-13T13:30:00+00:00</t>
  </si>
  <si>
    <t>2022-06-13T20:00:00+00:00</t>
  </si>
  <si>
    <t>2022-06-14</t>
  </si>
  <si>
    <t>2022-06-14T13:30:00+00:00</t>
  </si>
  <si>
    <t>2022-06-14T20:00:00+00:00</t>
  </si>
  <si>
    <t>2022-06-15</t>
  </si>
  <si>
    <t>2022-06-15T13:30:00+00:00</t>
  </si>
  <si>
    <t>2022-06-15T20:00:00+00:00</t>
  </si>
  <si>
    <t>2022-06-16</t>
  </si>
  <si>
    <t>2022-06-16T13:30:00+00:00</t>
  </si>
  <si>
    <t>2022-06-16T20:00:00+00:00</t>
  </si>
  <si>
    <t>2022-06-17</t>
  </si>
  <si>
    <t>2022-06-17T13:30:00+00:00</t>
  </si>
  <si>
    <t>2022-06-17T20:00:00+00:00</t>
  </si>
  <si>
    <t>2022-06-21</t>
  </si>
  <si>
    <t>2022-06-21T13:30:00+00:00</t>
  </si>
  <si>
    <t>2022-06-21T20:00:00+00:00</t>
  </si>
  <si>
    <t>2022-06-22</t>
  </si>
  <si>
    <t>2022-06-22T13:30:00+00:00</t>
  </si>
  <si>
    <t>2022-06-22T20:00:00+00:00</t>
  </si>
  <si>
    <t>2022-06-23</t>
  </si>
  <si>
    <t>2022-06-23T13:30:00+00:00</t>
  </si>
  <si>
    <t>2022-06-23T20:00:00+00:00</t>
  </si>
  <si>
    <t>2022-06-24</t>
  </si>
  <si>
    <t>2022-06-24T13:30:00+00:00</t>
  </si>
  <si>
    <t>2022-06-24T20:00:00+00:00</t>
  </si>
  <si>
    <t>2022-06-27</t>
  </si>
  <si>
    <t>2022-06-27T13:30:00+00:00</t>
  </si>
  <si>
    <t>2022-06-27T20:00:00+00:00</t>
  </si>
  <si>
    <t>2022-06-28</t>
  </si>
  <si>
    <t>2022-06-28T13:30:00+00:00</t>
  </si>
  <si>
    <t>2022-06-28T20:00:00+00:00</t>
  </si>
  <si>
    <t>2022-06-29</t>
  </si>
  <si>
    <t>2022-06-29T13:30:00+00:00</t>
  </si>
  <si>
    <t>2022-06-29T20:00:00+00:00</t>
  </si>
  <si>
    <t>2022-06-30</t>
  </si>
  <si>
    <t>2022-06-30T13:30:00+00:00</t>
  </si>
  <si>
    <t>2022-06-30T20:00:00+00:00</t>
  </si>
  <si>
    <t>2022-07-01</t>
  </si>
  <si>
    <t>2022-07-01T13:30:00+00:00</t>
  </si>
  <si>
    <t>2022-07-01T20:00:00+00:00</t>
  </si>
  <si>
    <t>2022-07-05</t>
  </si>
  <si>
    <t>2022-07-05T13:30:00+00:00</t>
  </si>
  <si>
    <t>2022-07-05T20:00:00+00:00</t>
  </si>
  <si>
    <t>2022-07-06</t>
  </si>
  <si>
    <t>2022-07-06T13:30:00+00:00</t>
  </si>
  <si>
    <t>2022-07-06T20:00:00+00:00</t>
  </si>
  <si>
    <t>2022-07-07</t>
  </si>
  <si>
    <t>2022-07-07T13:30:00+00:00</t>
  </si>
  <si>
    <t>2022-07-07T20:00:00+00:00</t>
  </si>
  <si>
    <t>2022-07-08</t>
  </si>
  <si>
    <t>2022-07-08T13:30:00+00:00</t>
  </si>
  <si>
    <t>2022-07-08T20:00:00+00:00</t>
  </si>
  <si>
    <t>2022-07-11</t>
  </si>
  <si>
    <t>2022-07-11T13:30:00+00:00</t>
  </si>
  <si>
    <t>2022-07-11T20:00:00+00:00</t>
  </si>
  <si>
    <t>2022-07-12</t>
  </si>
  <si>
    <t>2022-07-12T13:30:00+00:00</t>
  </si>
  <si>
    <t>2022-07-12T20:00:00+00:00</t>
  </si>
  <si>
    <t>2022-07-13</t>
  </si>
  <si>
    <t>2022-07-13T13:30:00+00:00</t>
  </si>
  <si>
    <t>2022-07-13T20:00:00+00:00</t>
  </si>
  <si>
    <t>2022-07-14</t>
  </si>
  <si>
    <t>2022-07-14T13:30:00+00:00</t>
  </si>
  <si>
    <t>2022-07-14T20:00:00+00:00</t>
  </si>
  <si>
    <t>2022-07-15</t>
  </si>
  <si>
    <t>2022-07-15T13:30:00+00:00</t>
  </si>
  <si>
    <t>2022-07-15T20:00:00+00:00</t>
  </si>
  <si>
    <t>2022-07-18</t>
  </si>
  <si>
    <t>2022-07-18T13:30:00+00:00</t>
  </si>
  <si>
    <t>2022-07-18T20:00:00+00:00</t>
  </si>
  <si>
    <t>2022-07-19</t>
  </si>
  <si>
    <t>2022-07-19T13:30:00+00:00</t>
  </si>
  <si>
    <t>2022-07-19T20:00:00+00:00</t>
  </si>
  <si>
    <t>2022-07-20</t>
  </si>
  <si>
    <t>2022-07-20T13:30:00+00:00</t>
  </si>
  <si>
    <t>2022-07-20T20:00:00+00:00</t>
  </si>
  <si>
    <t>2022-07-21</t>
  </si>
  <si>
    <t>2022-07-21T13:30:00+00:00</t>
  </si>
  <si>
    <t>2022-07-21T20:00:00+00:00</t>
  </si>
  <si>
    <t>2022-07-22</t>
  </si>
  <si>
    <t>2022-07-22T13:30:00+00:00</t>
  </si>
  <si>
    <t>2022-07-22T20:00:00+00:00</t>
  </si>
  <si>
    <t>2022-07-25</t>
  </si>
  <si>
    <t>2022-07-25T13:30:00+00:00</t>
  </si>
  <si>
    <t>2022-07-25T20:00:00+00:00</t>
  </si>
  <si>
    <t>2022-07-26</t>
  </si>
  <si>
    <t>2022-07-26T13:30:00+00:00</t>
  </si>
  <si>
    <t>2022-07-26T20:00:00+00:00</t>
  </si>
  <si>
    <t>2022-07-27</t>
  </si>
  <si>
    <t>2022-07-27T13:30:00+00:00</t>
  </si>
  <si>
    <t>2022-07-27T20:00:00+00:00</t>
  </si>
  <si>
    <t>2022-07-28</t>
  </si>
  <si>
    <t>2022-07-28T13:30:00+00:00</t>
  </si>
  <si>
    <t>2022-07-28T20:00:00+00:00</t>
  </si>
  <si>
    <t>2022-07-29</t>
  </si>
  <si>
    <t>2022-07-29T13:30:00+00:00</t>
  </si>
  <si>
    <t>2022-07-29T20:00:00+00:00</t>
  </si>
  <si>
    <t>2022-08-01</t>
  </si>
  <si>
    <t>2022-08-01T13:30:00+00:00</t>
  </si>
  <si>
    <t>2022-08-01T20:00:00+00:00</t>
  </si>
  <si>
    <t>2022-08-02</t>
  </si>
  <si>
    <t>2022-08-02T13:30:00+00:00</t>
  </si>
  <si>
    <t>2022-08-02T20:00:00+00:00</t>
  </si>
  <si>
    <t>2022-08-03</t>
  </si>
  <si>
    <t>2022-08-03T13:30:00+00:00</t>
  </si>
  <si>
    <t>2022-08-03T20:00:00+00:00</t>
  </si>
  <si>
    <t>2022-08-04</t>
  </si>
  <si>
    <t>2022-08-04T13:30:00+00:00</t>
  </si>
  <si>
    <t>2022-08-04T20:00:00+00:00</t>
  </si>
  <si>
    <t>2022-08-05</t>
  </si>
  <si>
    <t>2022-08-05T13:30:00+00:00</t>
  </si>
  <si>
    <t>2022-08-05T20:00:00+00:00</t>
  </si>
  <si>
    <t>2022-08-08</t>
  </si>
  <si>
    <t>2022-08-08T13:30:00+00:00</t>
  </si>
  <si>
    <t>2022-08-08T20:00:00+00:00</t>
  </si>
  <si>
    <t>2022-08-09</t>
  </si>
  <si>
    <t>2022-08-09T13:30:00+00:00</t>
  </si>
  <si>
    <t>2022-08-09T20:00:00+00:00</t>
  </si>
  <si>
    <t>2022-08-10</t>
  </si>
  <si>
    <t>2022-08-10T13:30:00+00:00</t>
  </si>
  <si>
    <t>2022-08-10T20:00:00+00:00</t>
  </si>
  <si>
    <t>2022-08-11</t>
  </si>
  <si>
    <t>2022-08-11T13:30:00+00:00</t>
  </si>
  <si>
    <t>2022-08-11T20:00:00+00:00</t>
  </si>
  <si>
    <t>2022-08-12</t>
  </si>
  <si>
    <t>2022-08-12T13:30:00+00:00</t>
  </si>
  <si>
    <t>2022-08-12T20:00:00+00:00</t>
  </si>
  <si>
    <t>2022-08-15</t>
  </si>
  <si>
    <t>2022-08-15T13:30:00+00:00</t>
  </si>
  <si>
    <t>2022-08-15T20:00:00+00:00</t>
  </si>
  <si>
    <t>2022-08-16</t>
  </si>
  <si>
    <t>2022-08-16T13:30:00+00:00</t>
  </si>
  <si>
    <t>2022-08-16T20:00:00+00:00</t>
  </si>
  <si>
    <t>2022-08-17</t>
  </si>
  <si>
    <t>2022-08-17T13:30:00+00:00</t>
  </si>
  <si>
    <t>2022-08-17T20:00:00+00:00</t>
  </si>
  <si>
    <t>2022-08-18</t>
  </si>
  <si>
    <t>2022-08-18T13:30:00+00:00</t>
  </si>
  <si>
    <t>2022-08-18T20:00:00+00:00</t>
  </si>
  <si>
    <t>2022-08-19</t>
  </si>
  <si>
    <t>2022-08-19T13:30:00+00:00</t>
  </si>
  <si>
    <t>2022-08-19T20:00:00+00:00</t>
  </si>
  <si>
    <t>2022-08-22</t>
  </si>
  <si>
    <t>2022-08-22T13:30:00+00:00</t>
  </si>
  <si>
    <t>2022-08-22T20:00:00+00:00</t>
  </si>
  <si>
    <t>2022-08-23</t>
  </si>
  <si>
    <t>2022-08-23T13:30:00+00:00</t>
  </si>
  <si>
    <t>2022-08-23T20:00:00+00:00</t>
  </si>
  <si>
    <t>2022-08-24</t>
  </si>
  <si>
    <t>2022-08-24T13:30:00+00:00</t>
  </si>
  <si>
    <t>2022-08-24T20:00:00+00:00</t>
  </si>
  <si>
    <t>2022-08-25</t>
  </si>
  <si>
    <t>2022-08-25T13:30:00+00:00</t>
  </si>
  <si>
    <t>2022-08-25T20:00:00+00:00</t>
  </si>
  <si>
    <t>2022-08-26</t>
  </si>
  <si>
    <t>2022-08-26T13:30:00+00:00</t>
  </si>
  <si>
    <t>2022-08-26T20:00:00+00:00</t>
  </si>
  <si>
    <t>2022-08-29</t>
  </si>
  <si>
    <t>2022-08-29T13:30:00+00:00</t>
  </si>
  <si>
    <t>2022-08-29T20:00:00+00:00</t>
  </si>
  <si>
    <t>2022-08-30</t>
  </si>
  <si>
    <t>2022-08-30T13:30:00+00:00</t>
  </si>
  <si>
    <t>2022-08-30T20:00:00+00:00</t>
  </si>
  <si>
    <t>2022-08-31</t>
  </si>
  <si>
    <t>2022-08-31T13:30:00+00:00</t>
  </si>
  <si>
    <t>2022-08-31T20:00:00+00:00</t>
  </si>
  <si>
    <t>2022-09-01</t>
  </si>
  <si>
    <t>2022-09-01T13:30:00+00:00</t>
  </si>
  <si>
    <t>2022-09-01T20:00:00+00:00</t>
  </si>
  <si>
    <t>2022-09-02</t>
  </si>
  <si>
    <t>2022-09-02T13:30:00+00:00</t>
  </si>
  <si>
    <t>2022-09-02T20:00:00+00:00</t>
  </si>
  <si>
    <t>2022-09-06</t>
  </si>
  <si>
    <t>2022-09-06T13:30:00+00:00</t>
  </si>
  <si>
    <t>2022-09-06T20:00:00+00:00</t>
  </si>
  <si>
    <t>2022-09-07</t>
  </si>
  <si>
    <t>2022-09-07T13:30:00+00:00</t>
  </si>
  <si>
    <t>2022-09-07T20:00:00+00:00</t>
  </si>
  <si>
    <t>2022-09-08</t>
  </si>
  <si>
    <t>2022-09-08T13:30:00+00:00</t>
  </si>
  <si>
    <t>2022-09-08T20:00:00+00:00</t>
  </si>
  <si>
    <t>2022-09-09</t>
  </si>
  <si>
    <t>2022-09-09T13:30:00+00:00</t>
  </si>
  <si>
    <t>2022-09-09T20:00:00+00:00</t>
  </si>
  <si>
    <t>2022-09-12</t>
  </si>
  <si>
    <t>2022-09-12T13:30:00+00:00</t>
  </si>
  <si>
    <t>2022-09-12T20:00:00+00:00</t>
  </si>
  <si>
    <t>2022-09-13</t>
  </si>
  <si>
    <t>2022-09-13T13:30:00+00:00</t>
  </si>
  <si>
    <t>2022-09-13T20:00:00+00:00</t>
  </si>
  <si>
    <t>2022-09-14</t>
  </si>
  <si>
    <t>2022-09-14T13:30:00+00:00</t>
  </si>
  <si>
    <t>2022-09-14T20:00:00+00:00</t>
  </si>
  <si>
    <t>2022-09-15</t>
  </si>
  <si>
    <t>2022-09-15T13:30:00+00:00</t>
  </si>
  <si>
    <t>2022-09-15T20:00:00+00:00</t>
  </si>
  <si>
    <t>2022-09-16</t>
  </si>
  <si>
    <t>2022-09-16T13:30:00+00:00</t>
  </si>
  <si>
    <t>2022-09-16T20:00:00+00:00</t>
  </si>
  <si>
    <t>2022-09-19</t>
  </si>
  <si>
    <t>2022-09-19T13:30:00+00:00</t>
  </si>
  <si>
    <t>2022-09-19T20:00:00+00:00</t>
  </si>
  <si>
    <t>2022-09-20</t>
  </si>
  <si>
    <t>2022-09-20T13:30:00+00:00</t>
  </si>
  <si>
    <t>2022-09-20T20:00:00+00:00</t>
  </si>
  <si>
    <t>2022-09-21</t>
  </si>
  <si>
    <t>2022-09-21T13:30:00+00:00</t>
  </si>
  <si>
    <t>2022-09-21T20:00:00+00:00</t>
  </si>
  <si>
    <t>2022-09-22</t>
  </si>
  <si>
    <t>2022-09-22T13:30:00+00:00</t>
  </si>
  <si>
    <t>2022-09-22T20:00:00+00:00</t>
  </si>
  <si>
    <t>2022-09-23</t>
  </si>
  <si>
    <t>2022-09-23T13:30:00+00:00</t>
  </si>
  <si>
    <t>2022-09-23T20:00:00+00:00</t>
  </si>
  <si>
    <t>2022-09-26</t>
  </si>
  <si>
    <t>2022-09-26T13:30:00+00:00</t>
  </si>
  <si>
    <t>2022-09-26T20:00:00+00:00</t>
  </si>
  <si>
    <t>2022-09-27</t>
  </si>
  <si>
    <t>2022-09-27T13:30:00+00:00</t>
  </si>
  <si>
    <t>2022-09-27T20:00:00+00:00</t>
  </si>
  <si>
    <t>2022-09-28</t>
  </si>
  <si>
    <t>2022-09-28T13:30:00+00:00</t>
  </si>
  <si>
    <t>2022-09-28T20:00:00+00:00</t>
  </si>
  <si>
    <t>2022-09-29</t>
  </si>
  <si>
    <t>2022-09-29T13:30:00+00:00</t>
  </si>
  <si>
    <t>2022-09-29T20:00:00+00:00</t>
  </si>
  <si>
    <t>2022-09-30</t>
  </si>
  <si>
    <t>2022-09-30T13:30:00+00:00</t>
  </si>
  <si>
    <t>2022-09-30T20:00:00+00:00</t>
  </si>
  <si>
    <t>2022-10-03</t>
  </si>
  <si>
    <t>2022-10-03T13:30:00+00:00</t>
  </si>
  <si>
    <t>2022-10-03T20:00:00+00:00</t>
  </si>
  <si>
    <t>2022-10-04</t>
  </si>
  <si>
    <t>2022-10-04T13:30:00+00:00</t>
  </si>
  <si>
    <t>2022-10-04T20:00:00+00:00</t>
  </si>
  <si>
    <t>2022-10-05</t>
  </si>
  <si>
    <t>2022-10-05T13:30:00+00:00</t>
  </si>
  <si>
    <t>2022-10-05T20:00:00+00:00</t>
  </si>
  <si>
    <t>2022-10-06</t>
  </si>
  <si>
    <t>2022-10-06T13:30:00+00:00</t>
  </si>
  <si>
    <t>2022-10-06T20:00:00+00:00</t>
  </si>
  <si>
    <t>2022-10-07</t>
  </si>
  <si>
    <t>2022-10-07T13:30:00+00:00</t>
  </si>
  <si>
    <t>2022-10-07T20:00:00+00:00</t>
  </si>
  <si>
    <t>2022-10-10</t>
  </si>
  <si>
    <t>2022-10-10T13:30:00+00:00</t>
  </si>
  <si>
    <t>2022-10-10T20:00:00+00:00</t>
  </si>
  <si>
    <t>2022-10-11</t>
  </si>
  <si>
    <t>2022-10-11T13:30:00+00:00</t>
  </si>
  <si>
    <t>2022-10-11T20:00:00+00:00</t>
  </si>
  <si>
    <t>2022-10-12</t>
  </si>
  <si>
    <t>2022-10-12T13:30:00+00:00</t>
  </si>
  <si>
    <t>2022-10-12T20:00:00+00:00</t>
  </si>
  <si>
    <t>2022-10-13</t>
  </si>
  <si>
    <t>2022-10-13T13:30:00+00:00</t>
  </si>
  <si>
    <t>2022-10-13T20:00:00+00:00</t>
  </si>
  <si>
    <t>2022-10-14</t>
  </si>
  <si>
    <t>2022-10-14T13:30:00+00:00</t>
  </si>
  <si>
    <t>2022-10-14T20:00:00+00:00</t>
  </si>
  <si>
    <t>2022-10-17</t>
  </si>
  <si>
    <t>2022-10-17T13:30:00+00:00</t>
  </si>
  <si>
    <t>2022-10-17T20:00:00+00:00</t>
  </si>
  <si>
    <t>2022-10-18</t>
  </si>
  <si>
    <t>2022-10-18T13:30:00+00:00</t>
  </si>
  <si>
    <t>2022-10-18T20:00:00+00:00</t>
  </si>
  <si>
    <t>2022-10-19</t>
  </si>
  <si>
    <t>2022-10-19T13:30:00+00:00</t>
  </si>
  <si>
    <t>2022-10-19T20:00:00+00:00</t>
  </si>
  <si>
    <t>2022-10-20</t>
  </si>
  <si>
    <t>2022-10-20T13:30:00+00:00</t>
  </si>
  <si>
    <t>2022-10-20T20:00:00+00:00</t>
  </si>
  <si>
    <t>2022-10-21</t>
  </si>
  <si>
    <t>2022-10-21T13:30:00+00:00</t>
  </si>
  <si>
    <t>2022-10-21T20:00:00+00:00</t>
  </si>
  <si>
    <t>2022-10-24</t>
  </si>
  <si>
    <t>2022-10-24T13:30:00+00:00</t>
  </si>
  <si>
    <t>2022-10-24T20:00:00+00:00</t>
  </si>
  <si>
    <t>2022-10-25</t>
  </si>
  <si>
    <t>2022-10-25T13:30:00+00:00</t>
  </si>
  <si>
    <t>2022-10-25T20:00:00+00:00</t>
  </si>
  <si>
    <t>2022-10-26</t>
  </si>
  <si>
    <t>2022-10-26T13:30:00+00:00</t>
  </si>
  <si>
    <t>2022-10-26T20:00:00+00:00</t>
  </si>
  <si>
    <t>2022-10-27</t>
  </si>
  <si>
    <t>2022-10-27T13:30:00+00:00</t>
  </si>
  <si>
    <t>2022-10-27T20:00:00+00:00</t>
  </si>
  <si>
    <t>2022-10-28</t>
  </si>
  <si>
    <t>2022-10-28T13:30:00+00:00</t>
  </si>
  <si>
    <t>2022-10-28T20:00:00+00:00</t>
  </si>
  <si>
    <t>2022-10-31</t>
  </si>
  <si>
    <t>2022-10-31T13:30:00+00:00</t>
  </si>
  <si>
    <t>2022-10-31T20:00:00+00:00</t>
  </si>
  <si>
    <t>2022-11-01</t>
  </si>
  <si>
    <t>2022-11-01T13:30:00+00:00</t>
  </si>
  <si>
    <t>2022-11-01T20:00:00+00:00</t>
  </si>
  <si>
    <t>2022-11-02</t>
  </si>
  <si>
    <t>2022-11-02T13:30:00+00:00</t>
  </si>
  <si>
    <t>2022-11-02T20:00:00+00:00</t>
  </si>
  <si>
    <t>2022-11-03</t>
  </si>
  <si>
    <t>2022-11-03T13:30:00+00:00</t>
  </si>
  <si>
    <t>2022-11-03T20:00:00+00:00</t>
  </si>
  <si>
    <t>2022-11-04</t>
  </si>
  <si>
    <t>2022-11-04T13:30:00+00:00</t>
  </si>
  <si>
    <t>2022-11-04T20:00:00+00:00</t>
  </si>
  <si>
    <t>2022-11-07</t>
  </si>
  <si>
    <t>2022-11-07T14:30:00+00:00</t>
  </si>
  <si>
    <t>2022-11-07T21:00:00+00:00</t>
  </si>
  <si>
    <t>2022-11-08</t>
  </si>
  <si>
    <t>2022-11-08T14:30:00+00:00</t>
  </si>
  <si>
    <t>2022-11-08T21:00:00+00:00</t>
  </si>
  <si>
    <t>2022-11-09</t>
  </si>
  <si>
    <t>2022-11-09T14:30:00+00:00</t>
  </si>
  <si>
    <t>2022-11-09T21:00:00+00:00</t>
  </si>
  <si>
    <t>2022-11-10</t>
  </si>
  <si>
    <t>2022-11-10T14:30:00+00:00</t>
  </si>
  <si>
    <t>2022-11-10T21:00:00+00:00</t>
  </si>
  <si>
    <t>2022-11-11</t>
  </si>
  <si>
    <t>2022-11-11T14:30:00+00:00</t>
  </si>
  <si>
    <t>2022-11-11T21:00:00+00:00</t>
  </si>
  <si>
    <t>2022-11-14</t>
  </si>
  <si>
    <t>2022-11-14T14:30:00+00:00</t>
  </si>
  <si>
    <t>2022-11-14T21:00:00+00:00</t>
  </si>
  <si>
    <t>2022-11-15</t>
  </si>
  <si>
    <t>2022-11-15T14:30:00+00:00</t>
  </si>
  <si>
    <t>2022-11-15T21:00:00+00:00</t>
  </si>
  <si>
    <t>2022-11-16</t>
  </si>
  <si>
    <t>2022-11-16T14:30:00+00:00</t>
  </si>
  <si>
    <t>2022-11-16T21:00:00+00:00</t>
  </si>
  <si>
    <t>2022-11-17</t>
  </si>
  <si>
    <t>2022-11-17T14:30:00+00:00</t>
  </si>
  <si>
    <t>2022-11-17T21:00:00+00:00</t>
  </si>
  <si>
    <t>2022-11-18</t>
  </si>
  <si>
    <t>2022-11-18T14:30:00+00:00</t>
  </si>
  <si>
    <t>2022-11-18T21:00:00+00:00</t>
  </si>
  <si>
    <t>2022-11-21</t>
  </si>
  <si>
    <t>2022-11-21T14:30:00+00:00</t>
  </si>
  <si>
    <t>2022-11-21T21:00:00+00:00</t>
  </si>
  <si>
    <t>2022-11-22</t>
  </si>
  <si>
    <t>2022-11-22T14:30:00+00:00</t>
  </si>
  <si>
    <t>2022-11-22T21:00:00+00:00</t>
  </si>
  <si>
    <t>2022-11-23</t>
  </si>
  <si>
    <t>2022-11-23T14:30:00+00:00</t>
  </si>
  <si>
    <t>2022-11-23T21:00:00+00:00</t>
  </si>
  <si>
    <t>2022-11-25</t>
  </si>
  <si>
    <t>2022-11-25T14:30:00+00:00</t>
  </si>
  <si>
    <t>2022-11-25T18:00:00+00:00</t>
  </si>
  <si>
    <t>2022-11-28</t>
  </si>
  <si>
    <t>2022-11-28T14:30:00+00:00</t>
  </si>
  <si>
    <t>2022-11-28T21:00:00+00:00</t>
  </si>
  <si>
    <t>2022-11-29</t>
  </si>
  <si>
    <t>2022-11-29T14:30:00+00:00</t>
  </si>
  <si>
    <t>2022-11-29T21:00:00+00:00</t>
  </si>
  <si>
    <t>2022-11-30</t>
  </si>
  <si>
    <t>2022-11-30T14:30:00+00:00</t>
  </si>
  <si>
    <t>2022-11-30T21:00:00+00:00</t>
  </si>
  <si>
    <t>2022-12-01</t>
  </si>
  <si>
    <t>2022-12-01T14:30:00+00:00</t>
  </si>
  <si>
    <t>2022-12-01T21:00:00+00:00</t>
  </si>
  <si>
    <t>2022-12-02</t>
  </si>
  <si>
    <t>2022-12-02T14:30:00+00:00</t>
  </si>
  <si>
    <t>2022-12-02T21:00:00+00:00</t>
  </si>
  <si>
    <t>2022-12-05</t>
  </si>
  <si>
    <t>2022-12-05T14:30:00+00:00</t>
  </si>
  <si>
    <t>2022-12-05T21:00:00+00:00</t>
  </si>
  <si>
    <t>2022-12-06</t>
  </si>
  <si>
    <t>2022-12-06T14:30:00+00:00</t>
  </si>
  <si>
    <t>2022-12-06T21:00:00+00:00</t>
  </si>
  <si>
    <t>2022-12-07</t>
  </si>
  <si>
    <t>2022-12-07T14:30:00+00:00</t>
  </si>
  <si>
    <t>2022-12-07T21:00:00+00:00</t>
  </si>
  <si>
    <t>2022-12-08</t>
  </si>
  <si>
    <t>2022-12-08T14:30:00+00:00</t>
  </si>
  <si>
    <t>2022-12-08T21:00:00+00:00</t>
  </si>
  <si>
    <t>2022-12-09</t>
  </si>
  <si>
    <t>2022-12-09T14:30:00+00:00</t>
  </si>
  <si>
    <t>2022-12-09T21:00:00+00:00</t>
  </si>
  <si>
    <t>2022-12-12</t>
  </si>
  <si>
    <t>2022-12-12T14:30:00+00:00</t>
  </si>
  <si>
    <t>2022-12-12T21:00:00+00:00</t>
  </si>
  <si>
    <t>2022-12-13</t>
  </si>
  <si>
    <t>2022-12-13T14:30:00+00:00</t>
  </si>
  <si>
    <t>2022-12-13T21:00:00+00:00</t>
  </si>
  <si>
    <t>2022-12-14</t>
  </si>
  <si>
    <t>2022-12-14T14:30:00+00:00</t>
  </si>
  <si>
    <t>2022-12-14T21:00:00+00:00</t>
  </si>
  <si>
    <t>2022-12-15</t>
  </si>
  <si>
    <t>2022-12-15T14:30:00+00:00</t>
  </si>
  <si>
    <t>2022-12-15T21:00:00+00:00</t>
  </si>
  <si>
    <t>2022-12-16</t>
  </si>
  <si>
    <t>2022-12-16T14:30:00+00:00</t>
  </si>
  <si>
    <t>2022-12-16T21:00:00+00:00</t>
  </si>
  <si>
    <t>2022-12-19</t>
  </si>
  <si>
    <t>2022-12-19T14:30:00+00:00</t>
  </si>
  <si>
    <t>2022-12-19T21:00:00+00:00</t>
  </si>
  <si>
    <t>2022-12-20</t>
  </si>
  <si>
    <t>2022-12-20T14:30:00+00:00</t>
  </si>
  <si>
    <t>2022-12-20T21:00:00+00:00</t>
  </si>
  <si>
    <t>2022-12-21</t>
  </si>
  <si>
    <t>2022-12-21T14:30:00+00:00</t>
  </si>
  <si>
    <t>2022-12-21T21:00:00+00:00</t>
  </si>
  <si>
    <t>2022-12-22</t>
  </si>
  <si>
    <t>2022-12-22T14:30:00+00:00</t>
  </si>
  <si>
    <t>2022-12-22T21:00:00+00:00</t>
  </si>
  <si>
    <t>2022-12-23</t>
  </si>
  <si>
    <t>2022-12-23T14:30:00+00:00</t>
  </si>
  <si>
    <t>2022-12-23T21:00:00+00:00</t>
  </si>
  <si>
    <t>2022-12-27</t>
  </si>
  <si>
    <t>2022-12-27T14:30:00+00:00</t>
  </si>
  <si>
    <t>2022-12-27T21:00:00+00:00</t>
  </si>
  <si>
    <t>2022-12-28</t>
  </si>
  <si>
    <t>2022-12-28T14:30:00+00:00</t>
  </si>
  <si>
    <t>2022-12-28T21:00:00+00:00</t>
  </si>
  <si>
    <t>2022-12-29</t>
  </si>
  <si>
    <t>2022-12-29T14:30:00+00:00</t>
  </si>
  <si>
    <t>2022-12-29T21:00:00+00:00</t>
  </si>
  <si>
    <t>2022-12-30</t>
  </si>
  <si>
    <t>2022-12-30T14:30:00+00:00</t>
  </si>
  <si>
    <t>2022-12-30T21:00:00+00:00</t>
  </si>
  <si>
    <t>2023-01-03</t>
  </si>
  <si>
    <t>2023-01-03T14:30:00+00:00</t>
  </si>
  <si>
    <t>2023-01-03T21:00:00+00:00</t>
  </si>
  <si>
    <t>2023-01-04</t>
  </si>
  <si>
    <t>2023-01-04T14:30:00+00:00</t>
  </si>
  <si>
    <t>2023-01-04T21:00:00+00:00</t>
  </si>
  <si>
    <t>2023-01-05</t>
  </si>
  <si>
    <t>2023-01-05T14:30:00+00:00</t>
  </si>
  <si>
    <t>2023-01-05T21:00:00+00:00</t>
  </si>
  <si>
    <t>2023-01-06</t>
  </si>
  <si>
    <t>2023-01-06T14:30:00+00:00</t>
  </si>
  <si>
    <t>2023-01-06T21:00:00+00:00</t>
  </si>
  <si>
    <t>2023-01-09</t>
  </si>
  <si>
    <t>2023-01-09T14:30:00+00:00</t>
  </si>
  <si>
    <t>2023-01-09T21:00:00+00:00</t>
  </si>
  <si>
    <t>2023-01-10</t>
  </si>
  <si>
    <t>2023-01-10T14:30:00+00:00</t>
  </si>
  <si>
    <t>2023-01-10T21:00:00+00:00</t>
  </si>
  <si>
    <t>2023-01-11</t>
  </si>
  <si>
    <t>2023-01-11T14:30:00+00:00</t>
  </si>
  <si>
    <t>2023-01-11T21:00:00+00:00</t>
  </si>
  <si>
    <t>2023-01-12</t>
  </si>
  <si>
    <t>2023-01-12T14:30:00+00:00</t>
  </si>
  <si>
    <t>2023-01-12T21:00:00+00:00</t>
  </si>
  <si>
    <t>2023-01-13</t>
  </si>
  <si>
    <t>2023-01-13T14:30:00+00:00</t>
  </si>
  <si>
    <t>2023-01-13T21:00:00+00:00</t>
  </si>
  <si>
    <t>2023-01-17</t>
  </si>
  <si>
    <t>2023-01-17T14:30:00+00:00</t>
  </si>
  <si>
    <t>2023-01-17T21:00:00+00:00</t>
  </si>
  <si>
    <t>2023-01-18</t>
  </si>
  <si>
    <t>2023-01-18T14:30:00+00:00</t>
  </si>
  <si>
    <t>2023-01-18T21:00:00+00:00</t>
  </si>
  <si>
    <t>2023-01-19</t>
  </si>
  <si>
    <t>2023-01-19T14:30:00+00:00</t>
  </si>
  <si>
    <t>2023-01-19T21:00:00+00:00</t>
  </si>
  <si>
    <t>2023-01-20</t>
  </si>
  <si>
    <t>2023-01-20T14:30:00+00:00</t>
  </si>
  <si>
    <t>2023-01-20T21:00:00+00:00</t>
  </si>
  <si>
    <t>2023-01-23</t>
  </si>
  <si>
    <t>2023-01-23T14:30:00+00:00</t>
  </si>
  <si>
    <t>2023-01-23T21:00:00+00:00</t>
  </si>
  <si>
    <t>2023-01-24</t>
  </si>
  <si>
    <t>2023-01-24T14:30:00+00:00</t>
  </si>
  <si>
    <t>2023-01-24T21:00:00+00:00</t>
  </si>
  <si>
    <t>2023-01-25</t>
  </si>
  <si>
    <t>2023-01-25T14:30:00+00:00</t>
  </si>
  <si>
    <t>2023-01-25T21:00:00+00:00</t>
  </si>
  <si>
    <t>2023-01-26</t>
  </si>
  <si>
    <t>2023-01-26T14:30:00+00:00</t>
  </si>
  <si>
    <t>2023-01-26T21:00:00+00:00</t>
  </si>
  <si>
    <t>2023-01-27</t>
  </si>
  <si>
    <t>2023-01-27T14:30:00+00:00</t>
  </si>
  <si>
    <t>2023-01-27T21:00:00+00:00</t>
  </si>
  <si>
    <t>2023-01-30</t>
  </si>
  <si>
    <t>2023-01-30T14:30:00+00:00</t>
  </si>
  <si>
    <t>2023-01-30T21:00:00+00:00</t>
  </si>
  <si>
    <t>2023-01-31</t>
  </si>
  <si>
    <t>2023-01-31T14:30:00+00:00</t>
  </si>
  <si>
    <t>2023-01-31T21:00:00+00:00</t>
  </si>
  <si>
    <t>2023-02-01</t>
  </si>
  <si>
    <t>2023-02-01T14:30:00+00:00</t>
  </si>
  <si>
    <t>2023-02-01T21:00:00+00:00</t>
  </si>
  <si>
    <t>2023-02-02</t>
  </si>
  <si>
    <t>2023-02-02T14:30:00+00:00</t>
  </si>
  <si>
    <t>2023-02-02T21:00:00+00:00</t>
  </si>
  <si>
    <t>2023-02-03</t>
  </si>
  <si>
    <t>2023-02-03T14:30:00+00:00</t>
  </si>
  <si>
    <t>2023-02-03T21:00:00+00:00</t>
  </si>
  <si>
    <t>2023-02-06</t>
  </si>
  <si>
    <t>2023-02-06T14:30:00+00:00</t>
  </si>
  <si>
    <t>2023-02-06T21:00:00+00:00</t>
  </si>
  <si>
    <t>2023-02-07</t>
  </si>
  <si>
    <t>2023-02-07T14:30:00+00:00</t>
  </si>
  <si>
    <t>2023-02-07T21:00:00+00:00</t>
  </si>
  <si>
    <t>2023-02-08</t>
  </si>
  <si>
    <t>2023-02-08T14:30:00+00:00</t>
  </si>
  <si>
    <t>2023-02-08T21:00:00+00:00</t>
  </si>
  <si>
    <t>2023-02-09</t>
  </si>
  <si>
    <t>2023-02-09T14:30:00+00:00</t>
  </si>
  <si>
    <t>2023-02-09T21:00:00+00:00</t>
  </si>
  <si>
    <t>2023-02-10</t>
  </si>
  <si>
    <t>2023-02-10T14:30:00+00:00</t>
  </si>
  <si>
    <t>2023-02-10T21:00:00+00:00</t>
  </si>
  <si>
    <t>2023-02-13</t>
  </si>
  <si>
    <t>2023-02-13T14:30:00+00:00</t>
  </si>
  <si>
    <t>2023-02-13T21:00:00+00:00</t>
  </si>
  <si>
    <t>2023-02-14</t>
  </si>
  <si>
    <t>2023-02-14T14:30:00+00:00</t>
  </si>
  <si>
    <t>2023-02-14T21:00:00+00:00</t>
  </si>
  <si>
    <t>2023-02-15</t>
  </si>
  <si>
    <t>2023-02-15T14:30:00+00:00</t>
  </si>
  <si>
    <t>2023-02-15T21:00:00+00:00</t>
  </si>
  <si>
    <t>2023-02-16</t>
  </si>
  <si>
    <t>2023-02-16T14:30:00+00:00</t>
  </si>
  <si>
    <t>2023-02-16T21:00:00+00:00</t>
  </si>
  <si>
    <t>2023-02-17</t>
  </si>
  <si>
    <t>2023-02-17T14:30:00+00:00</t>
  </si>
  <si>
    <t>2023-02-17T21:00:00+00:00</t>
  </si>
  <si>
    <t>2023-02-21</t>
  </si>
  <si>
    <t>2023-02-21T14:30:00+00:00</t>
  </si>
  <si>
    <t>2023-02-21T21:00:00+00:00</t>
  </si>
  <si>
    <t>2023-02-22</t>
  </si>
  <si>
    <t>2023-02-22T14:30:00+00:00</t>
  </si>
  <si>
    <t>2023-02-22T21:00:00+00:00</t>
  </si>
  <si>
    <t>2023-02-23</t>
  </si>
  <si>
    <t>2023-02-23T14:30:00+00:00</t>
  </si>
  <si>
    <t>2023-02-23T21:00:00+00:00</t>
  </si>
  <si>
    <t>2023-02-24</t>
  </si>
  <si>
    <t>2023-02-24T14:30:00+00:00</t>
  </si>
  <si>
    <t>2023-02-24T21:00:00+00:00</t>
  </si>
  <si>
    <t>2023-02-27</t>
  </si>
  <si>
    <t>2023-02-27T14:30:00+00:00</t>
  </si>
  <si>
    <t>2023-02-27T21:00:00+00:00</t>
  </si>
  <si>
    <t>2023-02-28</t>
  </si>
  <si>
    <t>2023-02-28T14:30:00+00:00</t>
  </si>
  <si>
    <t>2023-02-28T21:00:00+00:00</t>
  </si>
  <si>
    <t>2023-03-01</t>
  </si>
  <si>
    <t>2023-03-01T14:30:00+00:00</t>
  </si>
  <si>
    <t>2023-03-01T21:00:00+00:00</t>
  </si>
  <si>
    <t>2023-03-02</t>
  </si>
  <si>
    <t>2023-03-02T14:30:00+00:00</t>
  </si>
  <si>
    <t>2023-03-02T21:00:00+00:00</t>
  </si>
  <si>
    <t>2023-03-03</t>
  </si>
  <si>
    <t>2023-03-03T14:30:00+00:00</t>
  </si>
  <si>
    <t>2023-03-03T21:00:00+00:00</t>
  </si>
  <si>
    <t>2023-03-06</t>
  </si>
  <si>
    <t>2023-03-06T14:30:00+00:00</t>
  </si>
  <si>
    <t>2023-03-06T21:00:00+00:00</t>
  </si>
  <si>
    <t>2023-03-07</t>
  </si>
  <si>
    <t>2023-03-07T14:30:00+00:00</t>
  </si>
  <si>
    <t>2023-03-07T21:00:00+00:00</t>
  </si>
  <si>
    <t>2023-03-08</t>
  </si>
  <si>
    <t>2023-03-08T14:30:00+00:00</t>
  </si>
  <si>
    <t>2023-03-08T21:00:00+00:00</t>
  </si>
  <si>
    <t>2023-03-09</t>
  </si>
  <si>
    <t>2023-03-09T14:30:00+00:00</t>
  </si>
  <si>
    <t>2023-03-09T21:00:00+00:00</t>
  </si>
  <si>
    <t>2023-03-10</t>
  </si>
  <si>
    <t>2023-03-10T14:30:00+00:00</t>
  </si>
  <si>
    <t>2023-03-10T21:00:00+00:00</t>
  </si>
  <si>
    <t>2023-03-13</t>
  </si>
  <si>
    <t>2023-03-13T13:30:00+00:00</t>
  </si>
  <si>
    <t>2023-03-13T20:00:00+00:00</t>
  </si>
  <si>
    <t>2023-03-14</t>
  </si>
  <si>
    <t>2023-03-14T13:30:00+00:00</t>
  </si>
  <si>
    <t>2023-03-14T20:00:00+00:00</t>
  </si>
  <si>
    <t>2023-03-15</t>
  </si>
  <si>
    <t>2023-03-15T13:30:00+00:00</t>
  </si>
  <si>
    <t>2023-03-15T20:00:00+00:00</t>
  </si>
  <si>
    <t>2023-03-16</t>
  </si>
  <si>
    <t>2023-03-16T13:30:00+00:00</t>
  </si>
  <si>
    <t>2023-03-16T20:00:00+00:00</t>
  </si>
  <si>
    <t>2023-03-17</t>
  </si>
  <si>
    <t>2023-03-17T13:30:00+00:00</t>
  </si>
  <si>
    <t>2023-03-17T20:00:00+00:00</t>
  </si>
  <si>
    <t>2023-03-20</t>
  </si>
  <si>
    <t>2023-03-20T13:30:00+00:00</t>
  </si>
  <si>
    <t>2023-03-20T20:00:00+00:00</t>
  </si>
  <si>
    <t>2023-03-21</t>
  </si>
  <si>
    <t>2023-03-21T13:30:00+00:00</t>
  </si>
  <si>
    <t>2023-03-21T20:00:00+00:00</t>
  </si>
  <si>
    <t>2023-03-22</t>
  </si>
  <si>
    <t>2023-03-22T13:30:00+00:00</t>
  </si>
  <si>
    <t>2023-03-22T20:00:00+00:00</t>
  </si>
  <si>
    <t>2023-03-23</t>
  </si>
  <si>
    <t>2023-03-23T13:30:00+00:00</t>
  </si>
  <si>
    <t>2023-03-23T20:00:00+00:00</t>
  </si>
  <si>
    <t>2023-03-24</t>
  </si>
  <si>
    <t>2023-03-24T13:30:00+00:00</t>
  </si>
  <si>
    <t>2023-03-24T20:00:00+00:00</t>
  </si>
  <si>
    <t>2023-03-27</t>
  </si>
  <si>
    <t>2023-03-27T13:30:00+00:00</t>
  </si>
  <si>
    <t>2023-03-27T20:00:00+00:00</t>
  </si>
  <si>
    <t>2023-03-28</t>
  </si>
  <si>
    <t>2023-03-28T13:30:00+00:00</t>
  </si>
  <si>
    <t>2023-03-28T20:00:00+00:00</t>
  </si>
  <si>
    <t>2023-03-29</t>
  </si>
  <si>
    <t>2023-03-29T13:30:00+00:00</t>
  </si>
  <si>
    <t>2023-03-29T20:00:00+00:00</t>
  </si>
  <si>
    <t>2023-03-30</t>
  </si>
  <si>
    <t>2023-03-30T13:30:00+00:00</t>
  </si>
  <si>
    <t>2023-03-30T20:00:00+00:00</t>
  </si>
  <si>
    <t>2023-03-31</t>
  </si>
  <si>
    <t>2023-03-31T13:30:00+00:00</t>
  </si>
  <si>
    <t>2023-03-31T20:00:00+00:00</t>
  </si>
  <si>
    <t>2023-04-03</t>
  </si>
  <si>
    <t>2023-04-03T13:30:00+00:00</t>
  </si>
  <si>
    <t>2023-04-03T20:00:00+00:00</t>
  </si>
  <si>
    <t>2023-04-04</t>
  </si>
  <si>
    <t>2023-04-04T13:30:00+00:00</t>
  </si>
  <si>
    <t>2023-04-04T20:00:00+00:00</t>
  </si>
  <si>
    <t>2023-04-05</t>
  </si>
  <si>
    <t>2023-04-05T13:30:00+00:00</t>
  </si>
  <si>
    <t>2023-04-05T20:00:00+00:00</t>
  </si>
  <si>
    <t>2023-04-06</t>
  </si>
  <si>
    <t>2023-04-06T13:30:00+00:00</t>
  </si>
  <si>
    <t>2023-04-06T20:00:00+00:00</t>
  </si>
  <si>
    <t>2023-04-10</t>
  </si>
  <si>
    <t>2023-04-10T13:30:00+00:00</t>
  </si>
  <si>
    <t>2023-04-10T20:00:00+00:00</t>
  </si>
  <si>
    <t>2023-04-11</t>
  </si>
  <si>
    <t>2023-04-11T13:30:00+00:00</t>
  </si>
  <si>
    <t>2023-04-11T20:00:00+00:00</t>
  </si>
  <si>
    <t>2023-04-12</t>
  </si>
  <si>
    <t>2023-04-12T13:30:00+00:00</t>
  </si>
  <si>
    <t>2023-04-12T20:00:00+00:00</t>
  </si>
  <si>
    <t>2023-04-13</t>
  </si>
  <si>
    <t>2023-04-13T13:30:00+00:00</t>
  </si>
  <si>
    <t>2023-04-13T20:00:00+00:00</t>
  </si>
  <si>
    <t>2023-04-14</t>
  </si>
  <si>
    <t>2023-04-14T13:30:00+00:00</t>
  </si>
  <si>
    <t>2023-04-14T20:00:00+00:00</t>
  </si>
  <si>
    <t>2023-04-17</t>
  </si>
  <si>
    <t>2023-04-17T13:30:00+00:00</t>
  </si>
  <si>
    <t>2023-04-17T20:00:00+00:00</t>
  </si>
  <si>
    <t>2023-04-18</t>
  </si>
  <si>
    <t>2023-04-18T13:30:00+00:00</t>
  </si>
  <si>
    <t>2023-04-18T20:00:00+00:00</t>
  </si>
  <si>
    <t>2023-04-19</t>
  </si>
  <si>
    <t>2023-04-19T13:30:00+00:00</t>
  </si>
  <si>
    <t>2023-04-19T20:00:00+00:00</t>
  </si>
  <si>
    <t>2023-04-20</t>
  </si>
  <si>
    <t>2023-04-20T13:30:00+00:00</t>
  </si>
  <si>
    <t>2023-04-20T20:00:00+00:00</t>
  </si>
  <si>
    <t>2023-04-21</t>
  </si>
  <si>
    <t>2023-04-21T13:30:00+00:00</t>
  </si>
  <si>
    <t>2023-04-21T20:00:00+00:00</t>
  </si>
  <si>
    <t>2023-04-24</t>
  </si>
  <si>
    <t>2023-04-24T13:30:00+00:00</t>
  </si>
  <si>
    <t>2023-04-24T20:00:00+00:00</t>
  </si>
  <si>
    <t>2023-04-25</t>
  </si>
  <si>
    <t>2023-04-25T13:30:00+00:00</t>
  </si>
  <si>
    <t>2023-04-25T20:00:00+00:00</t>
  </si>
  <si>
    <t>2023-04-26</t>
  </si>
  <si>
    <t>2023-04-26T13:30:00+00:00</t>
  </si>
  <si>
    <t>2023-04-26T20:00:00+00:00</t>
  </si>
  <si>
    <t>2023-04-27</t>
  </si>
  <si>
    <t>2023-04-27T13:30:00+00:00</t>
  </si>
  <si>
    <t>2023-04-27T20:00:00+00:00</t>
  </si>
  <si>
    <t>2023-04-28</t>
  </si>
  <si>
    <t>2023-04-28T13:30:00+00:00</t>
  </si>
  <si>
    <t>2023-04-28T20:00:00+00:00</t>
  </si>
  <si>
    <t>2023-05-01</t>
  </si>
  <si>
    <t>2023-05-01T13:30:00+00:00</t>
  </si>
  <si>
    <t>2023-05-01T20:00:00+00:00</t>
  </si>
  <si>
    <t>2023-05-02</t>
  </si>
  <si>
    <t>2023-05-02T13:30:00+00:00</t>
  </si>
  <si>
    <t>2023-05-02T20:00:00+00:00</t>
  </si>
  <si>
    <t>2023-05-03</t>
  </si>
  <si>
    <t>2023-05-03T13:30:00+00:00</t>
  </si>
  <si>
    <t>2023-05-03T20:00:00+00:00</t>
  </si>
  <si>
    <t>2023-05-04</t>
  </si>
  <si>
    <t>2023-05-04T13:30:00+00:00</t>
  </si>
  <si>
    <t>2023-05-04T20:00:00+00:00</t>
  </si>
  <si>
    <t>2023-05-05</t>
  </si>
  <si>
    <t>2023-05-05T13:30:00+00:00</t>
  </si>
  <si>
    <t>2023-05-05T20:00:00+00:00</t>
  </si>
  <si>
    <t>2023-05-08</t>
  </si>
  <si>
    <t>2023-05-08T13:30:00+00:00</t>
  </si>
  <si>
    <t>2023-05-08T20:00:00+00:00</t>
  </si>
  <si>
    <t>2023-05-09</t>
  </si>
  <si>
    <t>2023-05-09T13:30:00+00:00</t>
  </si>
  <si>
    <t>2023-05-09T20:00:00+00:00</t>
  </si>
  <si>
    <t>2023-05-10</t>
  </si>
  <si>
    <t>2023-05-10T13:30:00+00:00</t>
  </si>
  <si>
    <t>2023-05-10T20:00:00+00:00</t>
  </si>
  <si>
    <t>2023-05-11</t>
  </si>
  <si>
    <t>2023-05-11T13:30:00+00:00</t>
  </si>
  <si>
    <t>2023-05-11T20:00:00+00:00</t>
  </si>
  <si>
    <t>2023-05-12</t>
  </si>
  <si>
    <t>2023-05-12T13:30:00+00:00</t>
  </si>
  <si>
    <t>2023-05-12T20:00:00+00:00</t>
  </si>
  <si>
    <t>2023-05-15</t>
  </si>
  <si>
    <t>2023-05-15T13:30:00+00:00</t>
  </si>
  <si>
    <t>2023-05-15T20:00:00+00:00</t>
  </si>
  <si>
    <t>2023-05-16</t>
  </si>
  <si>
    <t>2023-05-16T13:30:00+00:00</t>
  </si>
  <si>
    <t>2023-05-16T20:00:00+00:00</t>
  </si>
  <si>
    <t>2023-05-17</t>
  </si>
  <si>
    <t>2023-05-17T13:30:00+00:00</t>
  </si>
  <si>
    <t>2023-05-17T20:00:00+00:00</t>
  </si>
  <si>
    <t>2023-05-18</t>
  </si>
  <si>
    <t>2023-05-18T13:30:00+00:00</t>
  </si>
  <si>
    <t>2023-05-18T20:00:00+00:00</t>
  </si>
  <si>
    <t>2023-05-19</t>
  </si>
  <si>
    <t>2023-05-19T13:30:00+00:00</t>
  </si>
  <si>
    <t>2023-05-19T20:00:00+00:00</t>
  </si>
  <si>
    <t>2023-05-22</t>
  </si>
  <si>
    <t>2023-05-22T13:30:00+00:00</t>
  </si>
  <si>
    <t>2023-05-22T20:00:00+00:00</t>
  </si>
  <si>
    <t>2023-05-23</t>
  </si>
  <si>
    <t>2023-05-23T13:30:00+00:00</t>
  </si>
  <si>
    <t>2023-05-23T20:00:00+00:00</t>
  </si>
  <si>
    <t>2023-05-24</t>
  </si>
  <si>
    <t>2023-05-24T13:30:00+00:00</t>
  </si>
  <si>
    <t>2023-05-24T20:00:00+00:00</t>
  </si>
  <si>
    <t>2023-05-25</t>
  </si>
  <si>
    <t>2023-05-25T13:30:00+00:00</t>
  </si>
  <si>
    <t>2023-05-25T20:00:00+00:00</t>
  </si>
  <si>
    <t>2023-05-26</t>
  </si>
  <si>
    <t>2023-05-26T13:30:00+00:00</t>
  </si>
  <si>
    <t>2023-05-26T20:00:00+00:00</t>
  </si>
  <si>
    <t>2023-05-30</t>
  </si>
  <si>
    <t>2023-05-30T13:30:00+00:00</t>
  </si>
  <si>
    <t>2023-05-30T20:00:00+00:00</t>
  </si>
  <si>
    <t>2023-05-31</t>
  </si>
  <si>
    <t>2023-05-31T13:30:00+00:00</t>
  </si>
  <si>
    <t>2023-05-31T20:00:00+00:00</t>
  </si>
  <si>
    <t>2023-06-01</t>
  </si>
  <si>
    <t>2023-06-01T13:30:00+00:00</t>
  </si>
  <si>
    <t>2023-06-01T20:00:00+00:00</t>
  </si>
  <si>
    <t>2023-06-02</t>
  </si>
  <si>
    <t>2023-06-02T13:30:00+00:00</t>
  </si>
  <si>
    <t>2023-06-02T20:00:00+00:00</t>
  </si>
  <si>
    <t>2023-06-05</t>
  </si>
  <si>
    <t>2023-06-05T13:30:00+00:00</t>
  </si>
  <si>
    <t>2023-06-05T20:00:00+00:00</t>
  </si>
  <si>
    <t>2023-06-06</t>
  </si>
  <si>
    <t>2023-06-06T13:30:00+00:00</t>
  </si>
  <si>
    <t>2023-06-06T20:00:00+00:00</t>
  </si>
  <si>
    <t>2023-06-07</t>
  </si>
  <si>
    <t>2023-06-07T13:30:00+00:00</t>
  </si>
  <si>
    <t>2023-06-07T20:00:00+00:00</t>
  </si>
  <si>
    <t>2023-06-08</t>
  </si>
  <si>
    <t>2023-06-08T13:30:00+00:00</t>
  </si>
  <si>
    <t>2023-06-08T20:00:00+00:00</t>
  </si>
  <si>
    <t>2023-06-09</t>
  </si>
  <si>
    <t>2023-06-09T13:30:00+00:00</t>
  </si>
  <si>
    <t>2023-06-09T20:00:00+00:00</t>
  </si>
  <si>
    <t>2023-06-12</t>
  </si>
  <si>
    <t>2023-06-12T13:30:00+00:00</t>
  </si>
  <si>
    <t>2023-06-12T20:00:00+00:00</t>
  </si>
  <si>
    <t>2023-06-13</t>
  </si>
  <si>
    <t>2023-06-13T13:30:00+00:00</t>
  </si>
  <si>
    <t>2023-06-13T20:00:00+00:00</t>
  </si>
  <si>
    <t>2023-06-14</t>
  </si>
  <si>
    <t>2023-06-14T13:30:00+00:00</t>
  </si>
  <si>
    <t>2023-06-14T20:00:00+00:00</t>
  </si>
  <si>
    <t>2023-06-15</t>
  </si>
  <si>
    <t>2023-06-15T13:30:00+00:00</t>
  </si>
  <si>
    <t>2023-06-15T20:00:00+00:00</t>
  </si>
  <si>
    <t>2023-06-16</t>
  </si>
  <si>
    <t>2023-06-16T13:30:00+00:00</t>
  </si>
  <si>
    <t>2023-06-16T20:00:00+00:00</t>
  </si>
  <si>
    <t>2023-06-20</t>
  </si>
  <si>
    <t>2023-06-20T13:30:00+00:00</t>
  </si>
  <si>
    <t>2023-06-20T20:00:00+00:00</t>
  </si>
  <si>
    <t>2023-06-21</t>
  </si>
  <si>
    <t>2023-06-21T13:30:00+00:00</t>
  </si>
  <si>
    <t>2023-06-21T20:00:00+00:00</t>
  </si>
  <si>
    <t>2023-06-22</t>
  </si>
  <si>
    <t>2023-06-22T13:30:00+00:00</t>
  </si>
  <si>
    <t>2023-06-22T20:00:00+00:00</t>
  </si>
  <si>
    <t>2023-06-23</t>
  </si>
  <si>
    <t>2023-06-23T13:30:00+00:00</t>
  </si>
  <si>
    <t>2023-06-23T20:00:00+00:00</t>
  </si>
  <si>
    <t>2023-06-26</t>
  </si>
  <si>
    <t>2023-06-26T13:30:00+00:00</t>
  </si>
  <si>
    <t>2023-06-26T20:00:00+00:00</t>
  </si>
  <si>
    <t>2023-06-27</t>
  </si>
  <si>
    <t>2023-06-27T13:30:00+00:00</t>
  </si>
  <si>
    <t>2023-06-27T20:00:00+00:00</t>
  </si>
  <si>
    <t>2023-06-28</t>
  </si>
  <si>
    <t>2023-06-28T13:30:00+00:00</t>
  </si>
  <si>
    <t>2023-06-28T20:00:00+00:00</t>
  </si>
  <si>
    <t>2023-06-29</t>
  </si>
  <si>
    <t>2023-06-29T13:30:00+00:00</t>
  </si>
  <si>
    <t>2023-06-29T20:00:00+00:00</t>
  </si>
  <si>
    <t>2023-06-30</t>
  </si>
  <si>
    <t>2023-06-30T13:30:00+00:00</t>
  </si>
  <si>
    <t>2023-06-30T20:00:00+00:00</t>
  </si>
  <si>
    <t>2023-07-03</t>
  </si>
  <si>
    <t>2023-07-03T13:30:00+00:00</t>
  </si>
  <si>
    <t>2023-07-03T17:00:00+00:00</t>
  </si>
  <si>
    <t>2023-07-05</t>
  </si>
  <si>
    <t>2023-07-05T13:30:00+00:00</t>
  </si>
  <si>
    <t>2023-07-05T20:00:00+00:00</t>
  </si>
  <si>
    <t>2023-07-06</t>
  </si>
  <si>
    <t>2023-07-06T13:30:00+00:00</t>
  </si>
  <si>
    <t>2023-07-06T20:00:00+00:00</t>
  </si>
  <si>
    <t>2023-07-07</t>
  </si>
  <si>
    <t>2023-07-07T13:30:00+00:00</t>
  </si>
  <si>
    <t>2023-07-07T20:00:00+00:00</t>
  </si>
  <si>
    <t>2023-07-10</t>
  </si>
  <si>
    <t>2023-07-10T13:30:00+00:00</t>
  </si>
  <si>
    <t>2023-07-10T20:00:00+00:00</t>
  </si>
  <si>
    <t>2023-07-11</t>
  </si>
  <si>
    <t>2023-07-11T13:30:00+00:00</t>
  </si>
  <si>
    <t>2023-07-11T20:00:00+00:00</t>
  </si>
  <si>
    <t>2023-07-12</t>
  </si>
  <si>
    <t>2023-07-12T13:30:00+00:00</t>
  </si>
  <si>
    <t>2023-07-12T20:00:00+00:00</t>
  </si>
  <si>
    <t>2023-07-13</t>
  </si>
  <si>
    <t>2023-07-13T13:30:00+00:00</t>
  </si>
  <si>
    <t>2023-07-13T20:00:00+00:00</t>
  </si>
  <si>
    <t>2023-07-14</t>
  </si>
  <si>
    <t>2023-07-14T13:30:00+00:00</t>
  </si>
  <si>
    <t>2023-07-14T20:00:00+00:00</t>
  </si>
  <si>
    <t>2023-07-17</t>
  </si>
  <si>
    <t>2023-07-17T13:30:00+00:00</t>
  </si>
  <si>
    <t>2023-07-17T20:00:00+00:00</t>
  </si>
  <si>
    <t>2023-07-18</t>
  </si>
  <si>
    <t>2023-07-18T13:30:00+00:00</t>
  </si>
  <si>
    <t>2023-07-18T20:00:00+00:00</t>
  </si>
  <si>
    <t>2023-07-19</t>
  </si>
  <si>
    <t>2023-07-19T13:30:00+00:00</t>
  </si>
  <si>
    <t>2023-07-19T20:00:00+00:00</t>
  </si>
  <si>
    <t>2023-07-20</t>
  </si>
  <si>
    <t>2023-07-20T13:30:00+00:00</t>
  </si>
  <si>
    <t>2023-07-20T20:00:00+00:00</t>
  </si>
  <si>
    <t>2023-07-21</t>
  </si>
  <si>
    <t>2023-07-21T13:30:00+00:00</t>
  </si>
  <si>
    <t>2023-07-21T20:00:00+00:00</t>
  </si>
  <si>
    <t>2023-07-24</t>
  </si>
  <si>
    <t>2023-07-24T13:30:00+00:00</t>
  </si>
  <si>
    <t>2023-07-24T20:00:00+00:00</t>
  </si>
  <si>
    <t>2023-07-25</t>
  </si>
  <si>
    <t>2023-07-25T13:30:00+00:00</t>
  </si>
  <si>
    <t>2023-07-25T20:00:00+00:00</t>
  </si>
  <si>
    <t>2023-07-26</t>
  </si>
  <si>
    <t>2023-07-26T13:30:00+00:00</t>
  </si>
  <si>
    <t>2023-07-26T20:00:00+00:00</t>
  </si>
  <si>
    <t>2023-07-27</t>
  </si>
  <si>
    <t>2023-07-27T13:30:00+00:00</t>
  </si>
  <si>
    <t>2023-07-27T20:00:00+00:00</t>
  </si>
  <si>
    <t>2023-07-28</t>
  </si>
  <si>
    <t>2023-07-28T13:30:00+00:00</t>
  </si>
  <si>
    <t>2023-07-28T20:00:00+00:00</t>
  </si>
  <si>
    <t>2023-07-31</t>
  </si>
  <si>
    <t>2023-07-31T13:30:00+00:00</t>
  </si>
  <si>
    <t>2023-07-31T20:00:00+00:00</t>
  </si>
  <si>
    <t>2023-08-01</t>
  </si>
  <si>
    <t>2023-08-01T13:30:00+00:00</t>
  </si>
  <si>
    <t>2023-08-01T20:00:00+00:00</t>
  </si>
  <si>
    <t>2023-08-02</t>
  </si>
  <si>
    <t>2023-08-02T13:30:00+00:00</t>
  </si>
  <si>
    <t>2023-08-02T20:00:00+00:00</t>
  </si>
  <si>
    <t>2023-08-03</t>
  </si>
  <si>
    <t>2023-08-03T13:30:00+00:00</t>
  </si>
  <si>
    <t>2023-08-03T20:00:00+00:00</t>
  </si>
  <si>
    <t>2023-08-04</t>
  </si>
  <si>
    <t>2023-08-04T13:30:00+00:00</t>
  </si>
  <si>
    <t>2023-08-04T20:00:00+00:00</t>
  </si>
  <si>
    <t>2023-08-07</t>
  </si>
  <si>
    <t>2023-08-07T13:30:00+00:00</t>
  </si>
  <si>
    <t>2023-08-07T20:00:00+00:00</t>
  </si>
  <si>
    <t>2023-08-08</t>
  </si>
  <si>
    <t>2023-08-08T13:30:00+00:00</t>
  </si>
  <si>
    <t>2023-08-08T20:00:00+00:00</t>
  </si>
  <si>
    <t>2023-08-09</t>
  </si>
  <si>
    <t>2023-08-09T13:30:00+00:00</t>
  </si>
  <si>
    <t>2023-08-09T20:00:00+00:00</t>
  </si>
  <si>
    <t>2023-08-10</t>
  </si>
  <si>
    <t>2023-08-10T13:30:00+00:00</t>
  </si>
  <si>
    <t>2023-08-10T20:00:00+00:00</t>
  </si>
  <si>
    <t>2023-08-11</t>
  </si>
  <si>
    <t>2023-08-11T13:30:00+00:00</t>
  </si>
  <si>
    <t>2023-08-11T20:00:00+00:00</t>
  </si>
  <si>
    <t>2023-08-14</t>
  </si>
  <si>
    <t>2023-08-14T13:30:00+00:00</t>
  </si>
  <si>
    <t>2023-08-14T20:00:00+00:00</t>
  </si>
  <si>
    <t>2023-08-15</t>
  </si>
  <si>
    <t>2023-08-15T13:30:00+00:00</t>
  </si>
  <si>
    <t>2023-08-15T20:00:00+00:00</t>
  </si>
  <si>
    <t>2023-08-16</t>
  </si>
  <si>
    <t>2023-08-16T13:30:00+00:00</t>
  </si>
  <si>
    <t>2023-08-16T20:00:00+00:00</t>
  </si>
  <si>
    <t>2023-08-17</t>
  </si>
  <si>
    <t>2023-08-17T13:30:00+00:00</t>
  </si>
  <si>
    <t>2023-08-17T20:00:00+00:00</t>
  </si>
  <si>
    <t>2023-08-18</t>
  </si>
  <si>
    <t>2023-08-18T13:30:00+00:00</t>
  </si>
  <si>
    <t>2023-08-18T20:00:00+00:00</t>
  </si>
  <si>
    <t>2023-08-21</t>
  </si>
  <si>
    <t>2023-08-21T13:30:00+00:00</t>
  </si>
  <si>
    <t>2023-08-21T20:00:00+00:00</t>
  </si>
  <si>
    <t>2023-08-22</t>
  </si>
  <si>
    <t>2023-08-22T13:30:00+00:00</t>
  </si>
  <si>
    <t>2023-08-22T20:00:00+00:00</t>
  </si>
  <si>
    <t>2023-08-23</t>
  </si>
  <si>
    <t>2023-08-23T13:30:00+00:00</t>
  </si>
  <si>
    <t>2023-08-23T20:00:00+00:00</t>
  </si>
  <si>
    <t>2023-08-24</t>
  </si>
  <si>
    <t>2023-08-24T13:30:00+00:00</t>
  </si>
  <si>
    <t>2023-08-24T20:00:00+00:00</t>
  </si>
  <si>
    <t>2023-08-25</t>
  </si>
  <si>
    <t>2023-08-25T13:30:00+00:00</t>
  </si>
  <si>
    <t>2023-08-25T20:00:00+00:00</t>
  </si>
  <si>
    <t>2023-08-28</t>
  </si>
  <si>
    <t>2023-08-28T13:30:00+00:00</t>
  </si>
  <si>
    <t>2023-08-28T20:00:00+00:00</t>
  </si>
  <si>
    <t>2023-08-29</t>
  </si>
  <si>
    <t>2023-08-29T13:30:00+00:00</t>
  </si>
  <si>
    <t>2023-08-29T20:00:00+00:00</t>
  </si>
  <si>
    <t>2023-08-30</t>
  </si>
  <si>
    <t>2023-08-30T13:30:00+00:00</t>
  </si>
  <si>
    <t>2023-08-30T20:00:00+00:00</t>
  </si>
  <si>
    <t>2023-08-31</t>
  </si>
  <si>
    <t>2023-08-31T13:30:00+00:00</t>
  </si>
  <si>
    <t>2023-08-31T20:00:00+00:00</t>
  </si>
  <si>
    <t>2023-09-01</t>
  </si>
  <si>
    <t>2023-09-01T13:30:00+00:00</t>
  </si>
  <si>
    <t>2023-09-01T20:00:00+00:00</t>
  </si>
  <si>
    <t>2023-09-05</t>
  </si>
  <si>
    <t>2023-09-05T13:30:00+00:00</t>
  </si>
  <si>
    <t>2023-09-05T20:00:00+00:00</t>
  </si>
  <si>
    <t>2023-09-06</t>
  </si>
  <si>
    <t>2023-09-06T13:30:00+00:00</t>
  </si>
  <si>
    <t>2023-09-06T20:00:00+00:00</t>
  </si>
  <si>
    <t>2023-09-07</t>
  </si>
  <si>
    <t>2023-09-07T13:30:00+00:00</t>
  </si>
  <si>
    <t>2023-09-07T20:00:00+00:00</t>
  </si>
  <si>
    <t>2023-09-08</t>
  </si>
  <si>
    <t>2023-09-08T13:30:00+00:00</t>
  </si>
  <si>
    <t>2023-09-08T20:00:00+00:00</t>
  </si>
  <si>
    <t>2023-09-11</t>
  </si>
  <si>
    <t>2023-09-11T13:30:00+00:00</t>
  </si>
  <si>
    <t>2023-09-11T20:00:00+00:00</t>
  </si>
  <si>
    <t>2023-09-12</t>
  </si>
  <si>
    <t>2023-09-12T13:30:00+00:00</t>
  </si>
  <si>
    <t>2023-09-12T20:00:00+00:00</t>
  </si>
  <si>
    <t>2023-09-13</t>
  </si>
  <si>
    <t>2023-09-13T13:30:00+00:00</t>
  </si>
  <si>
    <t>2023-09-13T20:00:00+00:00</t>
  </si>
  <si>
    <t>2023-09-14</t>
  </si>
  <si>
    <t>2023-09-14T13:30:00+00:00</t>
  </si>
  <si>
    <t>2023-09-14T20:00:00+00:00</t>
  </si>
  <si>
    <t>2023-09-15</t>
  </si>
  <si>
    <t>2023-09-15T13:30:00+00:00</t>
  </si>
  <si>
    <t>2023-09-15T20:00:00+00:00</t>
  </si>
  <si>
    <t>2023-09-18</t>
  </si>
  <si>
    <t>2023-09-18T13:30:00+00:00</t>
  </si>
  <si>
    <t>2023-09-18T20:00:00+00:00</t>
  </si>
  <si>
    <t>2023-09-19</t>
  </si>
  <si>
    <t>2023-09-19T13:30:00+00:00</t>
  </si>
  <si>
    <t>2023-09-19T20:00:00+00:00</t>
  </si>
  <si>
    <t>2023-09-20</t>
  </si>
  <si>
    <t>2023-09-20T13:30:00+00:00</t>
  </si>
  <si>
    <t>2023-09-20T20:00:00+00:00</t>
  </si>
  <si>
    <t>2023-09-21</t>
  </si>
  <si>
    <t>2023-09-21T13:30:00+00:00</t>
  </si>
  <si>
    <t>2023-09-21T20:00:00+00:00</t>
  </si>
  <si>
    <t>2023-09-22</t>
  </si>
  <si>
    <t>2023-09-22T13:30:00+00:00</t>
  </si>
  <si>
    <t>2023-09-22T20:00:00+00:00</t>
  </si>
  <si>
    <t>2023-09-25</t>
  </si>
  <si>
    <t>2023-09-25T13:30:00+00:00</t>
  </si>
  <si>
    <t>2023-09-25T20:00:00+00:00</t>
  </si>
  <si>
    <t>2023-09-26</t>
  </si>
  <si>
    <t>2023-09-26T13:30:00+00:00</t>
  </si>
  <si>
    <t>2023-09-26T20:00:00+00:00</t>
  </si>
  <si>
    <t>2023-09-27</t>
  </si>
  <si>
    <t>2023-09-27T13:30:00+00:00</t>
  </si>
  <si>
    <t>2023-09-27T20:00:00+00:00</t>
  </si>
  <si>
    <t>2023-09-28</t>
  </si>
  <si>
    <t>2023-09-28T13:30:00+00:00</t>
  </si>
  <si>
    <t>2023-09-28T20:00:00+00:00</t>
  </si>
  <si>
    <t>2023-09-29</t>
  </si>
  <si>
    <t>2023-09-29T13:30:00+00:00</t>
  </si>
  <si>
    <t>2023-09-29T20:00:00+00:00</t>
  </si>
  <si>
    <t>2023-10-02</t>
  </si>
  <si>
    <t>2023-10-02T13:30:00+00:00</t>
  </si>
  <si>
    <t>2023-10-02T20:00:00+00:00</t>
  </si>
  <si>
    <t>2023-10-03</t>
  </si>
  <si>
    <t>2023-10-03T13:30:00+00:00</t>
  </si>
  <si>
    <t>2023-10-03T20:00:00+00:00</t>
  </si>
  <si>
    <t>2023-10-04</t>
  </si>
  <si>
    <t>2023-10-04T13:30:00+00:00</t>
  </si>
  <si>
    <t>2023-10-04T20:00:00+00:00</t>
  </si>
  <si>
    <t>2023-10-05</t>
  </si>
  <si>
    <t>2023-10-05T13:30:00+00:00</t>
  </si>
  <si>
    <t>2023-10-05T20:00:00+00:00</t>
  </si>
  <si>
    <t>2023-10-06</t>
  </si>
  <si>
    <t>2023-10-06T13:30:00+00:00</t>
  </si>
  <si>
    <t>2023-10-06T20:00:00+00:00</t>
  </si>
  <si>
    <t>2023-10-09</t>
  </si>
  <si>
    <t>2023-10-09T13:30:00+00:00</t>
  </si>
  <si>
    <t>2023-10-09T20:00:00+00:00</t>
  </si>
  <si>
    <t>2023-10-10</t>
  </si>
  <si>
    <t>2023-10-10T13:30:00+00:00</t>
  </si>
  <si>
    <t>2023-10-10T20:00:00+00:00</t>
  </si>
  <si>
    <t>2023-10-11</t>
  </si>
  <si>
    <t>2023-10-11T13:30:00+00:00</t>
  </si>
  <si>
    <t>2023-10-11T20:00:00+00:00</t>
  </si>
  <si>
    <t>2023-10-12</t>
  </si>
  <si>
    <t>2023-10-12T13:30:00+00:00</t>
  </si>
  <si>
    <t>2023-10-12T20:00:00+00:00</t>
  </si>
  <si>
    <t>2023-10-13</t>
  </si>
  <si>
    <t>2023-10-13T13:30:00+00:00</t>
  </si>
  <si>
    <t>2023-10-13T20:00:00+00:00</t>
  </si>
  <si>
    <t>2023-10-16</t>
  </si>
  <si>
    <t>2023-10-16T13:30:00+00:00</t>
  </si>
  <si>
    <t>2023-10-16T20:00:00+00:00</t>
  </si>
  <si>
    <t>2023-10-17</t>
  </si>
  <si>
    <t>2023-10-17T13:30:00+00:00</t>
  </si>
  <si>
    <t>2023-10-17T20:00:00+00:00</t>
  </si>
  <si>
    <t>2023-10-18</t>
  </si>
  <si>
    <t>2023-10-18T13:30:00+00:00</t>
  </si>
  <si>
    <t>2023-10-18T20:00:00+00:00</t>
  </si>
  <si>
    <t>2023-10-19</t>
  </si>
  <si>
    <t>2023-10-19T13:30:00+00:00</t>
  </si>
  <si>
    <t>2023-10-19T20:00:00+00:00</t>
  </si>
  <si>
    <t>2023-10-20</t>
  </si>
  <si>
    <t>2023-10-20T13:30:00+00:00</t>
  </si>
  <si>
    <t>2023-10-20T20:00:00+00:00</t>
  </si>
  <si>
    <t>2023-10-23</t>
  </si>
  <si>
    <t>2023-10-23T13:30:00+00:00</t>
  </si>
  <si>
    <t>2023-10-23T20:00:00+00:00</t>
  </si>
  <si>
    <t>2023-10-24</t>
  </si>
  <si>
    <t>2023-10-24T13:30:00+00:00</t>
  </si>
  <si>
    <t>2023-10-24T20:00:00+00:00</t>
  </si>
  <si>
    <t>2023-10-25</t>
  </si>
  <si>
    <t>2023-10-25T13:30:00+00:00</t>
  </si>
  <si>
    <t>2023-10-25T20:00:00+00:00</t>
  </si>
  <si>
    <t>2023-10-26</t>
  </si>
  <si>
    <t>2023-10-26T13:30:00+00:00</t>
  </si>
  <si>
    <t>2023-10-26T20:00:00+00:00</t>
  </si>
  <si>
    <t>2023-10-27</t>
  </si>
  <si>
    <t>2023-10-27T13:30:00+00:00</t>
  </si>
  <si>
    <t>2023-10-27T20:00:00+00:00</t>
  </si>
  <si>
    <t>2023-10-30</t>
  </si>
  <si>
    <t>2023-10-30T13:30:00+00:00</t>
  </si>
  <si>
    <t>2023-10-30T20:00:00+00:00</t>
  </si>
  <si>
    <t>2023-10-31</t>
  </si>
  <si>
    <t>2023-10-31T13:30:00+00:00</t>
  </si>
  <si>
    <t>2023-10-31T20:00:00+00:00</t>
  </si>
  <si>
    <t>2023-11-01</t>
  </si>
  <si>
    <t>2023-11-01T13:30:00+00:00</t>
  </si>
  <si>
    <t>2023-11-01T20:00:00+00:00</t>
  </si>
  <si>
    <t>2023-11-02</t>
  </si>
  <si>
    <t>2023-11-02T13:30:00+00:00</t>
  </si>
  <si>
    <t>2023-11-02T20:00:00+00:00</t>
  </si>
  <si>
    <t>2023-11-03</t>
  </si>
  <si>
    <t>2023-11-03T13:30:00+00:00</t>
  </si>
  <si>
    <t>2023-11-03T20:00:00+00:00</t>
  </si>
  <si>
    <t>2023-11-06</t>
  </si>
  <si>
    <t>2023-11-06T14:30:00+00:00</t>
  </si>
  <si>
    <t>2023-11-06T21:00:00+00:00</t>
  </si>
  <si>
    <t>2023-11-07</t>
  </si>
  <si>
    <t>2023-11-07T14:30:00+00:00</t>
  </si>
  <si>
    <t>2023-11-07T21:00:00+00:00</t>
  </si>
  <si>
    <t>2023-11-08</t>
  </si>
  <si>
    <t>2023-11-08T14:30:00+00:00</t>
  </si>
  <si>
    <t>2023-11-08T21:00:00+00:00</t>
  </si>
  <si>
    <t>2023-11-09</t>
  </si>
  <si>
    <t>2023-11-09T14:30:00+00:00</t>
  </si>
  <si>
    <t>2023-11-09T21:00:00+00:00</t>
  </si>
  <si>
    <t>2023-11-10</t>
  </si>
  <si>
    <t>2023-11-10T14:30:00+00:00</t>
  </si>
  <si>
    <t>2023-11-10T21:00:00+00:00</t>
  </si>
  <si>
    <t>2023-11-13</t>
  </si>
  <si>
    <t>2023-11-13T14:30:00+00:00</t>
  </si>
  <si>
    <t>2023-11-13T21:00:00+00:00</t>
  </si>
  <si>
    <t>2023-11-14</t>
  </si>
  <si>
    <t>2023-11-14T14:30:00+00:00</t>
  </si>
  <si>
    <t>2023-11-14T21:00:00+00:00</t>
  </si>
  <si>
    <t>2023-11-15</t>
  </si>
  <si>
    <t>2023-11-15T14:30:00+00:00</t>
  </si>
  <si>
    <t>2023-11-15T21:00:00+00:00</t>
  </si>
  <si>
    <t>2023-11-16</t>
  </si>
  <si>
    <t>2023-11-16T14:30:00+00:00</t>
  </si>
  <si>
    <t>2023-11-16T21:00:00+00:00</t>
  </si>
  <si>
    <t>2023-11-17</t>
  </si>
  <si>
    <t>2023-11-17T14:30:00+00:00</t>
  </si>
  <si>
    <t>2023-11-17T21:00:00+00:00</t>
  </si>
  <si>
    <t>2023-11-20</t>
  </si>
  <si>
    <t>2023-11-20T14:30:00+00:00</t>
  </si>
  <si>
    <t>2023-11-20T21:00:00+00:00</t>
  </si>
  <si>
    <t>2023-11-21</t>
  </si>
  <si>
    <t>2023-11-21T14:30:00+00:00</t>
  </si>
  <si>
    <t>2023-11-21T21:00:00+00:00</t>
  </si>
  <si>
    <t>2023-11-22</t>
  </si>
  <si>
    <t>2023-11-22T14:30:00+00:00</t>
  </si>
  <si>
    <t>2023-11-22T21:00:00+00:00</t>
  </si>
  <si>
    <t>2023-11-24</t>
  </si>
  <si>
    <t>2023-11-24T14:30:00+00:00</t>
  </si>
  <si>
    <t>2023-11-24T18:00:00+00:00</t>
  </si>
  <si>
    <t>2023-11-27</t>
  </si>
  <si>
    <t>2023-11-27T14:30:00+00:00</t>
  </si>
  <si>
    <t>2023-11-27T21:00:00+00:00</t>
  </si>
  <si>
    <t>2023-11-28</t>
  </si>
  <si>
    <t>2023-11-28T14:30:00+00:00</t>
  </si>
  <si>
    <t>2023-11-28T21:00:00+00:00</t>
  </si>
  <si>
    <t>2023-11-29</t>
  </si>
  <si>
    <t>2023-11-29T14:30:00+00:00</t>
  </si>
  <si>
    <t>2023-11-29T21:00:00+00:00</t>
  </si>
  <si>
    <t>2023-11-30</t>
  </si>
  <si>
    <t>2023-11-30T14:30:00+00:00</t>
  </si>
  <si>
    <t>2023-11-30T21:00:00+00:00</t>
  </si>
  <si>
    <t>2023-12-01</t>
  </si>
  <si>
    <t>2023-12-01T14:30:00+00:00</t>
  </si>
  <si>
    <t>2023-12-01T21:00:00+00:00</t>
  </si>
  <si>
    <t>2023-12-04</t>
  </si>
  <si>
    <t>2023-12-04T14:30:00+00:00</t>
  </si>
  <si>
    <t>2023-12-04T21:00:00+00:00</t>
  </si>
  <si>
    <t>2023-12-05</t>
  </si>
  <si>
    <t>2023-12-05T14:30:00+00:00</t>
  </si>
  <si>
    <t>2023-12-05T21:00:00+00:00</t>
  </si>
  <si>
    <t>2023-12-06</t>
  </si>
  <si>
    <t>2023-12-06T14:30:00+00:00</t>
  </si>
  <si>
    <t>2023-12-06T21:00:00+00:00</t>
  </si>
  <si>
    <t>2023-12-07</t>
  </si>
  <si>
    <t>2023-12-07T14:30:00+00:00</t>
  </si>
  <si>
    <t>2023-12-07T21:00:00+00:00</t>
  </si>
  <si>
    <t>2023-12-08</t>
  </si>
  <si>
    <t>2023-12-08T14:30:00+00:00</t>
  </si>
  <si>
    <t>2023-12-08T21:00:00+00:00</t>
  </si>
  <si>
    <t>2023-12-11</t>
  </si>
  <si>
    <t>2023-12-11T14:30:00+00:00</t>
  </si>
  <si>
    <t>2023-12-11T21:00:00+00:00</t>
  </si>
  <si>
    <t>2023-12-12</t>
  </si>
  <si>
    <t>2023-12-12T14:30:00+00:00</t>
  </si>
  <si>
    <t>2023-12-12T21:00:00+00:00</t>
  </si>
  <si>
    <t>2023-12-13</t>
  </si>
  <si>
    <t>2023-12-13T14:30:00+00:00</t>
  </si>
  <si>
    <t>2023-12-13T21:00:00+00:00</t>
  </si>
  <si>
    <t>2023-12-14</t>
  </si>
  <si>
    <t>2023-12-14T14:30:00+00:00</t>
  </si>
  <si>
    <t>2023-12-14T21:00:00+00:00</t>
  </si>
  <si>
    <t>2023-12-15</t>
  </si>
  <si>
    <t>2023-12-15T14:30:00+00:00</t>
  </si>
  <si>
    <t>2023-12-15T21:00:00+00:00</t>
  </si>
  <si>
    <t>2023-12-18</t>
  </si>
  <si>
    <t>2023-12-18T14:30:00+00:00</t>
  </si>
  <si>
    <t>2023-12-18T21:00:00+00:00</t>
  </si>
  <si>
    <t>2023-12-19</t>
  </si>
  <si>
    <t>2023-12-19T14:30:00+00:00</t>
  </si>
  <si>
    <t>2023-12-19T21:00:00+00:00</t>
  </si>
  <si>
    <t>2023-12-20</t>
  </si>
  <si>
    <t>2023-12-20T14:30:00+00:00</t>
  </si>
  <si>
    <t>2023-12-20T21:00:00+00:00</t>
  </si>
  <si>
    <t>2023-12-21</t>
  </si>
  <si>
    <t>2023-12-21T14:30:00+00:00</t>
  </si>
  <si>
    <t>2023-12-21T21:00:00+00:00</t>
  </si>
  <si>
    <t>2023-12-22</t>
  </si>
  <si>
    <t>2023-12-22T14:30:00+00:00</t>
  </si>
  <si>
    <t>2023-12-22T21:00:00+00:00</t>
  </si>
  <si>
    <t>2023-12-26</t>
  </si>
  <si>
    <t>2023-12-26T14:30:00+00:00</t>
  </si>
  <si>
    <t>2023-12-26T21:00:00+00:00</t>
  </si>
  <si>
    <t>2023-12-27</t>
  </si>
  <si>
    <t>2023-12-27T14:30:00+00:00</t>
  </si>
  <si>
    <t>2023-12-27T21:00:00+00:00</t>
  </si>
  <si>
    <t>2023-12-28</t>
  </si>
  <si>
    <t>2023-12-28T14:30:00+00:00</t>
  </si>
  <si>
    <t>2023-12-28T21:00:00+00:00</t>
  </si>
  <si>
    <t>2023-12-29</t>
  </si>
  <si>
    <t>2023-12-29T14:30:00+00:00</t>
  </si>
  <si>
    <t>2023-12-29T21:00:00+00:00</t>
  </si>
  <si>
    <t>2024-01-02</t>
  </si>
  <si>
    <t>2024-01-02T14:30:00+00:00</t>
  </si>
  <si>
    <t>2024-01-02T21:00:00+00:00</t>
  </si>
  <si>
    <t>2024-01-03</t>
  </si>
  <si>
    <t>2024-01-03T14:30:00+00:00</t>
  </si>
  <si>
    <t>2024-01-03T21:00:00+00:00</t>
  </si>
  <si>
    <t>2024-01-04</t>
  </si>
  <si>
    <t>2024-01-04T14:30:00+00:00</t>
  </si>
  <si>
    <t>2024-01-04T21:00:00+00:00</t>
  </si>
  <si>
    <t>2024-01-05</t>
  </si>
  <si>
    <t>2024-01-05T14:30:00+00:00</t>
  </si>
  <si>
    <t>2024-01-05T21:00:00+00:00</t>
  </si>
  <si>
    <t>2024-01-08</t>
  </si>
  <si>
    <t>2024-01-08T14:30:00+00:00</t>
  </si>
  <si>
    <t>2024-01-08T21:00:00+00:00</t>
  </si>
  <si>
    <t>2024-01-09</t>
  </si>
  <si>
    <t>2024-01-09T14:30:00+00:00</t>
  </si>
  <si>
    <t>2024-01-09T21:00:00+00:00</t>
  </si>
  <si>
    <t>2024-01-10</t>
  </si>
  <si>
    <t>2024-01-10T14:30:00+00:00</t>
  </si>
  <si>
    <t>2024-01-10T21:00:00+00:00</t>
  </si>
  <si>
    <t>2024-01-11</t>
  </si>
  <si>
    <t>2024-01-11T14:30:00+00:00</t>
  </si>
  <si>
    <t>2024-01-11T21:00:00+00:00</t>
  </si>
  <si>
    <t>2024-01-12</t>
  </si>
  <si>
    <t>2024-01-12T14:30:00+00:00</t>
  </si>
  <si>
    <t>2024-01-12T21:00:00+00:00</t>
  </si>
  <si>
    <t>2024-01-16</t>
  </si>
  <si>
    <t>2024-01-16T14:30:00+00:00</t>
  </si>
  <si>
    <t>2024-01-16T21:00:00+00:00</t>
  </si>
  <si>
    <t>2024-01-17</t>
  </si>
  <si>
    <t>2024-01-17T14:30:00+00:00</t>
  </si>
  <si>
    <t>2024-01-17T21:00:00+00:00</t>
  </si>
  <si>
    <t>2024-01-18</t>
  </si>
  <si>
    <t>2024-01-18T14:30:00+00:00</t>
  </si>
  <si>
    <t>2024-01-18T21:00:00+00:00</t>
  </si>
  <si>
    <t>2024-01-19</t>
  </si>
  <si>
    <t>2024-01-19T14:30:00+00:00</t>
  </si>
  <si>
    <t>2024-01-19T21:00:00+00:00</t>
  </si>
  <si>
    <t>2024-01-22</t>
  </si>
  <si>
    <t>2024-01-22T14:30:00+00:00</t>
  </si>
  <si>
    <t>2024-01-22T21:00:00+00:00</t>
  </si>
  <si>
    <t>2024-01-23</t>
  </si>
  <si>
    <t>2024-01-23T14:30:00+00:00</t>
  </si>
  <si>
    <t>2024-01-23T21:00:00+00:00</t>
  </si>
  <si>
    <t>2024-01-24</t>
  </si>
  <si>
    <t>2024-01-24T14:30:00+00:00</t>
  </si>
  <si>
    <t>2024-01-24T21:00:00+00:00</t>
  </si>
  <si>
    <t>2024-01-25</t>
  </si>
  <si>
    <t>2024-01-25T14:30:00+00:00</t>
  </si>
  <si>
    <t>2024-01-25T21:00:00+00:00</t>
  </si>
  <si>
    <t>2024-01-26</t>
  </si>
  <si>
    <t>2024-01-26T14:30:00+00:00</t>
  </si>
  <si>
    <t>2024-01-26T21:00:00+00:00</t>
  </si>
  <si>
    <t>2024-01-29</t>
  </si>
  <si>
    <t>2024-01-29T14:30:00+00:00</t>
  </si>
  <si>
    <t>2024-01-29T21:00:00+00:00</t>
  </si>
  <si>
    <t>2024-01-30</t>
  </si>
  <si>
    <t>2024-01-30T14:30:00+00:00</t>
  </si>
  <si>
    <t>2024-01-30T21:00:00+00:00</t>
  </si>
  <si>
    <t>2024-01-31</t>
  </si>
  <si>
    <t>2024-01-31T14:30:00+00:00</t>
  </si>
  <si>
    <t>2024-01-31T21:00:00+00:00</t>
  </si>
  <si>
    <t>2024-02-01</t>
  </si>
  <si>
    <t>2024-02-01T14:30:00+00:00</t>
  </si>
  <si>
    <t>2024-02-01T21:00:00+00:00</t>
  </si>
  <si>
    <t>2024-02-02</t>
  </si>
  <si>
    <t>2024-02-02T14:30:00+00:00</t>
  </si>
  <si>
    <t>2024-02-02T21:00:00+00:00</t>
  </si>
  <si>
    <t>2024-02-05</t>
  </si>
  <si>
    <t>2024-02-05T14:30:00+00:00</t>
  </si>
  <si>
    <t>2024-02-05T21:00:00+00:00</t>
  </si>
  <si>
    <t>2024-02-06</t>
  </si>
  <si>
    <t>2024-02-06T14:30:00+00:00</t>
  </si>
  <si>
    <t>2024-02-06T21:00:00+00:00</t>
  </si>
  <si>
    <t>2024-02-07</t>
  </si>
  <si>
    <t>2024-02-07T14:30:00+00:00</t>
  </si>
  <si>
    <t>2024-02-07T21:00:00+00:00</t>
  </si>
  <si>
    <t>2024-02-08</t>
  </si>
  <si>
    <t>2024-02-08T14:30:00+00:00</t>
  </si>
  <si>
    <t>2024-02-08T21:00:00+00:00</t>
  </si>
  <si>
    <t>2024-02-09</t>
  </si>
  <si>
    <t>2024-02-09T14:30:00+00:00</t>
  </si>
  <si>
    <t>2024-02-09T21:00:00+00:00</t>
  </si>
  <si>
    <t>2024-02-12</t>
  </si>
  <si>
    <t>2024-02-12T14:30:00+00:00</t>
  </si>
  <si>
    <t>2024-02-12T21:00:00+00:00</t>
  </si>
  <si>
    <t>2024-02-13</t>
  </si>
  <si>
    <t>2024-02-13T14:30:00+00:00</t>
  </si>
  <si>
    <t>2024-02-13T21:00:00+00:00</t>
  </si>
  <si>
    <t>2024-02-14</t>
  </si>
  <si>
    <t>2024-02-14T14:30:00+00:00</t>
  </si>
  <si>
    <t>2024-02-14T21:00:00+00:00</t>
  </si>
  <si>
    <t>2024-02-15</t>
  </si>
  <si>
    <t>2024-02-15T14:30:00+00:00</t>
  </si>
  <si>
    <t>2024-02-15T21:00:00+00:00</t>
  </si>
  <si>
    <t>2024-02-16</t>
  </si>
  <si>
    <t>2024-02-16T14:30:00+00:00</t>
  </si>
  <si>
    <t>2024-02-16T21:00:00+00:00</t>
  </si>
  <si>
    <t>2024-02-20</t>
  </si>
  <si>
    <t>2024-02-20T14:30:00+00:00</t>
  </si>
  <si>
    <t>2024-02-20T21:00:00+00:00</t>
  </si>
  <si>
    <t>2024-02-21</t>
  </si>
  <si>
    <t>2024-02-21T14:30:00+00:00</t>
  </si>
  <si>
    <t>2024-02-21T21:00:00+00:00</t>
  </si>
  <si>
    <t>2024-02-22</t>
  </si>
  <si>
    <t>2024-02-22T14:30:00+00:00</t>
  </si>
  <si>
    <t>2024-02-22T21:00:00+00:00</t>
  </si>
  <si>
    <t>2024-02-23</t>
  </si>
  <si>
    <t>2024-02-23T14:30:00+00:00</t>
  </si>
  <si>
    <t>2024-02-23T21:00:00+00:00</t>
  </si>
  <si>
    <t>2024-02-26</t>
  </si>
  <si>
    <t>2024-02-26T14:30:00+00:00</t>
  </si>
  <si>
    <t>2024-02-26T21:00:00+00:00</t>
  </si>
  <si>
    <t>2024-02-27</t>
  </si>
  <si>
    <t>2024-02-27T14:30:00+00:00</t>
  </si>
  <si>
    <t>2024-02-27T21:00:00+00:00</t>
  </si>
  <si>
    <t>2024-02-28</t>
  </si>
  <si>
    <t>2024-02-28T14:30:00+00:00</t>
  </si>
  <si>
    <t>2024-02-28T21:00:00+00:00</t>
  </si>
  <si>
    <t>2024-02-29</t>
  </si>
  <si>
    <t>2024-02-29T14:30:00+00:00</t>
  </si>
  <si>
    <t>2024-02-29T21:00:00+00:00</t>
  </si>
  <si>
    <t>2024-03-01</t>
  </si>
  <si>
    <t>2024-03-01T14:30:00+00:00</t>
  </si>
  <si>
    <t>2024-03-01T21:00:00+00:00</t>
  </si>
  <si>
    <t>2024-03-04</t>
  </si>
  <si>
    <t>2024-03-04T14:30:00+00:00</t>
  </si>
  <si>
    <t>2024-03-04T21:00:00+00:00</t>
  </si>
  <si>
    <t>2024-03-05</t>
  </si>
  <si>
    <t>2024-03-05T14:30:00+00:00</t>
  </si>
  <si>
    <t>2024-03-05T21:00:00+00:00</t>
  </si>
  <si>
    <t>2024-03-06</t>
  </si>
  <si>
    <t>2024-03-06T14:30:00+00:00</t>
  </si>
  <si>
    <t>2024-03-06T21:00:00+00:00</t>
  </si>
  <si>
    <t>2024-03-07</t>
  </si>
  <si>
    <t>2024-03-07T14:30:00+00:00</t>
  </si>
  <si>
    <t>2024-03-07T21:00:00+00:00</t>
  </si>
  <si>
    <t>2024-03-08</t>
  </si>
  <si>
    <t>2024-03-08T14:30:00+00:00</t>
  </si>
  <si>
    <t>2024-03-08T21:00:00+00:00</t>
  </si>
  <si>
    <t>2024-03-11</t>
  </si>
  <si>
    <t>2024-03-11T13:30:00+00:00</t>
  </si>
  <si>
    <t>2024-03-11T20:00:00+00:00</t>
  </si>
  <si>
    <t>2024-03-12</t>
  </si>
  <si>
    <t>2024-03-12T13:30:00+00:00</t>
  </si>
  <si>
    <t>2024-03-12T20:00:00+00:00</t>
  </si>
  <si>
    <t>2024-03-13</t>
  </si>
  <si>
    <t>2024-03-13T13:30:00+00:00</t>
  </si>
  <si>
    <t>2024-03-13T20:00:00+00:00</t>
  </si>
  <si>
    <t>2024-03-14</t>
  </si>
  <si>
    <t>2024-03-14T13:30:00+00:00</t>
  </si>
  <si>
    <t>2024-03-14T20:00:00+00:00</t>
  </si>
  <si>
    <t>2024-03-15</t>
  </si>
  <si>
    <t>2024-03-15T13:30:00+00:00</t>
  </si>
  <si>
    <t>2024-03-15T20:00:00+00:00</t>
  </si>
  <si>
    <t>2024-03-18</t>
  </si>
  <si>
    <t>2024-03-18T13:30:00+00:00</t>
  </si>
  <si>
    <t>2024-03-18T20:00:00+00:00</t>
  </si>
  <si>
    <t>2024-03-19</t>
  </si>
  <si>
    <t>2024-03-19T13:30:00+00:00</t>
  </si>
  <si>
    <t>2024-03-19T20:00:00+00:00</t>
  </si>
  <si>
    <t>2024-03-20</t>
  </si>
  <si>
    <t>2024-03-20T13:30:00+00:00</t>
  </si>
  <si>
    <t>2024-03-20T20:00:00+00:00</t>
  </si>
  <si>
    <t>2024-03-21</t>
  </si>
  <si>
    <t>2024-03-21T13:30:00+00:00</t>
  </si>
  <si>
    <t>2024-03-21T20:00:00+00:00</t>
  </si>
  <si>
    <t>2024-03-22</t>
  </si>
  <si>
    <t>2024-03-22T13:30:00+00:00</t>
  </si>
  <si>
    <t>2024-03-22T20:00:00+00:00</t>
  </si>
  <si>
    <t>2024-03-25</t>
  </si>
  <si>
    <t>2024-03-25T13:30:00+00:00</t>
  </si>
  <si>
    <t>2024-03-25T20:00:00+00:00</t>
  </si>
  <si>
    <t>2024-03-26</t>
  </si>
  <si>
    <t>2024-03-26T13:30:00+00:00</t>
  </si>
  <si>
    <t>2024-03-26T20:00:00+00:00</t>
  </si>
  <si>
    <t>2024-03-27</t>
  </si>
  <si>
    <t>2024-03-27T13:30:00+00:00</t>
  </si>
  <si>
    <t>2024-03-27T20:00:00+00:00</t>
  </si>
  <si>
    <t>2024-03-28</t>
  </si>
  <si>
    <t>2024-03-28T13:30:00+00:00</t>
  </si>
  <si>
    <t>2024-03-28T20:00:00+00:00</t>
  </si>
  <si>
    <t>2024-04-01</t>
  </si>
  <si>
    <t>2024-04-01T13:30:00+00:00</t>
  </si>
  <si>
    <t>2024-04-01T20:00:00+00:00</t>
  </si>
  <si>
    <t>2024-04-02</t>
  </si>
  <si>
    <t>2024-04-02T13:30:00+00:00</t>
  </si>
  <si>
    <t>2024-04-02T20:00:00+00:00</t>
  </si>
  <si>
    <t>2024-04-03</t>
  </si>
  <si>
    <t>2024-04-03T13:30:00+00:00</t>
  </si>
  <si>
    <t>2024-04-03T20:00:00+00:00</t>
  </si>
  <si>
    <t>2024-04-04</t>
  </si>
  <si>
    <t>2024-04-04T13:30:00+00:00</t>
  </si>
  <si>
    <t>2024-04-04T20:00:00+00:00</t>
  </si>
  <si>
    <t>2024-04-05</t>
  </si>
  <si>
    <t>2024-04-05T13:30:00+00:00</t>
  </si>
  <si>
    <t>2024-04-05T20:00:00+00:00</t>
  </si>
  <si>
    <t>2024-04-08</t>
  </si>
  <si>
    <t>2024-04-08T13:30:00+00:00</t>
  </si>
  <si>
    <t>2024-04-08T20:00:00+00:00</t>
  </si>
  <si>
    <t>2024-04-09</t>
  </si>
  <si>
    <t>2024-04-09T13:30:00+00:00</t>
  </si>
  <si>
    <t>2024-04-09T20:00:00+00:00</t>
  </si>
  <si>
    <t>2024-04-10</t>
  </si>
  <si>
    <t>2024-04-10T13:30:00+00:00</t>
  </si>
  <si>
    <t>2024-04-10T20:00:00+00:00</t>
  </si>
  <si>
    <t>2024-04-11</t>
  </si>
  <si>
    <t>2024-04-11T13:30:00+00:00</t>
  </si>
  <si>
    <t>2024-04-11T20:00:00+00:00</t>
  </si>
  <si>
    <t>2024-04-12</t>
  </si>
  <si>
    <t>2024-04-12T13:30:00+00:00</t>
  </si>
  <si>
    <t>2024-04-12T20:00:00+00:00</t>
  </si>
  <si>
    <t>2024-04-15</t>
  </si>
  <si>
    <t>2024-04-15T13:30:00+00:00</t>
  </si>
  <si>
    <t>2024-04-15T20:00:00+00:00</t>
  </si>
  <si>
    <t>2024-04-16</t>
  </si>
  <si>
    <t>2024-04-16T13:30:00+00:00</t>
  </si>
  <si>
    <t>2024-04-16T20:00:00+00:00</t>
  </si>
  <si>
    <t>2024-04-17</t>
  </si>
  <si>
    <t>2024-04-17T13:30:00+00:00</t>
  </si>
  <si>
    <t>2024-04-17T20:00:00+00:00</t>
  </si>
  <si>
    <t>2024-04-18</t>
  </si>
  <si>
    <t>2024-04-18T13:30:00+00:00</t>
  </si>
  <si>
    <t>2024-04-18T20:00:00+00:00</t>
  </si>
  <si>
    <t>2024-04-19</t>
  </si>
  <si>
    <t>2024-04-19T13:30:00+00:00</t>
  </si>
  <si>
    <t>2024-04-19T20:00:00+00:00</t>
  </si>
  <si>
    <t>2024-04-22</t>
  </si>
  <si>
    <t>2024-04-22T13:30:00+00:00</t>
  </si>
  <si>
    <t>2024-04-22T20:00:00+00:00</t>
  </si>
  <si>
    <t>2024-04-23</t>
  </si>
  <si>
    <t>2024-04-23T13:30:00+00:00</t>
  </si>
  <si>
    <t>2024-04-23T20:00:00+00:00</t>
  </si>
  <si>
    <t>2024-04-24</t>
  </si>
  <si>
    <t>2024-04-24T13:30:00+00:00</t>
  </si>
  <si>
    <t>2024-04-24T20:00:00+00:00</t>
  </si>
  <si>
    <t>2024-04-25</t>
  </si>
  <si>
    <t>2024-04-25T13:30:00+00:00</t>
  </si>
  <si>
    <t>2024-04-25T20:00:00+00:00</t>
  </si>
  <si>
    <t>2024-04-26</t>
  </si>
  <si>
    <t>2024-04-26T13:30:00+00:00</t>
  </si>
  <si>
    <t>2024-04-26T20:00:00+00:00</t>
  </si>
  <si>
    <t>2024-04-29</t>
  </si>
  <si>
    <t>2024-04-29T13:30:00+00:00</t>
  </si>
  <si>
    <t>2024-04-29T20:00:00+00:00</t>
  </si>
  <si>
    <t>2024-04-30</t>
  </si>
  <si>
    <t>2024-04-30T13:30:00+00:00</t>
  </si>
  <si>
    <t>2024-04-30T20:00:00+00:00</t>
  </si>
  <si>
    <t>2024-05-01</t>
  </si>
  <si>
    <t>2024-05-01T13:30:00+00:00</t>
  </si>
  <si>
    <t>2024-05-01T20:00:00+00:00</t>
  </si>
  <si>
    <t>2024-05-02</t>
  </si>
  <si>
    <t>2024-05-02T13:30:00+00:00</t>
  </si>
  <si>
    <t>2024-05-02T20:00:00+00:00</t>
  </si>
  <si>
    <t>2024-05-03</t>
  </si>
  <si>
    <t>2024-05-03T13:30:00+00:00</t>
  </si>
  <si>
    <t>2024-05-03T20:00:00+00:00</t>
  </si>
  <si>
    <t>2024-05-06</t>
  </si>
  <si>
    <t>2024-05-06T13:30:00+00:00</t>
  </si>
  <si>
    <t>2024-05-06T20:00:00+00:00</t>
  </si>
  <si>
    <t>2024-05-07</t>
  </si>
  <si>
    <t>2024-05-07T13:30:00+00:00</t>
  </si>
  <si>
    <t>2024-05-07T20:00:00+00:00</t>
  </si>
  <si>
    <t>2024-05-08</t>
  </si>
  <si>
    <t>2024-05-08T13:30:00+00:00</t>
  </si>
  <si>
    <t>2024-05-08T20:00:00+00:00</t>
  </si>
  <si>
    <t>2024-05-09</t>
  </si>
  <si>
    <t>2024-05-09T13:30:00+00:00</t>
  </si>
  <si>
    <t>2024-05-09T20:00:00+00:00</t>
  </si>
  <si>
    <t>2024-05-10</t>
  </si>
  <si>
    <t>2024-05-10T13:30:00+00:00</t>
  </si>
  <si>
    <t>2024-05-10T20:00:00+00:00</t>
  </si>
  <si>
    <t>2024-05-13</t>
  </si>
  <si>
    <t>2024-05-13T13:30:00+00:00</t>
  </si>
  <si>
    <t>2024-05-13T20:00:00+00:00</t>
  </si>
  <si>
    <t>2024-05-14</t>
  </si>
  <si>
    <t>2024-05-14T13:30:00+00:00</t>
  </si>
  <si>
    <t>2024-05-14T20:00:00+00:00</t>
  </si>
  <si>
    <t>2024-05-15</t>
  </si>
  <si>
    <t>2024-05-15T13:30:00+00:00</t>
  </si>
  <si>
    <t>2024-05-15T20:00:00+00:00</t>
  </si>
  <si>
    <t>2024-05-16</t>
  </si>
  <si>
    <t>2024-05-16T13:30:00+00:00</t>
  </si>
  <si>
    <t>2024-05-16T20:00:00+00:00</t>
  </si>
  <si>
    <t>2024-05-17</t>
  </si>
  <si>
    <t>2024-05-17T13:30:00+00:00</t>
  </si>
  <si>
    <t>2024-05-17T20:00:00+00:00</t>
  </si>
  <si>
    <t>2024-05-20</t>
  </si>
  <si>
    <t>2024-05-20T13:30:00+00:00</t>
  </si>
  <si>
    <t>2024-05-20T20:00:00+00:00</t>
  </si>
  <si>
    <t>2024-05-21</t>
  </si>
  <si>
    <t>2024-05-21T13:30:00+00:00</t>
  </si>
  <si>
    <t>2024-05-21T20:00:00+00:00</t>
  </si>
  <si>
    <t>2024-05-22</t>
  </si>
  <si>
    <t>2024-05-22T13:30:00+00:00</t>
  </si>
  <si>
    <t>2024-05-22T20:00:00+00:00</t>
  </si>
  <si>
    <t>2024-05-23</t>
  </si>
  <si>
    <t>2024-05-23T13:30:00+00:00</t>
  </si>
  <si>
    <t>2024-05-23T20:00:00+00:00</t>
  </si>
  <si>
    <t>2024-05-24</t>
  </si>
  <si>
    <t>2024-05-24T13:30:00+00:00</t>
  </si>
  <si>
    <t>2024-05-24T20:00:00+00:00</t>
  </si>
  <si>
    <t>2024-05-28</t>
  </si>
  <si>
    <t>2024-05-28T13:30:00+00:00</t>
  </si>
  <si>
    <t>2024-05-28T20:00:00+00:00</t>
  </si>
  <si>
    <t>2024-05-29</t>
  </si>
  <si>
    <t>2024-05-29T13:30:00+00:00</t>
  </si>
  <si>
    <t>2024-05-29T20:00:00+00:00</t>
  </si>
  <si>
    <t>2024-05-30</t>
  </si>
  <si>
    <t>2024-05-30T13:30:00+00:00</t>
  </si>
  <si>
    <t>2024-05-30T20:00:00+00:00</t>
  </si>
  <si>
    <t>2024-05-31</t>
  </si>
  <si>
    <t>2024-05-31T13:30:00+00:00</t>
  </si>
  <si>
    <t>2024-05-31T20:00:00+00:00</t>
  </si>
  <si>
    <t>2024-06-03</t>
  </si>
  <si>
    <t>2024-06-03T13:30:00+00:00</t>
  </si>
  <si>
    <t>2024-06-03T20:00:00+00:00</t>
  </si>
  <si>
    <t>2024-06-04</t>
  </si>
  <si>
    <t>2024-06-04T13:30:00+00:00</t>
  </si>
  <si>
    <t>2024-06-04T20:00:00+00:00</t>
  </si>
  <si>
    <t>2024-06-05</t>
  </si>
  <si>
    <t>2024-06-05T13:30:00+00:00</t>
  </si>
  <si>
    <t>2024-06-05T20:00:00+00:00</t>
  </si>
  <si>
    <t>2024-06-06</t>
  </si>
  <si>
    <t>2024-06-06T13:30:00+00:00</t>
  </si>
  <si>
    <t>2024-06-06T20:00:00+00:00</t>
  </si>
  <si>
    <t>2024-06-07</t>
  </si>
  <si>
    <t>2024-06-07T13:30:00+00:00</t>
  </si>
  <si>
    <t>2024-06-07T20:00:00+00:00</t>
  </si>
  <si>
    <t>2024-06-10</t>
  </si>
  <si>
    <t>2024-06-10T13:30:00+00:00</t>
  </si>
  <si>
    <t>2024-06-10T20:00:00+00:00</t>
  </si>
  <si>
    <t>2024-06-11</t>
  </si>
  <si>
    <t>2024-06-11T13:30:00+00:00</t>
  </si>
  <si>
    <t>2024-06-11T20:00:00+00:00</t>
  </si>
  <si>
    <t>2024-06-12</t>
  </si>
  <si>
    <t>2024-06-12T13:30:00+00:00</t>
  </si>
  <si>
    <t>2024-06-12T20:00:00+00:00</t>
  </si>
  <si>
    <t>2024-06-13</t>
  </si>
  <si>
    <t>2024-06-13T13:30:00+00:00</t>
  </si>
  <si>
    <t>2024-06-13T20:00:00+00:00</t>
  </si>
  <si>
    <t>2024-06-14</t>
  </si>
  <si>
    <t>2024-06-14T13:30:00+00:00</t>
  </si>
  <si>
    <t>2024-06-14T20:00:00+00:00</t>
  </si>
  <si>
    <t>2024-06-17</t>
  </si>
  <si>
    <t>2024-06-17T13:30:00+00:00</t>
  </si>
  <si>
    <t>2024-06-17T20:00:00+00:00</t>
  </si>
  <si>
    <t>2024-06-18</t>
  </si>
  <si>
    <t>2024-06-18T13:30:00+00:00</t>
  </si>
  <si>
    <t>2024-06-18T20:00:00+00:00</t>
  </si>
  <si>
    <t>2024-06-20</t>
  </si>
  <si>
    <t>2024-06-20T13:30:00+00:00</t>
  </si>
  <si>
    <t>2024-06-20T20:00:00+00:00</t>
  </si>
  <si>
    <t>2024-06-21</t>
  </si>
  <si>
    <t>2024-06-21T13:30:00+00:00</t>
  </si>
  <si>
    <t>2024-06-21T20:00:00+00:00</t>
  </si>
  <si>
    <t>2024-06-24</t>
  </si>
  <si>
    <t>2024-06-24T13:30:00+00:00</t>
  </si>
  <si>
    <t>2024-06-24T20:00:00+00:00</t>
  </si>
  <si>
    <t>2024-06-25</t>
  </si>
  <si>
    <t>2024-06-25T13:30:00+00:00</t>
  </si>
  <si>
    <t>2024-06-25T20:00:00+00:00</t>
  </si>
  <si>
    <t>2024-06-26</t>
  </si>
  <si>
    <t>2024-06-26T13:30:00+00:00</t>
  </si>
  <si>
    <t>2024-06-26T20:00:00+00:00</t>
  </si>
  <si>
    <t>2024-06-27</t>
  </si>
  <si>
    <t>2024-06-27T13:30:00+00:00</t>
  </si>
  <si>
    <t>2024-06-27T20:00:00+00:00</t>
  </si>
  <si>
    <t>2024-06-28</t>
  </si>
  <si>
    <t>2024-06-28T13:30:00+00:00</t>
  </si>
  <si>
    <t>2024-06-28T20:00:00+00:00</t>
  </si>
  <si>
    <t>2024-07-01</t>
  </si>
  <si>
    <t>2024-07-01T13:30:00+00:00</t>
  </si>
  <si>
    <t>2024-07-01T20:00:00+00:00</t>
  </si>
  <si>
    <t>2024-07-02</t>
  </si>
  <si>
    <t>2024-07-02T13:30:00+00:00</t>
  </si>
  <si>
    <t>2024-07-02T20:00:00+00:00</t>
  </si>
  <si>
    <t>2024-07-03</t>
  </si>
  <si>
    <t>2024-07-03T13:30:00+00:00</t>
  </si>
  <si>
    <t>2024-07-03T17:00:00+00:00</t>
  </si>
  <si>
    <t>2024-07-05</t>
  </si>
  <si>
    <t>2024-07-05T13:30:00+00:00</t>
  </si>
  <si>
    <t>2024-07-05T20:00:00+00:00</t>
  </si>
  <si>
    <t>2024-07-08</t>
  </si>
  <si>
    <t>2024-07-08T13:30:00+00:00</t>
  </si>
  <si>
    <t>2024-07-08T20:00:00+00:00</t>
  </si>
  <si>
    <t>2024-07-09</t>
  </si>
  <si>
    <t>2024-07-09T13:30:00+00:00</t>
  </si>
  <si>
    <t>2024-07-09T20:00:00+00:00</t>
  </si>
  <si>
    <t>2024-07-10</t>
  </si>
  <si>
    <t>2024-07-10T13:30:00+00:00</t>
  </si>
  <si>
    <t>2024-07-10T20:00:00+00:00</t>
  </si>
  <si>
    <t>2024-07-11</t>
  </si>
  <si>
    <t>2024-07-11T13:30:00+00:00</t>
  </si>
  <si>
    <t>2024-07-11T20:00:00+00:00</t>
  </si>
  <si>
    <t>2024-07-12</t>
  </si>
  <si>
    <t>2024-07-12T13:30:00+00:00</t>
  </si>
  <si>
    <t>2024-07-12T20:00:00+00:00</t>
  </si>
  <si>
    <t>2024-07-15</t>
  </si>
  <si>
    <t>2024-07-15T13:30:00+00:00</t>
  </si>
  <si>
    <t>2024-07-15T20:00:00+00:00</t>
  </si>
  <si>
    <t>2024-07-16</t>
  </si>
  <si>
    <t>2024-07-16T13:30:00+00:00</t>
  </si>
  <si>
    <t>2024-07-16T20:00:00+00:00</t>
  </si>
  <si>
    <t>2024-07-17</t>
  </si>
  <si>
    <t>2024-07-17T13:30:00+00:00</t>
  </si>
  <si>
    <t>2024-07-17T20:00:00+00:00</t>
  </si>
  <si>
    <t>2024-07-18</t>
  </si>
  <si>
    <t>2024-07-18T13:30:00+00:00</t>
  </si>
  <si>
    <t>2024-07-18T20:00:00+00:00</t>
  </si>
  <si>
    <t>2024-07-19</t>
  </si>
  <si>
    <t>2024-07-19T13:30:00+00:00</t>
  </si>
  <si>
    <t>2024-07-19T20:00:00+00:00</t>
  </si>
  <si>
    <t>2024-07-22</t>
  </si>
  <si>
    <t>2024-07-22T13:30:00+00:00</t>
  </si>
  <si>
    <t>2024-07-22T20:00:00+00:00</t>
  </si>
  <si>
    <t>2024-07-23</t>
  </si>
  <si>
    <t>2024-07-23T13:30:00+00:00</t>
  </si>
  <si>
    <t>2024-07-23T20:00:00+00:00</t>
  </si>
  <si>
    <t>2024-07-24</t>
  </si>
  <si>
    <t>2024-07-24T13:30:00+00:00</t>
  </si>
  <si>
    <t>2024-07-24T20:00:00+00:00</t>
  </si>
  <si>
    <t>2024-07-25</t>
  </si>
  <si>
    <t>2024-07-25T13:30:00+00:00</t>
  </si>
  <si>
    <t>2024-07-25T20:00:00+00:00</t>
  </si>
  <si>
    <t>2024-07-26</t>
  </si>
  <si>
    <t>2024-07-26T13:30:00+00:00</t>
  </si>
  <si>
    <t>2024-07-26T20:00:00+00:00</t>
  </si>
  <si>
    <t>2024-07-29</t>
  </si>
  <si>
    <t>2024-07-29T13:30:00+00:00</t>
  </si>
  <si>
    <t>2024-07-29T20:00:00+00:00</t>
  </si>
  <si>
    <t>2024-07-30</t>
  </si>
  <si>
    <t>2024-07-30T13:30:00+00:00</t>
  </si>
  <si>
    <t>2024-07-30T20:00:00+00:00</t>
  </si>
  <si>
    <t>2024-07-31</t>
  </si>
  <si>
    <t>2024-07-31T13:30:00+00:00</t>
  </si>
  <si>
    <t>2024-07-31T20:00:00+00:00</t>
  </si>
  <si>
    <t>2024-08-01</t>
  </si>
  <si>
    <t>2024-08-01T13:30:00+00:00</t>
  </si>
  <si>
    <t>2024-08-01T20:00:00+00:00</t>
  </si>
  <si>
    <t>2024-08-02</t>
  </si>
  <si>
    <t>2024-08-02T13:30:00+00:00</t>
  </si>
  <si>
    <t>2024-08-02T20:00:00+00:00</t>
  </si>
  <si>
    <t>2024-08-05</t>
  </si>
  <si>
    <t>2024-08-05T13:30:00+00:00</t>
  </si>
  <si>
    <t>2024-08-05T20:00:00+00:00</t>
  </si>
  <si>
    <t>2024-08-06</t>
  </si>
  <si>
    <t>2024-08-06T13:30:00+00:00</t>
  </si>
  <si>
    <t>2024-08-06T20:00:00+00:00</t>
  </si>
  <si>
    <t>2024-08-07</t>
  </si>
  <si>
    <t>2024-08-07T13:30:00+00:00</t>
  </si>
  <si>
    <t>2024-08-07T20:00:00+00:00</t>
  </si>
  <si>
    <t>2024-08-08</t>
  </si>
  <si>
    <t>2024-08-08T13:30:00+00:00</t>
  </si>
  <si>
    <t>2024-08-08T20:00:00+00:00</t>
  </si>
  <si>
    <t>2024-08-09</t>
  </si>
  <si>
    <t>2024-08-09T13:30:00+00:00</t>
  </si>
  <si>
    <t>2024-08-09T20:00:00+00:00</t>
  </si>
  <si>
    <t>2024-08-12</t>
  </si>
  <si>
    <t>2024-08-12T13:30:00+00:00</t>
  </si>
  <si>
    <t>2024-08-12T20:00:00+00:00</t>
  </si>
  <si>
    <t>2024-08-13</t>
  </si>
  <si>
    <t>2024-08-13T13:30:00+00:00</t>
  </si>
  <si>
    <t>2024-08-13T20:00:00+00:00</t>
  </si>
  <si>
    <t>2024-08-14</t>
  </si>
  <si>
    <t>2024-08-14T13:30:00+00:00</t>
  </si>
  <si>
    <t>2024-08-14T20:00:00+00:00</t>
  </si>
  <si>
    <t>2024-08-15</t>
  </si>
  <si>
    <t>2024-08-15T13:30:00+00:00</t>
  </si>
  <si>
    <t>2024-08-15T20:00:00+00:00</t>
  </si>
  <si>
    <t>2024-08-16</t>
  </si>
  <si>
    <t>2024-08-16T13:30:00+00:00</t>
  </si>
  <si>
    <t>2024-08-16T20:00:00+00:00</t>
  </si>
  <si>
    <t>2024-08-19</t>
  </si>
  <si>
    <t>2024-08-19T13:30:00+00:00</t>
  </si>
  <si>
    <t>2024-08-19T20:00:00+00:00</t>
  </si>
  <si>
    <t>2024-08-20</t>
  </si>
  <si>
    <t>2024-08-20T13:30:00+00:00</t>
  </si>
  <si>
    <t>2024-08-20T20:00:00+00:00</t>
  </si>
  <si>
    <t>2024-08-21</t>
  </si>
  <si>
    <t>2024-08-21T13:30:00+00:00</t>
  </si>
  <si>
    <t>2024-08-21T20:00:00+00:00</t>
  </si>
  <si>
    <t>2024-08-22</t>
  </si>
  <si>
    <t>2024-08-22T13:30:00+00:00</t>
  </si>
  <si>
    <t>2024-08-22T20:00:00+00:00</t>
  </si>
  <si>
    <t>2024-08-23</t>
  </si>
  <si>
    <t>2024-08-23T13:30:00+00:00</t>
  </si>
  <si>
    <t>2024-08-23T20:00:00+00:00</t>
  </si>
  <si>
    <t>2024-08-26</t>
  </si>
  <si>
    <t>2024-08-26T13:30:00+00:00</t>
  </si>
  <si>
    <t>2024-08-26T20:00:00+00:00</t>
  </si>
  <si>
    <t>2024-08-27</t>
  </si>
  <si>
    <t>2024-08-27T13:30:00+00:00</t>
  </si>
  <si>
    <t>2024-08-27T20:00:00+00:00</t>
  </si>
  <si>
    <t>2024-08-28</t>
  </si>
  <si>
    <t>2024-08-28T13:30:00+00:00</t>
  </si>
  <si>
    <t>2024-08-28T20:00:00+00:00</t>
  </si>
  <si>
    <t>2024-08-29</t>
  </si>
  <si>
    <t>2024-08-29T13:30:00+00:00</t>
  </si>
  <si>
    <t>2024-08-29T20:00:00+00:00</t>
  </si>
  <si>
    <t>2024-08-30</t>
  </si>
  <si>
    <t>2024-08-30T13:30:00+00:00</t>
  </si>
  <si>
    <t>2024-08-30T20:00:00+00:00</t>
  </si>
  <si>
    <t>2024-09-03</t>
  </si>
  <si>
    <t>2024-09-03T13:30:00+00:00</t>
  </si>
  <si>
    <t>2024-09-03T20:00:00+00:00</t>
  </si>
  <si>
    <t>2024-09-04</t>
  </si>
  <si>
    <t>2024-09-04T13:30:00+00:00</t>
  </si>
  <si>
    <t>2024-09-04T20:00:00+00:00</t>
  </si>
  <si>
    <t>2024-09-05</t>
  </si>
  <si>
    <t>2024-09-05T13:30:00+00:00</t>
  </si>
  <si>
    <t>2024-09-05T20:00:00+00:00</t>
  </si>
  <si>
    <t>2024-09-06</t>
  </si>
  <si>
    <t>2024-09-06T13:30:00+00:00</t>
  </si>
  <si>
    <t>2024-09-06T20:00:00+00:00</t>
  </si>
  <si>
    <t>2024-09-09</t>
  </si>
  <si>
    <t>2024-09-09T13:30:00+00:00</t>
  </si>
  <si>
    <t>2024-09-09T20:00:00+00:00</t>
  </si>
  <si>
    <t>2024-09-10</t>
  </si>
  <si>
    <t>2024-09-10T13:30:00+00:00</t>
  </si>
  <si>
    <t>2024-09-10T20:00:00+00:00</t>
  </si>
  <si>
    <t>2024-09-11</t>
  </si>
  <si>
    <t>2024-09-11T13:30:00+00:00</t>
  </si>
  <si>
    <t>2024-09-11T20:00:00+00:00</t>
  </si>
  <si>
    <t>2024-09-12</t>
  </si>
  <si>
    <t>2024-09-12T13:30:00+00:00</t>
  </si>
  <si>
    <t>2024-09-12T20:00:00+00:00</t>
  </si>
  <si>
    <t>2024-09-13</t>
  </si>
  <si>
    <t>2024-09-13T13:30:00+00:00</t>
  </si>
  <si>
    <t>2024-09-13T20:00:00+00:00</t>
  </si>
  <si>
    <t>2024-09-16</t>
  </si>
  <si>
    <t>2024-09-16T13:30:00+00:00</t>
  </si>
  <si>
    <t>2024-09-16T20:00:00+00:00</t>
  </si>
  <si>
    <t>2024-09-17</t>
  </si>
  <si>
    <t>2024-09-17T13:30:00+00:00</t>
  </si>
  <si>
    <t>2024-09-17T20:00:00+00:00</t>
  </si>
  <si>
    <t>2024-09-18</t>
  </si>
  <si>
    <t>2024-09-18T13:30:00+00:00</t>
  </si>
  <si>
    <t>2024-09-18T20:00:00+00:00</t>
  </si>
  <si>
    <t>2024-09-19</t>
  </si>
  <si>
    <t>2024-09-19T13:30:00+00:00</t>
  </si>
  <si>
    <t>2024-09-19T20:00:00+00:00</t>
  </si>
  <si>
    <t>2024-09-20</t>
  </si>
  <si>
    <t>2024-09-20T13:30:00+00:00</t>
  </si>
  <si>
    <t>2024-09-20T20:00:00+00:00</t>
  </si>
  <si>
    <t>2024-09-23</t>
  </si>
  <si>
    <t>2024-09-23T13:30:00+00:00</t>
  </si>
  <si>
    <t>2024-09-23T20:00:00+00:00</t>
  </si>
  <si>
    <t>2024-09-24</t>
  </si>
  <si>
    <t>2024-09-24T13:30:00+00:00</t>
  </si>
  <si>
    <t>2024-09-24T20:00:00+00:00</t>
  </si>
  <si>
    <t>2024-09-25</t>
  </si>
  <si>
    <t>2024-09-25T13:30:00+00:00</t>
  </si>
  <si>
    <t>2024-09-25T20:00:00+00:00</t>
  </si>
  <si>
    <t>2024-09-26</t>
  </si>
  <si>
    <t>2024-09-26T13:30:00+00:00</t>
  </si>
  <si>
    <t>2024-09-26T20:00:00+00:00</t>
  </si>
  <si>
    <t>2024-09-27</t>
  </si>
  <si>
    <t>2024-09-27T13:30:00+00:00</t>
  </si>
  <si>
    <t>2024-09-27T20:00:00+00:00</t>
  </si>
  <si>
    <t>2024-09-30</t>
  </si>
  <si>
    <t>2024-09-30T13:30:00+00:00</t>
  </si>
  <si>
    <t>2024-09-30T20:00:00+00:00</t>
  </si>
  <si>
    <t>2024-10-01</t>
  </si>
  <si>
    <t>2024-10-01T13:30:00+00:00</t>
  </si>
  <si>
    <t>2024-10-01T20:00:00+00:00</t>
  </si>
  <si>
    <t>2024-10-02</t>
  </si>
  <si>
    <t>2024-10-02T13:30:00+00:00</t>
  </si>
  <si>
    <t>2024-10-02T20:00:00+00:00</t>
  </si>
  <si>
    <t>2024-10-03</t>
  </si>
  <si>
    <t>2024-10-03T13:30:00+00:00</t>
  </si>
  <si>
    <t>2024-10-03T20:00:00+00:00</t>
  </si>
  <si>
    <t>2024-10-04</t>
  </si>
  <si>
    <t>2024-10-04T13:30:00+00:00</t>
  </si>
  <si>
    <t>2024-10-04T20:00:00+00:00</t>
  </si>
  <si>
    <t>2024-10-07</t>
  </si>
  <si>
    <t>2024-10-07T13:30:00+00:00</t>
  </si>
  <si>
    <t>2024-10-07T20:00:00+00:00</t>
  </si>
  <si>
    <t>2024-10-08</t>
  </si>
  <si>
    <t>2024-10-08T13:30:00+00:00</t>
  </si>
  <si>
    <t>2024-10-08T20:00:00+00:00</t>
  </si>
  <si>
    <t>2024-10-09</t>
  </si>
  <si>
    <t>2024-10-09T13:30:00+00:00</t>
  </si>
  <si>
    <t>2024-10-09T20:00:00+00:00</t>
  </si>
  <si>
    <t>2024-10-10</t>
  </si>
  <si>
    <t>2024-10-10T13:30:00+00:00</t>
  </si>
  <si>
    <t>2024-10-10T20:00:00+00:00</t>
  </si>
  <si>
    <t>2024-10-11</t>
  </si>
  <si>
    <t>2024-10-11T13:30:00+00:00</t>
  </si>
  <si>
    <t>2024-10-11T20:00:00+00:00</t>
  </si>
  <si>
    <t>2024-10-14</t>
  </si>
  <si>
    <t>2024-10-14T13:30:00+00:00</t>
  </si>
  <si>
    <t>2024-10-14T20:00:00+00:00</t>
  </si>
  <si>
    <t>2024-10-15</t>
  </si>
  <si>
    <t>2024-10-15T13:30:00+00:00</t>
  </si>
  <si>
    <t>2024-10-15T20:00:00+00:00</t>
  </si>
  <si>
    <t>2024-10-16</t>
  </si>
  <si>
    <t>2024-10-16T13:30:00+00:00</t>
  </si>
  <si>
    <t>2024-10-16T20:00:00+00:00</t>
  </si>
  <si>
    <t>2024-10-17</t>
  </si>
  <si>
    <t>2024-10-17T13:30:00+00:00</t>
  </si>
  <si>
    <t>2024-10-17T20:00:00+00:00</t>
  </si>
  <si>
    <t>2024-10-18</t>
  </si>
  <si>
    <t>2024-10-18T13:30:00+00:00</t>
  </si>
  <si>
    <t>2024-10-18T20:00:00+00:00</t>
  </si>
  <si>
    <t>2024-10-21</t>
  </si>
  <si>
    <t>2024-10-21T13:30:00+00:00</t>
  </si>
  <si>
    <t>2024-10-21T20:00:00+00:00</t>
  </si>
  <si>
    <t>2024-10-22</t>
  </si>
  <si>
    <t>2024-10-22T13:30:00+00:00</t>
  </si>
  <si>
    <t>2024-10-22T20:00:00+00:00</t>
  </si>
  <si>
    <t>2024-10-23</t>
  </si>
  <si>
    <t>2024-10-23T13:30:00+00:00</t>
  </si>
  <si>
    <t>2024-10-23T20:00:00+00:00</t>
  </si>
  <si>
    <t>2024-10-24</t>
  </si>
  <si>
    <t>2024-10-24T13:30:00+00:00</t>
  </si>
  <si>
    <t>2024-10-24T20:00:00+00:00</t>
  </si>
  <si>
    <t>2024-10-25</t>
  </si>
  <si>
    <t>2024-10-25T13:30:00+00:00</t>
  </si>
  <si>
    <t>2024-10-25T20:00:00+00:00</t>
  </si>
  <si>
    <t>2024-10-28</t>
  </si>
  <si>
    <t>2024-10-28T13:30:00+00:00</t>
  </si>
  <si>
    <t>2024-10-28T20:00:00+00:00</t>
  </si>
  <si>
    <t>2024-10-29</t>
  </si>
  <si>
    <t>2024-10-29T13:30:00+00:00</t>
  </si>
  <si>
    <t>2024-10-29T20:00:00+00:00</t>
  </si>
  <si>
    <t>2024-10-30</t>
  </si>
  <si>
    <t>2024-10-30T13:30:00+00:00</t>
  </si>
  <si>
    <t>2024-10-30T20:00:00+00:00</t>
  </si>
  <si>
    <t>2024-10-31</t>
  </si>
  <si>
    <t>2024-10-31T13:30:00+00:00</t>
  </si>
  <si>
    <t>2024-10-31T20:00:00+00:00</t>
  </si>
  <si>
    <t>2024-11-01</t>
  </si>
  <si>
    <t>2024-11-01T13:30:00+00:00</t>
  </si>
  <si>
    <t>2024-11-01T20:00:00+00:00</t>
  </si>
  <si>
    <t>2024-11-04</t>
  </si>
  <si>
    <t>2024-11-04T14:30:00+00:00</t>
  </si>
  <si>
    <t>2024-11-04T21:00:00+00:00</t>
  </si>
  <si>
    <t>2024-11-05</t>
  </si>
  <si>
    <t>2024-11-05T14:30:00+00:00</t>
  </si>
  <si>
    <t>2024-11-05T21:00:00+00:00</t>
  </si>
  <si>
    <t>2024-11-06</t>
  </si>
  <si>
    <t>2024-11-06T14:30:00+00:00</t>
  </si>
  <si>
    <t>2024-11-06T21:00:00+00:00</t>
  </si>
  <si>
    <t>2024-11-07</t>
  </si>
  <si>
    <t>2024-11-07T14:30:00+00:00</t>
  </si>
  <si>
    <t>2024-11-07T21:00:00+00:00</t>
  </si>
  <si>
    <t>2024-11-08</t>
  </si>
  <si>
    <t>2024-11-08T14:30:00+00:00</t>
  </si>
  <si>
    <t>2024-11-08T21:00:00+00:00</t>
  </si>
  <si>
    <t>2024-11-11</t>
  </si>
  <si>
    <t>2024-11-11T14:30:00+00:00</t>
  </si>
  <si>
    <t>2024-11-11T21:00:00+00:00</t>
  </si>
  <si>
    <t>2024-11-12</t>
  </si>
  <si>
    <t>2024-11-12T14:30:00+00:00</t>
  </si>
  <si>
    <t>2024-11-12T21:00:00+00:00</t>
  </si>
  <si>
    <t>2024-11-13</t>
  </si>
  <si>
    <t>2024-11-13T14:30:00+00:00</t>
  </si>
  <si>
    <t>2024-11-13T21:00:00+00:00</t>
  </si>
  <si>
    <t>2024-11-14</t>
  </si>
  <si>
    <t>2024-11-14T14:30:00+00:00</t>
  </si>
  <si>
    <t>2024-11-14T21:00:00+00:00</t>
  </si>
  <si>
    <t>2024-11-15</t>
  </si>
  <si>
    <t>2024-11-15T14:30:00+00:00</t>
  </si>
  <si>
    <t>2024-11-15T21:00:00+00:00</t>
  </si>
  <si>
    <t>2024-11-18</t>
  </si>
  <si>
    <t>2024-11-18T14:30:00+00:00</t>
  </si>
  <si>
    <t>2024-11-18T21:00:00+00:00</t>
  </si>
  <si>
    <t>2024-11-19</t>
  </si>
  <si>
    <t>2024-11-19T14:30:00+00:00</t>
  </si>
  <si>
    <t>2024-11-19T21:00:00+00:00</t>
  </si>
  <si>
    <t>2024-11-20</t>
  </si>
  <si>
    <t>2024-11-20T14:30:00+00:00</t>
  </si>
  <si>
    <t>2024-11-20T21:00:00+00:00</t>
  </si>
  <si>
    <t>2024-11-21</t>
  </si>
  <si>
    <t>2024-11-21T14:30:00+00:00</t>
  </si>
  <si>
    <t>2024-11-21T21:00:00+00:00</t>
  </si>
  <si>
    <t>2024-11-22</t>
  </si>
  <si>
    <t>2024-11-22T14:30:00+00:00</t>
  </si>
  <si>
    <t>2024-11-22T21:00:00+00:00</t>
  </si>
  <si>
    <t>2024-11-25</t>
  </si>
  <si>
    <t>2024-11-25T14:30:00+00:00</t>
  </si>
  <si>
    <t>2024-11-25T21:00:00+00:00</t>
  </si>
  <si>
    <t>2024-11-26</t>
  </si>
  <si>
    <t>2024-11-26T14:30:00+00:00</t>
  </si>
  <si>
    <t>2024-11-26T21:00:00+00:00</t>
  </si>
  <si>
    <t>2024-11-27</t>
  </si>
  <si>
    <t>2024-11-27T14:30:00+00:00</t>
  </si>
  <si>
    <t>2024-11-27T21:00:00+00:00</t>
  </si>
  <si>
    <t>2024-11-29</t>
  </si>
  <si>
    <t>2024-11-29T14:30:00+00:00</t>
  </si>
  <si>
    <t>2024-11-29T18:00:00+00:00</t>
  </si>
  <si>
    <t>2024-12-02</t>
  </si>
  <si>
    <t>2024-12-02T14:30:00+00:00</t>
  </si>
  <si>
    <t>2024-12-02T21:00:00+00:00</t>
  </si>
  <si>
    <t>2024-12-03</t>
  </si>
  <si>
    <t>2024-12-03T14:30:00+00:00</t>
  </si>
  <si>
    <t>2024-12-03T21:00:00+00:00</t>
  </si>
  <si>
    <t>2024-12-04</t>
  </si>
  <si>
    <t>2024-12-04T14:30:00+00:00</t>
  </si>
  <si>
    <t>2024-12-04T21:00:00+00:00</t>
  </si>
  <si>
    <t>2024-12-05</t>
  </si>
  <si>
    <t>2024-12-05T14:30:00+00:00</t>
  </si>
  <si>
    <t>2024-12-05T21:00:00+00:00</t>
  </si>
  <si>
    <t>2024-12-06</t>
  </si>
  <si>
    <t>2024-12-06T14:30:00+00:00</t>
  </si>
  <si>
    <t>2024-12-06T21:00:00+00:00</t>
  </si>
  <si>
    <t>2024-12-09</t>
  </si>
  <si>
    <t>2024-12-09T14:30:00+00:00</t>
  </si>
  <si>
    <t>2024-12-09T21:00:00+00:00</t>
  </si>
  <si>
    <t>2024-12-10</t>
  </si>
  <si>
    <t>2024-12-10T14:30:00+00:00</t>
  </si>
  <si>
    <t>2024-12-10T21:00:00+00:00</t>
  </si>
  <si>
    <t>2024-12-11</t>
  </si>
  <si>
    <t>2024-12-11T14:30:00+00:00</t>
  </si>
  <si>
    <t>2024-12-11T21:00:00+00:00</t>
  </si>
  <si>
    <t>2024-12-12</t>
  </si>
  <si>
    <t>2024-12-12T14:30:00+00:00</t>
  </si>
  <si>
    <t>2024-12-12T21:00:00+00:00</t>
  </si>
  <si>
    <t>2024-12-13</t>
  </si>
  <si>
    <t>2024-12-13T14:30:00+00:00</t>
  </si>
  <si>
    <t>2024-12-13T21:00:00+00:00</t>
  </si>
  <si>
    <t>2024-12-16</t>
  </si>
  <si>
    <t>2024-12-16T14:30:00+00:00</t>
  </si>
  <si>
    <t>2024-12-16T21:00:00+00:00</t>
  </si>
  <si>
    <t>2024-12-17</t>
  </si>
  <si>
    <t>2024-12-17T14:30:00+00:00</t>
  </si>
  <si>
    <t>2024-12-17T21:00:00+00:00</t>
  </si>
  <si>
    <t>2024-12-18</t>
  </si>
  <si>
    <t>2024-12-18T14:30:00+00:00</t>
  </si>
  <si>
    <t>2024-12-18T21:00:00+00:00</t>
  </si>
  <si>
    <t>2024-12-19</t>
  </si>
  <si>
    <t>2024-12-19T14:30:00+00:00</t>
  </si>
  <si>
    <t>2024-12-19T21:00:00+00:00</t>
  </si>
  <si>
    <t>2024-12-20</t>
  </si>
  <si>
    <t>2024-12-20T14:30:00+00:00</t>
  </si>
  <si>
    <t>2024-12-20T21:00:00+00:00</t>
  </si>
  <si>
    <t>2024-12-23</t>
  </si>
  <si>
    <t>2024-12-23T14:30:00+00:00</t>
  </si>
  <si>
    <t>2024-12-23T21:00:00+00:00</t>
  </si>
  <si>
    <t>2024-12-24</t>
  </si>
  <si>
    <t>2024-12-24T14:30:00+00:00</t>
  </si>
  <si>
    <t>2024-12-24T18:00:00+00:00</t>
  </si>
  <si>
    <t>2024-12-26</t>
  </si>
  <si>
    <t>2024-12-26T14:30:00+00:00</t>
  </si>
  <si>
    <t>2024-12-26T21:00:00+00:00</t>
  </si>
  <si>
    <t>2024-12-27</t>
  </si>
  <si>
    <t>2024-12-27T14:30:00+00:00</t>
  </si>
  <si>
    <t>2024-12-27T21:00:00+00:00</t>
  </si>
  <si>
    <t>2024-12-30</t>
  </si>
  <si>
    <t>2024-12-30T14:30:00+00:00</t>
  </si>
  <si>
    <t>2024-12-30T21:00:00+00:00</t>
  </si>
  <si>
    <t>2024-12-31</t>
  </si>
  <si>
    <t>2024-12-31T14:30:00+00:00</t>
  </si>
  <si>
    <t>2024-12-31T21:00:00+00:00</t>
  </si>
  <si>
    <t>2025-01-02</t>
  </si>
  <si>
    <t>2025-01-02T14:30:00+00:00</t>
  </si>
  <si>
    <t>2025-01-02T21:00:00+00:00</t>
  </si>
  <si>
    <t>2025-01-03</t>
  </si>
  <si>
    <t>2025-01-03T14:30:00+00:00</t>
  </si>
  <si>
    <t>2025-01-03T21:00:00+00:00</t>
  </si>
  <si>
    <t>2025-01-06</t>
  </si>
  <si>
    <t>2025-01-06T14:30:00+00:00</t>
  </si>
  <si>
    <t>2025-01-06T21:00:00+00:00</t>
  </si>
  <si>
    <t>2025-01-07</t>
  </si>
  <si>
    <t>2025-01-07T14:30:00+00:00</t>
  </si>
  <si>
    <t>2025-01-07T21:00:00+00:00</t>
  </si>
  <si>
    <t>2025-01-08</t>
  </si>
  <si>
    <t>2025-01-08T14:30:00+00:00</t>
  </si>
  <si>
    <t>2025-01-08T21:00:00+00:00</t>
  </si>
  <si>
    <t>2025-01-10</t>
  </si>
  <si>
    <t>2025-01-10T14:30:00+00:00</t>
  </si>
  <si>
    <t>2025-01-10T21:00:00+00:00</t>
  </si>
  <si>
    <t>2025-01-13</t>
  </si>
  <si>
    <t>2025-01-13T14:30:00+00:00</t>
  </si>
  <si>
    <t>2025-01-13T21:00:00+00:00</t>
  </si>
  <si>
    <t>2025-01-14</t>
  </si>
  <si>
    <t>2025-01-14T14:30:00+00:00</t>
  </si>
  <si>
    <t>2025-01-14T21:00:00+00:00</t>
  </si>
  <si>
    <t>2025-01-15</t>
  </si>
  <si>
    <t>2025-01-15T14:30:00+00:00</t>
  </si>
  <si>
    <t>2025-01-15T21:00:00+00:00</t>
  </si>
  <si>
    <t>2025-01-16</t>
  </si>
  <si>
    <t>2025-01-16T14:30:00+00:00</t>
  </si>
  <si>
    <t>2025-01-16T21:00:00+00:00</t>
  </si>
  <si>
    <t>2025-01-17</t>
  </si>
  <si>
    <t>2025-01-17T14:30:00+00:00</t>
  </si>
  <si>
    <t>2025-01-17T21:00:00+00:00</t>
  </si>
  <si>
    <t>2025-01-21</t>
  </si>
  <si>
    <t>2025-01-21T14:30:00+00:00</t>
  </si>
  <si>
    <t>2025-01-21T21:00:00+00:00</t>
  </si>
  <si>
    <t>2025-01-22</t>
  </si>
  <si>
    <t>2025-01-22T14:30:00+00:00</t>
  </si>
  <si>
    <t>2025-01-22T21:00:00+00:00</t>
  </si>
  <si>
    <t>2025-01-23</t>
  </si>
  <si>
    <t>2025-01-23T14:30:00+00:00</t>
  </si>
  <si>
    <t>2025-01-23T21:00:00+00:00</t>
  </si>
  <si>
    <t>2025-01-24</t>
  </si>
  <si>
    <t>2025-01-24T14:30:00+00:00</t>
  </si>
  <si>
    <t>2025-01-24T21:00:00+00:00</t>
  </si>
  <si>
    <t>2025-01-27</t>
  </si>
  <si>
    <t>2025-01-27T14:30:00+00:00</t>
  </si>
  <si>
    <t>2025-01-27T21:00:00+00:00</t>
  </si>
  <si>
    <t>2025-01-28</t>
  </si>
  <si>
    <t>2025-01-28T14:30:00+00:00</t>
  </si>
  <si>
    <t>2025-01-28T21:00:00+00:00</t>
  </si>
  <si>
    <t>2025-01-29</t>
  </si>
  <si>
    <t>2025-01-29T14:30:00+00:00</t>
  </si>
  <si>
    <t>2025-01-29T21:00:00+00:00</t>
  </si>
  <si>
    <t>2025-01-30</t>
  </si>
  <si>
    <t>2025-01-30T14:30:00+00:00</t>
  </si>
  <si>
    <t>2025-01-30T21:00:00+00:00</t>
  </si>
  <si>
    <t>2025-01-31</t>
  </si>
  <si>
    <t>2025-01-31T14:30:00+00:00</t>
  </si>
  <si>
    <t>2025-01-31T21:00:00+00:00</t>
  </si>
  <si>
    <t>2025-02-03</t>
  </si>
  <si>
    <t>2025-02-03T14:30:00+00:00</t>
  </si>
  <si>
    <t>2025-02-03T21:00:00+00:00</t>
  </si>
  <si>
    <t>2025-02-04</t>
  </si>
  <si>
    <t>2025-02-04T14:30:00+00:00</t>
  </si>
  <si>
    <t>2025-02-04T21:00:00+00:00</t>
  </si>
  <si>
    <t>2025-02-05</t>
  </si>
  <si>
    <t>2025-02-05T14:30:00+00:00</t>
  </si>
  <si>
    <t>2025-02-05T21:00:00+00:00</t>
  </si>
  <si>
    <t>2025-02-06</t>
  </si>
  <si>
    <t>2025-02-06T14:30:00+00:00</t>
  </si>
  <si>
    <t>2025-02-06T21:00:00+00:00</t>
  </si>
  <si>
    <t>2025-02-07</t>
  </si>
  <si>
    <t>2025-02-07T14:30:00+00:00</t>
  </si>
  <si>
    <t>2025-02-07T21:00:00+00:00</t>
  </si>
  <si>
    <t>2025-02-10</t>
  </si>
  <si>
    <t>2025-02-10T14:30:00+00:00</t>
  </si>
  <si>
    <t>2025-02-10T21:00:00+00:00</t>
  </si>
  <si>
    <t>2025-02-11</t>
  </si>
  <si>
    <t>2025-02-11T14:30:00+00:00</t>
  </si>
  <si>
    <t>2025-02-11T21:00:00+00:00</t>
  </si>
  <si>
    <t>2025-02-12</t>
  </si>
  <si>
    <t>2025-02-12T14:30:00+00:00</t>
  </si>
  <si>
    <t>2025-02-12T21:00:00+00:00</t>
  </si>
  <si>
    <t>2025-02-13</t>
  </si>
  <si>
    <t>2025-02-13T14:30:00+00:00</t>
  </si>
  <si>
    <t>2025-02-13T21:00:00+00:00</t>
  </si>
  <si>
    <t>2025-02-14</t>
  </si>
  <si>
    <t>2025-02-14T14:30:00+00:00</t>
  </si>
  <si>
    <t>2025-02-14T21:00:00+00:00</t>
  </si>
  <si>
    <t>2025-02-18</t>
  </si>
  <si>
    <t>2025-02-18T14:30:00+00:00</t>
  </si>
  <si>
    <t>2025-02-18T21:00:00+00:00</t>
  </si>
  <si>
    <t>2025-02-19</t>
  </si>
  <si>
    <t>2025-02-19T14:30:00+00:00</t>
  </si>
  <si>
    <t>2025-02-19T21:00:00+00:00</t>
  </si>
  <si>
    <t>2025-02-20</t>
  </si>
  <si>
    <t>2025-02-20T14:30:00+00:00</t>
  </si>
  <si>
    <t>2025-02-20T21:00:00+00:00</t>
  </si>
  <si>
    <t>2025-02-21</t>
  </si>
  <si>
    <t>2025-02-21T14:30:00+00:00</t>
  </si>
  <si>
    <t>2025-02-21T21:00:00+00:00</t>
  </si>
  <si>
    <t>2025-02-24</t>
  </si>
  <si>
    <t>2025-02-24T14:30:00+00:00</t>
  </si>
  <si>
    <t>2025-02-24T21:00:00+00:00</t>
  </si>
  <si>
    <t>2025-02-25</t>
  </si>
  <si>
    <t>2025-02-25T14:30:00+00:00</t>
  </si>
  <si>
    <t>2025-02-25T21:00:00+00:00</t>
  </si>
  <si>
    <t>2025-02-26</t>
  </si>
  <si>
    <t>2025-02-26T14:30:00+00:00</t>
  </si>
  <si>
    <t>2025-02-26T21:00:00+00:00</t>
  </si>
  <si>
    <t>2025-02-27</t>
  </si>
  <si>
    <t>2025-02-27T14:30:00+00:00</t>
  </si>
  <si>
    <t>2025-02-27T21:00:00+00:00</t>
  </si>
  <si>
    <t>2025-02-28</t>
  </si>
  <si>
    <t>2025-02-28T14:30:00+00:00</t>
  </si>
  <si>
    <t>2025-02-28T21:00:00+00:00</t>
  </si>
  <si>
    <t>2025-03-03</t>
  </si>
  <si>
    <t>2025-03-03T14:30:00+00:00</t>
  </si>
  <si>
    <t>2025-03-03T21:00:00+00:00</t>
  </si>
  <si>
    <t>2025-03-04</t>
  </si>
  <si>
    <t>2025-03-04T14:30:00+00:00</t>
  </si>
  <si>
    <t>2025-03-04T21:00:00+00:00</t>
  </si>
  <si>
    <t>2025-03-05</t>
  </si>
  <si>
    <t>2025-03-05T14:30:00+00:00</t>
  </si>
  <si>
    <t>2025-03-05T21:00:00+00:00</t>
  </si>
  <si>
    <t>2025-03-06</t>
  </si>
  <si>
    <t>2025-03-06T14:30:00+00:00</t>
  </si>
  <si>
    <t>2025-03-06T21:00:00+00:00</t>
  </si>
  <si>
    <t>2025-03-07</t>
  </si>
  <si>
    <t>2025-03-07T14:30:00+00:00</t>
  </si>
  <si>
    <t>2025-03-07T21:00:00+00:00</t>
  </si>
  <si>
    <t>2025-03-10</t>
  </si>
  <si>
    <t>2025-03-10T13:30:00+00:00</t>
  </si>
  <si>
    <t>2025-03-10T20:00:00+00:00</t>
  </si>
  <si>
    <t>2025-03-11</t>
  </si>
  <si>
    <t>2025-03-11T13:30:00+00:00</t>
  </si>
  <si>
    <t>2025-03-11T20:00:00+00:00</t>
  </si>
  <si>
    <t>2025-03-12</t>
  </si>
  <si>
    <t>2025-03-12T13:30:00+00:00</t>
  </si>
  <si>
    <t>2025-03-12T20:00:00+00:00</t>
  </si>
  <si>
    <t>2025-03-13</t>
  </si>
  <si>
    <t>2025-03-13T13:30:00+00:00</t>
  </si>
  <si>
    <t>2025-03-13T20:00:00+00:00</t>
  </si>
  <si>
    <t>2025-03-14</t>
  </si>
  <si>
    <t>2025-03-14T13:30:00+00:00</t>
  </si>
  <si>
    <t>2025-03-14T20:00:00+00:00</t>
  </si>
  <si>
    <t>2025-03-17</t>
  </si>
  <si>
    <t>2025-03-17T13:30:00+00:00</t>
  </si>
  <si>
    <t>2025-03-17T20:00:00+00:00</t>
  </si>
  <si>
    <t>2025-03-18</t>
  </si>
  <si>
    <t>2025-03-18T13:30:00+00:00</t>
  </si>
  <si>
    <t>2025-03-18T20:00:00+00:00</t>
  </si>
  <si>
    <t>2025-03-19</t>
  </si>
  <si>
    <t>2025-03-19T13:30:00+00:00</t>
  </si>
  <si>
    <t>2025-03-19T20:00:00+00:00</t>
  </si>
  <si>
    <t>2025-03-20</t>
  </si>
  <si>
    <t>2025-03-20T13:30:00+00:00</t>
  </si>
  <si>
    <t>2025-03-20T20:00:00+00:00</t>
  </si>
  <si>
    <t>2025-03-21</t>
  </si>
  <si>
    <t>2025-03-21T13:30:00+00:00</t>
  </si>
  <si>
    <t>2025-03-21T20:00:00+00:00</t>
  </si>
  <si>
    <t>2025-03-24</t>
  </si>
  <si>
    <t>2025-03-24T13:30:00+00:00</t>
  </si>
  <si>
    <t>2025-03-24T20:00:00+00:00</t>
  </si>
  <si>
    <t>2025-03-25</t>
  </si>
  <si>
    <t>2025-03-25T13:30:00+00:00</t>
  </si>
  <si>
    <t>2025-03-25T20:00:00+00:00</t>
  </si>
  <si>
    <t>2025-03-26</t>
  </si>
  <si>
    <t>2025-03-26T13:30:00+00:00</t>
  </si>
  <si>
    <t>2025-03-26T20:00:00+00:00</t>
  </si>
  <si>
    <t>2025-03-27</t>
  </si>
  <si>
    <t>2025-03-27T13:30:00+00:00</t>
  </si>
  <si>
    <t>2025-03-27T20:00:00+00:00</t>
  </si>
  <si>
    <t>2025-03-28</t>
  </si>
  <si>
    <t>2025-03-28T13:30:00+00:00</t>
  </si>
  <si>
    <t>2025-03-28T20:00:00+00:00</t>
  </si>
  <si>
    <t>2025-03-31</t>
  </si>
  <si>
    <t>2025-03-31T13:30:00+00:00</t>
  </si>
  <si>
    <t>2025-03-31T20:00:00+00:00</t>
  </si>
  <si>
    <t>2025-04-01</t>
  </si>
  <si>
    <t>2025-04-01T13:30:00+00:00</t>
  </si>
  <si>
    <t>2025-04-01T20:00:00+00:00</t>
  </si>
  <si>
    <t>2025-04-02</t>
  </si>
  <si>
    <t>2025-04-02T13:30:00+00:00</t>
  </si>
  <si>
    <t>2025-04-02T20:00:00+00:00</t>
  </si>
  <si>
    <t>2025-04-03</t>
  </si>
  <si>
    <t>2025-04-03T13:30:00+00:00</t>
  </si>
  <si>
    <t>2025-04-03T20:00:00+00:00</t>
  </si>
  <si>
    <t>2025-04-04</t>
  </si>
  <si>
    <t>2025-04-04T13:30:00+00:00</t>
  </si>
  <si>
    <t>2025-04-04T20:00:00+00:00</t>
  </si>
  <si>
    <t>2025-04-07</t>
  </si>
  <si>
    <t>2025-04-07T13:30:00+00:00</t>
  </si>
  <si>
    <t>2025-04-07T20:00:00+00:00</t>
  </si>
  <si>
    <t>2025-04-08</t>
  </si>
  <si>
    <t>2025-04-08T13:30:00+00:00</t>
  </si>
  <si>
    <t>2025-04-08T20:00:00+00:00</t>
  </si>
  <si>
    <t>2025-04-09</t>
  </si>
  <si>
    <t>2025-04-09T13:30:00+00:00</t>
  </si>
  <si>
    <t>2025-04-09T20:00:00+00:00</t>
  </si>
  <si>
    <t>2025-04-10</t>
  </si>
  <si>
    <t>2025-04-10T13:30:00+00:00</t>
  </si>
  <si>
    <t>2025-04-10T20:00:00+00:00</t>
  </si>
  <si>
    <t>2025-04-11</t>
  </si>
  <si>
    <t>2025-04-11T13:30:00+00:00</t>
  </si>
  <si>
    <t>2025-04-11T20:00:00+00:00</t>
  </si>
  <si>
    <t>2025-04-14</t>
  </si>
  <si>
    <t>2025-04-14T13:30:00+00:00</t>
  </si>
  <si>
    <t>2025-04-14T20:00:00+00:00</t>
  </si>
  <si>
    <t>2025-04-15</t>
  </si>
  <si>
    <t>2025-04-15T13:30:00+00:00</t>
  </si>
  <si>
    <t>2025-04-15T20:00:00+00:00</t>
  </si>
  <si>
    <t>2025-04-16</t>
  </si>
  <si>
    <t>2025-04-16T13:30:00+00:00</t>
  </si>
  <si>
    <t>2025-04-16T20:00:00+00:00</t>
  </si>
  <si>
    <t>2025-04-17</t>
  </si>
  <si>
    <t>2025-04-17T13:30:00+00:00</t>
  </si>
  <si>
    <t>2025-04-17T20:00:00+00:00</t>
  </si>
  <si>
    <t>2025-04-21</t>
  </si>
  <si>
    <t>2025-04-21T13:30:00+00:00</t>
  </si>
  <si>
    <t>2025-04-21T20:00:00+00:00</t>
  </si>
  <si>
    <t>2025-04-22</t>
  </si>
  <si>
    <t>2025-04-22T13:30:00+00:00</t>
  </si>
  <si>
    <t>2025-04-22T20:00:00+00:00</t>
  </si>
  <si>
    <t>2025-04-23</t>
  </si>
  <si>
    <t>2025-04-23T13:30:00+00:00</t>
  </si>
  <si>
    <t>2025-04-23T20:00:00+00:00</t>
  </si>
  <si>
    <t>2025-04-24</t>
  </si>
  <si>
    <t>2025-04-24T13:30:00+00:00</t>
  </si>
  <si>
    <t>2025-04-24T20:00:00+00:00</t>
  </si>
  <si>
    <t>2025-04-25</t>
  </si>
  <si>
    <t>2025-04-25T13:30:00+00:00</t>
  </si>
  <si>
    <t>2025-04-25T20:00:00+00:00</t>
  </si>
  <si>
    <t>2025-04-28</t>
  </si>
  <si>
    <t>2025-04-28T13:30:00+00:00</t>
  </si>
  <si>
    <t>2025-04-28T20:00:00+00:00</t>
  </si>
  <si>
    <t>2025-04-29</t>
  </si>
  <si>
    <t>2025-04-29T13:30:00+00:00</t>
  </si>
  <si>
    <t>2025-04-29T20:00:00+00:00</t>
  </si>
  <si>
    <t>2025-04-30</t>
  </si>
  <si>
    <t>2025-04-30T13:30:00+00:00</t>
  </si>
  <si>
    <t>2025-04-30T20:00:00+00:00</t>
  </si>
  <si>
    <t>2025-05-01</t>
  </si>
  <si>
    <t>2025-05-01T13:30:00+00:00</t>
  </si>
  <si>
    <t>2025-05-01T20:00:00+00:00</t>
  </si>
  <si>
    <t>2025-05-02</t>
  </si>
  <si>
    <t>2025-05-02T13:30:00+00:00</t>
  </si>
  <si>
    <t>2025-05-02T20:00:00+00:00</t>
  </si>
  <si>
    <t>2025-05-05</t>
  </si>
  <si>
    <t>2025-05-05T13:30:00+00:00</t>
  </si>
  <si>
    <t>2025-05-05T20:00:00+00:00</t>
  </si>
  <si>
    <t>2025-05-06</t>
  </si>
  <si>
    <t>2025-05-06T13:30:00+00:00</t>
  </si>
  <si>
    <t>2025-05-06T20:00:00+00:00</t>
  </si>
  <si>
    <t>2025-05-07</t>
  </si>
  <si>
    <t>2025-05-07T13:30:00+00:00</t>
  </si>
  <si>
    <t>2025-05-07T20:00:00+00:00</t>
  </si>
  <si>
    <t>2025-05-08</t>
  </si>
  <si>
    <t>2025-05-08T13:30:00+00:00</t>
  </si>
  <si>
    <t>2025-05-08T20:00:00+00:00</t>
  </si>
  <si>
    <t>2025-05-09</t>
  </si>
  <si>
    <t>2025-05-09T13:30:00+00:00</t>
  </si>
  <si>
    <t>2025-05-09T20:00:00+00:00</t>
  </si>
  <si>
    <t>2025-05-12</t>
  </si>
  <si>
    <t>2025-05-12T13:30:00+00:00</t>
  </si>
  <si>
    <t>2025-05-12T20:00:00+00:00</t>
  </si>
  <si>
    <t>2025-05-13</t>
  </si>
  <si>
    <t>2025-05-13T13:30:00+00:00</t>
  </si>
  <si>
    <t>2025-05-13T20:00:00+00:00</t>
  </si>
  <si>
    <t>2025-05-14</t>
  </si>
  <si>
    <t>2025-05-14T13:30:00+00:00</t>
  </si>
  <si>
    <t>2025-05-14T20:00:00+00:00</t>
  </si>
  <si>
    <t>2025-05-15</t>
  </si>
  <si>
    <t>2025-05-15T13:30:00+00:00</t>
  </si>
  <si>
    <t>2025-05-15T20:00:00+00:00</t>
  </si>
  <si>
    <t>2025-05-16</t>
  </si>
  <si>
    <t>2025-05-16T13:30:00+00:00</t>
  </si>
  <si>
    <t>2025-05-16T20:00:00+00:00</t>
  </si>
  <si>
    <t>2025-05-19</t>
  </si>
  <si>
    <t>2025-05-19T13:30:00+00:00</t>
  </si>
  <si>
    <t>2025-05-19T20:00:00+00:00</t>
  </si>
  <si>
    <t>2025-05-20</t>
  </si>
  <si>
    <t>2025-05-20T13:30:00+00:00</t>
  </si>
  <si>
    <t>2025-05-20T20:00:00+00:00</t>
  </si>
  <si>
    <t>2025-05-21</t>
  </si>
  <si>
    <t>2025-05-21T13:30:00+00:00</t>
  </si>
  <si>
    <t>2025-05-21T20:00:00+00:00</t>
  </si>
  <si>
    <t>2025-05-22</t>
  </si>
  <si>
    <t>2025-05-22T13:30:00+00:00</t>
  </si>
  <si>
    <t>2025-05-22T20:00:00+00:00</t>
  </si>
  <si>
    <t>2025-05-23</t>
  </si>
  <si>
    <t>2025-05-23T13:30:00+00:00</t>
  </si>
  <si>
    <t>2025-05-23T20:00:00+00:00</t>
  </si>
  <si>
    <t>2025-05-27</t>
  </si>
  <si>
    <t>2025-05-27T13:30:00+00:00</t>
  </si>
  <si>
    <t>2025-05-27T20:00:00+00:00</t>
  </si>
  <si>
    <t>2025-05-28</t>
  </si>
  <si>
    <t>2025-05-28T13:30:00+00:00</t>
  </si>
  <si>
    <t>2025-05-28T20:00:00+00:00</t>
  </si>
  <si>
    <t>2025-05-29</t>
  </si>
  <si>
    <t>2025-05-29T13:30:00+00:00</t>
  </si>
  <si>
    <t>2025-05-29T20:00:00+00:00</t>
  </si>
  <si>
    <t>2025-05-30</t>
  </si>
  <si>
    <t>2025-05-30T13:30:00+00:00</t>
  </si>
  <si>
    <t>2025-05-30T20:00:00+00:00</t>
  </si>
  <si>
    <t>2025-06-02</t>
  </si>
  <si>
    <t>2025-06-02T13:30:00+00:00</t>
  </si>
  <si>
    <t>2025-06-02T20:00:00+00:00</t>
  </si>
  <si>
    <t>2025-06-03</t>
  </si>
  <si>
    <t>2025-06-03T13:30:00+00:00</t>
  </si>
  <si>
    <t>2025-06-03T20:00:00+00:00</t>
  </si>
  <si>
    <t>2025-06-04</t>
  </si>
  <si>
    <t>2025-06-04T13:30:00+00:00</t>
  </si>
  <si>
    <t>2025-06-04T20:00:00+00:00</t>
  </si>
  <si>
    <t>2025-06-05</t>
  </si>
  <si>
    <t>2025-06-05T13:30:00+00:00</t>
  </si>
  <si>
    <t>2025-06-05T20:00:00+00:00</t>
  </si>
  <si>
    <t>2025-06-06</t>
  </si>
  <si>
    <t>2025-06-06T13:30:00+00:00</t>
  </si>
  <si>
    <t>2025-06-06T20:00:00+00:00</t>
  </si>
  <si>
    <t>2025-06-09</t>
  </si>
  <si>
    <t>2025-06-09T13:30:00+00:00</t>
  </si>
  <si>
    <t>2025-06-09T20:00:00+00:00</t>
  </si>
  <si>
    <t>2025-06-10</t>
  </si>
  <si>
    <t>2025-06-10T13:30:00+00:00</t>
  </si>
  <si>
    <t>2025-06-10T20:00:00+00:00</t>
  </si>
  <si>
    <t>2025-06-11</t>
  </si>
  <si>
    <t>2025-06-11T13:30:00+00:00</t>
  </si>
  <si>
    <t>2025-06-11T20:00:00+00:00</t>
  </si>
  <si>
    <t>2025-06-12</t>
  </si>
  <si>
    <t>2025-06-12T13:30:00+00:00</t>
  </si>
  <si>
    <t>2025-06-12T20:00:00+00:00</t>
  </si>
  <si>
    <t>2025-06-13</t>
  </si>
  <si>
    <t>2025-06-13T13:30:00+00:00</t>
  </si>
  <si>
    <t>2025-06-13T20:00:00+00:00</t>
  </si>
  <si>
    <t>2025-06-16</t>
  </si>
  <si>
    <t>2025-06-16T13:30:00+00:00</t>
  </si>
  <si>
    <t>2025-06-16T20:00:00+00:00</t>
  </si>
  <si>
    <t>2025-06-17</t>
  </si>
  <si>
    <t>2025-06-17T13:30:00+00:00</t>
  </si>
  <si>
    <t>2025-06-17T20:00:00+00:00</t>
  </si>
  <si>
    <t>2025-06-18</t>
  </si>
  <si>
    <t>2025-06-18T13:30:00+00:00</t>
  </si>
  <si>
    <t>2025-06-18T20:00:00+00:00</t>
  </si>
  <si>
    <t>2025-06-20</t>
  </si>
  <si>
    <t>2025-06-20T13:30:00+00:00</t>
  </si>
  <si>
    <t>2025-06-20T20:00:00+00:00</t>
  </si>
  <si>
    <t>2025-06-23</t>
  </si>
  <si>
    <t>2025-06-23T13:30:00+00:00</t>
  </si>
  <si>
    <t>2025-06-23T20:00:00+00:00</t>
  </si>
  <si>
    <t>2025-06-24</t>
  </si>
  <si>
    <t>2025-06-24T13:30:00+00:00</t>
  </si>
  <si>
    <t>2025-06-24T20:00:00+00:00</t>
  </si>
  <si>
    <t>2025-06-25</t>
  </si>
  <si>
    <t>2025-06-25T13:30:00+00:00</t>
  </si>
  <si>
    <t>2025-06-25T20:00:00+00:00</t>
  </si>
  <si>
    <t>2025-06-26</t>
  </si>
  <si>
    <t>2025-06-26T13:30:00+00:00</t>
  </si>
  <si>
    <t>2025-06-26T20:00:00+00:00</t>
  </si>
  <si>
    <t>2025-06-27</t>
  </si>
  <si>
    <t>2025-06-27T13:30:00+00:00</t>
  </si>
  <si>
    <t>2025-06-27T20:00:00+00:00</t>
  </si>
  <si>
    <t>2025-06-30</t>
  </si>
  <si>
    <t>2025-06-30T13:30:00+00:00</t>
  </si>
  <si>
    <t>2025-06-30T20:00:00+00:00</t>
  </si>
  <si>
    <t>2025-07-01</t>
  </si>
  <si>
    <t>2025-07-01T13:30:00+00:00</t>
  </si>
  <si>
    <t>2025-07-01T20:00:00+00:00</t>
  </si>
  <si>
    <t>2025-07-02</t>
  </si>
  <si>
    <t>2025-07-02T13:30:00+00:00</t>
  </si>
  <si>
    <t>2025-07-02T20:00:00+00:00</t>
  </si>
  <si>
    <t>2025-07-03</t>
  </si>
  <si>
    <t>2025-07-03T13:30:00+00:00</t>
  </si>
  <si>
    <t>2025-07-03T17:00:00+00:00</t>
  </si>
  <si>
    <t>2025-07-07</t>
  </si>
  <si>
    <t>2025-07-07T13:30:00+00:00</t>
  </si>
  <si>
    <t>2025-07-07T20:00:00+00:00</t>
  </si>
  <si>
    <t>2025-07-08</t>
  </si>
  <si>
    <t>2025-07-08T13:30:00+00:00</t>
  </si>
  <si>
    <t>2025-07-08T20:00:00+00:00</t>
  </si>
  <si>
    <t>2025-07-09</t>
  </si>
  <si>
    <t>2025-07-09T13:30:00+00:00</t>
  </si>
  <si>
    <t>2025-07-09T20:00:00+00:00</t>
  </si>
  <si>
    <t>2025-07-10</t>
  </si>
  <si>
    <t>2025-07-10T13:30:00+00:00</t>
  </si>
  <si>
    <t>2025-07-10T20:00:00+00:00</t>
  </si>
  <si>
    <t>2025-07-11</t>
  </si>
  <si>
    <t>2025-07-11T13:30:00+00:00</t>
  </si>
  <si>
    <t>2025-07-11T20:00:00+00:00</t>
  </si>
  <si>
    <t>2025-07-14</t>
  </si>
  <si>
    <t>2025-07-14T13:30:00+00:00</t>
  </si>
  <si>
    <t>2025-07-14T20:00:00+00:00</t>
  </si>
  <si>
    <t>2025-07-15</t>
  </si>
  <si>
    <t>2025-07-15T13:30:00+00:00</t>
  </si>
  <si>
    <t>2025-07-15T20:00:00+00:00</t>
  </si>
  <si>
    <t>2025-07-16</t>
  </si>
  <si>
    <t>2025-07-16T13:30:00+00:00</t>
  </si>
  <si>
    <t>2025-07-16T20:00:00+00:00</t>
  </si>
  <si>
    <t>2025-07-17</t>
  </si>
  <si>
    <t>2025-07-17T13:30:00+00:00</t>
  </si>
  <si>
    <t>2025-07-17T20:00:00+00:00</t>
  </si>
  <si>
    <t>2025-07-18</t>
  </si>
  <si>
    <t>2025-07-18T13:30:00+00:00</t>
  </si>
  <si>
    <t>2025-07-18T20:00:00+00:00</t>
  </si>
  <si>
    <t>2025-07-21</t>
  </si>
  <si>
    <t>2025-07-21T13:30:00+00:00</t>
  </si>
  <si>
    <t>2025-07-21T20:00:00+00:00</t>
  </si>
  <si>
    <t>2025-07-22</t>
  </si>
  <si>
    <t>2025-07-22T13:30:00+00:00</t>
  </si>
  <si>
    <t>2025-07-22T20:00:00+00:00</t>
  </si>
  <si>
    <t>2025-07-23</t>
  </si>
  <si>
    <t>2025-07-23T13:30:00+00:00</t>
  </si>
  <si>
    <t>2025-07-23T20:00:00+00:00</t>
  </si>
  <si>
    <t>2025-07-24</t>
  </si>
  <si>
    <t>2025-07-24T13:30:00+00:00</t>
  </si>
  <si>
    <t>2025-07-24T20:00:00+00:00</t>
  </si>
  <si>
    <t>2025-07-25</t>
  </si>
  <si>
    <t>2025-07-25T13:30:00+00:00</t>
  </si>
  <si>
    <t>2025-07-25T20:00:00+00:00</t>
  </si>
  <si>
    <t>2025-07-28</t>
  </si>
  <si>
    <t>2025-07-28T13:30:00+00:00</t>
  </si>
  <si>
    <t>2025-07-28T20:00:00+00:00</t>
  </si>
  <si>
    <t>2025-07-29</t>
  </si>
  <si>
    <t>2025-07-29T13:30:00+00:00</t>
  </si>
  <si>
    <t>2025-07-29T20:00:00+00:00</t>
  </si>
  <si>
    <t>2025-07-30</t>
  </si>
  <si>
    <t>2025-07-30T13:30:00+00:00</t>
  </si>
  <si>
    <t>2025-07-30T20:00:00+00:00</t>
  </si>
  <si>
    <t>2025-07-31</t>
  </si>
  <si>
    <t>2025-07-31T13:30:00+00:00</t>
  </si>
  <si>
    <t>2025-07-31T20:00:00+00:00</t>
  </si>
  <si>
    <t>2025-08-01</t>
  </si>
  <si>
    <t>2025-08-01T13:30:00+00:00</t>
  </si>
  <si>
    <t>2025-08-01T20:00:00+00:00</t>
  </si>
  <si>
    <t>2025-08-04</t>
  </si>
  <si>
    <t>2025-08-04T13:30:00+00:00</t>
  </si>
  <si>
    <t>2025-08-04T20:00:00+00:00</t>
  </si>
  <si>
    <t>2025-08-05</t>
  </si>
  <si>
    <t>2025-08-05T13:30:00+00:00</t>
  </si>
  <si>
    <t>2025-08-05T20:00:00+00:00</t>
  </si>
  <si>
    <t>2025-08-06</t>
  </si>
  <si>
    <t>2025-08-06T13:30:00+00:00</t>
  </si>
  <si>
    <t>2025-08-06T20:00:00+00:00</t>
  </si>
  <si>
    <t>2025-08-07</t>
  </si>
  <si>
    <t>2025-08-07T13:30:00+00:00</t>
  </si>
  <si>
    <t>2025-08-07T20:00:00+00:00</t>
  </si>
  <si>
    <t>2025-08-08</t>
  </si>
  <si>
    <t>2025-08-08T13:30:00+00:00</t>
  </si>
  <si>
    <t>2025-08-08T20:00:00+00:00</t>
  </si>
  <si>
    <t>2025-08-11</t>
  </si>
  <si>
    <t>2025-08-11T13:30:00+00:00</t>
  </si>
  <si>
    <t>2025-08-11T20:00:00+00:00</t>
  </si>
  <si>
    <t>2025-08-12</t>
  </si>
  <si>
    <t>2025-08-12T13:30:00+00:00</t>
  </si>
  <si>
    <t>2025-08-12T20:00:00+00:00</t>
  </si>
  <si>
    <t>2025-08-13</t>
  </si>
  <si>
    <t>2025-08-13T13:30:00+00:00</t>
  </si>
  <si>
    <t>2025-08-13T20:00:00+00:00</t>
  </si>
  <si>
    <t>2025-08-14</t>
  </si>
  <si>
    <t>2025-08-14T13:30:00+00:00</t>
  </si>
  <si>
    <t>2025-08-14T20:00:00+00:00</t>
  </si>
  <si>
    <t>2025-08-15</t>
  </si>
  <si>
    <t>2025-08-15T13:30:00+00:00</t>
  </si>
  <si>
    <t>2025-08-15T20:00:00+00:00</t>
  </si>
  <si>
    <t>2025-08-18</t>
  </si>
  <si>
    <t>2025-08-18T13:30:00+00:00</t>
  </si>
  <si>
    <t>2025-08-18T20:00:00+00:00</t>
  </si>
  <si>
    <t>2025-08-19</t>
  </si>
  <si>
    <t>2025-08-19T13:30:00+00:00</t>
  </si>
  <si>
    <t>2025-08-19T20:00:00+00:00</t>
  </si>
  <si>
    <t>2025-08-20</t>
  </si>
  <si>
    <t>2025-08-20T13:30:00+00:00</t>
  </si>
  <si>
    <t>2025-08-20T20:00:00+00:00</t>
  </si>
  <si>
    <t>2025-08-21</t>
  </si>
  <si>
    <t>2025-08-21T13:30:00+00:00</t>
  </si>
  <si>
    <t>2025-08-21T20:00:00+00:00</t>
  </si>
  <si>
    <t>2025-08-22</t>
  </si>
  <si>
    <t>2025-08-22T13:30:00+00:00</t>
  </si>
  <si>
    <t>2025-08-22T20:00:00+00:00</t>
  </si>
  <si>
    <t>2025-08-25</t>
  </si>
  <si>
    <t>2025-08-25T13:30:00+00:00</t>
  </si>
  <si>
    <t>2025-08-25T20:00:00+00:00</t>
  </si>
  <si>
    <t>2025-08-26</t>
  </si>
  <si>
    <t>2025-08-26T13:30:00+00:00</t>
  </si>
  <si>
    <t>2025-08-26T20:00:00+00:00</t>
  </si>
  <si>
    <t>2025-08-27</t>
  </si>
  <si>
    <t>2025-08-27T13:30:00+00:00</t>
  </si>
  <si>
    <t>2025-08-27T20:00:00+00:00</t>
  </si>
  <si>
    <t>2025-08-28</t>
  </si>
  <si>
    <t>2025-08-28T13:30:00+00:00</t>
  </si>
  <si>
    <t>2025-08-28T20:00:00+00:00</t>
  </si>
  <si>
    <t>2025-08-29</t>
  </si>
  <si>
    <t>2025-08-29T13:30:00+00:00</t>
  </si>
  <si>
    <t>2025-08-29T20:00:00+00:00</t>
  </si>
  <si>
    <t>2025-09-02</t>
  </si>
  <si>
    <t>2025-09-02T13:30:00+00:00</t>
  </si>
  <si>
    <t>2025-09-02T20:00:00+00:00</t>
  </si>
  <si>
    <t>2025-09-03</t>
  </si>
  <si>
    <t>2025-09-03T13:30:00+00:00</t>
  </si>
  <si>
    <t>2025-09-03T20:00:00+00:00</t>
  </si>
  <si>
    <t>2025-09-04</t>
  </si>
  <si>
    <t>2025-09-04T13:30:00+00:00</t>
  </si>
  <si>
    <t>2025-09-04T20:00:00+00:00</t>
  </si>
  <si>
    <t>2025-09-05</t>
  </si>
  <si>
    <t>2025-09-05T13:30:00+00:00</t>
  </si>
  <si>
    <t>2025-09-05T20:00:00+00:00</t>
  </si>
  <si>
    <t>2025-09-08</t>
  </si>
  <si>
    <t>2025-09-08T13:30:00+00:00</t>
  </si>
  <si>
    <t>2025-09-08T20:00:00+00:00</t>
  </si>
  <si>
    <t>2025-09-09</t>
  </si>
  <si>
    <t>2025-09-09T13:30:00+00:00</t>
  </si>
  <si>
    <t>2025-09-09T20:00:00+00:00</t>
  </si>
  <si>
    <t>2025-09-10</t>
  </si>
  <si>
    <t>2025-09-10T13:30:00+00:00</t>
  </si>
  <si>
    <t>2025-09-10T20:00:00+00:00</t>
  </si>
  <si>
    <t>2025-09-11</t>
  </si>
  <si>
    <t>2025-09-11T13:30:00+00:00</t>
  </si>
  <si>
    <t>2025-09-11T20:00:00+00:00</t>
  </si>
  <si>
    <t>2025-09-12</t>
  </si>
  <si>
    <t>2025-09-12T13:30:00+00:00</t>
  </si>
  <si>
    <t>2025-09-12T20:00:00+00:00</t>
  </si>
  <si>
    <t>2025-09-15</t>
  </si>
  <si>
    <t>2025-09-15T13:30:00+00:00</t>
  </si>
  <si>
    <t>2025-09-15T20:00:00+00:00</t>
  </si>
  <si>
    <t>2025-09-16</t>
  </si>
  <si>
    <t>2025-09-16T13:30:00+00:00</t>
  </si>
  <si>
    <t>2025-09-16T20:00:00+00:00</t>
  </si>
  <si>
    <t>2025-09-17</t>
  </si>
  <si>
    <t>2025-09-17T13:30:00+00:00</t>
  </si>
  <si>
    <t>2025-09-17T20:00:00+00:00</t>
  </si>
  <si>
    <t>2025-09-18</t>
  </si>
  <si>
    <t>2025-09-18T13:30:00+00:00</t>
  </si>
  <si>
    <t>2025-09-18T20:00:00+00:00</t>
  </si>
  <si>
    <t>2025-09-19</t>
  </si>
  <si>
    <t>2025-09-19T13:30:00+00:00</t>
  </si>
  <si>
    <t>2025-09-19T20:00:00+00:00</t>
  </si>
  <si>
    <t>2025-09-22</t>
  </si>
  <si>
    <t>2025-09-22T13:30:00+00:00</t>
  </si>
  <si>
    <t>2025-09-22T20:00:00+00:00</t>
  </si>
  <si>
    <t>2025-09-23</t>
  </si>
  <si>
    <t>2025-09-23T13:30:00+00:00</t>
  </si>
  <si>
    <t>2025-09-23T20:00:00+00:00</t>
  </si>
  <si>
    <t>2025-09-24</t>
  </si>
  <si>
    <t>2025-09-24T13:30:00+00:00</t>
  </si>
  <si>
    <t>2025-09-24T20:00:00+00:00</t>
  </si>
  <si>
    <t>2025-09-25</t>
  </si>
  <si>
    <t>2025-09-25T13:30:00+00:00</t>
  </si>
  <si>
    <t>2025-09-25T20:00:00+00:00</t>
  </si>
  <si>
    <t>2025-09-26</t>
  </si>
  <si>
    <t>2025-09-26T13:30:00+00:00</t>
  </si>
  <si>
    <t>2025-09-26T20:00:00+00:00</t>
  </si>
  <si>
    <t>2025-09-29</t>
  </si>
  <si>
    <t>2025-09-29T13:30:00+00:00</t>
  </si>
  <si>
    <t>2025-09-29T20:00:00+00:00</t>
  </si>
  <si>
    <t>2025-09-30</t>
  </si>
  <si>
    <t>2025-09-30T13:30:00+00:00</t>
  </si>
  <si>
    <t>2025-09-30T20:00:00+00:00</t>
  </si>
  <si>
    <t>2025-10-01</t>
  </si>
  <si>
    <t>2025-10-01T13:30:00+00:00</t>
  </si>
  <si>
    <t>2025-10-01T20:00:00+00:00</t>
  </si>
  <si>
    <t>2025-10-02</t>
  </si>
  <si>
    <t>2025-10-02T13:30:00+00:00</t>
  </si>
  <si>
    <t>2025-10-02T20:00:00+00:00</t>
  </si>
  <si>
    <t>2025-10-03</t>
  </si>
  <si>
    <t>2025-10-03T13:30:00+00:00</t>
  </si>
  <si>
    <t>2025-10-03T20:00:00+00:00</t>
  </si>
  <si>
    <t>2025-10-06</t>
  </si>
  <si>
    <t>2025-10-06T13:30:00+00:00</t>
  </si>
  <si>
    <t>2025-10-06T20:00:00+00:00</t>
  </si>
  <si>
    <t>2025-10-07</t>
  </si>
  <si>
    <t>2025-10-07T13:30:00+00:00</t>
  </si>
  <si>
    <t>2025-10-07T20:00:00+00:00</t>
  </si>
  <si>
    <t>2025-10-08</t>
  </si>
  <si>
    <t>2025-10-08T13:30:00+00:00</t>
  </si>
  <si>
    <t>2025-10-08T20:00:00+00:00</t>
  </si>
  <si>
    <t>2025-10-09</t>
  </si>
  <si>
    <t>2025-10-09T13:30:00+00:00</t>
  </si>
  <si>
    <t>2025-10-09T20:00:00+00:00</t>
  </si>
  <si>
    <t>2025-10-10</t>
  </si>
  <si>
    <t>2025-10-10T13:30:00+00:00</t>
  </si>
  <si>
    <t>2025-10-10T20:00:00+00:00</t>
  </si>
  <si>
    <t>2025-10-13</t>
  </si>
  <si>
    <t>2025-10-13T13:30:00+00:00</t>
  </si>
  <si>
    <t>2025-10-13T20:00:00+00:00</t>
  </si>
  <si>
    <t>2025-10-14</t>
  </si>
  <si>
    <t>2025-10-14T13:30:00+00:00</t>
  </si>
  <si>
    <t>2025-10-14T20:00:00+00:00</t>
  </si>
  <si>
    <t>2025-10-15</t>
  </si>
  <si>
    <t>2025-10-15T13:30:00+00:00</t>
  </si>
  <si>
    <t>2025-10-15T20:00:00+00:00</t>
  </si>
  <si>
    <t>2025-10-16</t>
  </si>
  <si>
    <t>2025-10-16T13:30:00+00:00</t>
  </si>
  <si>
    <t>2025-10-16T20:00:00+00:00</t>
  </si>
  <si>
    <t>2025-10-17</t>
  </si>
  <si>
    <t>2025-10-17T13:30:00+00:00</t>
  </si>
  <si>
    <t>2025-10-17T20:00:00+00:00</t>
  </si>
  <si>
    <t>2025-10-20</t>
  </si>
  <si>
    <t>2025-10-20T13:30:00+00:00</t>
  </si>
  <si>
    <t>2025-10-20T20:00:00+00:00</t>
  </si>
  <si>
    <t>2025-10-21</t>
  </si>
  <si>
    <t>2025-10-21T13:30:00+00:00</t>
  </si>
  <si>
    <t>2025-10-21T20:00:00+00:00</t>
  </si>
  <si>
    <t>2025-10-22</t>
  </si>
  <si>
    <t>2025-10-22T13:30:00+00:00</t>
  </si>
  <si>
    <t>2025-10-22T20:00:00+00:00</t>
  </si>
  <si>
    <t>2025-10-23</t>
  </si>
  <si>
    <t>2025-10-23T13:30:00+00:00</t>
  </si>
  <si>
    <t>2025-10-23T20:00:00+00:00</t>
  </si>
  <si>
    <t>2025-10-24</t>
  </si>
  <si>
    <t>2025-10-24T13:30:00+00:00</t>
  </si>
  <si>
    <t>2025-10-24T20:00:00+00:00</t>
  </si>
  <si>
    <t>2025-10-27</t>
  </si>
  <si>
    <t>2025-10-27T13:30:00+00:00</t>
  </si>
  <si>
    <t>2025-10-27T20:00:00+00:00</t>
  </si>
  <si>
    <t>2025-10-28</t>
  </si>
  <si>
    <t>2025-10-28T13:30:00+00:00</t>
  </si>
  <si>
    <t>2025-10-28T20:00:00+00:00</t>
  </si>
  <si>
    <t>2025-10-29</t>
  </si>
  <si>
    <t>2025-10-29T13:30:00+00:00</t>
  </si>
  <si>
    <t>2025-10-29T20:00:00+00:00</t>
  </si>
  <si>
    <t>2025-10-30</t>
  </si>
  <si>
    <t>2025-10-30T13:30:00+00:00</t>
  </si>
  <si>
    <t>2025-10-30T20:00:00+00:00</t>
  </si>
  <si>
    <t>2025-10-31</t>
  </si>
  <si>
    <t>2025-10-31T13:30:00+00:00</t>
  </si>
  <si>
    <t>2025-10-31T20:00:00+00:00</t>
  </si>
  <si>
    <t>2025-11-03</t>
  </si>
  <si>
    <t>2025-11-03T14:30:00+00:00</t>
  </si>
  <si>
    <t>2025-11-03T21:00:00+00:00</t>
  </si>
  <si>
    <t>2025-11-04</t>
  </si>
  <si>
    <t>2025-11-04T14:30:00+00:00</t>
  </si>
  <si>
    <t>2025-11-04T21:00:00+00:00</t>
  </si>
  <si>
    <t>2025-11-05</t>
  </si>
  <si>
    <t>2025-11-05T14:30:00+00:00</t>
  </si>
  <si>
    <t>2025-11-05T21:00:00+00:00</t>
  </si>
  <si>
    <t>2025-11-06</t>
  </si>
  <si>
    <t>2025-11-06T14:30:00+00:00</t>
  </si>
  <si>
    <t>2025-11-06T21:00:00+00:00</t>
  </si>
  <si>
    <t>2025-11-07</t>
  </si>
  <si>
    <t>2025-11-07T14:30:00+00:00</t>
  </si>
  <si>
    <t>2025-11-07T21:00:00+00:00</t>
  </si>
  <si>
    <t>2025-11-10</t>
  </si>
  <si>
    <t>2025-11-10T14:30:00+00:00</t>
  </si>
  <si>
    <t>2025-11-10T21:00:00+00:00</t>
  </si>
  <si>
    <t>2025-11-11</t>
  </si>
  <si>
    <t>2025-11-11T14:30:00+00:00</t>
  </si>
  <si>
    <t>2025-11-11T21:00:00+00:00</t>
  </si>
  <si>
    <t>2025-11-12</t>
  </si>
  <si>
    <t>2025-11-12T14:30:00+00:00</t>
  </si>
  <si>
    <t>2025-11-12T21:00:00+00:00</t>
  </si>
  <si>
    <t>2025-11-13</t>
  </si>
  <si>
    <t>2025-11-13T14:30:00+00:00</t>
  </si>
  <si>
    <t>2025-11-13T21:00:00+00:00</t>
  </si>
  <si>
    <t>2025-11-14</t>
  </si>
  <si>
    <t>2025-11-14T14:30:00+00:00</t>
  </si>
  <si>
    <t>2025-11-14T21:00:00+00:00</t>
  </si>
  <si>
    <t>2025-11-17</t>
  </si>
  <si>
    <t>2025-11-17T14:30:00+00:00</t>
  </si>
  <si>
    <t>2025-11-17T21:00:00+00:00</t>
  </si>
  <si>
    <t>2025-11-18</t>
  </si>
  <si>
    <t>2025-11-18T14:30:00+00:00</t>
  </si>
  <si>
    <t>2025-11-18T21:00:00+00:00</t>
  </si>
  <si>
    <t>2025-11-19</t>
  </si>
  <si>
    <t>2025-11-19T14:30:00+00:00</t>
  </si>
  <si>
    <t>2025-11-19T21:00:00+00:00</t>
  </si>
  <si>
    <t>2025-11-20</t>
  </si>
  <si>
    <t>2025-11-20T14:30:00+00:00</t>
  </si>
  <si>
    <t>2025-11-20T21:00:00+00:00</t>
  </si>
  <si>
    <t>2025-11-21</t>
  </si>
  <si>
    <t>2025-11-21T14:30:00+00:00</t>
  </si>
  <si>
    <t>2025-11-21T21:00:00+00:00</t>
  </si>
  <si>
    <t>2025-11-24</t>
  </si>
  <si>
    <t>2025-11-24T14:30:00+00:00</t>
  </si>
  <si>
    <t>2025-11-24T21:00:00+00:00</t>
  </si>
  <si>
    <t>2025-11-25</t>
  </si>
  <si>
    <t>2025-11-25T14:30:00+00:00</t>
  </si>
  <si>
    <t>2025-11-25T21:00:00+00:00</t>
  </si>
  <si>
    <t>2025-11-26</t>
  </si>
  <si>
    <t>2025-11-26T14:30:00+00:00</t>
  </si>
  <si>
    <t>2025-11-26T21:00:00+00:00</t>
  </si>
  <si>
    <t>2025-11-28</t>
  </si>
  <si>
    <t>2025-11-28T14:30:00+00:00</t>
  </si>
  <si>
    <t>2025-11-28T18:00:00+00:00</t>
  </si>
  <si>
    <t>2025-12-01</t>
  </si>
  <si>
    <t>2025-12-01T14:30:00+00:00</t>
  </si>
  <si>
    <t>2025-12-01T21:00:00+00:00</t>
  </si>
  <si>
    <t>2025-12-02</t>
  </si>
  <si>
    <t>2025-12-02T14:30:00+00:00</t>
  </si>
  <si>
    <t>2025-12-02T21:00:00+00:00</t>
  </si>
  <si>
    <t>2025-12-03</t>
  </si>
  <si>
    <t>2025-12-03T14:30:00+00:00</t>
  </si>
  <si>
    <t>2025-12-03T21:00:00+00:00</t>
  </si>
  <si>
    <t>2025-12-04</t>
  </si>
  <si>
    <t>2025-12-04T14:30:00+00:00</t>
  </si>
  <si>
    <t>2025-12-04T21:00:00+00:00</t>
  </si>
  <si>
    <t>2025-12-05</t>
  </si>
  <si>
    <t>2025-12-05T14:30:00+00:00</t>
  </si>
  <si>
    <t>2025-12-05T21:00:00+00:00</t>
  </si>
  <si>
    <t>2025-12-08</t>
  </si>
  <si>
    <t>2025-12-08T14:30:00+00:00</t>
  </si>
  <si>
    <t>2025-12-08T21:00:00+00:00</t>
  </si>
  <si>
    <t>2025-12-09</t>
  </si>
  <si>
    <t>2025-12-09T14:30:00+00:00</t>
  </si>
  <si>
    <t>2025-12-09T21:00:00+00:00</t>
  </si>
  <si>
    <t>2025-12-10</t>
  </si>
  <si>
    <t>2025-12-10T14:30:00+00:00</t>
  </si>
  <si>
    <t>2025-12-10T21:00:00+00:00</t>
  </si>
  <si>
    <t>2025-12-11</t>
  </si>
  <si>
    <t>2025-12-11T14:30:00+00:00</t>
  </si>
  <si>
    <t>2025-12-11T21:00:00+00:00</t>
  </si>
  <si>
    <t>2025-12-12</t>
  </si>
  <si>
    <t>2025-12-12T14:30:00+00:00</t>
  </si>
  <si>
    <t>2025-12-12T21:00:00+00:00</t>
  </si>
  <si>
    <t>2025-12-15</t>
  </si>
  <si>
    <t>2025-12-15T14:30:00+00:00</t>
  </si>
  <si>
    <t>2025-12-15T21:00:00+00:00</t>
  </si>
  <si>
    <t>2025-12-16</t>
  </si>
  <si>
    <t>2025-12-16T14:30:00+00:00</t>
  </si>
  <si>
    <t>2025-12-16T21:00:00+00:00</t>
  </si>
  <si>
    <t>2025-12-17</t>
  </si>
  <si>
    <t>2025-12-17T14:30:00+00:00</t>
  </si>
  <si>
    <t>2025-12-17T21:00:00+00:00</t>
  </si>
  <si>
    <t>2025-12-18</t>
  </si>
  <si>
    <t>2025-12-18T14:30:00+00:00</t>
  </si>
  <si>
    <t>2025-12-18T21:00:00+00:00</t>
  </si>
  <si>
    <t>2025-12-19</t>
  </si>
  <si>
    <t>2025-12-19T14:30:00+00:00</t>
  </si>
  <si>
    <t>2025-12-19T21:00:00+00:00</t>
  </si>
  <si>
    <t>2025-12-22</t>
  </si>
  <si>
    <t>2025-12-22T14:30:00+00:00</t>
  </si>
  <si>
    <t>2025-12-22T21:00:00+00:00</t>
  </si>
  <si>
    <t>2025-12-23</t>
  </si>
  <si>
    <t>2025-12-23T14:30:00+00:00</t>
  </si>
  <si>
    <t>2025-12-23T21:00:00+00:00</t>
  </si>
  <si>
    <t>2025-12-24</t>
  </si>
  <si>
    <t>2025-12-24T14:30:00+00:00</t>
  </si>
  <si>
    <t>2025-12-24T18:00:00+00:00</t>
  </si>
  <si>
    <t>2025-12-26</t>
  </si>
  <si>
    <t>2025-12-26T14:30:00+00:00</t>
  </si>
  <si>
    <t>2025-12-26T21:00:00+00:00</t>
  </si>
  <si>
    <t>2025-12-29</t>
  </si>
  <si>
    <t>2025-12-29T14:30:00+00:00</t>
  </si>
  <si>
    <t>2025-12-29T21:00:00+00:00</t>
  </si>
  <si>
    <t>2025-12-30</t>
  </si>
  <si>
    <t>2025-12-30T14:30:00+00:00</t>
  </si>
  <si>
    <t>2025-12-30T21:00:00+00:00</t>
  </si>
  <si>
    <t>2025-12-31</t>
  </si>
  <si>
    <t>2025-12-31T14:30:00+00:00</t>
  </si>
  <si>
    <t>2025-12-31T21:00:00+00:00</t>
  </si>
  <si>
    <t>2026-01-02</t>
  </si>
  <si>
    <t>2026-01-02T14:30:00+00:00</t>
  </si>
  <si>
    <t>2026-01-02T21:00:00+00:00</t>
  </si>
  <si>
    <t>2026-01-05</t>
  </si>
  <si>
    <t>2026-01-05T14:30:00+00:00</t>
  </si>
  <si>
    <t>2026-01-05T21:00:00+00:00</t>
  </si>
  <si>
    <t>2026-01-06</t>
  </si>
  <si>
    <t>2026-01-06T14:30:00+00:00</t>
  </si>
  <si>
    <t>2026-01-06T21:00:00+00:00</t>
  </si>
  <si>
    <t>2026-01-07</t>
  </si>
  <si>
    <t>2026-01-07T14:30:00+00:00</t>
  </si>
  <si>
    <t>2026-01-07T21:00:00+00:00</t>
  </si>
  <si>
    <t>2026-01-08</t>
  </si>
  <si>
    <t>2026-01-08T14:30:00+00:00</t>
  </si>
  <si>
    <t>2026-01-08T21:00:00+00:00</t>
  </si>
  <si>
    <t>2026-01-09</t>
  </si>
  <si>
    <t>2026-01-09T14:30:00+00:00</t>
  </si>
  <si>
    <t>2026-01-09T21:00:00+00:00</t>
  </si>
  <si>
    <t>2026-01-12</t>
  </si>
  <si>
    <t>2026-01-12T14:30:00+00:00</t>
  </si>
  <si>
    <t>2026-01-12T21:00:00+00:00</t>
  </si>
  <si>
    <t>2026-01-13</t>
  </si>
  <si>
    <t>2026-01-13T14:30:00+00:00</t>
  </si>
  <si>
    <t>2026-01-13T21:00:00+00:00</t>
  </si>
  <si>
    <t>2026-01-14</t>
  </si>
  <si>
    <t>2026-01-14T14:30:00+00:00</t>
  </si>
  <si>
    <t>2026-01-14T21:00:00+00:00</t>
  </si>
  <si>
    <t>2026-01-15</t>
  </si>
  <si>
    <t>2026-01-15T14:30:00+00:00</t>
  </si>
  <si>
    <t>2026-01-15T21:00:00+00:00</t>
  </si>
  <si>
    <t>2026-01-16</t>
  </si>
  <si>
    <t>2026-01-16T14:30:00+00:00</t>
  </si>
  <si>
    <t>2026-01-16T21:00:00+00:00</t>
  </si>
  <si>
    <t>2026-01-20</t>
  </si>
  <si>
    <t>2026-01-20T14:30:00+00:00</t>
  </si>
  <si>
    <t>2026-01-20T21:00:00+00:00</t>
  </si>
  <si>
    <t>2026-01-21</t>
  </si>
  <si>
    <t>2026-01-21T14:30:00+00:00</t>
  </si>
  <si>
    <t>2026-01-21T21:00:00+00:00</t>
  </si>
  <si>
    <t>2026-01-22</t>
  </si>
  <si>
    <t>2026-01-22T14:30:00+00:00</t>
  </si>
  <si>
    <t>2026-01-22T21:00:00+00:00</t>
  </si>
  <si>
    <t>2026-01-23</t>
  </si>
  <si>
    <t>2026-01-23T14:30:00+00:00</t>
  </si>
  <si>
    <t>2026-01-23T21:00:00+00:00</t>
  </si>
  <si>
    <t>2026-01-26</t>
  </si>
  <si>
    <t>2026-01-26T14:30:00+00:00</t>
  </si>
  <si>
    <t>2026-01-26T21:00:00+00:00</t>
  </si>
  <si>
    <t>2026-01-27</t>
  </si>
  <si>
    <t>2026-01-27T14:30:00+00:00</t>
  </si>
  <si>
    <t>2026-01-27T21:00:00+00:00</t>
  </si>
  <si>
    <t>2026-01-28</t>
  </si>
  <si>
    <t>2026-01-28T14:30:00+00:00</t>
  </si>
  <si>
    <t>2026-01-28T21:00:00+00:00</t>
  </si>
  <si>
    <t>2026-01-29</t>
  </si>
  <si>
    <t>2026-01-29T14:30:00+00:00</t>
  </si>
  <si>
    <t>2026-01-29T21:00:00+00:00</t>
  </si>
  <si>
    <t>2026-01-30</t>
  </si>
  <si>
    <t>2026-01-30T14:30:00+00:00</t>
  </si>
  <si>
    <t>2026-01-30T21:00:00+00:00</t>
  </si>
  <si>
    <t>2026-02-02</t>
  </si>
  <si>
    <t>2026-02-02T14:30:00+00:00</t>
  </si>
  <si>
    <t>2026-02-02T21:00:00+00:00</t>
  </si>
  <si>
    <t>2026-02-03</t>
  </si>
  <si>
    <t>2026-02-03T14:30:00+00:00</t>
  </si>
  <si>
    <t>2026-02-03T21:00:00+00:00</t>
  </si>
  <si>
    <t>2026-02-04</t>
  </si>
  <si>
    <t>2026-02-04T14:30:00+00:00</t>
  </si>
  <si>
    <t>2026-02-04T21:00:00+00:00</t>
  </si>
  <si>
    <t>2026-02-05</t>
  </si>
  <si>
    <t>2026-02-05T14:30:00+00:00</t>
  </si>
  <si>
    <t>2026-02-05T21:00:00+00:00</t>
  </si>
  <si>
    <t>2026-02-06</t>
  </si>
  <si>
    <t>2026-02-06T14:30:00+00:00</t>
  </si>
  <si>
    <t>2026-02-06T21:00:00+00:00</t>
  </si>
  <si>
    <t>2026-02-09</t>
  </si>
  <si>
    <t>2026-02-09T14:30:00+00:00</t>
  </si>
  <si>
    <t>2026-02-09T21:00:00+00:00</t>
  </si>
  <si>
    <t>2026-02-10</t>
  </si>
  <si>
    <t>2026-02-10T14:30:00+00:00</t>
  </si>
  <si>
    <t>2026-02-10T21:00:00+00:00</t>
  </si>
  <si>
    <t>2026-02-11</t>
  </si>
  <si>
    <t>2026-02-11T14:30:00+00:00</t>
  </si>
  <si>
    <t>2026-02-11T21:00:00+00:00</t>
  </si>
  <si>
    <t>2026-02-12</t>
  </si>
  <si>
    <t>2026-02-12T14:30:00+00:00</t>
  </si>
  <si>
    <t>2026-02-12T21:00:00+00:00</t>
  </si>
  <si>
    <t>2026-02-13</t>
  </si>
  <si>
    <t>2026-02-13T14:30:00+00:00</t>
  </si>
  <si>
    <t>2026-02-13T21:00:00+00:00</t>
  </si>
  <si>
    <t>2026-02-17</t>
  </si>
  <si>
    <t>2026-02-17T14:30:00+00:00</t>
  </si>
  <si>
    <t>2026-02-17T21:00:00+00:00</t>
  </si>
  <si>
    <t>2026-02-18</t>
  </si>
  <si>
    <t>2026-02-18T14:30:00+00:00</t>
  </si>
  <si>
    <t>2026-02-18T21:00:00+00:00</t>
  </si>
  <si>
    <t>2026-02-19</t>
  </si>
  <si>
    <t>2026-02-19T14:30:00+00:00</t>
  </si>
  <si>
    <t>2026-02-19T21:00:00+00:00</t>
  </si>
  <si>
    <t>2026-02-20</t>
  </si>
  <si>
    <t>2026-02-20T14:30:00+00:00</t>
  </si>
  <si>
    <t>2026-02-20T21:00:00+00:00</t>
  </si>
  <si>
    <t>2026-02-23</t>
  </si>
  <si>
    <t>2026-02-23T14:30:00+00:00</t>
  </si>
  <si>
    <t>2026-02-23T21:00:00+00:00</t>
  </si>
  <si>
    <t>2026-02-24</t>
  </si>
  <si>
    <t>2026-02-24T14:30:00+00:00</t>
  </si>
  <si>
    <t>2026-02-24T21:00:00+00:00</t>
  </si>
  <si>
    <t>2026-02-25</t>
  </si>
  <si>
    <t>2026-02-25T14:30:00+00:00</t>
  </si>
  <si>
    <t>2026-02-25T21:00:00+00:00</t>
  </si>
  <si>
    <t>2026-02-26</t>
  </si>
  <si>
    <t>2026-02-26T14:30:00+00:00</t>
  </si>
  <si>
    <t>2026-02-26T21:00:00+00:00</t>
  </si>
  <si>
    <t>2026-02-27</t>
  </si>
  <si>
    <t>2026-02-27T14:30:00+00:00</t>
  </si>
  <si>
    <t>2026-02-27T21:00:00+00:00</t>
  </si>
  <si>
    <t>2026-03-02</t>
  </si>
  <si>
    <t>2026-03-02T14:30:00+00:00</t>
  </si>
  <si>
    <t>2026-03-02T21:00:00+00:00</t>
  </si>
  <si>
    <t>2026-03-03</t>
  </si>
  <si>
    <t>2026-03-03T14:30:00+00:00</t>
  </si>
  <si>
    <t>2026-03-03T21:00:00+00:00</t>
  </si>
  <si>
    <t>2026-03-04</t>
  </si>
  <si>
    <t>2026-03-04T14:30:00+00:00</t>
  </si>
  <si>
    <t>2026-03-04T21:00:00+00:00</t>
  </si>
  <si>
    <t>2026-03-05</t>
  </si>
  <si>
    <t>2026-03-05T14:30:00+00:00</t>
  </si>
  <si>
    <t>2026-03-05T21:00:00+00:00</t>
  </si>
  <si>
    <t>2026-03-06</t>
  </si>
  <si>
    <t>2026-03-06T14:30:00+00:00</t>
  </si>
  <si>
    <t>2026-03-06T21:00:00+00:00</t>
  </si>
  <si>
    <t>2026-03-09</t>
  </si>
  <si>
    <t>2026-03-09T13:30:00+00:00</t>
  </si>
  <si>
    <t>2026-03-09T20:00:00+00:00</t>
  </si>
  <si>
    <t>2026-03-10</t>
  </si>
  <si>
    <t>2026-03-10T13:30:00+00:00</t>
  </si>
  <si>
    <t>2026-03-10T20:00:00+00:00</t>
  </si>
  <si>
    <t>2026-03-11</t>
  </si>
  <si>
    <t>2026-03-11T13:30:00+00:00</t>
  </si>
  <si>
    <t>2026-03-11T20:00:00+00:00</t>
  </si>
  <si>
    <t>2026-03-12</t>
  </si>
  <si>
    <t>2026-03-12T13:30:00+00:00</t>
  </si>
  <si>
    <t>2026-03-12T20:00:00+00:00</t>
  </si>
  <si>
    <t>2026-03-13</t>
  </si>
  <si>
    <t>2026-03-13T13:30:00+00:00</t>
  </si>
  <si>
    <t>2026-03-13T20:00:00+00:00</t>
  </si>
  <si>
    <t>2026-03-16</t>
  </si>
  <si>
    <t>2026-03-16T13:30:00+00:00</t>
  </si>
  <si>
    <t>2026-03-16T20:00:00+00:00</t>
  </si>
  <si>
    <t>2026-03-17</t>
  </si>
  <si>
    <t>2026-03-17T13:30:00+00:00</t>
  </si>
  <si>
    <t>2026-03-17T20:00:00+00:00</t>
  </si>
  <si>
    <t>2026-03-18</t>
  </si>
  <si>
    <t>2026-03-18T13:30:00+00:00</t>
  </si>
  <si>
    <t>2026-03-18T20:00:00+00:00</t>
  </si>
  <si>
    <t>2026-03-19</t>
  </si>
  <si>
    <t>2026-03-19T13:30:00+00:00</t>
  </si>
  <si>
    <t>2026-03-19T20:00:00+00:00</t>
  </si>
  <si>
    <t>2026-03-20</t>
  </si>
  <si>
    <t>2026-03-20T13:30:00+00:00</t>
  </si>
  <si>
    <t>2026-03-20T20:00:00+00:00</t>
  </si>
  <si>
    <t>2026-03-23</t>
  </si>
  <si>
    <t>2026-03-23T13:30:00+00:00</t>
  </si>
  <si>
    <t>2026-03-23T20:00:00+00:00</t>
  </si>
  <si>
    <t>2026-03-24</t>
  </si>
  <si>
    <t>2026-03-24T13:30:00+00:00</t>
  </si>
  <si>
    <t>2026-03-24T20:00:00+00:00</t>
  </si>
  <si>
    <t>2026-03-25</t>
  </si>
  <si>
    <t>2026-03-25T13:30:00+00:00</t>
  </si>
  <si>
    <t>2026-03-25T20:00:00+00:00</t>
  </si>
  <si>
    <t>2026-03-26</t>
  </si>
  <si>
    <t>2026-03-26T13:30:00+00:00</t>
  </si>
  <si>
    <t>2026-03-26T20:00:00+00:00</t>
  </si>
  <si>
    <t>2026-03-27</t>
  </si>
  <si>
    <t>2026-03-27T13:30:00+00:00</t>
  </si>
  <si>
    <t>2026-03-27T20:00:00+00:00</t>
  </si>
  <si>
    <t>2026-03-30</t>
  </si>
  <si>
    <t>2026-03-30T13:30:00+00:00</t>
  </si>
  <si>
    <t>2026-03-30T20:00:00+00:00</t>
  </si>
  <si>
    <t>2026-03-31</t>
  </si>
  <si>
    <t>2026-03-31T13:30:00+00:00</t>
  </si>
  <si>
    <t>2026-03-31T20:00:00+00:00</t>
  </si>
  <si>
    <t>2026-04-01</t>
  </si>
  <si>
    <t>2026-04-01T13:30:00+00:00</t>
  </si>
  <si>
    <t>2026-04-01T20:00:00+00:00</t>
  </si>
  <si>
    <t>2026-04-02</t>
  </si>
  <si>
    <t>2026-04-02T13:30:00+00:00</t>
  </si>
  <si>
    <t>2026-04-02T20:00:00+00:00</t>
  </si>
  <si>
    <t>2026-04-06</t>
  </si>
  <si>
    <t>2026-04-06T13:30:00+00:00</t>
  </si>
  <si>
    <t>2026-04-06T20:00:00+00:00</t>
  </si>
  <si>
    <t>2026-04-07</t>
  </si>
  <si>
    <t>2026-04-07T13:30:00+00:00</t>
  </si>
  <si>
    <t>2026-04-07T20:00:00+00:00</t>
  </si>
  <si>
    <t>2026-04-08</t>
  </si>
  <si>
    <t>2026-04-08T13:30:00+00:00</t>
  </si>
  <si>
    <t>2026-04-08T20:00:00+00:00</t>
  </si>
  <si>
    <t>2026-04-09</t>
  </si>
  <si>
    <t>2026-04-09T13:30:00+00:00</t>
  </si>
  <si>
    <t>2026-04-09T20:00:00+00:00</t>
  </si>
  <si>
    <t>2026-04-10</t>
  </si>
  <si>
    <t>2026-04-10T13:30:00+00:00</t>
  </si>
  <si>
    <t>2026-04-10T20:00:00+00:00</t>
  </si>
  <si>
    <t>2026-04-13</t>
  </si>
  <si>
    <t>2026-04-13T13:30:00+00:00</t>
  </si>
  <si>
    <t>2026-04-13T20:00:00+00:00</t>
  </si>
  <si>
    <t>2026-04-14</t>
  </si>
  <si>
    <t>2026-04-14T13:30:00+00:00</t>
  </si>
  <si>
    <t>2026-04-14T20:00:00+00:00</t>
  </si>
  <si>
    <t>2026-04-15</t>
  </si>
  <si>
    <t>2026-04-15T13:30:00+00:00</t>
  </si>
  <si>
    <t>2026-04-15T20:00:00+00:00</t>
  </si>
  <si>
    <t>2026-04-16</t>
  </si>
  <si>
    <t>2026-04-16T13:30:00+00:00</t>
  </si>
  <si>
    <t>2026-04-16T20:00:00+00:00</t>
  </si>
  <si>
    <t>2026-04-17</t>
  </si>
  <si>
    <t>2026-04-17T13:30:00+00:00</t>
  </si>
  <si>
    <t>2026-04-17T20:00:00+00:00</t>
  </si>
  <si>
    <t>2026-04-20</t>
  </si>
  <si>
    <t>2026-04-20T13:30:00+00:00</t>
  </si>
  <si>
    <t>2026-04-20T20:00:00+00:00</t>
  </si>
  <si>
    <t>2026-04-21</t>
  </si>
  <si>
    <t>2026-04-21T13:30:00+00:00</t>
  </si>
  <si>
    <t>2026-04-21T20:00:00+00:00</t>
  </si>
  <si>
    <t>2026-04-22</t>
  </si>
  <si>
    <t>2026-04-22T13:30:00+00:00</t>
  </si>
  <si>
    <t>2026-04-22T20:00:00+00:00</t>
  </si>
  <si>
    <t>2026-04-23</t>
  </si>
  <si>
    <t>2026-04-23T13:30:00+00:00</t>
  </si>
  <si>
    <t>2026-04-23T20:00:00+00:00</t>
  </si>
  <si>
    <t>2026-04-24</t>
  </si>
  <si>
    <t>2026-04-24T13:30:00+00:00</t>
  </si>
  <si>
    <t>2026-04-24T20:00:00+00:00</t>
  </si>
  <si>
    <t>2026-04-27</t>
  </si>
  <si>
    <t>2026-04-27T13:30:00+00:00</t>
  </si>
  <si>
    <t>2026-04-27T20:00:00+00:00</t>
  </si>
  <si>
    <t>2026-04-28</t>
  </si>
  <si>
    <t>2026-04-28T13:30:00+00:00</t>
  </si>
  <si>
    <t>2026-04-28T20:00:00+00:00</t>
  </si>
  <si>
    <t>2026-04-29</t>
  </si>
  <si>
    <t>2026-04-29T13:30:00+00:00</t>
  </si>
  <si>
    <t>2026-04-29T20:00:00+00:00</t>
  </si>
  <si>
    <t>2026-04-30</t>
  </si>
  <si>
    <t>2026-04-30T13:30:00+00:00</t>
  </si>
  <si>
    <t>2026-04-30T20:00:00+00:00</t>
  </si>
  <si>
    <t>2026-05-01</t>
  </si>
  <si>
    <t>2026-05-01T13:30:00+00:00</t>
  </si>
  <si>
    <t>2026-05-01T20:00:00+00:00</t>
  </si>
  <si>
    <t>2026-05-04</t>
  </si>
  <si>
    <t>2026-05-04T13:30:00+00:00</t>
  </si>
  <si>
    <t>2026-05-04T20:00:00+00:00</t>
  </si>
  <si>
    <t>2026-05-05</t>
  </si>
  <si>
    <t>2026-05-05T13:30:00+00:00</t>
  </si>
  <si>
    <t>2026-05-05T20:00:00+00:00</t>
  </si>
  <si>
    <t>2026-05-06</t>
  </si>
  <si>
    <t>2026-05-06T13:30:00+00:00</t>
  </si>
  <si>
    <t>2026-05-06T20:00:00+00:00</t>
  </si>
  <si>
    <t>2026-05-07</t>
  </si>
  <si>
    <t>2026-05-07T13:30:00+00:00</t>
  </si>
  <si>
    <t>2026-05-07T20:00:00+00:00</t>
  </si>
  <si>
    <t>2026-05-08</t>
  </si>
  <si>
    <t>2026-05-08T13:30:00+00:00</t>
  </si>
  <si>
    <t>2026-05-08T20:00:00+00:00</t>
  </si>
  <si>
    <t>2026-05-11</t>
  </si>
  <si>
    <t>2026-05-11T13:30:00+00:00</t>
  </si>
  <si>
    <t>2026-05-11T20:00:00+00:00</t>
  </si>
  <si>
    <t>2026-05-12</t>
  </si>
  <si>
    <t>2026-05-12T13:30:00+00:00</t>
  </si>
  <si>
    <t>2026-05-12T20:00:00+00:00</t>
  </si>
  <si>
    <t>2026-05-13</t>
  </si>
  <si>
    <t>2026-05-13T13:30:00+00:00</t>
  </si>
  <si>
    <t>2026-05-13T20:00:00+00:00</t>
  </si>
  <si>
    <t>2026-05-14</t>
  </si>
  <si>
    <t>2026-05-14T13:30:00+00:00</t>
  </si>
  <si>
    <t>2026-05-14T20:00:00+00:00</t>
  </si>
  <si>
    <t>2026-05-15</t>
  </si>
  <si>
    <t>2026-05-15T13:30:00+00:00</t>
  </si>
  <si>
    <t>2026-05-15T20:00:00+00:00</t>
  </si>
  <si>
    <t>2026-05-18</t>
  </si>
  <si>
    <t>2026-05-18T13:30:00+00:00</t>
  </si>
  <si>
    <t>2026-05-18T20:00:00+00:00</t>
  </si>
  <si>
    <t>2026-05-19</t>
  </si>
  <si>
    <t>2026-05-19T13:30:00+00:00</t>
  </si>
  <si>
    <t>2026-05-19T20:00:00+00:00</t>
  </si>
  <si>
    <t>2026-05-20</t>
  </si>
  <si>
    <t>2026-05-20T13:30:00+00:00</t>
  </si>
  <si>
    <t>2026-05-20T20:00:00+00:00</t>
  </si>
  <si>
    <t>2026-05-21</t>
  </si>
  <si>
    <t>2026-05-21T13:30:00+00:00</t>
  </si>
  <si>
    <t>2026-05-21T20:00:00+00:00</t>
  </si>
  <si>
    <t>2026-05-22</t>
  </si>
  <si>
    <t>2026-05-22T13:30:00+00:00</t>
  </si>
  <si>
    <t>2026-05-22T20:00:00+00:00</t>
  </si>
  <si>
    <t>2026-05-26</t>
  </si>
  <si>
    <t>2026-05-26T13:30:00+00:00</t>
  </si>
  <si>
    <t>2026-05-26T20:00:00+00:00</t>
  </si>
  <si>
    <t>2026-05-27</t>
  </si>
  <si>
    <t>2026-05-27T13:30:00+00:00</t>
  </si>
  <si>
    <t>2026-05-27T20:00:00+00:00</t>
  </si>
  <si>
    <t>2026-05-28</t>
  </si>
  <si>
    <t>2026-05-28T13:30:00+00:00</t>
  </si>
  <si>
    <t>2026-05-28T20:00:00+00:00</t>
  </si>
  <si>
    <t>2026-05-29</t>
  </si>
  <si>
    <t>2026-05-29T13:30:00+00:00</t>
  </si>
  <si>
    <t>2026-05-29T20:00:00+00:00</t>
  </si>
  <si>
    <t>2026-06-01</t>
  </si>
  <si>
    <t>2026-06-01T13:30:00+00:00</t>
  </si>
  <si>
    <t>2026-06-01T20:00:00+00:00</t>
  </si>
  <si>
    <t>2026-06-02</t>
  </si>
  <si>
    <t>2026-06-02T13:30:00+00:00</t>
  </si>
  <si>
    <t>2026-06-02T20:00:00+00:00</t>
  </si>
  <si>
    <t>2026-06-03</t>
  </si>
  <si>
    <t>2026-06-03T13:30:00+00:00</t>
  </si>
  <si>
    <t>2026-06-03T20:00:00+00:00</t>
  </si>
  <si>
    <t>2026-06-04</t>
  </si>
  <si>
    <t>2026-06-04T13:30:00+00:00</t>
  </si>
  <si>
    <t>2026-06-04T20:00:00+00:00</t>
  </si>
  <si>
    <t>2026-06-05</t>
  </si>
  <si>
    <t>2026-06-05T13:30:00+00:00</t>
  </si>
  <si>
    <t>2026-06-05T20:00:00+00:00</t>
  </si>
  <si>
    <t>2026-06-08</t>
  </si>
  <si>
    <t>2026-06-08T13:30:00+00:00</t>
  </si>
  <si>
    <t>2026-06-08T20:00:00+00:00</t>
  </si>
  <si>
    <t>2026-06-09</t>
  </si>
  <si>
    <t>2026-06-09T13:30:00+00:00</t>
  </si>
  <si>
    <t>2026-06-09T20:00:00+00:00</t>
  </si>
  <si>
    <t>2026-06-10</t>
  </si>
  <si>
    <t>2026-06-10T13:30:00+00:00</t>
  </si>
  <si>
    <t>2026-06-10T20:00:00+00:00</t>
  </si>
  <si>
    <t>2026-06-11</t>
  </si>
  <si>
    <t>2026-06-11T13:30:00+00:00</t>
  </si>
  <si>
    <t>2026-06-11T20:00:00+00:00</t>
  </si>
  <si>
    <t>2026-06-12</t>
  </si>
  <si>
    <t>2026-06-12T13:30:00+00:00</t>
  </si>
  <si>
    <t>2026-06-12T20:00:00+00:00</t>
  </si>
  <si>
    <t>2026-06-15</t>
  </si>
  <si>
    <t>2026-06-15T13:30:00+00:00</t>
  </si>
  <si>
    <t>2026-06-15T20:00:00+00:00</t>
  </si>
  <si>
    <t>2026-06-16</t>
  </si>
  <si>
    <t>2026-06-16T13:30:00+00:00</t>
  </si>
  <si>
    <t>2026-06-16T20:00:00+00:00</t>
  </si>
  <si>
    <t>2026-06-17</t>
  </si>
  <si>
    <t>2026-06-17T13:30:00+00:00</t>
  </si>
  <si>
    <t>2026-06-17T20:00:00+00:00</t>
  </si>
  <si>
    <t>2026-06-18</t>
  </si>
  <si>
    <t>2026-06-18T13:30:00+00:00</t>
  </si>
  <si>
    <t>2026-06-18T20:00:00+00:00</t>
  </si>
  <si>
    <t>2026-06-22</t>
  </si>
  <si>
    <t>2026-06-22T13:30:00+00:00</t>
  </si>
  <si>
    <t>2026-06-22T20:00:00+00:00</t>
  </si>
  <si>
    <t>2026-06-23</t>
  </si>
  <si>
    <t>2026-06-23T13:30:00+00:00</t>
  </si>
  <si>
    <t>2026-06-23T20:00:00+00:00</t>
  </si>
  <si>
    <t>2026-06-24</t>
  </si>
  <si>
    <t>2026-06-24T13:30:00+00:00</t>
  </si>
  <si>
    <t>2026-06-24T20:00:00+00:00</t>
  </si>
  <si>
    <t>2026-06-25</t>
  </si>
  <si>
    <t>2026-06-25T13:30:00+00:00</t>
  </si>
  <si>
    <t>2026-06-25T20:00:00+00:00</t>
  </si>
  <si>
    <t>2026-06-26</t>
  </si>
  <si>
    <t>2026-06-26T13:30:00+00:00</t>
  </si>
  <si>
    <t>2026-06-26T20:00:00+00:00</t>
  </si>
  <si>
    <t>2026-06-29</t>
  </si>
  <si>
    <t>2026-06-29T13:30:00+00:00</t>
  </si>
  <si>
    <t>2026-06-29T20:00:00+00:00</t>
  </si>
  <si>
    <t>2026-06-30</t>
  </si>
  <si>
    <t>2026-06-30T13:30:00+00:00</t>
  </si>
  <si>
    <t>2026-06-30T20:00:00+00:00</t>
  </si>
  <si>
    <t>2026-07-01</t>
  </si>
  <si>
    <t>2026-07-01T13:30:00+00:00</t>
  </si>
  <si>
    <t>2026-07-01T20:00:00+00:00</t>
  </si>
  <si>
    <t>2026-07-02</t>
  </si>
  <si>
    <t>2026-07-02T13:30:00+00:00</t>
  </si>
  <si>
    <t>2026-07-02T20:00:00+00:00</t>
  </si>
  <si>
    <t>2026-07-06</t>
  </si>
  <si>
    <t>2026-07-06T13:30:00+00:00</t>
  </si>
  <si>
    <t>2026-07-06T20:00:00+00:00</t>
  </si>
  <si>
    <t>2026-07-07</t>
  </si>
  <si>
    <t>2026-07-07T13:30:00+00:00</t>
  </si>
  <si>
    <t>2026-07-07T20:00:00+00:00</t>
  </si>
  <si>
    <t>2026-07-08</t>
  </si>
  <si>
    <t>2026-07-08T13:30:00+00:00</t>
  </si>
  <si>
    <t>2026-07-08T20:00:00+00:00</t>
  </si>
  <si>
    <t>2026-07-09</t>
  </si>
  <si>
    <t>2026-07-09T13:30:00+00:00</t>
  </si>
  <si>
    <t>2026-07-09T20:00:00+00:00</t>
  </si>
  <si>
    <t>2026-07-10</t>
  </si>
  <si>
    <t>2026-07-10T13:30:00+00:00</t>
  </si>
  <si>
    <t>2026-07-10T20:00:00+00:00</t>
  </si>
  <si>
    <t>2026-07-13</t>
  </si>
  <si>
    <t>2026-07-13T13:30:00+00:00</t>
  </si>
  <si>
    <t>2026-07-13T20:00:00+00:00</t>
  </si>
  <si>
    <t>2026-07-14</t>
  </si>
  <si>
    <t>2026-07-14T13:30:00+00:00</t>
  </si>
  <si>
    <t>2026-07-14T20:00:00+00:00</t>
  </si>
  <si>
    <t>2026-07-15</t>
  </si>
  <si>
    <t>2026-07-15T13:30:00+00:00</t>
  </si>
  <si>
    <t>2026-07-15T20:00:00+00:00</t>
  </si>
  <si>
    <t>2026-07-16</t>
  </si>
  <si>
    <t>2026-07-16T13:30:00+00:00</t>
  </si>
  <si>
    <t>2026-07-16T20:00:00+00:00</t>
  </si>
  <si>
    <t>2026-07-17</t>
  </si>
  <si>
    <t>2026-07-17T13:30:00+00:00</t>
  </si>
  <si>
    <t>2026-07-17T20:00:00+00:00</t>
  </si>
  <si>
    <t>2026-07-20</t>
  </si>
  <si>
    <t>2026-07-20T13:30:00+00:00</t>
  </si>
  <si>
    <t>2026-07-20T20:00:00+00:00</t>
  </si>
  <si>
    <t>2026-07-21</t>
  </si>
  <si>
    <t>2026-07-21T13:30:00+00:00</t>
  </si>
  <si>
    <t>2026-07-21T20:00:00+00:00</t>
  </si>
  <si>
    <t>2026-07-22</t>
  </si>
  <si>
    <t>2026-07-22T13:30:00+00:00</t>
  </si>
  <si>
    <t>2026-07-22T20:00:00+00:00</t>
  </si>
  <si>
    <t>2026-07-23</t>
  </si>
  <si>
    <t>2026-07-23T13:30:00+00:00</t>
  </si>
  <si>
    <t>2026-07-23T20:00:00+00:00</t>
  </si>
  <si>
    <t>2026-07-24</t>
  </si>
  <si>
    <t>2026-07-24T13:30:00+00:00</t>
  </si>
  <si>
    <t>2026-07-24T20:00:00+00:00</t>
  </si>
  <si>
    <t>2026-07-27</t>
  </si>
  <si>
    <t>2026-07-27T13:30:00+00:00</t>
  </si>
  <si>
    <t>2026-07-27T20:00:00+00:00</t>
  </si>
  <si>
    <t>2026-07-28</t>
  </si>
  <si>
    <t>2026-07-28T13:30:00+00:00</t>
  </si>
  <si>
    <t>2026-07-28T20:00:00+00:00</t>
  </si>
  <si>
    <t>2026-07-29</t>
  </si>
  <si>
    <t>2026-07-29T13:30:00+00:00</t>
  </si>
  <si>
    <t>2026-07-29T20:00:00+00:00</t>
  </si>
  <si>
    <t>2026-07-30</t>
  </si>
  <si>
    <t>2026-07-30T13:30:00+00:00</t>
  </si>
  <si>
    <t>2026-07-30T20:00:00+00:00</t>
  </si>
  <si>
    <t>2026-07-31</t>
  </si>
  <si>
    <t>2026-07-31T13:30:00+00:00</t>
  </si>
  <si>
    <t>2026-07-31T20:00:00+00:00</t>
  </si>
  <si>
    <t>2026-08-03</t>
  </si>
  <si>
    <t>2026-08-03T13:30:00+00:00</t>
  </si>
  <si>
    <t>2026-08-03T20:00:00+00:00</t>
  </si>
  <si>
    <t>2026-08-04</t>
  </si>
  <si>
    <t>2026-08-04T13:30:00+00:00</t>
  </si>
  <si>
    <t>2026-08-04T20:00:00+00:00</t>
  </si>
  <si>
    <t>2026-08-05</t>
  </si>
  <si>
    <t>2026-08-05T13:30:00+00:00</t>
  </si>
  <si>
    <t>2026-08-05T20:00:00+00:00</t>
  </si>
  <si>
    <t>2026-08-06</t>
  </si>
  <si>
    <t>2026-08-06T13:30:00+00:00</t>
  </si>
  <si>
    <t>2026-08-06T20:00:00+00:00</t>
  </si>
  <si>
    <t>2026-08-07</t>
  </si>
  <si>
    <t>2026-08-07T13:30:00+00:00</t>
  </si>
  <si>
    <t>2026-08-07T20:00:00+00:00</t>
  </si>
  <si>
    <t>2026-08-10</t>
  </si>
  <si>
    <t>2026-08-10T13:30:00+00:00</t>
  </si>
  <si>
    <t>2026-08-10T20:00:00+00:00</t>
  </si>
  <si>
    <t>2026-08-11</t>
  </si>
  <si>
    <t>2026-08-11T13:30:00+00:00</t>
  </si>
  <si>
    <t>2026-08-11T20:00:00+00:00</t>
  </si>
  <si>
    <t>2026-08-12</t>
  </si>
  <si>
    <t>2026-08-12T13:30:00+00:00</t>
  </si>
  <si>
    <t>2026-08-12T20:00:00+00:00</t>
  </si>
  <si>
    <t>2026-08-13</t>
  </si>
  <si>
    <t>2026-08-13T13:30:00+00:00</t>
  </si>
  <si>
    <t>2026-08-13T20:00:00+00:00</t>
  </si>
  <si>
    <t>2026-08-14</t>
  </si>
  <si>
    <t>2026-08-14T13:30:00+00:00</t>
  </si>
  <si>
    <t>2026-08-14T20:00:00+00:00</t>
  </si>
  <si>
    <t>2026-08-17</t>
  </si>
  <si>
    <t>2026-08-17T13:30:00+00:00</t>
  </si>
  <si>
    <t>2026-08-17T20:00:00+00:00</t>
  </si>
  <si>
    <t>2026-08-18</t>
  </si>
  <si>
    <t>2026-08-18T13:30:00+00:00</t>
  </si>
  <si>
    <t>2026-08-18T20:00:00+00:00</t>
  </si>
  <si>
    <t>2026-08-19</t>
  </si>
  <si>
    <t>2026-08-19T13:30:00+00:00</t>
  </si>
  <si>
    <t>2026-08-19T20:00:00+00:00</t>
  </si>
  <si>
    <t>2026-08-20</t>
  </si>
  <si>
    <t>2026-08-20T13:30:00+00:00</t>
  </si>
  <si>
    <t>2026-08-20T20:00:00+00:00</t>
  </si>
  <si>
    <t>2026-08-21</t>
  </si>
  <si>
    <t>2026-08-21T13:30:00+00:00</t>
  </si>
  <si>
    <t>2026-08-21T20:00:00+00:00</t>
  </si>
  <si>
    <t>2026-08-24</t>
  </si>
  <si>
    <t>2026-08-24T13:30:00+00:00</t>
  </si>
  <si>
    <t>2026-08-24T20:00:00+00:00</t>
  </si>
  <si>
    <t>2026-08-25</t>
  </si>
  <si>
    <t>2026-08-25T13:30:00+00:00</t>
  </si>
  <si>
    <t>2026-08-25T20:00:00+00:00</t>
  </si>
  <si>
    <t>2026-08-26</t>
  </si>
  <si>
    <t>2026-08-26T13:30:00+00:00</t>
  </si>
  <si>
    <t>2026-08-26T20:00:00+00:00</t>
  </si>
  <si>
    <t>2026-08-27</t>
  </si>
  <si>
    <t>2026-08-27T13:30:00+00:00</t>
  </si>
  <si>
    <t>2026-08-27T20:00:00+00:00</t>
  </si>
  <si>
    <t>2026-08-28</t>
  </si>
  <si>
    <t>2026-08-28T13:30:00+00:00</t>
  </si>
  <si>
    <t>2026-08-28T20:00:00+00:00</t>
  </si>
  <si>
    <t>2026-08-31</t>
  </si>
  <si>
    <t>2026-08-31T13:30:00+00:00</t>
  </si>
  <si>
    <t>2026-08-31T20:00:00+00:00</t>
  </si>
  <si>
    <t>2026-09-01</t>
  </si>
  <si>
    <t>2026-09-01T13:30:00+00:00</t>
  </si>
  <si>
    <t>2026-09-01T20:00:00+00:00</t>
  </si>
  <si>
    <t>2026-09-02</t>
  </si>
  <si>
    <t>2026-09-02T13:30:00+00:00</t>
  </si>
  <si>
    <t>2026-09-02T20:00:00+00:00</t>
  </si>
  <si>
    <t>2026-09-03</t>
  </si>
  <si>
    <t>2026-09-03T13:30:00+00:00</t>
  </si>
  <si>
    <t>2026-09-03T20:00:00+00:00</t>
  </si>
  <si>
    <t>2026-09-04</t>
  </si>
  <si>
    <t>2026-09-04T13:30:00+00:00</t>
  </si>
  <si>
    <t>2026-09-04T20:00:00+00:00</t>
  </si>
  <si>
    <t>2026-09-08</t>
  </si>
  <si>
    <t>2026-09-08T13:30:00+00:00</t>
  </si>
  <si>
    <t>2026-09-08T20:00:00+00:00</t>
  </si>
  <si>
    <t>2026-09-09</t>
  </si>
  <si>
    <t>2026-09-09T13:30:00+00:00</t>
  </si>
  <si>
    <t>2026-09-09T20:00:00+00:00</t>
  </si>
  <si>
    <t>2026-09-10</t>
  </si>
  <si>
    <t>2026-09-10T13:30:00+00:00</t>
  </si>
  <si>
    <t>2026-09-10T20:00:00+00:00</t>
  </si>
  <si>
    <t>2026-09-11</t>
  </si>
  <si>
    <t>2026-09-11T13:30:00+00:00</t>
  </si>
  <si>
    <t>2026-09-11T20:00:00+00:00</t>
  </si>
  <si>
    <t>2026-09-14</t>
  </si>
  <si>
    <t>2026-09-14T13:30:00+00:00</t>
  </si>
  <si>
    <t>2026-09-14T20:00:00+00:00</t>
  </si>
  <si>
    <t>2026-09-15</t>
  </si>
  <si>
    <t>2026-09-15T13:30:00+00:00</t>
  </si>
  <si>
    <t>2026-09-15T20:00:00+00:00</t>
  </si>
  <si>
    <t>2026-09-16</t>
  </si>
  <si>
    <t>2026-09-16T13:30:00+00:00</t>
  </si>
  <si>
    <t>2026-09-16T20:00:00+00:00</t>
  </si>
  <si>
    <t>2026-09-17</t>
  </si>
  <si>
    <t>2026-09-17T13:30:00+00:00</t>
  </si>
  <si>
    <t>2026-09-17T20:00:00+00:00</t>
  </si>
  <si>
    <t>2026-09-18</t>
  </si>
  <si>
    <t>2026-09-18T13:30:00+00:00</t>
  </si>
  <si>
    <t>2026-09-18T20:00:00+00:00</t>
  </si>
  <si>
    <t>2026-09-21</t>
  </si>
  <si>
    <t>2026-09-21T13:30:00+00:00</t>
  </si>
  <si>
    <t>2026-09-21T20:00:00+00:00</t>
  </si>
  <si>
    <t>2026-09-22</t>
  </si>
  <si>
    <t>2026-09-22T13:30:00+00:00</t>
  </si>
  <si>
    <t>2026-09-22T20:00:00+00:00</t>
  </si>
  <si>
    <t>2026-09-23</t>
  </si>
  <si>
    <t>2026-09-23T13:30:00+00:00</t>
  </si>
  <si>
    <t>2026-09-23T20:00:00+00:00</t>
  </si>
  <si>
    <t>2026-09-24</t>
  </si>
  <si>
    <t>2026-09-24T13:30:00+00:00</t>
  </si>
  <si>
    <t>2026-09-24T20:00:00+00:00</t>
  </si>
  <si>
    <t>2026-09-25</t>
  </si>
  <si>
    <t>2026-09-25T13:30:00+00:00</t>
  </si>
  <si>
    <t>2026-09-25T20:00:00+00:00</t>
  </si>
  <si>
    <t>2026-09-28</t>
  </si>
  <si>
    <t>2026-09-28T13:30:00+00:00</t>
  </si>
  <si>
    <t>2026-09-28T20:00:00+00:00</t>
  </si>
  <si>
    <t>2020-08-24T00:00:00+00:00</t>
  </si>
  <si>
    <t>2020-08-25T00:00:00+00:00</t>
  </si>
  <si>
    <t>prices-BTC-USD-f3226c91d62b</t>
  </si>
  <si>
    <t>2020-08-26T00:00:00+00:00</t>
  </si>
  <si>
    <t>2020-08-27T00:00:00+00:00</t>
  </si>
  <si>
    <t>2020-08-28T00:00:00+00:00</t>
  </si>
  <si>
    <t>2020-08-29T00:00:00+00:00</t>
  </si>
  <si>
    <t>2020-08-29</t>
  </si>
  <si>
    <t>2020-08-30T00:00:00+00:00</t>
  </si>
  <si>
    <t>2020-08-30</t>
  </si>
  <si>
    <t>2020-08-31T00:00:00+00:00</t>
  </si>
  <si>
    <t>2020-09-01T00:00:00+00:00</t>
  </si>
  <si>
    <t>2020-09-02T00:00:00+00:00</t>
  </si>
  <si>
    <t>2020-09-03T00:00:00+00:00</t>
  </si>
  <si>
    <t>2020-09-04T00:00:00+00:00</t>
  </si>
  <si>
    <t>2020-09-05T00:00:00+00:00</t>
  </si>
  <si>
    <t>2020-09-05</t>
  </si>
  <si>
    <t>2020-09-06T00:00:00+00:00</t>
  </si>
  <si>
    <t>2020-09-06</t>
  </si>
  <si>
    <t>2020-09-07T00:00:00+00:00</t>
  </si>
  <si>
    <t>2020-09-07</t>
  </si>
  <si>
    <t>2020-09-08T00:00:00+00:00</t>
  </si>
  <si>
    <t>2020-09-09T00:00:00+00:00</t>
  </si>
  <si>
    <t>2020-09-10T00:00:00+00:00</t>
  </si>
  <si>
    <t>2020-09-11T00:00:00+00:00</t>
  </si>
  <si>
    <t>2020-09-12T00:00:00+00:00</t>
  </si>
  <si>
    <t>2020-09-12</t>
  </si>
  <si>
    <t>2020-09-13T00:00:00+00:00</t>
  </si>
  <si>
    <t>2020-09-13</t>
  </si>
  <si>
    <t>2020-09-14T00:00:00+00:00</t>
  </si>
  <si>
    <t>2020-09-15T00:00:00+00:00</t>
  </si>
  <si>
    <t>2020-09-16T00:00:00+00:00</t>
  </si>
  <si>
    <t>2020-09-17T00:00:00+00:00</t>
  </si>
  <si>
    <t>2020-09-18T00:00:00+00:00</t>
  </si>
  <si>
    <t>2020-09-19T00:00:00+00:00</t>
  </si>
  <si>
    <t>2020-09-19</t>
  </si>
  <si>
    <t>2020-09-20T00:00:00+00:00</t>
  </si>
  <si>
    <t>2020-09-20</t>
  </si>
  <si>
    <t>2020-09-21T00:00:00+00:00</t>
  </si>
  <si>
    <t>2020-09-22T00:00:00+00:00</t>
  </si>
  <si>
    <t>2020-09-23T00:00:00+00:00</t>
  </si>
  <si>
    <t>2020-09-24T00:00:00+00:00</t>
  </si>
  <si>
    <t>2020-09-25T00:00:00+00:00</t>
  </si>
  <si>
    <t>2020-09-26T00:00:00+00:00</t>
  </si>
  <si>
    <t>2020-09-26</t>
  </si>
  <si>
    <t>2020-09-27T00:00:00+00:00</t>
  </si>
  <si>
    <t>2020-09-27</t>
  </si>
  <si>
    <t>2020-09-28T00:00:00+00:00</t>
  </si>
  <si>
    <t>2020-09-29T00:00:00+00:00</t>
  </si>
  <si>
    <t>2020-09-30T00:00:00+00:00</t>
  </si>
  <si>
    <t>2020-10-01T00:00:00+00:00</t>
  </si>
  <si>
    <t>2020-10-02T00:00:00+00:00</t>
  </si>
  <si>
    <t>2020-10-03T00:00:00+00:00</t>
  </si>
  <si>
    <t>2020-10-03</t>
  </si>
  <si>
    <t>2020-10-04T00:00:00+00:00</t>
  </si>
  <si>
    <t>2020-10-04</t>
  </si>
  <si>
    <t>2020-10-05T00:00:00+00:00</t>
  </si>
  <si>
    <t>2020-10-06T00:00:00+00:00</t>
  </si>
  <si>
    <t>2020-10-07T00:00:00+00:00</t>
  </si>
  <si>
    <t>2020-10-08T00:00:00+00:00</t>
  </si>
  <si>
    <t>2020-10-09T00:00:00+00:00</t>
  </si>
  <si>
    <t>2020-10-10T00:00:00+00:00</t>
  </si>
  <si>
    <t>2020-10-10</t>
  </si>
  <si>
    <t>2020-10-11T00:00:00+00:00</t>
  </si>
  <si>
    <t>2020-10-11</t>
  </si>
  <si>
    <t>2020-10-12T00:00:00+00:00</t>
  </si>
  <si>
    <t>2020-10-13T00:00:00+00:00</t>
  </si>
  <si>
    <t>2020-10-14T00:00:00+00:00</t>
  </si>
  <si>
    <t>2020-10-15T00:00:00+00:00</t>
  </si>
  <si>
    <t>2020-10-16T00:00:00+00:00</t>
  </si>
  <si>
    <t>2020-10-17T00:00:00+00:00</t>
  </si>
  <si>
    <t>2020-10-17</t>
  </si>
  <si>
    <t>2020-10-18T00:00:00+00:00</t>
  </si>
  <si>
    <t>2020-10-18</t>
  </si>
  <si>
    <t>2020-10-19T00:00:00+00:00</t>
  </si>
  <si>
    <t>2020-10-20T00:00:00+00:00</t>
  </si>
  <si>
    <t>2020-10-21T00:00:00+00:00</t>
  </si>
  <si>
    <t>2020-10-22T00:00:00+00:00</t>
  </si>
  <si>
    <t>2020-10-23T00:00:00+00:00</t>
  </si>
  <si>
    <t>2020-10-24T00:00:00+00:00</t>
  </si>
  <si>
    <t>2020-10-24</t>
  </si>
  <si>
    <t>2020-10-25T00:00:00+00:00</t>
  </si>
  <si>
    <t>2020-10-25</t>
  </si>
  <si>
    <t>2020-10-26T00:00:00+00:00</t>
  </si>
  <si>
    <t>2020-10-27T00:00:00+00:00</t>
  </si>
  <si>
    <t>2020-10-28T00:00:00+00:00</t>
  </si>
  <si>
    <t>2020-10-29T00:00:00+00:00</t>
  </si>
  <si>
    <t>2020-10-30T00:00:00+00:00</t>
  </si>
  <si>
    <t>2020-10-31T00:00:00+00:00</t>
  </si>
  <si>
    <t>2020-10-31</t>
  </si>
  <si>
    <t>2020-11-01T00:00:00+00:00</t>
  </si>
  <si>
    <t>2020-11-01</t>
  </si>
  <si>
    <t>2020-11-02T00:00:00+00:00</t>
  </si>
  <si>
    <t>2020-11-03T00:00:00+00:00</t>
  </si>
  <si>
    <t>2020-11-04T00:00:00+00:00</t>
  </si>
  <si>
    <t>2020-11-05T00:00:00+00:00</t>
  </si>
  <si>
    <t>2020-11-06T00:00:00+00:00</t>
  </si>
  <si>
    <t>2020-11-07T00:00:00+00:00</t>
  </si>
  <si>
    <t>2020-11-07</t>
  </si>
  <si>
    <t>2020-11-08T00:00:00+00:00</t>
  </si>
  <si>
    <t>2020-11-08</t>
  </si>
  <si>
    <t>2020-11-09T00:00:00+00:00</t>
  </si>
  <si>
    <t>2020-11-10T00:00:00+00:00</t>
  </si>
  <si>
    <t>2020-11-11T00:00:00+00:00</t>
  </si>
  <si>
    <t>2020-11-12T00:00:00+00:00</t>
  </si>
  <si>
    <t>2020-11-13T00:00:00+00:00</t>
  </si>
  <si>
    <t>2020-11-14T00:00:00+00:00</t>
  </si>
  <si>
    <t>2020-11-14</t>
  </si>
  <si>
    <t>2020-11-15T00:00:00+00:00</t>
  </si>
  <si>
    <t>2020-11-15</t>
  </si>
  <si>
    <t>2020-11-16T00:00:00+00:00</t>
  </si>
  <si>
    <t>2020-11-17T00:00:00+00:00</t>
  </si>
  <si>
    <t>2020-11-18T00:00:00+00:00</t>
  </si>
  <si>
    <t>2020-11-19T00:00:00+00:00</t>
  </si>
  <si>
    <t>2020-11-20T00:00:00+00:00</t>
  </si>
  <si>
    <t>2020-11-21T00:00:00+00:00</t>
  </si>
  <si>
    <t>2020-11-21</t>
  </si>
  <si>
    <t>2020-11-22T00:00:00+00:00</t>
  </si>
  <si>
    <t>2020-11-22</t>
  </si>
  <si>
    <t>2020-11-23T00:00:00+00:00</t>
  </si>
  <si>
    <t>2020-11-24T00:00:00+00:00</t>
  </si>
  <si>
    <t>2020-11-25T00:00:00+00:00</t>
  </si>
  <si>
    <t>2020-11-26T00:00:00+00:00</t>
  </si>
  <si>
    <t>2020-11-26</t>
  </si>
  <si>
    <t>2020-11-27T00:00:00+00:00</t>
  </si>
  <si>
    <t>2020-11-28T00:00:00+00:00</t>
  </si>
  <si>
    <t>2020-11-28</t>
  </si>
  <si>
    <t>2020-11-29T00:00:00+00:00</t>
  </si>
  <si>
    <t>2020-11-29</t>
  </si>
  <si>
    <t>2020-11-30T00:00:00+00:00</t>
  </si>
  <si>
    <t>2020-12-01T00:00:00+00:00</t>
  </si>
  <si>
    <t>2020-12-02T00:00:00+00:00</t>
  </si>
  <si>
    <t>2020-12-03T00:00:00+00:00</t>
  </si>
  <si>
    <t>2020-12-04T00:00:00+00:00</t>
  </si>
  <si>
    <t>2020-12-05T00:00:00+00:00</t>
  </si>
  <si>
    <t>2020-12-05</t>
  </si>
  <si>
    <t>2020-12-06T00:00:00+00:00</t>
  </si>
  <si>
    <t>2020-12-06</t>
  </si>
  <si>
    <t>2020-12-07T00:00:00+00:00</t>
  </si>
  <si>
    <t>2020-12-08T00:00:00+00:00</t>
  </si>
  <si>
    <t>2020-12-09T00:00:00+00:00</t>
  </si>
  <si>
    <t>2020-12-10T00:00:00+00:00</t>
  </si>
  <si>
    <t>2020-12-11T00:00:00+00:00</t>
  </si>
  <si>
    <t>2020-12-12T00:00:00+00:00</t>
  </si>
  <si>
    <t>2020-12-12</t>
  </si>
  <si>
    <t>2020-12-13T00:00:00+00:00</t>
  </si>
  <si>
    <t>2020-12-13</t>
  </si>
  <si>
    <t>2020-12-14T00:00:00+00:00</t>
  </si>
  <si>
    <t>2020-12-15T00:00:00+00:00</t>
  </si>
  <si>
    <t>2020-12-16T00:00:00+00:00</t>
  </si>
  <si>
    <t>2020-12-17T00:00:00+00:00</t>
  </si>
  <si>
    <t>2020-12-18T00:00:00+00:00</t>
  </si>
  <si>
    <t>2020-12-19T00:00:00+00:00</t>
  </si>
  <si>
    <t>2020-12-19</t>
  </si>
  <si>
    <t>2020-12-20T00:00:00+00:00</t>
  </si>
  <si>
    <t>2020-12-20</t>
  </si>
  <si>
    <t>2020-12-21T00:00:00+00:00</t>
  </si>
  <si>
    <t>2020-12-22T00:00:00+00:00</t>
  </si>
  <si>
    <t>2020-12-23T00:00:00+00:00</t>
  </si>
  <si>
    <t>2020-12-24T00:00:00+00:00</t>
  </si>
  <si>
    <t>2020-12-25T00:00:00+00:00</t>
  </si>
  <si>
    <t>2020-12-25</t>
  </si>
  <si>
    <t>2020-12-26T00:00:00+00:00</t>
  </si>
  <si>
    <t>2020-12-26</t>
  </si>
  <si>
    <t>2020-12-27T00:00:00+00:00</t>
  </si>
  <si>
    <t>2020-12-27</t>
  </si>
  <si>
    <t>2020-12-28T00:00:00+00:00</t>
  </si>
  <si>
    <t>2020-12-29T00:00:00+00:00</t>
  </si>
  <si>
    <t>2020-12-30T00:00:00+00:00</t>
  </si>
  <si>
    <t>2020-12-31T00:00:00+00:00</t>
  </si>
  <si>
    <t>2021-01-01T00:00:00+00:00</t>
  </si>
  <si>
    <t>2021-01-01</t>
  </si>
  <si>
    <t>2021-01-02T00:00:00+00:00</t>
  </si>
  <si>
    <t>2021-01-02</t>
  </si>
  <si>
    <t>2021-01-03T00:00:00+00:00</t>
  </si>
  <si>
    <t>2021-01-03</t>
  </si>
  <si>
    <t>2021-01-04T00:00:00+00:00</t>
  </si>
  <si>
    <t>2021-01-05T00:00:00+00:00</t>
  </si>
  <si>
    <t>2021-01-06T00:00:00+00:00</t>
  </si>
  <si>
    <t>2021-01-07T00:00:00+00:00</t>
  </si>
  <si>
    <t>2021-01-08T00:00:00+00:00</t>
  </si>
  <si>
    <t>2021-01-09T00:00:00+00:00</t>
  </si>
  <si>
    <t>2021-01-09</t>
  </si>
  <si>
    <t>2021-01-10T00:00:00+00:00</t>
  </si>
  <si>
    <t>2021-01-10</t>
  </si>
  <si>
    <t>2021-01-11T00:00:00+00:00</t>
  </si>
  <si>
    <t>2021-01-12T00:00:00+00:00</t>
  </si>
  <si>
    <t>2021-01-13T00:00:00+00:00</t>
  </si>
  <si>
    <t>2021-01-14T00:00:00+00:00</t>
  </si>
  <si>
    <t>2021-01-15T00:00:00+00:00</t>
  </si>
  <si>
    <t>2021-01-16T00:00:00+00:00</t>
  </si>
  <si>
    <t>2021-01-16</t>
  </si>
  <si>
    <t>2021-01-17T00:00:00+00:00</t>
  </si>
  <si>
    <t>2021-01-17</t>
  </si>
  <si>
    <t>2021-01-18T00:00:00+00:00</t>
  </si>
  <si>
    <t>2021-01-18</t>
  </si>
  <si>
    <t>2021-01-19T00:00:00+00:00</t>
  </si>
  <si>
    <t>2021-01-20T00:00:00+00:00</t>
  </si>
  <si>
    <t>2021-01-21T00:00:00+00:00</t>
  </si>
  <si>
    <t>2021-01-22T00:00:00+00:00</t>
  </si>
  <si>
    <t>2021-01-23T00:00:00+00:00</t>
  </si>
  <si>
    <t>2021-01-23</t>
  </si>
  <si>
    <t>2021-01-24T00:00:00+00:00</t>
  </si>
  <si>
    <t>2021-01-24</t>
  </si>
  <si>
    <t>2021-01-25T00:00:00+00:00</t>
  </si>
  <si>
    <t>2021-01-26T00:00:00+00:00</t>
  </si>
  <si>
    <t>2021-01-27T00:00:00+00:00</t>
  </si>
  <si>
    <t>2021-01-28T00:00:00+00:00</t>
  </si>
  <si>
    <t>2021-01-29T00:00:00+00:00</t>
  </si>
  <si>
    <t>2021-01-30T00:00:00+00:00</t>
  </si>
  <si>
    <t>2021-01-30</t>
  </si>
  <si>
    <t>2021-01-31T00:00:00+00:00</t>
  </si>
  <si>
    <t>2021-01-31</t>
  </si>
  <si>
    <t>2021-02-01T00:00:00+00:00</t>
  </si>
  <si>
    <t>2021-02-02T00:00:00+00:00</t>
  </si>
  <si>
    <t>2021-02-03T00:00:00+00:00</t>
  </si>
  <si>
    <t>2021-02-04T00:00:00+00:00</t>
  </si>
  <si>
    <t>2021-02-05T00:00:00+00:00</t>
  </si>
  <si>
    <t>2021-02-06T00:00:00+00:00</t>
  </si>
  <si>
    <t>2021-02-06</t>
  </si>
  <si>
    <t>2021-02-07T00:00:00+00:00</t>
  </si>
  <si>
    <t>2021-02-07</t>
  </si>
  <si>
    <t>2021-02-08T00:00:00+00:00</t>
  </si>
  <si>
    <t>2021-02-09T00:00:00+00:00</t>
  </si>
  <si>
    <t>2021-02-10T00:00:00+00:00</t>
  </si>
  <si>
    <t>2021-02-11T00:00:00+00:00</t>
  </si>
  <si>
    <t>2021-02-12T00:00:00+00:00</t>
  </si>
  <si>
    <t>2021-02-13T00:00:00+00:00</t>
  </si>
  <si>
    <t>2021-02-13</t>
  </si>
  <si>
    <t>2021-02-14T00:00:00+00:00</t>
  </si>
  <si>
    <t>2021-02-14</t>
  </si>
  <si>
    <t>2021-02-15T00:00:00+00:00</t>
  </si>
  <si>
    <t>2021-02-15</t>
  </si>
  <si>
    <t>2021-02-16T00:00:00+00:00</t>
  </si>
  <si>
    <t>2021-02-17T00:00:00+00:00</t>
  </si>
  <si>
    <t>2021-02-18T00:00:00+00:00</t>
  </si>
  <si>
    <t>2021-02-19T00:00:00+00:00</t>
  </si>
  <si>
    <t>2021-02-20T00:00:00+00:00</t>
  </si>
  <si>
    <t>2021-02-20</t>
  </si>
  <si>
    <t>2021-02-21T00:00:00+00:00</t>
  </si>
  <si>
    <t>2021-02-21</t>
  </si>
  <si>
    <t>2021-02-22T00:00:00+00:00</t>
  </si>
  <si>
    <t>2021-02-23T00:00:00+00:00</t>
  </si>
  <si>
    <t>2021-02-24T00:00:00+00:00</t>
  </si>
  <si>
    <t>2021-02-25T00:00:00+00:00</t>
  </si>
  <si>
    <t>2021-02-26T00:00:00+00:00</t>
  </si>
  <si>
    <t>2021-02-27T00:00:00+00:00</t>
  </si>
  <si>
    <t>2021-02-27</t>
  </si>
  <si>
    <t>2021-02-28T00:00:00+00:00</t>
  </si>
  <si>
    <t>2021-02-28</t>
  </si>
  <si>
    <t>2021-03-01T00:00:00+00:00</t>
  </si>
  <si>
    <t>2021-03-02T00:00:00+00:00</t>
  </si>
  <si>
    <t>2021-03-03T00:00:00+00:00</t>
  </si>
  <si>
    <t>2021-03-04T00:00:00+00:00</t>
  </si>
  <si>
    <t>2021-03-05T00:00:00+00:00</t>
  </si>
  <si>
    <t>2021-03-06T00:00:00+00:00</t>
  </si>
  <si>
    <t>2021-03-06</t>
  </si>
  <si>
    <t>2021-03-07T00:00:00+00:00</t>
  </si>
  <si>
    <t>2021-03-07</t>
  </si>
  <si>
    <t>2021-03-08T00:00:00+00:00</t>
  </si>
  <si>
    <t>2021-03-09T00:00:00+00:00</t>
  </si>
  <si>
    <t>2021-03-10T00:00:00+00:00</t>
  </si>
  <si>
    <t>2021-03-11T00:00:00+00:00</t>
  </si>
  <si>
    <t>2021-03-12T00:00:00+00:00</t>
  </si>
  <si>
    <t>2021-03-13T00:00:00+00:00</t>
  </si>
  <si>
    <t>2021-03-13</t>
  </si>
  <si>
    <t>2021-03-14T00:00:00+00:00</t>
  </si>
  <si>
    <t>2021-03-14</t>
  </si>
  <si>
    <t>2021-03-15T00:00:00+00:00</t>
  </si>
  <si>
    <t>2021-03-16T00:00:00+00:00</t>
  </si>
  <si>
    <t>2021-03-17T00:00:00+00:00</t>
  </si>
  <si>
    <t>2021-03-18T00:00:00+00:00</t>
  </si>
  <si>
    <t>2021-03-19T00:00:00+00:00</t>
  </si>
  <si>
    <t>2021-03-20T00:00:00+00:00</t>
  </si>
  <si>
    <t>2021-03-20</t>
  </si>
  <si>
    <t>2021-03-21T00:00:00+00:00</t>
  </si>
  <si>
    <t>2021-03-21</t>
  </si>
  <si>
    <t>2021-03-22T00:00:00+00:00</t>
  </si>
  <si>
    <t>2021-03-23T00:00:00+00:00</t>
  </si>
  <si>
    <t>2021-03-24T00:00:00+00:00</t>
  </si>
  <si>
    <t>2021-03-25T00:00:00+00:00</t>
  </si>
  <si>
    <t>2021-03-26T00:00:00+00:00</t>
  </si>
  <si>
    <t>2021-03-27T00:00:00+00:00</t>
  </si>
  <si>
    <t>2021-03-27</t>
  </si>
  <si>
    <t>2021-03-28T00:00:00+00:00</t>
  </si>
  <si>
    <t>2021-03-28</t>
  </si>
  <si>
    <t>2021-03-29T00:00:00+00:00</t>
  </si>
  <si>
    <t>2021-03-30T00:00:00+00:00</t>
  </si>
  <si>
    <t>2021-03-31T00:00:00+00:00</t>
  </si>
  <si>
    <t>2021-04-01T00:00:00+00:00</t>
  </si>
  <si>
    <t>2021-04-02T00:00:00+00:00</t>
  </si>
  <si>
    <t>2021-04-02</t>
  </si>
  <si>
    <t>2021-04-03T00:00:00+00:00</t>
  </si>
  <si>
    <t>2021-04-03</t>
  </si>
  <si>
    <t>2021-04-04T00:00:00+00:00</t>
  </si>
  <si>
    <t>2021-04-04</t>
  </si>
  <si>
    <t>2021-04-05T00:00:00+00:00</t>
  </si>
  <si>
    <t>2021-04-06T00:00:00+00:00</t>
  </si>
  <si>
    <t>2021-04-07T00:00:00+00:00</t>
  </si>
  <si>
    <t>2021-04-08T00:00:00+00:00</t>
  </si>
  <si>
    <t>2021-04-09T00:00:00+00:00</t>
  </si>
  <si>
    <t>2021-04-10T00:00:00+00:00</t>
  </si>
  <si>
    <t>2021-04-10</t>
  </si>
  <si>
    <t>2021-04-11T00:00:00+00:00</t>
  </si>
  <si>
    <t>2021-04-11</t>
  </si>
  <si>
    <t>2021-04-12T00:00:00+00:00</t>
  </si>
  <si>
    <t>2021-04-13T00:00:00+00:00</t>
  </si>
  <si>
    <t>2021-04-14T00:00:00+00:00</t>
  </si>
  <si>
    <t>2021-04-15T00:00:00+00:00</t>
  </si>
  <si>
    <t>2021-04-16T00:00:00+00:00</t>
  </si>
  <si>
    <t>2021-04-17T00:00:00+00:00</t>
  </si>
  <si>
    <t>2021-04-17</t>
  </si>
  <si>
    <t>2021-04-18T00:00:00+00:00</t>
  </si>
  <si>
    <t>2021-04-18</t>
  </si>
  <si>
    <t>2021-04-19T00:00:00+00:00</t>
  </si>
  <si>
    <t>2021-04-20T00:00:00+00:00</t>
  </si>
  <si>
    <t>2021-04-21T00:00:00+00:00</t>
  </si>
  <si>
    <t>2021-04-22T00:00:00+00:00</t>
  </si>
  <si>
    <t>2021-04-23T00:00:00+00:00</t>
  </si>
  <si>
    <t>2021-04-24T00:00:00+00:00</t>
  </si>
  <si>
    <t>2021-04-24</t>
  </si>
  <si>
    <t>2021-04-25T00:00:00+00:00</t>
  </si>
  <si>
    <t>2021-04-25</t>
  </si>
  <si>
    <t>2021-04-26T00:00:00+00:00</t>
  </si>
  <si>
    <t>2021-04-27T00:00:00+00:00</t>
  </si>
  <si>
    <t>2021-04-28T00:00:00+00:00</t>
  </si>
  <si>
    <t>2021-04-29T00:00:00+00:00</t>
  </si>
  <si>
    <t>2021-04-30T00:00:00+00:00</t>
  </si>
  <si>
    <t>2021-05-01T00:00:00+00:00</t>
  </si>
  <si>
    <t>2021-05-01</t>
  </si>
  <si>
    <t>2021-05-02T00:00:00+00:00</t>
  </si>
  <si>
    <t>2021-05-02</t>
  </si>
  <si>
    <t>2021-05-03T00:00:00+00:00</t>
  </si>
  <si>
    <t>2021-05-04T00:00:00+00:00</t>
  </si>
  <si>
    <t>2021-05-05T00:00:00+00:00</t>
  </si>
  <si>
    <t>2021-05-06T00:00:00+00:00</t>
  </si>
  <si>
    <t>2021-05-07T00:00:00+00:00</t>
  </si>
  <si>
    <t>2021-05-08T00:00:00+00:00</t>
  </si>
  <si>
    <t>2021-05-08</t>
  </si>
  <si>
    <t>2021-05-09T00:00:00+00:00</t>
  </si>
  <si>
    <t>2021-05-09</t>
  </si>
  <si>
    <t>2021-05-10T00:00:00+00:00</t>
  </si>
  <si>
    <t>2021-05-11T00:00:00+00:00</t>
  </si>
  <si>
    <t>2021-05-12T00:00:00+00:00</t>
  </si>
  <si>
    <t>2021-05-13T00:00:00+00:00</t>
  </si>
  <si>
    <t>2021-05-14T00:00:00+00:00</t>
  </si>
  <si>
    <t>2021-05-15T00:00:00+00:00</t>
  </si>
  <si>
    <t>2021-05-15</t>
  </si>
  <si>
    <t>2021-05-16T00:00:00+00:00</t>
  </si>
  <si>
    <t>2021-05-16</t>
  </si>
  <si>
    <t>2021-05-17T00:00:00+00:00</t>
  </si>
  <si>
    <t>2021-05-18T00:00:00+00:00</t>
  </si>
  <si>
    <t>2021-05-19T00:00:00+00:00</t>
  </si>
  <si>
    <t>2021-05-20T00:00:00+00:00</t>
  </si>
  <si>
    <t>2021-05-21T00:00:00+00:00</t>
  </si>
  <si>
    <t>2021-05-22T00:00:00+00:00</t>
  </si>
  <si>
    <t>2021-05-22</t>
  </si>
  <si>
    <t>2021-05-23T00:00:00+00:00</t>
  </si>
  <si>
    <t>2021-05-23</t>
  </si>
  <si>
    <t>2021-05-24T00:00:00+00:00</t>
  </si>
  <si>
    <t>2021-05-25T00:00:00+00:00</t>
  </si>
  <si>
    <t>2021-05-26T00:00:00+00:00</t>
  </si>
  <si>
    <t>2021-05-27T00:00:00+00:00</t>
  </si>
  <si>
    <t>2021-05-28T00:00:00+00:00</t>
  </si>
  <si>
    <t>2021-05-29T00:00:00+00:00</t>
  </si>
  <si>
    <t>2021-05-29</t>
  </si>
  <si>
    <t>2021-05-30T00:00:00+00:00</t>
  </si>
  <si>
    <t>2021-05-30</t>
  </si>
  <si>
    <t>2021-05-31T00:00:00+00:00</t>
  </si>
  <si>
    <t>2021-05-31</t>
  </si>
  <si>
    <t>2021-06-01T00:00:00+00:00</t>
  </si>
  <si>
    <t>2021-06-02T00:00:00+00:00</t>
  </si>
  <si>
    <t>2021-06-03T00:00:00+00:00</t>
  </si>
  <si>
    <t>2021-06-04T00:00:00+00:00</t>
  </si>
  <si>
    <t>2021-06-05T00:00:00+00:00</t>
  </si>
  <si>
    <t>2021-06-05</t>
  </si>
  <si>
    <t>2021-06-06T00:00:00+00:00</t>
  </si>
  <si>
    <t>2021-06-06</t>
  </si>
  <si>
    <t>2021-06-07T00:00:00+00:00</t>
  </si>
  <si>
    <t>2021-06-08T00:00:00+00:00</t>
  </si>
  <si>
    <t>2021-06-09T00:00:00+00:00</t>
  </si>
  <si>
    <t>2021-06-10T00:00:00+00:00</t>
  </si>
  <si>
    <t>2021-06-11T00:00:00+00:00</t>
  </si>
  <si>
    <t>2021-06-12T00:00:00+00:00</t>
  </si>
  <si>
    <t>2021-06-12</t>
  </si>
  <si>
    <t>2021-06-13T00:00:00+00:00</t>
  </si>
  <si>
    <t>2021-06-13</t>
  </si>
  <si>
    <t>2021-06-14T00:00:00+00:00</t>
  </si>
  <si>
    <t>2021-06-15T00:00:00+00:00</t>
  </si>
  <si>
    <t>2021-06-16T00:00:00+00:00</t>
  </si>
  <si>
    <t>2021-06-17T00:00:00+00:00</t>
  </si>
  <si>
    <t>2021-06-18T00:00:00+00:00</t>
  </si>
  <si>
    <t>2021-06-19T00:00:00+00:00</t>
  </si>
  <si>
    <t>2021-06-19</t>
  </si>
  <si>
    <t>2021-06-20T00:00:00+00:00</t>
  </si>
  <si>
    <t>2021-06-20</t>
  </si>
  <si>
    <t>2021-06-21T00:00:00+00:00</t>
  </si>
  <si>
    <t>2021-06-22T00:00:00+00:00</t>
  </si>
  <si>
    <t>2021-06-23T00:00:00+00:00</t>
  </si>
  <si>
    <t>2021-06-24T00:00:00+00:00</t>
  </si>
  <si>
    <t>2021-06-25T00:00:00+00:00</t>
  </si>
  <si>
    <t>2021-06-26T00:00:00+00:00</t>
  </si>
  <si>
    <t>2021-06-26</t>
  </si>
  <si>
    <t>2021-06-27T00:00:00+00:00</t>
  </si>
  <si>
    <t>2021-06-27</t>
  </si>
  <si>
    <t>2021-06-28T00:00:00+00:00</t>
  </si>
  <si>
    <t>2021-06-29T00:00:00+00:00</t>
  </si>
  <si>
    <t>2021-06-30T00:00:00+00:00</t>
  </si>
  <si>
    <t>2021-07-01T00:00:00+00:00</t>
  </si>
  <si>
    <t>2021-07-02T00:00:00+00:00</t>
  </si>
  <si>
    <t>2021-07-03T00:00:00+00:00</t>
  </si>
  <si>
    <t>2021-07-03</t>
  </si>
  <si>
    <t>2021-07-04T00:00:00+00:00</t>
  </si>
  <si>
    <t>2021-07-04</t>
  </si>
  <si>
    <t>2021-07-05T00:00:00+00:00</t>
  </si>
  <si>
    <t>2021-07-05</t>
  </si>
  <si>
    <t>2021-07-06T00:00:00+00:00</t>
  </si>
  <si>
    <t>2021-07-07T00:00:00+00:00</t>
  </si>
  <si>
    <t>2021-07-08T00:00:00+00:00</t>
  </si>
  <si>
    <t>2021-07-09T00:00:00+00:00</t>
  </si>
  <si>
    <t>2021-07-10T00:00:00+00:00</t>
  </si>
  <si>
    <t>2021-07-10</t>
  </si>
  <si>
    <t>2021-07-11T00:00:00+00:00</t>
  </si>
  <si>
    <t>2021-07-11</t>
  </si>
  <si>
    <t>2021-07-12T00:00:00+00:00</t>
  </si>
  <si>
    <t>2021-07-13T00:00:00+00:00</t>
  </si>
  <si>
    <t>2021-07-14T00:00:00+00:00</t>
  </si>
  <si>
    <t>2021-07-15T00:00:00+00:00</t>
  </si>
  <si>
    <t>2021-07-16T00:00:00+00:00</t>
  </si>
  <si>
    <t>2021-07-17T00:00:00+00:00</t>
  </si>
  <si>
    <t>2021-07-17</t>
  </si>
  <si>
    <t>2021-07-18T00:00:00+00:00</t>
  </si>
  <si>
    <t>2021-07-18</t>
  </si>
  <si>
    <t>2021-07-19T00:00:00+00:00</t>
  </si>
  <si>
    <t>2021-07-20T00:00:00+00:00</t>
  </si>
  <si>
    <t>2021-07-21T00:00:00+00:00</t>
  </si>
  <si>
    <t>2021-07-22T00:00:00+00:00</t>
  </si>
  <si>
    <t>2021-07-23T00:00:00+00:00</t>
  </si>
  <si>
    <t>2021-07-24T00:00:00+00:00</t>
  </si>
  <si>
    <t>2021-07-24</t>
  </si>
  <si>
    <t>2021-07-25T00:00:00+00:00</t>
  </si>
  <si>
    <t>2021-07-25</t>
  </si>
  <si>
    <t>2021-07-26T00:00:00+00:00</t>
  </si>
  <si>
    <t>2021-07-27T00:00:00+00:00</t>
  </si>
  <si>
    <t>2021-07-28T00:00:00+00:00</t>
  </si>
  <si>
    <t>2021-07-29T00:00:00+00:00</t>
  </si>
  <si>
    <t>2021-07-30T00:00:00+00:00</t>
  </si>
  <si>
    <t>2021-07-31T00:00:00+00:00</t>
  </si>
  <si>
    <t>2021-07-31</t>
  </si>
  <si>
    <t>2021-08-01T00:00:00+00:00</t>
  </si>
  <si>
    <t>2021-08-01</t>
  </si>
  <si>
    <t>2021-08-02T00:00:00+00:00</t>
  </si>
  <si>
    <t>2021-08-03T00:00:00+00:00</t>
  </si>
  <si>
    <t>2021-08-04T00:00:00+00:00</t>
  </si>
  <si>
    <t>2021-08-05T00:00:00+00:00</t>
  </si>
  <si>
    <t>2021-08-06T00:00:00+00:00</t>
  </si>
  <si>
    <t>2021-08-07T00:00:00+00:00</t>
  </si>
  <si>
    <t>2021-08-07</t>
  </si>
  <si>
    <t>2021-08-08T00:00:00+00:00</t>
  </si>
  <si>
    <t>2021-08-08</t>
  </si>
  <si>
    <t>2021-08-09T00:00:00+00:00</t>
  </si>
  <si>
    <t>2021-08-10T00:00:00+00:00</t>
  </si>
  <si>
    <t>2021-08-11T00:00:00+00:00</t>
  </si>
  <si>
    <t>2021-08-12T00:00:00+00:00</t>
  </si>
  <si>
    <t>2021-08-13T00:00:00+00:00</t>
  </si>
  <si>
    <t>2021-08-14T00:00:00+00:00</t>
  </si>
  <si>
    <t>2021-08-14</t>
  </si>
  <si>
    <t>2021-08-15T00:00:00+00:00</t>
  </si>
  <si>
    <t>2021-08-15</t>
  </si>
  <si>
    <t>2021-08-16T00:00:00+00:00</t>
  </si>
  <si>
    <t>2021-08-17T00:00:00+00:00</t>
  </si>
  <si>
    <t>2021-08-18T00:00:00+00:00</t>
  </si>
  <si>
    <t>2021-08-19T00:00:00+00:00</t>
  </si>
  <si>
    <t>2021-08-20T00:00:00+00:00</t>
  </si>
  <si>
    <t>2021-08-21T00:00:00+00:00</t>
  </si>
  <si>
    <t>2021-08-21</t>
  </si>
  <si>
    <t>2021-08-22T00:00:00+00:00</t>
  </si>
  <si>
    <t>2021-08-22</t>
  </si>
  <si>
    <t>2021-08-23T00:00:00+00:00</t>
  </si>
  <si>
    <t>2021-08-24T00:00:00+00:00</t>
  </si>
  <si>
    <t>2021-08-25T00:00:00+00:00</t>
  </si>
  <si>
    <t>2021-08-26T00:00:00+00:00</t>
  </si>
  <si>
    <t>2021-08-27T00:00:00+00:00</t>
  </si>
  <si>
    <t>2021-08-28T00:00:00+00:00</t>
  </si>
  <si>
    <t>2021-08-28</t>
  </si>
  <si>
    <t>2021-08-29T00:00:00+00:00</t>
  </si>
  <si>
    <t>2021-08-29</t>
  </si>
  <si>
    <t>2021-08-30T00:00:00+00:00</t>
  </si>
  <si>
    <t>2021-08-31T00:00:00+00:00</t>
  </si>
  <si>
    <t>2021-09-01T00:00:00+00:00</t>
  </si>
  <si>
    <t>2021-09-02T00:00:00+00:00</t>
  </si>
  <si>
    <t>2021-09-03T00:00:00+00:00</t>
  </si>
  <si>
    <t>2021-09-04T00:00:00+00:00</t>
  </si>
  <si>
    <t>2021-09-04</t>
  </si>
  <si>
    <t>2021-09-05T00:00:00+00:00</t>
  </si>
  <si>
    <t>2021-09-05</t>
  </si>
  <si>
    <t>2021-09-06T00:00:00+00:00</t>
  </si>
  <si>
    <t>2021-09-06</t>
  </si>
  <si>
    <t>2021-09-07T00:00:00+00:00</t>
  </si>
  <si>
    <t>2021-09-08T00:00:00+00:00</t>
  </si>
  <si>
    <t>2021-09-09T00:00:00+00:00</t>
  </si>
  <si>
    <t>2021-09-10T00:00:00+00:00</t>
  </si>
  <si>
    <t>2021-09-11T00:00:00+00:00</t>
  </si>
  <si>
    <t>2021-09-11</t>
  </si>
  <si>
    <t>2021-09-12T00:00:00+00:00</t>
  </si>
  <si>
    <t>2021-09-12</t>
  </si>
  <si>
    <t>2021-09-13T00:00:00+00:00</t>
  </si>
  <si>
    <t>2021-09-14T00:00:00+00:00</t>
  </si>
  <si>
    <t>2021-09-15T00:00:00+00:00</t>
  </si>
  <si>
    <t>2021-09-16T00:00:00+00:00</t>
  </si>
  <si>
    <t>2021-09-17T00:00:00+00:00</t>
  </si>
  <si>
    <t>2021-09-18T00:00:00+00:00</t>
  </si>
  <si>
    <t>2021-09-18</t>
  </si>
  <si>
    <t>2021-09-19T00:00:00+00:00</t>
  </si>
  <si>
    <t>2021-09-19</t>
  </si>
  <si>
    <t>2021-09-20T00:00:00+00:00</t>
  </si>
  <si>
    <t>2021-09-21T00:00:00+00:00</t>
  </si>
  <si>
    <t>2021-09-22T00:00:00+00:00</t>
  </si>
  <si>
    <t>2021-09-23T00:00:00+00:00</t>
  </si>
  <si>
    <t>2021-09-24T00:00:00+00:00</t>
  </si>
  <si>
    <t>2021-09-25T00:00:00+00:00</t>
  </si>
  <si>
    <t>2021-09-25</t>
  </si>
  <si>
    <t>2021-09-26T00:00:00+00:00</t>
  </si>
  <si>
    <t>2021-09-26</t>
  </si>
  <si>
    <t>2021-09-27T00:00:00+00:00</t>
  </si>
  <si>
    <t>2021-09-28T00:00:00+00:00</t>
  </si>
  <si>
    <t>2021-09-29T00:00:00+00:00</t>
  </si>
  <si>
    <t>2021-09-30T00:00:00+00:00</t>
  </si>
  <si>
    <t>2021-10-01T00:00:00+00:00</t>
  </si>
  <si>
    <t>2021-10-02T00:00:00+00:00</t>
  </si>
  <si>
    <t>2021-10-02</t>
  </si>
  <si>
    <t>2021-10-03T00:00:00+00:00</t>
  </si>
  <si>
    <t>2021-10-03</t>
  </si>
  <si>
    <t>2021-10-04T00:00:00+00:00</t>
  </si>
  <si>
    <t>2021-10-05T00:00:00+00:00</t>
  </si>
  <si>
    <t>2021-10-06T00:00:00+00:00</t>
  </si>
  <si>
    <t>2021-10-07T00:00:00+00:00</t>
  </si>
  <si>
    <t>2021-10-08T00:00:00+00:00</t>
  </si>
  <si>
    <t>2021-10-09T00:00:00+00:00</t>
  </si>
  <si>
    <t>2021-10-09</t>
  </si>
  <si>
    <t>2021-10-10T00:00:00+00:00</t>
  </si>
  <si>
    <t>2021-10-10</t>
  </si>
  <si>
    <t>2021-10-11T00:00:00+00:00</t>
  </si>
  <si>
    <t>2021-10-12T00:00:00+00:00</t>
  </si>
  <si>
    <t>2021-10-13T00:00:00+00:00</t>
  </si>
  <si>
    <t>2021-10-14T00:00:00+00:00</t>
  </si>
  <si>
    <t>2021-10-15T00:00:00+00:00</t>
  </si>
  <si>
    <t>2021-10-16T00:00:00+00:00</t>
  </si>
  <si>
    <t>2021-10-16</t>
  </si>
  <si>
    <t>2021-10-17T00:00:00+00:00</t>
  </si>
  <si>
    <t>2021-10-17</t>
  </si>
  <si>
    <t>2021-10-18T00:00:00+00:00</t>
  </si>
  <si>
    <t>2021-10-19T00:00:00+00:00</t>
  </si>
  <si>
    <t>2021-10-20T00:00:00+00:00</t>
  </si>
  <si>
    <t>2021-10-21T00:00:00+00:00</t>
  </si>
  <si>
    <t>2021-10-22T00:00:00+00:00</t>
  </si>
  <si>
    <t>2021-10-23T00:00:00+00:00</t>
  </si>
  <si>
    <t>2021-10-23</t>
  </si>
  <si>
    <t>2021-10-24T00:00:00+00:00</t>
  </si>
  <si>
    <t>2021-10-24</t>
  </si>
  <si>
    <t>2021-10-25T00:00:00+00:00</t>
  </si>
  <si>
    <t>2021-10-26T00:00:00+00:00</t>
  </si>
  <si>
    <t>2021-10-27T00:00:00+00:00</t>
  </si>
  <si>
    <t>2021-10-28T00:00:00+00:00</t>
  </si>
  <si>
    <t>2021-10-29T00:00:00+00:00</t>
  </si>
  <si>
    <t>2021-10-30T00:00:00+00:00</t>
  </si>
  <si>
    <t>2021-10-30</t>
  </si>
  <si>
    <t>2021-10-31T00:00:00+00:00</t>
  </si>
  <si>
    <t>2021-10-31</t>
  </si>
  <si>
    <t>2021-11-01T00:00:00+00:00</t>
  </si>
  <si>
    <t>2021-11-02T00:00:00+00:00</t>
  </si>
  <si>
    <t>2021-11-03T00:00:00+00:00</t>
  </si>
  <si>
    <t>2021-11-04T00:00:00+00:00</t>
  </si>
  <si>
    <t>2021-11-05T00:00:00+00:00</t>
  </si>
  <si>
    <t>2021-11-06T00:00:00+00:00</t>
  </si>
  <si>
    <t>2021-11-06</t>
  </si>
  <si>
    <t>2021-11-07T00:00:00+00:00</t>
  </si>
  <si>
    <t>2021-11-07</t>
  </si>
  <si>
    <t>2021-11-08T00:00:00+00:00</t>
  </si>
  <si>
    <t>2021-11-09T00:00:00+00:00</t>
  </si>
  <si>
    <t>2021-11-10T00:00:00+00:00</t>
  </si>
  <si>
    <t>2021-11-11T00:00:00+00:00</t>
  </si>
  <si>
    <t>2021-11-12T00:00:00+00:00</t>
  </si>
  <si>
    <t>2021-11-13T00:00:00+00:00</t>
  </si>
  <si>
    <t>2021-11-13</t>
  </si>
  <si>
    <t>2021-11-14T00:00:00+00:00</t>
  </si>
  <si>
    <t>2021-11-14</t>
  </si>
  <si>
    <t>2021-11-15T00:00:00+00:00</t>
  </si>
  <si>
    <t>2021-11-16T00:00:00+00:00</t>
  </si>
  <si>
    <t>2021-11-17T00:00:00+00:00</t>
  </si>
  <si>
    <t>2021-11-18T00:00:00+00:00</t>
  </si>
  <si>
    <t>2021-11-19T00:00:00+00:00</t>
  </si>
  <si>
    <t>2021-11-20T00:00:00+00:00</t>
  </si>
  <si>
    <t>2021-11-20</t>
  </si>
  <si>
    <t>2021-11-21T00:00:00+00:00</t>
  </si>
  <si>
    <t>2021-11-21</t>
  </si>
  <si>
    <t>2021-11-22T00:00:00+00:00</t>
  </si>
  <si>
    <t>2021-11-23T00:00:00+00:00</t>
  </si>
  <si>
    <t>2021-11-24T00:00:00+00:00</t>
  </si>
  <si>
    <t>2021-11-25T00:00:00+00:00</t>
  </si>
  <si>
    <t>2021-11-25</t>
  </si>
  <si>
    <t>2021-11-26T00:00:00+00:00</t>
  </si>
  <si>
    <t>2021-11-27T00:00:00+00:00</t>
  </si>
  <si>
    <t>2021-11-27</t>
  </si>
  <si>
    <t>2021-11-28T00:00:00+00:00</t>
  </si>
  <si>
    <t>2021-11-28</t>
  </si>
  <si>
    <t>2021-11-29T00:00:00+00:00</t>
  </si>
  <si>
    <t>2021-11-30T00:00:00+00:00</t>
  </si>
  <si>
    <t>2021-12-01T00:00:00+00:00</t>
  </si>
  <si>
    <t>2021-12-02T00:00:00+00:00</t>
  </si>
  <si>
    <t>2021-12-03T00:00:00+00:00</t>
  </si>
  <si>
    <t>2021-12-04T00:00:00+00:00</t>
  </si>
  <si>
    <t>2021-12-04</t>
  </si>
  <si>
    <t>2021-12-05T00:00:00+00:00</t>
  </si>
  <si>
    <t>2021-12-05</t>
  </si>
  <si>
    <t>2021-12-06T00:00:00+00:00</t>
  </si>
  <si>
    <t>2021-12-07T00:00:00+00:00</t>
  </si>
  <si>
    <t>2021-12-08T00:00:00+00:00</t>
  </si>
  <si>
    <t>2021-12-09T00:00:00+00:00</t>
  </si>
  <si>
    <t>2021-12-10T00:00:00+00:00</t>
  </si>
  <si>
    <t>2021-12-11T00:00:00+00:00</t>
  </si>
  <si>
    <t>2021-12-11</t>
  </si>
  <si>
    <t>2021-12-12T00:00:00+00:00</t>
  </si>
  <si>
    <t>2021-12-12</t>
  </si>
  <si>
    <t>2021-12-13T00:00:00+00:00</t>
  </si>
  <si>
    <t>2021-12-14T00:00:00+00:00</t>
  </si>
  <si>
    <t>2021-12-15T00:00:00+00:00</t>
  </si>
  <si>
    <t>2021-12-16T00:00:00+00:00</t>
  </si>
  <si>
    <t>2021-12-17T00:00:00+00:00</t>
  </si>
  <si>
    <t>2021-12-18T00:00:00+00:00</t>
  </si>
  <si>
    <t>2021-12-18</t>
  </si>
  <si>
    <t>2021-12-19T00:00:00+00:00</t>
  </si>
  <si>
    <t>2021-12-19</t>
  </si>
  <si>
    <t>2021-12-20T00:00:00+00:00</t>
  </si>
  <si>
    <t>2021-12-21T00:00:00+00:00</t>
  </si>
  <si>
    <t>2021-12-22T00:00:00+00:00</t>
  </si>
  <si>
    <t>2021-12-23T00:00:00+00:00</t>
  </si>
  <si>
    <t>2021-12-24T00:00:00+00:00</t>
  </si>
  <si>
    <t>2021-12-24</t>
  </si>
  <si>
    <t>2021-12-25T00:00:00+00:00</t>
  </si>
  <si>
    <t>2021-12-25</t>
  </si>
  <si>
    <t>2021-12-26T00:00:00+00:00</t>
  </si>
  <si>
    <t>2021-12-26</t>
  </si>
  <si>
    <t>2021-12-27T00:00:00+00:00</t>
  </si>
  <si>
    <t>2021-12-28T00:00:00+00:00</t>
  </si>
  <si>
    <t>2021-12-29T00:00:00+00:00</t>
  </si>
  <si>
    <t>2021-12-30T00:00:00+00:00</t>
  </si>
  <si>
    <t>2021-12-31T00:00:00+00:00</t>
  </si>
  <si>
    <t>2022-01-01T00:00:00+00:00</t>
  </si>
  <si>
    <t>2022-01-01</t>
  </si>
  <si>
    <t>2022-01-02T00:00:00+00:00</t>
  </si>
  <si>
    <t>2022-01-02</t>
  </si>
  <si>
    <t>2022-01-03T00:00:00+00:00</t>
  </si>
  <si>
    <t>2022-01-04T00:00:00+00:00</t>
  </si>
  <si>
    <t>2022-01-05T00:00:00+00:00</t>
  </si>
  <si>
    <t>2022-01-06T00:00:00+00:00</t>
  </si>
  <si>
    <t>2022-01-07T00:00:00+00:00</t>
  </si>
  <si>
    <t>2022-01-08T00:00:00+00:00</t>
  </si>
  <si>
    <t>2022-01-08</t>
  </si>
  <si>
    <t>2022-01-09T00:00:00+00:00</t>
  </si>
  <si>
    <t>2022-01-09</t>
  </si>
  <si>
    <t>2022-01-10T00:00:00+00:00</t>
  </si>
  <si>
    <t>2022-01-11T00:00:00+00:00</t>
  </si>
  <si>
    <t>2022-01-12T00:00:00+00:00</t>
  </si>
  <si>
    <t>2022-01-13T00:00:00+00:00</t>
  </si>
  <si>
    <t>2022-01-14T00:00:00+00:00</t>
  </si>
  <si>
    <t>2022-01-15T00:00:00+00:00</t>
  </si>
  <si>
    <t>2022-01-15</t>
  </si>
  <si>
    <t>2022-01-16T00:00:00+00:00</t>
  </si>
  <si>
    <t>2022-01-16</t>
  </si>
  <si>
    <t>2022-01-17T00:00:00+00:00</t>
  </si>
  <si>
    <t>2022-01-17</t>
  </si>
  <si>
    <t>2022-01-18T00:00:00+00:00</t>
  </si>
  <si>
    <t>2022-01-19T00:00:00+00:00</t>
  </si>
  <si>
    <t>2022-01-20T00:00:00+00:00</t>
  </si>
  <si>
    <t>2022-01-21T00:00:00+00:00</t>
  </si>
  <si>
    <t>2022-01-22T00:00:00+00:00</t>
  </si>
  <si>
    <t>2022-01-22</t>
  </si>
  <si>
    <t>2022-01-23T00:00:00+00:00</t>
  </si>
  <si>
    <t>2022-01-23</t>
  </si>
  <si>
    <t>2022-01-24T00:00:00+00:00</t>
  </si>
  <si>
    <t>2022-01-25T00:00:00+00:00</t>
  </si>
  <si>
    <t>2022-01-26T00:00:00+00:00</t>
  </si>
  <si>
    <t>2022-01-27T00:00:00+00:00</t>
  </si>
  <si>
    <t>2022-01-28T00:00:00+00:00</t>
  </si>
  <si>
    <t>2022-01-29T00:00:00+00:00</t>
  </si>
  <si>
    <t>2022-01-29</t>
  </si>
  <si>
    <t>2022-01-30T00:00:00+00:00</t>
  </si>
  <si>
    <t>2022-01-30</t>
  </si>
  <si>
    <t>2022-01-31T00:00:00+00:00</t>
  </si>
  <si>
    <t>2022-02-01T00:00:00+00:00</t>
  </si>
  <si>
    <t>2022-02-02T00:00:00+00:00</t>
  </si>
  <si>
    <t>2022-02-03T00:00:00+00:00</t>
  </si>
  <si>
    <t>2022-02-04T00:00:00+00:00</t>
  </si>
  <si>
    <t>2022-02-05T00:00:00+00:00</t>
  </si>
  <si>
    <t>2022-02-05</t>
  </si>
  <si>
    <t>2022-02-06T00:00:00+00:00</t>
  </si>
  <si>
    <t>2022-02-06</t>
  </si>
  <si>
    <t>2022-02-07T00:00:00+00:00</t>
  </si>
  <si>
    <t>2022-02-08T00:00:00+00:00</t>
  </si>
  <si>
    <t>2022-02-09T00:00:00+00:00</t>
  </si>
  <si>
    <t>2022-02-10T00:00:00+00:00</t>
  </si>
  <si>
    <t>2022-02-11T00:00:00+00:00</t>
  </si>
  <si>
    <t>2022-02-12T00:00:00+00:00</t>
  </si>
  <si>
    <t>2022-02-12</t>
  </si>
  <si>
    <t>2022-02-13T00:00:00+00:00</t>
  </si>
  <si>
    <t>2022-02-13</t>
  </si>
  <si>
    <t>2022-02-14T00:00:00+00:00</t>
  </si>
  <si>
    <t>2022-02-15T00:00:00+00:00</t>
  </si>
  <si>
    <t>2022-02-16T00:00:00+00:00</t>
  </si>
  <si>
    <t>2022-02-17T00:00:00+00:00</t>
  </si>
  <si>
    <t>2022-02-18T00:00:00+00:00</t>
  </si>
  <si>
    <t>2022-02-19T00:00:00+00:00</t>
  </si>
  <si>
    <t>2022-02-19</t>
  </si>
  <si>
    <t>2022-02-20T00:00:00+00:00</t>
  </si>
  <si>
    <t>2022-02-20</t>
  </si>
  <si>
    <t>2022-02-21T00:00:00+00:00</t>
  </si>
  <si>
    <t>2022-02-21</t>
  </si>
  <si>
    <t>2022-02-22T00:00:00+00:00</t>
  </si>
  <si>
    <t>2022-02-23T00:00:00+00:00</t>
  </si>
  <si>
    <t>2022-02-24T00:00:00+00:00</t>
  </si>
  <si>
    <t>2022-02-25T00:00:00+00:00</t>
  </si>
  <si>
    <t>2022-02-26T00:00:00+00:00</t>
  </si>
  <si>
    <t>2022-02-26</t>
  </si>
  <si>
    <t>2022-02-27T00:00:00+00:00</t>
  </si>
  <si>
    <t>2022-02-27</t>
  </si>
  <si>
    <t>2022-02-28T00:00:00+00:00</t>
  </si>
  <si>
    <t>2022-03-01T00:00:00+00:00</t>
  </si>
  <si>
    <t>2022-03-02T00:00:00+00:00</t>
  </si>
  <si>
    <t>2022-03-03T00:00:00+00:00</t>
  </si>
  <si>
    <t>2022-03-04T00:00:00+00:00</t>
  </si>
  <si>
    <t>2022-03-05T00:00:00+00:00</t>
  </si>
  <si>
    <t>2022-03-05</t>
  </si>
  <si>
    <t>2022-03-06T00:00:00+00:00</t>
  </si>
  <si>
    <t>2022-03-06</t>
  </si>
  <si>
    <t>2022-03-07T00:00:00+00:00</t>
  </si>
  <si>
    <t>2022-03-08T00:00:00+00:00</t>
  </si>
  <si>
    <t>2022-03-09T00:00:00+00:00</t>
  </si>
  <si>
    <t>2022-03-10T00:00:00+00:00</t>
  </si>
  <si>
    <t>2022-03-11T00:00:00+00:00</t>
  </si>
  <si>
    <t>2022-03-12T00:00:00+00:00</t>
  </si>
  <si>
    <t>2022-03-12</t>
  </si>
  <si>
    <t>2022-03-13T00:00:00+00:00</t>
  </si>
  <si>
    <t>2022-03-13</t>
  </si>
  <si>
    <t>2022-03-14T00:00:00+00:00</t>
  </si>
  <si>
    <t>2022-03-15T00:00:00+00:00</t>
  </si>
  <si>
    <t>2022-03-16T00:00:00+00:00</t>
  </si>
  <si>
    <t>2022-03-17T00:00:00+00:00</t>
  </si>
  <si>
    <t>2022-03-18T00:00:00+00:00</t>
  </si>
  <si>
    <t>2022-03-19T00:00:00+00:00</t>
  </si>
  <si>
    <t>2022-03-19</t>
  </si>
  <si>
    <t>2022-03-20T00:00:00+00:00</t>
  </si>
  <si>
    <t>2022-03-20</t>
  </si>
  <si>
    <t>2022-03-21T00:00:00+00:00</t>
  </si>
  <si>
    <t>2022-03-22T00:00:00+00:00</t>
  </si>
  <si>
    <t>2022-03-23T00:00:00+00:00</t>
  </si>
  <si>
    <t>2022-03-24T00:00:00+00:00</t>
  </si>
  <si>
    <t>2022-03-25T00:00:00+00:00</t>
  </si>
  <si>
    <t>2022-03-26T00:00:00+00:00</t>
  </si>
  <si>
    <t>2022-03-26</t>
  </si>
  <si>
    <t>2022-03-27T00:00:00+00:00</t>
  </si>
  <si>
    <t>2022-03-27</t>
  </si>
  <si>
    <t>2022-03-28T00:00:00+00:00</t>
  </si>
  <si>
    <t>2022-03-29T00:00:00+00:00</t>
  </si>
  <si>
    <t>2022-03-30T00:00:00+00:00</t>
  </si>
  <si>
    <t>2022-03-31T00:00:00+00:00</t>
  </si>
  <si>
    <t>2022-04-01T00:00:00+00:00</t>
  </si>
  <si>
    <t>2022-04-02T00:00:00+00:00</t>
  </si>
  <si>
    <t>2022-04-02</t>
  </si>
  <si>
    <t>2022-04-03T00:00:00+00:00</t>
  </si>
  <si>
    <t>2022-04-03</t>
  </si>
  <si>
    <t>2022-04-04T00:00:00+00:00</t>
  </si>
  <si>
    <t>2022-04-05T00:00:00+00:00</t>
  </si>
  <si>
    <t>2022-04-06T00:00:00+00:00</t>
  </si>
  <si>
    <t>2022-04-07T00:00:00+00:00</t>
  </si>
  <si>
    <t>2022-04-08T00:00:00+00:00</t>
  </si>
  <si>
    <t>2022-04-09T00:00:00+00:00</t>
  </si>
  <si>
    <t>2022-04-09</t>
  </si>
  <si>
    <t>2022-04-10T00:00:00+00:00</t>
  </si>
  <si>
    <t>2022-04-10</t>
  </si>
  <si>
    <t>2022-04-11T00:00:00+00:00</t>
  </si>
  <si>
    <t>2022-04-12T00:00:00+00:00</t>
  </si>
  <si>
    <t>2022-04-13T00:00:00+00:00</t>
  </si>
  <si>
    <t>2022-04-14T00:00:00+00:00</t>
  </si>
  <si>
    <t>2022-04-15T00:00:00+00:00</t>
  </si>
  <si>
    <t>2022-04-15</t>
  </si>
  <si>
    <t>2022-04-16T00:00:00+00:00</t>
  </si>
  <si>
    <t>2022-04-16</t>
  </si>
  <si>
    <t>2022-04-17T00:00:00+00:00</t>
  </si>
  <si>
    <t>2022-04-17</t>
  </si>
  <si>
    <t>2022-04-18T00:00:00+00:00</t>
  </si>
  <si>
    <t>2022-04-19T00:00:00+00:00</t>
  </si>
  <si>
    <t>2022-04-20T00:00:00+00:00</t>
  </si>
  <si>
    <t>2022-04-21T00:00:00+00:00</t>
  </si>
  <si>
    <t>2022-04-22T00:00:00+00:00</t>
  </si>
  <si>
    <t>2022-04-23T00:00:00+00:00</t>
  </si>
  <si>
    <t>2022-04-23</t>
  </si>
  <si>
    <t>2022-04-24T00:00:00+00:00</t>
  </si>
  <si>
    <t>2022-04-24</t>
  </si>
  <si>
    <t>2022-04-25T00:00:00+00:00</t>
  </si>
  <si>
    <t>2022-04-26T00:00:00+00:00</t>
  </si>
  <si>
    <t>2022-04-27T00:00:00+00:00</t>
  </si>
  <si>
    <t>2022-04-28T00:00:00+00:00</t>
  </si>
  <si>
    <t>2022-04-29T00:00:00+00:00</t>
  </si>
  <si>
    <t>2022-04-30T00:00:00+00:00</t>
  </si>
  <si>
    <t>2022-04-30</t>
  </si>
  <si>
    <t>2022-05-01T00:00:00+00:00</t>
  </si>
  <si>
    <t>2022-05-01</t>
  </si>
  <si>
    <t>2022-05-02T00:00:00+00:00</t>
  </si>
  <si>
    <t>2022-05-03T00:00:00+00:00</t>
  </si>
  <si>
    <t>2022-05-04T00:00:00+00:00</t>
  </si>
  <si>
    <t>2022-05-05T00:00:00+00:00</t>
  </si>
  <si>
    <t>2022-05-06T00:00:00+00:00</t>
  </si>
  <si>
    <t>2022-05-07T00:00:00+00:00</t>
  </si>
  <si>
    <t>2022-05-07</t>
  </si>
  <si>
    <t>2022-05-08T00:00:00+00:00</t>
  </si>
  <si>
    <t>2022-05-08</t>
  </si>
  <si>
    <t>2022-05-09T00:00:00+00:00</t>
  </si>
  <si>
    <t>2022-05-10T00:00:00+00:00</t>
  </si>
  <si>
    <t>2022-05-11T00:00:00+00:00</t>
  </si>
  <si>
    <t>2022-05-12T00:00:00+00:00</t>
  </si>
  <si>
    <t>2022-05-13T00:00:00+00:00</t>
  </si>
  <si>
    <t>2022-05-14T00:00:00+00:00</t>
  </si>
  <si>
    <t>2022-05-14</t>
  </si>
  <si>
    <t>2022-05-15T00:00:00+00:00</t>
  </si>
  <si>
    <t>2022-05-15</t>
  </si>
  <si>
    <t>2022-05-16T00:00:00+00:00</t>
  </si>
  <si>
    <t>2022-05-17T00:00:00+00:00</t>
  </si>
  <si>
    <t>2022-05-18T00:00:00+00:00</t>
  </si>
  <si>
    <t>2022-05-19T00:00:00+00:00</t>
  </si>
  <si>
    <t>2022-05-20T00:00:00+00:00</t>
  </si>
  <si>
    <t>2022-05-21T00:00:00+00:00</t>
  </si>
  <si>
    <t>2022-05-21</t>
  </si>
  <si>
    <t>2022-05-22T00:00:00+00:00</t>
  </si>
  <si>
    <t>2022-05-22</t>
  </si>
  <si>
    <t>2022-05-23T00:00:00+00:00</t>
  </si>
  <si>
    <t>2022-05-24T00:00:00+00:00</t>
  </si>
  <si>
    <t>2022-05-25T00:00:00+00:00</t>
  </si>
  <si>
    <t>2022-05-26T00:00:00+00:00</t>
  </si>
  <si>
    <t>2022-05-27T00:00:00+00:00</t>
  </si>
  <si>
    <t>2022-05-28T00:00:00+00:00</t>
  </si>
  <si>
    <t>2022-05-28</t>
  </si>
  <si>
    <t>2022-05-29T00:00:00+00:00</t>
  </si>
  <si>
    <t>2022-05-29</t>
  </si>
  <si>
    <t>2022-05-30T00:00:00+00:00</t>
  </si>
  <si>
    <t>2022-05-30</t>
  </si>
  <si>
    <t>2022-05-31T00:00:00+00:00</t>
  </si>
  <si>
    <t>2022-06-01T00:00:00+00:00</t>
  </si>
  <si>
    <t>2022-06-02T00:00:00+00:00</t>
  </si>
  <si>
    <t>2022-06-03T00:00:00+00:00</t>
  </si>
  <si>
    <t>2022-06-04T00:00:00+00:00</t>
  </si>
  <si>
    <t>2022-06-04</t>
  </si>
  <si>
    <t>2022-06-05T00:00:00+00:00</t>
  </si>
  <si>
    <t>2022-06-05</t>
  </si>
  <si>
    <t>2022-06-06T00:00:00+00:00</t>
  </si>
  <si>
    <t>2022-06-07T00:00:00+00:00</t>
  </si>
  <si>
    <t>2022-06-08T00:00:00+00:00</t>
  </si>
  <si>
    <t>2022-06-09T00:00:00+00:00</t>
  </si>
  <si>
    <t>2022-06-10T00:00:00+00:00</t>
  </si>
  <si>
    <t>2022-06-11T00:00:00+00:00</t>
  </si>
  <si>
    <t>2022-06-11</t>
  </si>
  <si>
    <t>2022-06-12T00:00:00+00:00</t>
  </si>
  <si>
    <t>2022-06-12</t>
  </si>
  <si>
    <t>2022-06-13T00:00:00+00:00</t>
  </si>
  <si>
    <t>2022-06-14T00:00:00+00:00</t>
  </si>
  <si>
    <t>2022-06-15T00:00:00+00:00</t>
  </si>
  <si>
    <t>2022-06-16T00:00:00+00:00</t>
  </si>
  <si>
    <t>2022-06-17T00:00:00+00:00</t>
  </si>
  <si>
    <t>2022-06-18T00:00:00+00:00</t>
  </si>
  <si>
    <t>2022-06-18</t>
  </si>
  <si>
    <t>2022-06-19T00:00:00+00:00</t>
  </si>
  <si>
    <t>2022-06-19</t>
  </si>
  <si>
    <t>2022-06-20T00:00:00+00:00</t>
  </si>
  <si>
    <t>2022-06-20</t>
  </si>
  <si>
    <t>2022-06-21T00:00:00+00:00</t>
  </si>
  <si>
    <t>2022-06-22T00:00:00+00:00</t>
  </si>
  <si>
    <t>2022-06-23T00:00:00+00:00</t>
  </si>
  <si>
    <t>2022-06-24T00:00:00+00:00</t>
  </si>
  <si>
    <t>2022-06-25T00:00:00+00:00</t>
  </si>
  <si>
    <t>2022-06-25</t>
  </si>
  <si>
    <t>2022-06-26T00:00:00+00:00</t>
  </si>
  <si>
    <t>2022-06-26</t>
  </si>
  <si>
    <t>2022-06-27T00:00:00+00:00</t>
  </si>
  <si>
    <t>2022-06-28T00:00:00+00:00</t>
  </si>
  <si>
    <t>2022-06-29T00:00:00+00:00</t>
  </si>
  <si>
    <t>2022-06-30T00:00:00+00:00</t>
  </si>
  <si>
    <t>2022-07-01T00:00:00+00:00</t>
  </si>
  <si>
    <t>2022-07-02T00:00:00+00:00</t>
  </si>
  <si>
    <t>2022-07-02</t>
  </si>
  <si>
    <t>2022-07-03T00:00:00+00:00</t>
  </si>
  <si>
    <t>2022-07-03</t>
  </si>
  <si>
    <t>2022-07-04T00:00:00+00:00</t>
  </si>
  <si>
    <t>2022-07-04</t>
  </si>
  <si>
    <t>2022-07-05T00:00:00+00:00</t>
  </si>
  <si>
    <t>2022-07-06T00:00:00+00:00</t>
  </si>
  <si>
    <t>2022-07-07T00:00:00+00:00</t>
  </si>
  <si>
    <t>2022-07-08T00:00:00+00:00</t>
  </si>
  <si>
    <t>2022-07-09T00:00:00+00:00</t>
  </si>
  <si>
    <t>2022-07-09</t>
  </si>
  <si>
    <t>2022-07-10T00:00:00+00:00</t>
  </si>
  <si>
    <t>2022-07-10</t>
  </si>
  <si>
    <t>2022-07-11T00:00:00+00:00</t>
  </si>
  <si>
    <t>2022-07-12T00:00:00+00:00</t>
  </si>
  <si>
    <t>2022-07-13T00:00:00+00:00</t>
  </si>
  <si>
    <t>2022-07-14T00:00:00+00:00</t>
  </si>
  <si>
    <t>2022-07-15T00:00:00+00:00</t>
  </si>
  <si>
    <t>2022-07-16T00:00:00+00:00</t>
  </si>
  <si>
    <t>2022-07-16</t>
  </si>
  <si>
    <t>2022-07-17T00:00:00+00:00</t>
  </si>
  <si>
    <t>2022-07-17</t>
  </si>
  <si>
    <t>2022-07-18T00:00:00+00:00</t>
  </si>
  <si>
    <t>2022-07-19T00:00:00+00:00</t>
  </si>
  <si>
    <t>2022-07-20T00:00:00+00:00</t>
  </si>
  <si>
    <t>2022-07-21T00:00:00+00:00</t>
  </si>
  <si>
    <t>2022-07-22T00:00:00+00:00</t>
  </si>
  <si>
    <t>2022-07-23T00:00:00+00:00</t>
  </si>
  <si>
    <t>2022-07-23</t>
  </si>
  <si>
    <t>2022-07-24T00:00:00+00:00</t>
  </si>
  <si>
    <t>2022-07-24</t>
  </si>
  <si>
    <t>2022-07-25T00:00:00+00:00</t>
  </si>
  <si>
    <t>2022-07-26T00:00:00+00:00</t>
  </si>
  <si>
    <t>2022-07-27T00:00:00+00:00</t>
  </si>
  <si>
    <t>2022-07-28T00:00:00+00:00</t>
  </si>
  <si>
    <t>2022-07-29T00:00:00+00:00</t>
  </si>
  <si>
    <t>2022-07-30T00:00:00+00:00</t>
  </si>
  <si>
    <t>2022-07-30</t>
  </si>
  <si>
    <t>2022-07-31T00:00:00+00:00</t>
  </si>
  <si>
    <t>2022-07-31</t>
  </si>
  <si>
    <t>2022-08-01T00:00:00+00:00</t>
  </si>
  <si>
    <t>2022-08-02T00:00:00+00:00</t>
  </si>
  <si>
    <t>2022-08-03T00:00:00+00:00</t>
  </si>
  <si>
    <t>2022-08-04T00:00:00+00:00</t>
  </si>
  <si>
    <t>2022-08-05T00:00:00+00:00</t>
  </si>
  <si>
    <t>2022-08-06T00:00:00+00:00</t>
  </si>
  <si>
    <t>2022-08-06</t>
  </si>
  <si>
    <t>2022-08-07T00:00:00+00:00</t>
  </si>
  <si>
    <t>2022-08-07</t>
  </si>
  <si>
    <t>2022-08-08T00:00:00+00:00</t>
  </si>
  <si>
    <t>2022-08-09T00:00:00+00:00</t>
  </si>
  <si>
    <t>2022-08-10T00:00:00+00:00</t>
  </si>
  <si>
    <t>2022-08-11T00:00:00+00:00</t>
  </si>
  <si>
    <t>2022-08-12T00:00:00+00:00</t>
  </si>
  <si>
    <t>2022-08-13T00:00:00+00:00</t>
  </si>
  <si>
    <t>2022-08-13</t>
  </si>
  <si>
    <t>2022-08-14T00:00:00+00:00</t>
  </si>
  <si>
    <t>2022-08-14</t>
  </si>
  <si>
    <t>2022-08-15T00:00:00+00:00</t>
  </si>
  <si>
    <t>2022-08-16T00:00:00+00:00</t>
  </si>
  <si>
    <t>2022-08-17T00:00:00+00:00</t>
  </si>
  <si>
    <t>2022-08-18T00:00:00+00:00</t>
  </si>
  <si>
    <t>2022-08-19T00:00:00+00:00</t>
  </si>
  <si>
    <t>2022-08-20T00:00:00+00:00</t>
  </si>
  <si>
    <t>2022-08-20</t>
  </si>
  <si>
    <t>2022-08-21T00:00:00+00:00</t>
  </si>
  <si>
    <t>2022-08-21</t>
  </si>
  <si>
    <t>2022-08-22T00:00:00+00:00</t>
  </si>
  <si>
    <t>2022-08-23T00:00:00+00:00</t>
  </si>
  <si>
    <t>2022-08-24T00:00:00+00:00</t>
  </si>
  <si>
    <t>2022-08-25T00:00:00+00:00</t>
  </si>
  <si>
    <t>2022-08-26T00:00:00+00:00</t>
  </si>
  <si>
    <t>2022-08-27T00:00:00+00:00</t>
  </si>
  <si>
    <t>2022-08-27</t>
  </si>
  <si>
    <t>2022-08-28T00:00:00+00:00</t>
  </si>
  <si>
    <t>2022-08-28</t>
  </si>
  <si>
    <t>2022-08-29T00:00:00+00:00</t>
  </si>
  <si>
    <t>2022-08-30T00:00:00+00:00</t>
  </si>
  <si>
    <t>2022-08-31T00:00:00+00:00</t>
  </si>
  <si>
    <t>2022-09-01T00:00:00+00:00</t>
  </si>
  <si>
    <t>2022-09-02T00:00:00+00:00</t>
  </si>
  <si>
    <t>2022-09-03T00:00:00+00:00</t>
  </si>
  <si>
    <t>2022-09-03</t>
  </si>
  <si>
    <t>2022-09-04T00:00:00+00:00</t>
  </si>
  <si>
    <t>2022-09-04</t>
  </si>
  <si>
    <t>2022-09-05T00:00:00+00:00</t>
  </si>
  <si>
    <t>2022-09-05</t>
  </si>
  <si>
    <t>2022-09-06T00:00:00+00:00</t>
  </si>
  <si>
    <t>2022-09-07T00:00:00+00:00</t>
  </si>
  <si>
    <t>2022-09-08T00:00:00+00:00</t>
  </si>
  <si>
    <t>2022-09-09T00:00:00+00:00</t>
  </si>
  <si>
    <t>2022-09-10T00:00:00+00:00</t>
  </si>
  <si>
    <t>2022-09-10</t>
  </si>
  <si>
    <t>2022-09-11T00:00:00+00:00</t>
  </si>
  <si>
    <t>2022-09-11</t>
  </si>
  <si>
    <t>2022-09-12T00:00:00+00:00</t>
  </si>
  <si>
    <t>2022-09-13T00:00:00+00:00</t>
  </si>
  <si>
    <t>2022-09-14T00:00:00+00:00</t>
  </si>
  <si>
    <t>2022-09-15T00:00:00+00:00</t>
  </si>
  <si>
    <t>2022-09-16T00:00:00+00:00</t>
  </si>
  <si>
    <t>2022-09-17T00:00:00+00:00</t>
  </si>
  <si>
    <t>2022-09-17</t>
  </si>
  <si>
    <t>2022-09-18T00:00:00+00:00</t>
  </si>
  <si>
    <t>2022-09-18</t>
  </si>
  <si>
    <t>2022-09-19T00:00:00+00:00</t>
  </si>
  <si>
    <t>2022-09-20T00:00:00+00:00</t>
  </si>
  <si>
    <t>2022-09-21T00:00:00+00:00</t>
  </si>
  <si>
    <t>2022-09-22T00:00:00+00:00</t>
  </si>
  <si>
    <t>2022-09-23T00:00:00+00:00</t>
  </si>
  <si>
    <t>2022-09-24T00:00:00+00:00</t>
  </si>
  <si>
    <t>2022-09-24</t>
  </si>
  <si>
    <t>2022-09-25T00:00:00+00:00</t>
  </si>
  <si>
    <t>2022-09-25</t>
  </si>
  <si>
    <t>2022-09-26T00:00:00+00:00</t>
  </si>
  <si>
    <t>2022-09-27T00:00:00+00:00</t>
  </si>
  <si>
    <t>2022-09-28T00:00:00+00:00</t>
  </si>
  <si>
    <t>2022-09-29T00:00:00+00:00</t>
  </si>
  <si>
    <t>2022-09-30T00:00:00+00:00</t>
  </si>
  <si>
    <t>2022-10-01T00:00:00+00:00</t>
  </si>
  <si>
    <t>2022-10-01</t>
  </si>
  <si>
    <t>2022-10-02T00:00:00+00:00</t>
  </si>
  <si>
    <t>2022-10-02</t>
  </si>
  <si>
    <t>2022-10-03T00:00:00+00:00</t>
  </si>
  <si>
    <t>2022-10-04T00:00:00+00:00</t>
  </si>
  <si>
    <t>2022-10-05T00:00:00+00:00</t>
  </si>
  <si>
    <t>2022-10-06T00:00:00+00:00</t>
  </si>
  <si>
    <t>2022-10-07T00:00:00+00:00</t>
  </si>
  <si>
    <t>2022-10-08T00:00:00+00:00</t>
  </si>
  <si>
    <t>2022-10-08</t>
  </si>
  <si>
    <t>2022-10-09T00:00:00+00:00</t>
  </si>
  <si>
    <t>2022-10-09</t>
  </si>
  <si>
    <t>2022-10-10T00:00:00+00:00</t>
  </si>
  <si>
    <t>2022-10-11T00:00:00+00:00</t>
  </si>
  <si>
    <t>2022-10-12T00:00:00+00:00</t>
  </si>
  <si>
    <t>2022-10-13T00:00:00+00:00</t>
  </si>
  <si>
    <t>2022-10-14T00:00:00+00:00</t>
  </si>
  <si>
    <t>2022-10-15T00:00:00+00:00</t>
  </si>
  <si>
    <t>2022-10-15</t>
  </si>
  <si>
    <t>2022-10-16T00:00:00+00:00</t>
  </si>
  <si>
    <t>2022-10-16</t>
  </si>
  <si>
    <t>2022-10-17T00:00:00+00:00</t>
  </si>
  <si>
    <t>2022-10-18T00:00:00+00:00</t>
  </si>
  <si>
    <t>2022-10-19T00:00:00+00:00</t>
  </si>
  <si>
    <t>2022-10-20T00:00:00+00:00</t>
  </si>
  <si>
    <t>2022-10-21T00:00:00+00:00</t>
  </si>
  <si>
    <t>2022-10-22T00:00:00+00:00</t>
  </si>
  <si>
    <t>2022-10-22</t>
  </si>
  <si>
    <t>2022-10-23T00:00:00+00:00</t>
  </si>
  <si>
    <t>2022-10-23</t>
  </si>
  <si>
    <t>2022-10-24T00:00:00+00:00</t>
  </si>
  <si>
    <t>2022-10-25T00:00:00+00:00</t>
  </si>
  <si>
    <t>2022-10-26T00:00:00+00:00</t>
  </si>
  <si>
    <t>2022-10-27T00:00:00+00:00</t>
  </si>
  <si>
    <t>2022-10-28T00:00:00+00:00</t>
  </si>
  <si>
    <t>2022-10-29T00:00:00+00:00</t>
  </si>
  <si>
    <t>2022-10-29</t>
  </si>
  <si>
    <t>2022-10-30T00:00:00+00:00</t>
  </si>
  <si>
    <t>2022-10-30</t>
  </si>
  <si>
    <t>2022-10-31T00:00:00+00:00</t>
  </si>
  <si>
    <t>2022-11-01T00:00:00+00:00</t>
  </si>
  <si>
    <t>2022-11-02T00:00:00+00:00</t>
  </si>
  <si>
    <t>2022-11-03T00:00:00+00:00</t>
  </si>
  <si>
    <t>2022-11-04T00:00:00+00:00</t>
  </si>
  <si>
    <t>2022-11-05T00:00:00+00:00</t>
  </si>
  <si>
    <t>2022-11-05</t>
  </si>
  <si>
    <t>2022-11-06T00:00:00+00:00</t>
  </si>
  <si>
    <t>2022-11-06</t>
  </si>
  <si>
    <t>2022-11-07T00:00:00+00:00</t>
  </si>
  <si>
    <t>2022-11-08T00:00:00+00:00</t>
  </si>
  <si>
    <t>2022-11-09T00:00:00+00:00</t>
  </si>
  <si>
    <t>2022-11-10T00:00:00+00:00</t>
  </si>
  <si>
    <t>2022-11-11T00:00:00+00:00</t>
  </si>
  <si>
    <t>2022-11-12T00:00:00+00:00</t>
  </si>
  <si>
    <t>2022-11-12</t>
  </si>
  <si>
    <t>2022-11-13T00:00:00+00:00</t>
  </si>
  <si>
    <t>2022-11-13</t>
  </si>
  <si>
    <t>2022-11-14T00:00:00+00:00</t>
  </si>
  <si>
    <t>2022-11-15T00:00:00+00:00</t>
  </si>
  <si>
    <t>2022-11-16T00:00:00+00:00</t>
  </si>
  <si>
    <t>2022-11-17T00:00:00+00:00</t>
  </si>
  <si>
    <t>2022-11-18T00:00:00+00:00</t>
  </si>
  <si>
    <t>2022-11-19T00:00:00+00:00</t>
  </si>
  <si>
    <t>2022-11-19</t>
  </si>
  <si>
    <t>2022-11-20T00:00:00+00:00</t>
  </si>
  <si>
    <t>2022-11-20</t>
  </si>
  <si>
    <t>2022-11-21T00:00:00+00:00</t>
  </si>
  <si>
    <t>2022-11-22T00:00:00+00:00</t>
  </si>
  <si>
    <t>2022-11-23T00:00:00+00:00</t>
  </si>
  <si>
    <t>2022-11-24T00:00:00+00:00</t>
  </si>
  <si>
    <t>2022-11-24</t>
  </si>
  <si>
    <t>2022-11-25T00:00:00+00:00</t>
  </si>
  <si>
    <t>2022-11-26T00:00:00+00:00</t>
  </si>
  <si>
    <t>2022-11-26</t>
  </si>
  <si>
    <t>2022-11-27T00:00:00+00:00</t>
  </si>
  <si>
    <t>2022-11-27</t>
  </si>
  <si>
    <t>2022-11-28T00:00:00+00:00</t>
  </si>
  <si>
    <t>2022-11-29T00:00:00+00:00</t>
  </si>
  <si>
    <t>2022-11-30T00:00:00+00:00</t>
  </si>
  <si>
    <t>2022-12-01T00:00:00+00:00</t>
  </si>
  <si>
    <t>2022-12-02T00:00:00+00:00</t>
  </si>
  <si>
    <t>2022-12-03T00:00:00+00:00</t>
  </si>
  <si>
    <t>2022-12-03</t>
  </si>
  <si>
    <t>2022-12-04T00:00:00+00:00</t>
  </si>
  <si>
    <t>2022-12-04</t>
  </si>
  <si>
    <t>2022-12-05T00:00:00+00:00</t>
  </si>
  <si>
    <t>2022-12-06T00:00:00+00:00</t>
  </si>
  <si>
    <t>2022-12-07T00:00:00+00:00</t>
  </si>
  <si>
    <t>2022-12-08T00:00:00+00:00</t>
  </si>
  <si>
    <t>2022-12-09T00:00:00+00:00</t>
  </si>
  <si>
    <t>2022-12-10T00:00:00+00:00</t>
  </si>
  <si>
    <t>2022-12-10</t>
  </si>
  <si>
    <t>2022-12-11T00:00:00+00:00</t>
  </si>
  <si>
    <t>2022-12-11</t>
  </si>
  <si>
    <t>2022-12-12T00:00:00+00:00</t>
  </si>
  <si>
    <t>2022-12-13T00:00:00+00:00</t>
  </si>
  <si>
    <t>2022-12-14T00:00:00+00:00</t>
  </si>
  <si>
    <t>2022-12-15T00:00:00+00:00</t>
  </si>
  <si>
    <t>2022-12-16T00:00:00+00:00</t>
  </si>
  <si>
    <t>2022-12-17T00:00:00+00:00</t>
  </si>
  <si>
    <t>2022-12-17</t>
  </si>
  <si>
    <t>2022-12-18T00:00:00+00:00</t>
  </si>
  <si>
    <t>2022-12-18</t>
  </si>
  <si>
    <t>2022-12-19T00:00:00+00:00</t>
  </si>
  <si>
    <t>2022-12-20T00:00:00+00:00</t>
  </si>
  <si>
    <t>2022-12-21T00:00:00+00:00</t>
  </si>
  <si>
    <t>2022-12-22T00:00:00+00:00</t>
  </si>
  <si>
    <t>2022-12-23T00:00:00+00:00</t>
  </si>
  <si>
    <t>2022-12-24T00:00:00+00:00</t>
  </si>
  <si>
    <t>2022-12-24</t>
  </si>
  <si>
    <t>2022-12-25T00:00:00+00:00</t>
  </si>
  <si>
    <t>2022-12-25</t>
  </si>
  <si>
    <t>2022-12-26T00:00:00+00:00</t>
  </si>
  <si>
    <t>2022-12-26</t>
  </si>
  <si>
    <t>2022-12-27T00:00:00+00:00</t>
  </si>
  <si>
    <t>2022-12-28T00:00:00+00:00</t>
  </si>
  <si>
    <t>2022-12-29T00:00:00+00:00</t>
  </si>
  <si>
    <t>2022-12-30T00:00:00+00:00</t>
  </si>
  <si>
    <t>2022-12-31T00:00:00+00:00</t>
  </si>
  <si>
    <t>2022-12-31</t>
  </si>
  <si>
    <t>2023-01-01T00:00:00+00:00</t>
  </si>
  <si>
    <t>2023-01-01</t>
  </si>
  <si>
    <t>2023-01-02T00:00:00+00:00</t>
  </si>
  <si>
    <t>2023-01-02</t>
  </si>
  <si>
    <t>2023-01-03T00:00:00+00:00</t>
  </si>
  <si>
    <t>2023-01-04T00:00:00+00:00</t>
  </si>
  <si>
    <t>2023-01-05T00:00:00+00:00</t>
  </si>
  <si>
    <t>2023-01-06T00:00:00+00:00</t>
  </si>
  <si>
    <t>2023-01-07T00:00:00+00:00</t>
  </si>
  <si>
    <t>2023-01-07</t>
  </si>
  <si>
    <t>2023-01-08T00:00:00+00:00</t>
  </si>
  <si>
    <t>2023-01-08</t>
  </si>
  <si>
    <t>2023-01-09T00:00:00+00:00</t>
  </si>
  <si>
    <t>2023-01-10T00:00:00+00:00</t>
  </si>
  <si>
    <t>2023-01-11T00:00:00+00:00</t>
  </si>
  <si>
    <t>2023-01-12T00:00:00+00:00</t>
  </si>
  <si>
    <t>2023-01-13T00:00:00+00:00</t>
  </si>
  <si>
    <t>2023-01-14T00:00:00+00:00</t>
  </si>
  <si>
    <t>2023-01-14</t>
  </si>
  <si>
    <t>2023-01-15T00:00:00+00:00</t>
  </si>
  <si>
    <t>2023-01-15</t>
  </si>
  <si>
    <t>2023-01-16T00:00:00+00:00</t>
  </si>
  <si>
    <t>2023-01-16</t>
  </si>
  <si>
    <t>2023-01-17T00:00:00+00:00</t>
  </si>
  <si>
    <t>2023-01-18T00:00:00+00:00</t>
  </si>
  <si>
    <t>2023-01-19T00:00:00+00:00</t>
  </si>
  <si>
    <t>2023-01-20T00:00:00+00:00</t>
  </si>
  <si>
    <t>2023-01-21T00:00:00+00:00</t>
  </si>
  <si>
    <t>2023-01-21</t>
  </si>
  <si>
    <t>2023-01-22T00:00:00+00:00</t>
  </si>
  <si>
    <t>2023-01-22</t>
  </si>
  <si>
    <t>2023-01-23T00:00:00+00:00</t>
  </si>
  <si>
    <t>2023-01-24T00:00:00+00:00</t>
  </si>
  <si>
    <t>2023-01-25T00:00:00+00:00</t>
  </si>
  <si>
    <t>2023-01-26T00:00:00+00:00</t>
  </si>
  <si>
    <t>2023-01-27T00:00:00+00:00</t>
  </si>
  <si>
    <t>2023-01-28T00:00:00+00:00</t>
  </si>
  <si>
    <t>2023-01-28</t>
  </si>
  <si>
    <t>2023-01-29T00:00:00+00:00</t>
  </si>
  <si>
    <t>2023-01-29</t>
  </si>
  <si>
    <t>2023-01-30T00:00:00+00:00</t>
  </si>
  <si>
    <t>2023-01-31T00:00:00+00:00</t>
  </si>
  <si>
    <t>2023-02-01T00:00:00+00:00</t>
  </si>
  <si>
    <t>2023-02-02T00:00:00+00:00</t>
  </si>
  <si>
    <t>2023-02-03T00:00:00+00:00</t>
  </si>
  <si>
    <t>2023-02-04T00:00:00+00:00</t>
  </si>
  <si>
    <t>2023-02-04</t>
  </si>
  <si>
    <t>2023-02-05T00:00:00+00:00</t>
  </si>
  <si>
    <t>2023-02-05</t>
  </si>
  <si>
    <t>2023-02-06T00:00:00+00:00</t>
  </si>
  <si>
    <t>2023-02-07T00:00:00+00:00</t>
  </si>
  <si>
    <t>2023-02-08T00:00:00+00:00</t>
  </si>
  <si>
    <t>2023-02-09T00:00:00+00:00</t>
  </si>
  <si>
    <t>2023-02-10T00:00:00+00:00</t>
  </si>
  <si>
    <t>2023-02-11T00:00:00+00:00</t>
  </si>
  <si>
    <t>2023-02-11</t>
  </si>
  <si>
    <t>2023-02-12T00:00:00+00:00</t>
  </si>
  <si>
    <t>2023-02-12</t>
  </si>
  <si>
    <t>2023-02-13T00:00:00+00:00</t>
  </si>
  <si>
    <t>2023-02-14T00:00:00+00:00</t>
  </si>
  <si>
    <t>2023-02-15T00:00:00+00:00</t>
  </si>
  <si>
    <t>2023-02-16T00:00:00+00:00</t>
  </si>
  <si>
    <t>2023-02-17T00:00:00+00:00</t>
  </si>
  <si>
    <t>2023-02-18T00:00:00+00:00</t>
  </si>
  <si>
    <t>2023-02-18</t>
  </si>
  <si>
    <t>2023-02-19T00:00:00+00:00</t>
  </si>
  <si>
    <t>2023-02-19</t>
  </si>
  <si>
    <t>2023-02-20T00:00:00+00:00</t>
  </si>
  <si>
    <t>2023-02-20</t>
  </si>
  <si>
    <t>2023-02-21T00:00:00+00:00</t>
  </si>
  <si>
    <t>2023-02-22T00:00:00+00:00</t>
  </si>
  <si>
    <t>2023-02-23T00:00:00+00:00</t>
  </si>
  <si>
    <t>2023-02-24T00:00:00+00:00</t>
  </si>
  <si>
    <t>2023-02-25T00:00:00+00:00</t>
  </si>
  <si>
    <t>2023-02-25</t>
  </si>
  <si>
    <t>2023-02-26T00:00:00+00:00</t>
  </si>
  <si>
    <t>2023-02-26</t>
  </si>
  <si>
    <t>2023-02-27T00:00:00+00:00</t>
  </si>
  <si>
    <t>2023-02-28T00:00:00+00:00</t>
  </si>
  <si>
    <t>2023-03-01T00:00:00+00:00</t>
  </si>
  <si>
    <t>2023-03-02T00:00:00+00:00</t>
  </si>
  <si>
    <t>2023-03-03T00:00:00+00:00</t>
  </si>
  <si>
    <t>2023-03-04T00:00:00+00:00</t>
  </si>
  <si>
    <t>2023-03-04</t>
  </si>
  <si>
    <t>2023-03-05T00:00:00+00:00</t>
  </si>
  <si>
    <t>2023-03-05</t>
  </si>
  <si>
    <t>2023-03-06T00:00:00+00:00</t>
  </si>
  <si>
    <t>2023-03-07T00:00:00+00:00</t>
  </si>
  <si>
    <t>2023-03-08T00:00:00+00:00</t>
  </si>
  <si>
    <t>2023-03-09T00:00:00+00:00</t>
  </si>
  <si>
    <t>2023-03-10T00:00:00+00:00</t>
  </si>
  <si>
    <t>2023-03-11T00:00:00+00:00</t>
  </si>
  <si>
    <t>2023-03-11</t>
  </si>
  <si>
    <t>2023-03-12T00:00:00+00:00</t>
  </si>
  <si>
    <t>2023-03-12</t>
  </si>
  <si>
    <t>2023-03-13T00:00:00+00:00</t>
  </si>
  <si>
    <t>2023-03-14T00:00:00+00:00</t>
  </si>
  <si>
    <t>2023-03-15T00:00:00+00:00</t>
  </si>
  <si>
    <t>2023-03-16T00:00:00+00:00</t>
  </si>
  <si>
    <t>2023-03-17T00:00:00+00:00</t>
  </si>
  <si>
    <t>2023-03-18T00:00:00+00:00</t>
  </si>
  <si>
    <t>2023-03-18</t>
  </si>
  <si>
    <t>2023-03-19T00:00:00+00:00</t>
  </si>
  <si>
    <t>2023-03-19</t>
  </si>
  <si>
    <t>2023-03-20T00:00:00+00:00</t>
  </si>
  <si>
    <t>2023-03-21T00:00:00+00:00</t>
  </si>
  <si>
    <t>2023-03-22T00:00:00+00:00</t>
  </si>
  <si>
    <t>2023-03-23T00:00:00+00:00</t>
  </si>
  <si>
    <t>2023-03-24T00:00:00+00:00</t>
  </si>
  <si>
    <t>2023-03-25T00:00:00+00:00</t>
  </si>
  <si>
    <t>2023-03-25</t>
  </si>
  <si>
    <t>2023-03-26T00:00:00+00:00</t>
  </si>
  <si>
    <t>2023-03-26</t>
  </si>
  <si>
    <t>2023-03-27T00:00:00+00:00</t>
  </si>
  <si>
    <t>2023-03-28T00:00:00+00:00</t>
  </si>
  <si>
    <t>2023-03-29T00:00:00+00:00</t>
  </si>
  <si>
    <t>2023-03-30T00:00:00+00:00</t>
  </si>
  <si>
    <t>2023-03-31T00:00:00+00:00</t>
  </si>
  <si>
    <t>2023-04-01T00:00:00+00:00</t>
  </si>
  <si>
    <t>2023-04-01</t>
  </si>
  <si>
    <t>2023-04-02T00:00:00+00:00</t>
  </si>
  <si>
    <t>2023-04-02</t>
  </si>
  <si>
    <t>2023-04-03T00:00:00+00:00</t>
  </si>
  <si>
    <t>2023-04-04T00:00:00+00:00</t>
  </si>
  <si>
    <t>2023-04-05T00:00:00+00:00</t>
  </si>
  <si>
    <t>2023-04-06T00:00:00+00:00</t>
  </si>
  <si>
    <t>2023-04-07T00:00:00+00:00</t>
  </si>
  <si>
    <t>2023-04-07</t>
  </si>
  <si>
    <t>2023-04-08T00:00:00+00:00</t>
  </si>
  <si>
    <t>2023-04-08</t>
  </si>
  <si>
    <t>2023-04-09T00:00:00+00:00</t>
  </si>
  <si>
    <t>2023-04-09</t>
  </si>
  <si>
    <t>2023-04-10T00:00:00+00:00</t>
  </si>
  <si>
    <t>2023-04-11T00:00:00+00:00</t>
  </si>
  <si>
    <t>2023-04-12T00:00:00+00:00</t>
  </si>
  <si>
    <t>2023-04-13T00:00:00+00:00</t>
  </si>
  <si>
    <t>2023-04-14T00:00:00+00:00</t>
  </si>
  <si>
    <t>2023-04-15T00:00:00+00:00</t>
  </si>
  <si>
    <t>2023-04-15</t>
  </si>
  <si>
    <t>2023-04-16T00:00:00+00:00</t>
  </si>
  <si>
    <t>2023-04-16</t>
  </si>
  <si>
    <t>2023-04-17T00:00:00+00:00</t>
  </si>
  <si>
    <t>2023-04-18T00:00:00+00:00</t>
  </si>
  <si>
    <t>2023-04-19T00:00:00+00:00</t>
  </si>
  <si>
    <t>2023-04-20T00:00:00+00:00</t>
  </si>
  <si>
    <t>2023-04-21T00:00:00+00:00</t>
  </si>
  <si>
    <t>2023-04-22T00:00:00+00:00</t>
  </si>
  <si>
    <t>2023-04-22</t>
  </si>
  <si>
    <t>2023-04-23T00:00:00+00:00</t>
  </si>
  <si>
    <t>2023-04-23</t>
  </si>
  <si>
    <t>2023-04-24T00:00:00+00:00</t>
  </si>
  <si>
    <t>2023-04-25T00:00:00+00:00</t>
  </si>
  <si>
    <t>2023-04-26T00:00:00+00:00</t>
  </si>
  <si>
    <t>2023-04-27T00:00:00+00:00</t>
  </si>
  <si>
    <t>2023-04-28T00:00:00+00:00</t>
  </si>
  <si>
    <t>2023-04-29T00:00:00+00:00</t>
  </si>
  <si>
    <t>2023-04-29</t>
  </si>
  <si>
    <t>2023-04-30T00:00:00+00:00</t>
  </si>
  <si>
    <t>2023-04-30</t>
  </si>
  <si>
    <t>2023-05-01T00:00:00+00:00</t>
  </si>
  <si>
    <t>2023-05-02T00:00:00+00:00</t>
  </si>
  <si>
    <t>2023-05-03T00:00:00+00:00</t>
  </si>
  <si>
    <t>2023-05-04T00:00:00+00:00</t>
  </si>
  <si>
    <t>2023-05-05T00:00:00+00:00</t>
  </si>
  <si>
    <t>2023-05-06T00:00:00+00:00</t>
  </si>
  <si>
    <t>2023-05-06</t>
  </si>
  <si>
    <t>2023-05-07T00:00:00+00:00</t>
  </si>
  <si>
    <t>2023-05-07</t>
  </si>
  <si>
    <t>2023-05-08T00:00:00+00:00</t>
  </si>
  <si>
    <t>2023-05-09T00:00:00+00:00</t>
  </si>
  <si>
    <t>2023-05-10T00:00:00+00:00</t>
  </si>
  <si>
    <t>2023-05-11T00:00:00+00:00</t>
  </si>
  <si>
    <t>2023-05-12T00:00:00+00:00</t>
  </si>
  <si>
    <t>2023-05-13T00:00:00+00:00</t>
  </si>
  <si>
    <t>2023-05-13</t>
  </si>
  <si>
    <t>2023-05-14T00:00:00+00:00</t>
  </si>
  <si>
    <t>2023-05-14</t>
  </si>
  <si>
    <t>2023-05-15T00:00:00+00:00</t>
  </si>
  <si>
    <t>2023-05-16T00:00:00+00:00</t>
  </si>
  <si>
    <t>2023-05-17T00:00:00+00:00</t>
  </si>
  <si>
    <t>2023-05-18T00:00:00+00:00</t>
  </si>
  <si>
    <t>2023-05-19T00:00:00+00:00</t>
  </si>
  <si>
    <t>2023-05-20T00:00:00+00:00</t>
  </si>
  <si>
    <t>2023-05-20</t>
  </si>
  <si>
    <t>2023-05-21T00:00:00+00:00</t>
  </si>
  <si>
    <t>2023-05-21</t>
  </si>
  <si>
    <t>2023-05-22T00:00:00+00:00</t>
  </si>
  <si>
    <t>2023-05-23T00:00:00+00:00</t>
  </si>
  <si>
    <t>2023-05-24T00:00:00+00:00</t>
  </si>
  <si>
    <t>2023-05-25T00:00:00+00:00</t>
  </si>
  <si>
    <t>2023-05-26T00:00:00+00:00</t>
  </si>
  <si>
    <t>2023-05-27T00:00:00+00:00</t>
  </si>
  <si>
    <t>2023-05-27</t>
  </si>
  <si>
    <t>2023-05-28T00:00:00+00:00</t>
  </si>
  <si>
    <t>2023-05-28</t>
  </si>
  <si>
    <t>2023-05-29T00:00:00+00:00</t>
  </si>
  <si>
    <t>2023-05-29</t>
  </si>
  <si>
    <t>2023-05-30T00:00:00+00:00</t>
  </si>
  <si>
    <t>2023-05-31T00:00:00+00:00</t>
  </si>
  <si>
    <t>2023-06-01T00:00:00+00:00</t>
  </si>
  <si>
    <t>2023-06-02T00:00:00+00:00</t>
  </si>
  <si>
    <t>2023-06-03T00:00:00+00:00</t>
  </si>
  <si>
    <t>2023-06-03</t>
  </si>
  <si>
    <t>2023-06-04T00:00:00+00:00</t>
  </si>
  <si>
    <t>2023-06-04</t>
  </si>
  <si>
    <t>2023-06-05T00:00:00+00:00</t>
  </si>
  <si>
    <t>2023-06-06T00:00:00+00:00</t>
  </si>
  <si>
    <t>2023-06-07T00:00:00+00:00</t>
  </si>
  <si>
    <t>2023-06-08T00:00:00+00:00</t>
  </si>
  <si>
    <t>2023-06-09T00:00:00+00:00</t>
  </si>
  <si>
    <t>2023-06-10T00:00:00+00:00</t>
  </si>
  <si>
    <t>2023-06-10</t>
  </si>
  <si>
    <t>2023-06-11T00:00:00+00:00</t>
  </si>
  <si>
    <t>2023-06-11</t>
  </si>
  <si>
    <t>2023-06-12T00:00:00+00:00</t>
  </si>
  <si>
    <t>2023-06-13T00:00:00+00:00</t>
  </si>
  <si>
    <t>2023-06-14T00:00:00+00:00</t>
  </si>
  <si>
    <t>2023-06-15T00:00:00+00:00</t>
  </si>
  <si>
    <t>2023-06-16T00:00:00+00:00</t>
  </si>
  <si>
    <t>2023-06-17T00:00:00+00:00</t>
  </si>
  <si>
    <t>2023-06-17</t>
  </si>
  <si>
    <t>2023-06-18T00:00:00+00:00</t>
  </si>
  <si>
    <t>2023-06-18</t>
  </si>
  <si>
    <t>2023-06-19T00:00:00+00:00</t>
  </si>
  <si>
    <t>2023-06-19</t>
  </si>
  <si>
    <t>2023-06-20T00:00:00+00:00</t>
  </si>
  <si>
    <t>2023-06-21T00:00:00+00:00</t>
  </si>
  <si>
    <t>2023-06-22T00:00:00+00:00</t>
  </si>
  <si>
    <t>2023-06-23T00:00:00+00:00</t>
  </si>
  <si>
    <t>2023-06-24T00:00:00+00:00</t>
  </si>
  <si>
    <t>2023-06-24</t>
  </si>
  <si>
    <t>2023-06-25T00:00:00+00:00</t>
  </si>
  <si>
    <t>2023-06-25</t>
  </si>
  <si>
    <t>2023-06-26T00:00:00+00:00</t>
  </si>
  <si>
    <t>2023-06-27T00:00:00+00:00</t>
  </si>
  <si>
    <t>2023-06-28T00:00:00+00:00</t>
  </si>
  <si>
    <t>2023-06-29T00:00:00+00:00</t>
  </si>
  <si>
    <t>2023-06-30T00:00:00+00:00</t>
  </si>
  <si>
    <t>2023-07-01T00:00:00+00:00</t>
  </si>
  <si>
    <t>2023-07-01</t>
  </si>
  <si>
    <t>2023-07-02T00:00:00+00:00</t>
  </si>
  <si>
    <t>2023-07-02</t>
  </si>
  <si>
    <t>2023-07-03T00:00:00+00:00</t>
  </si>
  <si>
    <t>2023-07-04T00:00:00+00:00</t>
  </si>
  <si>
    <t>2023-07-04</t>
  </si>
  <si>
    <t>2023-07-05T00:00:00+00:00</t>
  </si>
  <si>
    <t>2023-07-06T00:00:00+00:00</t>
  </si>
  <si>
    <t>2023-07-07T00:00:00+00:00</t>
  </si>
  <si>
    <t>2023-07-08T00:00:00+00:00</t>
  </si>
  <si>
    <t>2023-07-08</t>
  </si>
  <si>
    <t>2023-07-09T00:00:00+00:00</t>
  </si>
  <si>
    <t>2023-07-09</t>
  </si>
  <si>
    <t>2023-07-10T00:00:00+00:00</t>
  </si>
  <si>
    <t>2023-07-11T00:00:00+00:00</t>
  </si>
  <si>
    <t>2023-07-12T00:00:00+00:00</t>
  </si>
  <si>
    <t>2023-07-13T00:00:00+00:00</t>
  </si>
  <si>
    <t>2023-07-14T00:00:00+00:00</t>
  </si>
  <si>
    <t>2023-07-15T00:00:00+00:00</t>
  </si>
  <si>
    <t>2023-07-15</t>
  </si>
  <si>
    <t>2023-07-16T00:00:00+00:00</t>
  </si>
  <si>
    <t>2023-07-16</t>
  </si>
  <si>
    <t>2023-07-17T00:00:00+00:00</t>
  </si>
  <si>
    <t>2023-07-18T00:00:00+00:00</t>
  </si>
  <si>
    <t>2023-07-19T00:00:00+00:00</t>
  </si>
  <si>
    <t>2023-07-20T00:00:00+00:00</t>
  </si>
  <si>
    <t>2023-07-21T00:00:00+00:00</t>
  </si>
  <si>
    <t>2023-07-22T00:00:00+00:00</t>
  </si>
  <si>
    <t>2023-07-22</t>
  </si>
  <si>
    <t>2023-07-23T00:00:00+00:00</t>
  </si>
  <si>
    <t>2023-07-23</t>
  </si>
  <si>
    <t>2023-07-24T00:00:00+00:00</t>
  </si>
  <si>
    <t>2023-07-25T00:00:00+00:00</t>
  </si>
  <si>
    <t>2023-07-26T00:00:00+00:00</t>
  </si>
  <si>
    <t>2023-07-27T00:00:00+00:00</t>
  </si>
  <si>
    <t>2023-07-28T00:00:00+00:00</t>
  </si>
  <si>
    <t>2023-07-29T00:00:00+00:00</t>
  </si>
  <si>
    <t>2023-07-29</t>
  </si>
  <si>
    <t>2023-07-30T00:00:00+00:00</t>
  </si>
  <si>
    <t>2023-07-30</t>
  </si>
  <si>
    <t>2023-07-31T00:00:00+00:00</t>
  </si>
  <si>
    <t>2023-08-01T00:00:00+00:00</t>
  </si>
  <si>
    <t>2023-08-02T00:00:00+00:00</t>
  </si>
  <si>
    <t>2023-08-03T00:00:00+00:00</t>
  </si>
  <si>
    <t>2023-08-04T00:00:00+00:00</t>
  </si>
  <si>
    <t>2023-08-05T00:00:00+00:00</t>
  </si>
  <si>
    <t>2023-08-05</t>
  </si>
  <si>
    <t>2023-08-06T00:00:00+00:00</t>
  </si>
  <si>
    <t>2023-08-06</t>
  </si>
  <si>
    <t>2023-08-07T00:00:00+00:00</t>
  </si>
  <si>
    <t>2023-08-08T00:00:00+00:00</t>
  </si>
  <si>
    <t>2023-08-09T00:00:00+00:00</t>
  </si>
  <si>
    <t>2023-08-10T00:00:00+00:00</t>
  </si>
  <si>
    <t>2023-08-11T00:00:00+00:00</t>
  </si>
  <si>
    <t>2023-08-12T00:00:00+00:00</t>
  </si>
  <si>
    <t>2023-08-12</t>
  </si>
  <si>
    <t>2023-08-13T00:00:00+00:00</t>
  </si>
  <si>
    <t>2023-08-13</t>
  </si>
  <si>
    <t>2023-08-14T00:00:00+00:00</t>
  </si>
  <si>
    <t>2023-08-15T00:00:00+00:00</t>
  </si>
  <si>
    <t>2023-08-16T00:00:00+00:00</t>
  </si>
  <si>
    <t>2023-08-17T00:00:00+00:00</t>
  </si>
  <si>
    <t>2023-08-18T00:00:00+00:00</t>
  </si>
  <si>
    <t>2023-08-19T00:00:00+00:00</t>
  </si>
  <si>
    <t>2023-08-19</t>
  </si>
  <si>
    <t>2023-08-20T00:00:00+00:00</t>
  </si>
  <si>
    <t>2023-08-20</t>
  </si>
  <si>
    <t>2023-08-21T00:00:00+00:00</t>
  </si>
  <si>
    <t>2023-08-22T00:00:00+00:00</t>
  </si>
  <si>
    <t>2023-08-23T00:00:00+00:00</t>
  </si>
  <si>
    <t>2023-08-24T00:00:00+00:00</t>
  </si>
  <si>
    <t>2023-08-25T00:00:00+00:00</t>
  </si>
  <si>
    <t>2023-08-26T00:00:00+00:00</t>
  </si>
  <si>
    <t>2023-08-26</t>
  </si>
  <si>
    <t>2023-08-27T00:00:00+00:00</t>
  </si>
  <si>
    <t>2023-08-27</t>
  </si>
  <si>
    <t>2023-08-28T00:00:00+00:00</t>
  </si>
  <si>
    <t>2023-08-29T00:00:00+00:00</t>
  </si>
  <si>
    <t>2023-08-30T00:00:00+00:00</t>
  </si>
  <si>
    <t>2023-08-31T00:00:00+00:00</t>
  </si>
  <si>
    <t>2023-09-01T00:00:00+00:00</t>
  </si>
  <si>
    <t>2023-09-02T00:00:00+00:00</t>
  </si>
  <si>
    <t>2023-09-02</t>
  </si>
  <si>
    <t>2023-09-03T00:00:00+00:00</t>
  </si>
  <si>
    <t>2023-09-03</t>
  </si>
  <si>
    <t>2023-09-04T00:00:00+00:00</t>
  </si>
  <si>
    <t>2023-09-04</t>
  </si>
  <si>
    <t>2023-09-05T00:00:00+00:00</t>
  </si>
  <si>
    <t>2023-09-06T00:00:00+00:00</t>
  </si>
  <si>
    <t>2023-09-07T00:00:00+00:00</t>
  </si>
  <si>
    <t>2023-09-08T00:00:00+00:00</t>
  </si>
  <si>
    <t>2023-09-09T00:00:00+00:00</t>
  </si>
  <si>
    <t>2023-09-09</t>
  </si>
  <si>
    <t>2023-09-10T00:00:00+00:00</t>
  </si>
  <si>
    <t>2023-09-10</t>
  </si>
  <si>
    <t>2023-09-11T00:00:00+00:00</t>
  </si>
  <si>
    <t>2023-09-12T00:00:00+00:00</t>
  </si>
  <si>
    <t>2023-09-13T00:00:00+00:00</t>
  </si>
  <si>
    <t>2023-09-14T00:00:00+00:00</t>
  </si>
  <si>
    <t>2023-09-15T00:00:00+00:00</t>
  </si>
  <si>
    <t>2023-09-16T00:00:00+00:00</t>
  </si>
  <si>
    <t>2023-09-16</t>
  </si>
  <si>
    <t>2023-09-17T00:00:00+00:00</t>
  </si>
  <si>
    <t>2023-09-17</t>
  </si>
  <si>
    <t>2023-09-18T00:00:00+00:00</t>
  </si>
  <si>
    <t>2023-09-19T00:00:00+00:00</t>
  </si>
  <si>
    <t>2023-09-20T00:00:00+00:00</t>
  </si>
  <si>
    <t>2023-09-21T00:00:00+00:00</t>
  </si>
  <si>
    <t>2023-09-22T00:00:00+00:00</t>
  </si>
  <si>
    <t>2023-09-23T00:00:00+00:00</t>
  </si>
  <si>
    <t>2023-09-23</t>
  </si>
  <si>
    <t>2023-09-24T00:00:00+00:00</t>
  </si>
  <si>
    <t>2023-09-24</t>
  </si>
  <si>
    <t>2023-09-25T00:00:00+00:00</t>
  </si>
  <si>
    <t>2023-09-26T00:00:00+00:00</t>
  </si>
  <si>
    <t>2023-09-27T00:00:00+00:00</t>
  </si>
  <si>
    <t>2023-09-28T00:00:00+00:00</t>
  </si>
  <si>
    <t>2023-09-29T00:00:00+00:00</t>
  </si>
  <si>
    <t>2023-09-30T00:00:00+00:00</t>
  </si>
  <si>
    <t>2023-09-30</t>
  </si>
  <si>
    <t>2023-10-01T00:00:00+00:00</t>
  </si>
  <si>
    <t>2023-10-01</t>
  </si>
  <si>
    <t>2023-10-02T00:00:00+00:00</t>
  </si>
  <si>
    <t>2023-10-03T00:00:00+00:00</t>
  </si>
  <si>
    <t>2023-10-04T00:00:00+00:00</t>
  </si>
  <si>
    <t>2023-10-05T00:00:00+00:00</t>
  </si>
  <si>
    <t>2023-10-06T00:00:00+00:00</t>
  </si>
  <si>
    <t>2023-10-07T00:00:00+00:00</t>
  </si>
  <si>
    <t>2023-10-07</t>
  </si>
  <si>
    <t>2023-10-08T00:00:00+00:00</t>
  </si>
  <si>
    <t>2023-10-08</t>
  </si>
  <si>
    <t>2023-10-09T00:00:00+00:00</t>
  </si>
  <si>
    <t>2023-10-10T00:00:00+00:00</t>
  </si>
  <si>
    <t>2023-10-11T00:00:00+00:00</t>
  </si>
  <si>
    <t>2023-10-12T00:00:00+00:00</t>
  </si>
  <si>
    <t>2023-10-13T00:00:00+00:00</t>
  </si>
  <si>
    <t>2023-10-14T00:00:00+00:00</t>
  </si>
  <si>
    <t>2023-10-14</t>
  </si>
  <si>
    <t>2023-10-15T00:00:00+00:00</t>
  </si>
  <si>
    <t>2023-10-15</t>
  </si>
  <si>
    <t>2023-10-16T00:00:00+00:00</t>
  </si>
  <si>
    <t>2023-10-17T00:00:00+00:00</t>
  </si>
  <si>
    <t>2023-10-18T00:00:00+00:00</t>
  </si>
  <si>
    <t>2023-10-19T00:00:00+00:00</t>
  </si>
  <si>
    <t>2023-10-20T00:00:00+00:00</t>
  </si>
  <si>
    <t>2023-10-21T00:00:00+00:00</t>
  </si>
  <si>
    <t>2023-10-21</t>
  </si>
  <si>
    <t>2023-10-22T00:00:00+00:00</t>
  </si>
  <si>
    <t>2023-10-22</t>
  </si>
  <si>
    <t>2023-10-23T00:00:00+00:00</t>
  </si>
  <si>
    <t>2023-10-24T00:00:00+00:00</t>
  </si>
  <si>
    <t>2023-10-25T00:00:00+00:00</t>
  </si>
  <si>
    <t>2023-10-26T00:00:00+00:00</t>
  </si>
  <si>
    <t>2023-10-27T00:00:00+00:00</t>
  </si>
  <si>
    <t>2023-10-28T00:00:00+00:00</t>
  </si>
  <si>
    <t>2023-10-28</t>
  </si>
  <si>
    <t>2023-10-29T00:00:00+00:00</t>
  </si>
  <si>
    <t>2023-10-29</t>
  </si>
  <si>
    <t>2023-10-30T00:00:00+00:00</t>
  </si>
  <si>
    <t>2023-10-31T00:00:00+00:00</t>
  </si>
  <si>
    <t>2023-11-01T00:00:00+00:00</t>
  </si>
  <si>
    <t>2023-11-02T00:00:00+00:00</t>
  </si>
  <si>
    <t>2023-11-03T00:00:00+00:00</t>
  </si>
  <si>
    <t>2023-11-04T00:00:00+00:00</t>
  </si>
  <si>
    <t>2023-11-04</t>
  </si>
  <si>
    <t>2023-11-05T00:00:00+00:00</t>
  </si>
  <si>
    <t>2023-11-05</t>
  </si>
  <si>
    <t>2023-11-06T00:00:00+00:00</t>
  </si>
  <si>
    <t>2023-11-07T00:00:00+00:00</t>
  </si>
  <si>
    <t>2023-11-08T00:00:00+00:00</t>
  </si>
  <si>
    <t>2023-11-09T00:00:00+00:00</t>
  </si>
  <si>
    <t>2023-11-10T00:00:00+00:00</t>
  </si>
  <si>
    <t>2023-11-11T00:00:00+00:00</t>
  </si>
  <si>
    <t>2023-11-11</t>
  </si>
  <si>
    <t>2023-11-12T00:00:00+00:00</t>
  </si>
  <si>
    <t>2023-11-12</t>
  </si>
  <si>
    <t>2023-11-13T00:00:00+00:00</t>
  </si>
  <si>
    <t>2023-11-14T00:00:00+00:00</t>
  </si>
  <si>
    <t>2023-11-15T00:00:00+00:00</t>
  </si>
  <si>
    <t>2023-11-16T00:00:00+00:00</t>
  </si>
  <si>
    <t>2023-11-17T00:00:00+00:00</t>
  </si>
  <si>
    <t>2023-11-18T00:00:00+00:00</t>
  </si>
  <si>
    <t>2023-11-18</t>
  </si>
  <si>
    <t>2023-11-19T00:00:00+00:00</t>
  </si>
  <si>
    <t>2023-11-19</t>
  </si>
  <si>
    <t>2023-11-20T00:00:00+00:00</t>
  </si>
  <si>
    <t>2023-11-21T00:00:00+00:00</t>
  </si>
  <si>
    <t>2023-11-22T00:00:00+00:00</t>
  </si>
  <si>
    <t>2023-11-23T00:00:00+00:00</t>
  </si>
  <si>
    <t>2023-11-23</t>
  </si>
  <si>
    <t>2023-11-24T00:00:00+00:00</t>
  </si>
  <si>
    <t>2023-11-25T00:00:00+00:00</t>
  </si>
  <si>
    <t>2023-11-25</t>
  </si>
  <si>
    <t>2023-11-26T00:00:00+00:00</t>
  </si>
  <si>
    <t>2023-11-26</t>
  </si>
  <si>
    <t>2023-11-27T00:00:00+00:00</t>
  </si>
  <si>
    <t>2023-11-28T00:00:00+00:00</t>
  </si>
  <si>
    <t>2023-11-29T00:00:00+00:00</t>
  </si>
  <si>
    <t>2023-11-30T00:00:00+00:00</t>
  </si>
  <si>
    <t>2023-12-01T00:00:00+00:00</t>
  </si>
  <si>
    <t>2023-12-02T00:00:00+00:00</t>
  </si>
  <si>
    <t>2023-12-02</t>
  </si>
  <si>
    <t>2023-12-03T00:00:00+00:00</t>
  </si>
  <si>
    <t>2023-12-03</t>
  </si>
  <si>
    <t>2023-12-04T00:00:00+00:00</t>
  </si>
  <si>
    <t>2023-12-05T00:00:00+00:00</t>
  </si>
  <si>
    <t>2023-12-06T00:00:00+00:00</t>
  </si>
  <si>
    <t>2023-12-07T00:00:00+00:00</t>
  </si>
  <si>
    <t>2023-12-08T00:00:00+00:00</t>
  </si>
  <si>
    <t>2023-12-09T00:00:00+00:00</t>
  </si>
  <si>
    <t>2023-12-09</t>
  </si>
  <si>
    <t>2023-12-10T00:00:00+00:00</t>
  </si>
  <si>
    <t>2023-12-10</t>
  </si>
  <si>
    <t>2023-12-11T00:00:00+00:00</t>
  </si>
  <si>
    <t>2023-12-12T00:00:00+00:00</t>
  </si>
  <si>
    <t>2023-12-13T00:00:00+00:00</t>
  </si>
  <si>
    <t>2023-12-14T00:00:00+00:00</t>
  </si>
  <si>
    <t>2023-12-15T00:00:00+00:00</t>
  </si>
  <si>
    <t>2023-12-16T00:00:00+00:00</t>
  </si>
  <si>
    <t>2023-12-16</t>
  </si>
  <si>
    <t>2023-12-17T00:00:00+00:00</t>
  </si>
  <si>
    <t>2023-12-17</t>
  </si>
  <si>
    <t>2023-12-18T00:00:00+00:00</t>
  </si>
  <si>
    <t>2023-12-19T00:00:00+00:00</t>
  </si>
  <si>
    <t>2023-12-20T00:00:00+00:00</t>
  </si>
  <si>
    <t>2023-12-21T00:00:00+00:00</t>
  </si>
  <si>
    <t>2023-12-22T00:00:00+00:00</t>
  </si>
  <si>
    <t>2023-12-23T00:00:00+00:00</t>
  </si>
  <si>
    <t>2023-12-23</t>
  </si>
  <si>
    <t>2023-12-24T00:00:00+00:00</t>
  </si>
  <si>
    <t>2023-12-24</t>
  </si>
  <si>
    <t>2023-12-25T00:00:00+00:00</t>
  </si>
  <si>
    <t>2023-12-25</t>
  </si>
  <si>
    <t>2023-12-26T00:00:00+00:00</t>
  </si>
  <si>
    <t>2023-12-27T00:00:00+00:00</t>
  </si>
  <si>
    <t>2023-12-28T00:00:00+00:00</t>
  </si>
  <si>
    <t>2023-12-29T00:00:00+00:00</t>
  </si>
  <si>
    <t>2023-12-30T00:00:00+00:00</t>
  </si>
  <si>
    <t>2023-12-30</t>
  </si>
  <si>
    <t>2023-12-31T00:00:00+00:00</t>
  </si>
  <si>
    <t>2023-12-31</t>
  </si>
  <si>
    <t>2024-01-01T00:00:00+00:00</t>
  </si>
  <si>
    <t>2024-01-01</t>
  </si>
  <si>
    <t>2024-01-02T00:00:00+00:00</t>
  </si>
  <si>
    <t>2024-01-03T00:00:00+00:00</t>
  </si>
  <si>
    <t>2024-01-04T00:00:00+00:00</t>
  </si>
  <si>
    <t>2024-01-05T00:00:00+00:00</t>
  </si>
  <si>
    <t>2024-01-06T00:00:00+00:00</t>
  </si>
  <si>
    <t>2024-01-06</t>
  </si>
  <si>
    <t>2024-01-07T00:00:00+00:00</t>
  </si>
  <si>
    <t>2024-01-07</t>
  </si>
  <si>
    <t>2024-01-08T00:00:00+00:00</t>
  </si>
  <si>
    <t>2024-01-09T00:00:00+00:00</t>
  </si>
  <si>
    <t>2024-01-10T00:00:00+00:00</t>
  </si>
  <si>
    <t>2024-01-11T00:00:00+00:00</t>
  </si>
  <si>
    <t>2024-01-12T00:00:00+00:00</t>
  </si>
  <si>
    <t>2024-01-13T00:00:00+00:00</t>
  </si>
  <si>
    <t>2024-01-13</t>
  </si>
  <si>
    <t>2024-01-14T00:00:00+00:00</t>
  </si>
  <si>
    <t>2024-01-14</t>
  </si>
  <si>
    <t>2024-01-15T00:00:00+00:00</t>
  </si>
  <si>
    <t>2024-01-15</t>
  </si>
  <si>
    <t>2024-01-16T00:00:00+00:00</t>
  </si>
  <si>
    <t>2024-01-17T00:00:00+00:00</t>
  </si>
  <si>
    <t>2024-01-18T00:00:00+00:00</t>
  </si>
  <si>
    <t>2024-01-19T00:00:00+00:00</t>
  </si>
  <si>
    <t>2024-01-20T00:00:00+00:00</t>
  </si>
  <si>
    <t>2024-01-20</t>
  </si>
  <si>
    <t>2024-01-21T00:00:00+00:00</t>
  </si>
  <si>
    <t>2024-01-21</t>
  </si>
  <si>
    <t>2024-01-22T00:00:00+00:00</t>
  </si>
  <si>
    <t>2024-01-23T00:00:00+00:00</t>
  </si>
  <si>
    <t>2024-01-24T00:00:00+00:00</t>
  </si>
  <si>
    <t>2024-01-25T00:00:00+00:00</t>
  </si>
  <si>
    <t>2024-01-26T00:00:00+00:00</t>
  </si>
  <si>
    <t>2024-01-27T00:00:00+00:00</t>
  </si>
  <si>
    <t>2024-01-27</t>
  </si>
  <si>
    <t>2024-01-28T00:00:00+00:00</t>
  </si>
  <si>
    <t>2024-01-28</t>
  </si>
  <si>
    <t>2024-01-29T00:00:00+00:00</t>
  </si>
  <si>
    <t>2024-01-30T00:00:00+00:00</t>
  </si>
  <si>
    <t>2024-01-31T00:00:00+00:00</t>
  </si>
  <si>
    <t>2024-02-01T00:00:00+00:00</t>
  </si>
  <si>
    <t>2024-02-02T00:00:00+00:00</t>
  </si>
  <si>
    <t>2024-02-03T00:00:00+00:00</t>
  </si>
  <si>
    <t>2024-02-03</t>
  </si>
  <si>
    <t>2024-02-04T00:00:00+00:00</t>
  </si>
  <si>
    <t>2024-02-04</t>
  </si>
  <si>
    <t>2024-02-05T00:00:00+00:00</t>
  </si>
  <si>
    <t>2024-02-06T00:00:00+00:00</t>
  </si>
  <si>
    <t>2024-02-07T00:00:00+00:00</t>
  </si>
  <si>
    <t>2024-02-08T00:00:00+00:00</t>
  </si>
  <si>
    <t>2024-02-09T00:00:00+00:00</t>
  </si>
  <si>
    <t>2024-02-10T00:00:00+00:00</t>
  </si>
  <si>
    <t>2024-02-10</t>
  </si>
  <si>
    <t>2024-02-11T00:00:00+00:00</t>
  </si>
  <si>
    <t>2024-02-11</t>
  </si>
  <si>
    <t>2024-02-12T00:00:00+00:00</t>
  </si>
  <si>
    <t>2024-02-13T00:00:00+00:00</t>
  </si>
  <si>
    <t>2024-02-14T00:00:00+00:00</t>
  </si>
  <si>
    <t>2024-02-15T00:00:00+00:00</t>
  </si>
  <si>
    <t>2024-02-16T00:00:00+00:00</t>
  </si>
  <si>
    <t>2024-02-17T00:00:00+00:00</t>
  </si>
  <si>
    <t>2024-02-17</t>
  </si>
  <si>
    <t>2024-02-18T00:00:00+00:00</t>
  </si>
  <si>
    <t>2024-02-18</t>
  </si>
  <si>
    <t>2024-02-19T00:00:00+00:00</t>
  </si>
  <si>
    <t>2024-02-19</t>
  </si>
  <si>
    <t>2024-02-20T00:00:00+00:00</t>
  </si>
  <si>
    <t>2024-02-21T00:00:00+00:00</t>
  </si>
  <si>
    <t>2024-02-22T00:00:00+00:00</t>
  </si>
  <si>
    <t>2024-02-23T00:00:00+00:00</t>
  </si>
  <si>
    <t>2024-02-24T00:00:00+00:00</t>
  </si>
  <si>
    <t>2024-02-24</t>
  </si>
  <si>
    <t>2024-02-25T00:00:00+00:00</t>
  </si>
  <si>
    <t>2024-02-25</t>
  </si>
  <si>
    <t>2024-02-26T00:00:00+00:00</t>
  </si>
  <si>
    <t>2024-02-27T00:00:00+00:00</t>
  </si>
  <si>
    <t>2024-02-28T00:00:00+00:00</t>
  </si>
  <si>
    <t>2024-02-29T00:00:00+00:00</t>
  </si>
  <si>
    <t>2024-03-01T00:00:00+00:00</t>
  </si>
  <si>
    <t>2024-03-02T00:00:00+00:00</t>
  </si>
  <si>
    <t>2024-03-02</t>
  </si>
  <si>
    <t>2024-03-03T00:00:00+00:00</t>
  </si>
  <si>
    <t>2024-03-03</t>
  </si>
  <si>
    <t>2024-03-04T00:00:00+00:00</t>
  </si>
  <si>
    <t>2024-03-05T00:00:00+00:00</t>
  </si>
  <si>
    <t>2024-03-06T00:00:00+00:00</t>
  </si>
  <si>
    <t>2024-03-07T00:00:00+00:00</t>
  </si>
  <si>
    <t>2024-03-08T00:00:00+00:00</t>
  </si>
  <si>
    <t>2024-03-09T00:00:00+00:00</t>
  </si>
  <si>
    <t>2024-03-09</t>
  </si>
  <si>
    <t>2024-03-10T00:00:00+00:00</t>
  </si>
  <si>
    <t>2024-03-10</t>
  </si>
  <si>
    <t>2024-03-11T00:00:00+00:00</t>
  </si>
  <si>
    <t>2024-03-12T00:00:00+00:00</t>
  </si>
  <si>
    <t>2024-03-13T00:00:00+00:00</t>
  </si>
  <si>
    <t>2024-03-14T00:00:00+00:00</t>
  </si>
  <si>
    <t>2024-03-15T00:00:00+00:00</t>
  </si>
  <si>
    <t>2024-03-16T00:00:00+00:00</t>
  </si>
  <si>
    <t>2024-03-16</t>
  </si>
  <si>
    <t>2024-03-17T00:00:00+00:00</t>
  </si>
  <si>
    <t>2024-03-17</t>
  </si>
  <si>
    <t>2024-03-18T00:00:00+00:00</t>
  </si>
  <si>
    <t>2024-03-19T00:00:00+00:00</t>
  </si>
  <si>
    <t>2024-03-20T00:00:00+00:00</t>
  </si>
  <si>
    <t>2024-03-21T00:00:00+00:00</t>
  </si>
  <si>
    <t>2024-03-22T00:00:00+00:00</t>
  </si>
  <si>
    <t>2024-03-23T00:00:00+00:00</t>
  </si>
  <si>
    <t>2024-03-23</t>
  </si>
  <si>
    <t>2024-03-24T00:00:00+00:00</t>
  </si>
  <si>
    <t>2024-03-24</t>
  </si>
  <si>
    <t>2024-03-25T00:00:00+00:00</t>
  </si>
  <si>
    <t>2024-03-26T00:00:00+00:00</t>
  </si>
  <si>
    <t>2024-03-27T00:00:00+00:00</t>
  </si>
  <si>
    <t>2024-03-28T00:00:00+00:00</t>
  </si>
  <si>
    <t>2024-03-29T00:00:00+00:00</t>
  </si>
  <si>
    <t>2024-03-29</t>
  </si>
  <si>
    <t>2024-03-30T00:00:00+00:00</t>
  </si>
  <si>
    <t>2024-03-30</t>
  </si>
  <si>
    <t>2024-03-31T00:00:00+00:00</t>
  </si>
  <si>
    <t>2024-03-31</t>
  </si>
  <si>
    <t>2024-04-01T00:00:00+00:00</t>
  </si>
  <si>
    <t>2024-04-02T00:00:00+00:00</t>
  </si>
  <si>
    <t>2024-04-03T00:00:00+00:00</t>
  </si>
  <si>
    <t>2024-04-04T00:00:00+00:00</t>
  </si>
  <si>
    <t>2024-04-05T00:00:00+00:00</t>
  </si>
  <si>
    <t>2024-04-06T00:00:00+00:00</t>
  </si>
  <si>
    <t>2024-04-06</t>
  </si>
  <si>
    <t>2024-04-07T00:00:00+00:00</t>
  </si>
  <si>
    <t>2024-04-07</t>
  </si>
  <si>
    <t>2024-04-08T00:00:00+00:00</t>
  </si>
  <si>
    <t>2024-04-09T00:00:00+00:00</t>
  </si>
  <si>
    <t>2024-04-10T00:00:00+00:00</t>
  </si>
  <si>
    <t>2024-04-11T00:00:00+00:00</t>
  </si>
  <si>
    <t>2024-04-12T00:00:00+00:00</t>
  </si>
  <si>
    <t>2024-04-13T00:00:00+00:00</t>
  </si>
  <si>
    <t>2024-04-13</t>
  </si>
  <si>
    <t>2024-04-14T00:00:00+00:00</t>
  </si>
  <si>
    <t>2024-04-14</t>
  </si>
  <si>
    <t>2024-04-15T00:00:00+00:00</t>
  </si>
  <si>
    <t>2024-04-16T00:00:00+00:00</t>
  </si>
  <si>
    <t>2024-04-17T00:00:00+00:00</t>
  </si>
  <si>
    <t>2024-04-18T00:00:00+00:00</t>
  </si>
  <si>
    <t>2024-04-19T00:00:00+00:00</t>
  </si>
  <si>
    <t>2024-04-20T00:00:00+00:00</t>
  </si>
  <si>
    <t>2024-04-20</t>
  </si>
  <si>
    <t>2024-04-21T00:00:00+00:00</t>
  </si>
  <si>
    <t>2024-04-21</t>
  </si>
  <si>
    <t>2024-04-22T00:00:00+00:00</t>
  </si>
  <si>
    <t>2024-04-23T00:00:00+00:00</t>
  </si>
  <si>
    <t>2024-04-24T00:00:00+00:00</t>
  </si>
  <si>
    <t>2024-04-25T00:00:00+00:00</t>
  </si>
  <si>
    <t>2024-04-26T00:00:00+00:00</t>
  </si>
  <si>
    <t>2024-04-27T00:00:00+00:00</t>
  </si>
  <si>
    <t>2024-04-27</t>
  </si>
  <si>
    <t>2024-04-28T00:00:00+00:00</t>
  </si>
  <si>
    <t>2024-04-28</t>
  </si>
  <si>
    <t>2024-04-29T00:00:00+00:00</t>
  </si>
  <si>
    <t>2024-04-30T00:00:00+00:00</t>
  </si>
  <si>
    <t>2024-05-01T00:00:00+00:00</t>
  </si>
  <si>
    <t>2024-05-02T00:00:00+00:00</t>
  </si>
  <si>
    <t>2024-05-03T00:00:00+00:00</t>
  </si>
  <si>
    <t>2024-05-04T00:00:00+00:00</t>
  </si>
  <si>
    <t>2024-05-04</t>
  </si>
  <si>
    <t>2024-05-05T00:00:00+00:00</t>
  </si>
  <si>
    <t>2024-05-05</t>
  </si>
  <si>
    <t>2024-05-06T00:00:00+00:00</t>
  </si>
  <si>
    <t>2024-05-07T00:00:00+00:00</t>
  </si>
  <si>
    <t>2024-05-08T00:00:00+00:00</t>
  </si>
  <si>
    <t>2024-05-09T00:00:00+00:00</t>
  </si>
  <si>
    <t>2024-05-10T00:00:00+00:00</t>
  </si>
  <si>
    <t>2024-05-11T00:00:00+00:00</t>
  </si>
  <si>
    <t>2024-05-11</t>
  </si>
  <si>
    <t>2024-05-12T00:00:00+00:00</t>
  </si>
  <si>
    <t>2024-05-12</t>
  </si>
  <si>
    <t>2024-05-13T00:00:00+00:00</t>
  </si>
  <si>
    <t>2024-05-14T00:00:00+00:00</t>
  </si>
  <si>
    <t>2024-05-15T00:00:00+00:00</t>
  </si>
  <si>
    <t>2024-05-16T00:00:00+00:00</t>
  </si>
  <si>
    <t>2024-05-17T00:00:00+00:00</t>
  </si>
  <si>
    <t>2024-05-18T00:00:00+00:00</t>
  </si>
  <si>
    <t>2024-05-18</t>
  </si>
  <si>
    <t>2024-05-19T00:00:00+00:00</t>
  </si>
  <si>
    <t>2024-05-19</t>
  </si>
  <si>
    <t>2024-05-20T00:00:00+00:00</t>
  </si>
  <si>
    <t>2024-05-21T00:00:00+00:00</t>
  </si>
  <si>
    <t>2024-05-22T00:00:00+00:00</t>
  </si>
  <si>
    <t>2024-05-23T00:00:00+00:00</t>
  </si>
  <si>
    <t>2024-05-24T00:00:00+00:00</t>
  </si>
  <si>
    <t>2024-05-25T00:00:00+00:00</t>
  </si>
  <si>
    <t>2024-05-25</t>
  </si>
  <si>
    <t>2024-05-26T00:00:00+00:00</t>
  </si>
  <si>
    <t>2024-05-26</t>
  </si>
  <si>
    <t>2024-05-27T00:00:00+00:00</t>
  </si>
  <si>
    <t>2024-05-27</t>
  </si>
  <si>
    <t>2024-05-28T00:00:00+00:00</t>
  </si>
  <si>
    <t>2024-05-29T00:00:00+00:00</t>
  </si>
  <si>
    <t>2024-05-30T00:00:00+00:00</t>
  </si>
  <si>
    <t>2024-05-31T00:00:00+00:00</t>
  </si>
  <si>
    <t>2024-06-01T00:00:00+00:00</t>
  </si>
  <si>
    <t>2024-06-01</t>
  </si>
  <si>
    <t>2024-06-02T00:00:00+00:00</t>
  </si>
  <si>
    <t>2024-06-02</t>
  </si>
  <si>
    <t>2024-06-03T00:00:00+00:00</t>
  </si>
  <si>
    <t>2024-06-04T00:00:00+00:00</t>
  </si>
  <si>
    <t>2024-06-05T00:00:00+00:00</t>
  </si>
  <si>
    <t>2024-06-06T00:00:00+00:00</t>
  </si>
  <si>
    <t>2024-06-07T00:00:00+00:00</t>
  </si>
  <si>
    <t>2024-06-08T00:00:00+00:00</t>
  </si>
  <si>
    <t>2024-06-08</t>
  </si>
  <si>
    <t>2024-06-09T00:00:00+00:00</t>
  </si>
  <si>
    <t>2024-06-09</t>
  </si>
  <si>
    <t>2024-06-10T00:00:00+00:00</t>
  </si>
  <si>
    <t>2024-06-11T00:00:00+00:00</t>
  </si>
  <si>
    <t>2024-06-12T00:00:00+00:00</t>
  </si>
  <si>
    <t>2024-06-13T00:00:00+00:00</t>
  </si>
  <si>
    <t>2024-06-14T00:00:00+00:00</t>
  </si>
  <si>
    <t>2024-06-15T00:00:00+00:00</t>
  </si>
  <si>
    <t>2024-06-15</t>
  </si>
  <si>
    <t>2024-06-16T00:00:00+00:00</t>
  </si>
  <si>
    <t>2024-06-16</t>
  </si>
  <si>
    <t>2024-06-17T00:00:00+00:00</t>
  </si>
  <si>
    <t>2024-06-18T00:00:00+00:00</t>
  </si>
  <si>
    <t>2024-06-19T00:00:00+00:00</t>
  </si>
  <si>
    <t>2024-06-19</t>
  </si>
  <si>
    <t>2024-06-20T00:00:00+00:00</t>
  </si>
  <si>
    <t>2024-06-21T00:00:00+00:00</t>
  </si>
  <si>
    <t>2024-06-22T00:00:00+00:00</t>
  </si>
  <si>
    <t>2024-06-22</t>
  </si>
  <si>
    <t>2024-06-23T00:00:00+00:00</t>
  </si>
  <si>
    <t>2024-06-23</t>
  </si>
  <si>
    <t>2024-06-24T00:00:00+00:00</t>
  </si>
  <si>
    <t>2024-06-25T00:00:00+00:00</t>
  </si>
  <si>
    <t>2024-06-26T00:00:00+00:00</t>
  </si>
  <si>
    <t>2024-06-27T00:00:00+00:00</t>
  </si>
  <si>
    <t>2024-06-28T00:00:00+00:00</t>
  </si>
  <si>
    <t>2024-06-29T00:00:00+00:00</t>
  </si>
  <si>
    <t>2024-06-29</t>
  </si>
  <si>
    <t>2024-06-30T00:00:00+00:00</t>
  </si>
  <si>
    <t>2024-06-30</t>
  </si>
  <si>
    <t>2024-07-01T00:00:00+00:00</t>
  </si>
  <si>
    <t>2024-07-02T00:00:00+00:00</t>
  </si>
  <si>
    <t>2024-07-03T00:00:00+00:00</t>
  </si>
  <si>
    <t>2024-07-04T00:00:00+00:00</t>
  </si>
  <si>
    <t>2024-07-04</t>
  </si>
  <si>
    <t>2024-07-05T00:00:00+00:00</t>
  </si>
  <si>
    <t>2024-07-06T00:00:00+00:00</t>
  </si>
  <si>
    <t>2024-07-06</t>
  </si>
  <si>
    <t>2024-07-07T00:00:00+00:00</t>
  </si>
  <si>
    <t>2024-07-07</t>
  </si>
  <si>
    <t>2024-07-08T00:00:00+00:00</t>
  </si>
  <si>
    <t>2024-07-09T00:00:00+00:00</t>
  </si>
  <si>
    <t>2024-07-10T00:00:00+00:00</t>
  </si>
  <si>
    <t>2024-07-11T00:00:00+00:00</t>
  </si>
  <si>
    <t>2024-07-12T00:00:00+00:00</t>
  </si>
  <si>
    <t>2024-07-13T00:00:00+00:00</t>
  </si>
  <si>
    <t>2024-07-13</t>
  </si>
  <si>
    <t>2024-07-14T00:00:00+00:00</t>
  </si>
  <si>
    <t>2024-07-14</t>
  </si>
  <si>
    <t>2024-07-15T00:00:00+00:00</t>
  </si>
  <si>
    <t>2024-07-16T00:00:00+00:00</t>
  </si>
  <si>
    <t>2024-07-17T00:00:00+00:00</t>
  </si>
  <si>
    <t>2024-07-18T00:00:00+00:00</t>
  </si>
  <si>
    <t>2024-07-19T00:00:00+00:00</t>
  </si>
  <si>
    <t>2024-07-20T00:00:00+00:00</t>
  </si>
  <si>
    <t>2024-07-20</t>
  </si>
  <si>
    <t>2024-07-21T00:00:00+00:00</t>
  </si>
  <si>
    <t>2024-07-21</t>
  </si>
  <si>
    <t>2024-07-22T00:00:00+00:00</t>
  </si>
  <si>
    <t>2024-07-23T00:00:00+00:00</t>
  </si>
  <si>
    <t>2024-07-24T00:00:00+00:00</t>
  </si>
  <si>
    <t>2024-07-25T00:00:00+00:00</t>
  </si>
  <si>
    <t>2024-07-26T00:00:00+00:00</t>
  </si>
  <si>
    <t>2024-07-27T00:00:00+00:00</t>
  </si>
  <si>
    <t>2024-07-27</t>
  </si>
  <si>
    <t>2024-07-28T00:00:00+00:00</t>
  </si>
  <si>
    <t>2024-07-28</t>
  </si>
  <si>
    <t>2024-07-29T00:00:00+00:00</t>
  </si>
  <si>
    <t>2024-07-30T00:00:00+00:00</t>
  </si>
  <si>
    <t>2024-07-31T00:00:00+00:00</t>
  </si>
  <si>
    <t>2024-08-01T00:00:00+00:00</t>
  </si>
  <si>
    <t>2024-08-02T00:00:00+00:00</t>
  </si>
  <si>
    <t>2024-08-03T00:00:00+00:00</t>
  </si>
  <si>
    <t>2024-08-03</t>
  </si>
  <si>
    <t>2024-08-04T00:00:00+00:00</t>
  </si>
  <si>
    <t>2024-08-04</t>
  </si>
  <si>
    <t>2024-08-05T00:00:00+00:00</t>
  </si>
  <si>
    <t>2024-08-06T00:00:00+00:00</t>
  </si>
  <si>
    <t>2024-08-07T00:00:00+00:00</t>
  </si>
  <si>
    <t>2024-08-08T00:00:00+00:00</t>
  </si>
  <si>
    <t>2024-08-09T00:00:00+00:00</t>
  </si>
  <si>
    <t>2024-08-10T00:00:00+00:00</t>
  </si>
  <si>
    <t>2024-08-10</t>
  </si>
  <si>
    <t>2024-08-11T00:00:00+00:00</t>
  </si>
  <si>
    <t>2024-08-11</t>
  </si>
  <si>
    <t>2024-08-12T00:00:00+00:00</t>
  </si>
  <si>
    <t>2024-08-13T00:00:00+00:00</t>
  </si>
  <si>
    <t>2024-08-14T00:00:00+00:00</t>
  </si>
  <si>
    <t>2024-08-15T00:00:00+00:00</t>
  </si>
  <si>
    <t>2024-08-16T00:00:00+00:00</t>
  </si>
  <si>
    <t>2024-08-17T00:00:00+00:00</t>
  </si>
  <si>
    <t>2024-08-17</t>
  </si>
  <si>
    <t>2024-08-18T00:00:00+00:00</t>
  </si>
  <si>
    <t>2024-08-18</t>
  </si>
  <si>
    <t>2024-08-19T00:00:00+00:00</t>
  </si>
  <si>
    <t>2024-08-20T00:00:00+00:00</t>
  </si>
  <si>
    <t>2024-08-21T00:00:00+00:00</t>
  </si>
  <si>
    <t>2024-08-22T00:00:00+00:00</t>
  </si>
  <si>
    <t>2024-08-23T00:00:00+00:00</t>
  </si>
  <si>
    <t>2024-08-24T00:00:00+00:00</t>
  </si>
  <si>
    <t>2024-08-24</t>
  </si>
  <si>
    <t>2024-08-25T00:00:00+00:00</t>
  </si>
  <si>
    <t>2024-08-25</t>
  </si>
  <si>
    <t>2024-08-26T00:00:00+00:00</t>
  </si>
  <si>
    <t>2024-08-27T00:00:00+00:00</t>
  </si>
  <si>
    <t>2024-08-28T00:00:00+00:00</t>
  </si>
  <si>
    <t>2024-08-29T00:00:00+00:00</t>
  </si>
  <si>
    <t>2024-08-30T00:00:00+00:00</t>
  </si>
  <si>
    <t>2024-08-31T00:00:00+00:00</t>
  </si>
  <si>
    <t>2024-08-31</t>
  </si>
  <si>
    <t>2024-09-01T00:00:00+00:00</t>
  </si>
  <si>
    <t>2024-09-01</t>
  </si>
  <si>
    <t>2024-09-02T00:00:00+00:00</t>
  </si>
  <si>
    <t>2024-09-02</t>
  </si>
  <si>
    <t>2024-09-03T00:00:00+00:00</t>
  </si>
  <si>
    <t>2024-09-04T00:00:00+00:00</t>
  </si>
  <si>
    <t>2024-09-05T00:00:00+00:00</t>
  </si>
  <si>
    <t>2024-09-06T00:00:00+00:00</t>
  </si>
  <si>
    <t>2024-09-07T00:00:00+00:00</t>
  </si>
  <si>
    <t>2024-09-07</t>
  </si>
  <si>
    <t>2024-09-08T00:00:00+00:00</t>
  </si>
  <si>
    <t>2024-09-08</t>
  </si>
  <si>
    <t>2024-09-09T00:00:00+00:00</t>
  </si>
  <si>
    <t>2024-09-10T00:00:00+00:00</t>
  </si>
  <si>
    <t>2024-09-11T00:00:00+00:00</t>
  </si>
  <si>
    <t>2024-09-12T00:00:00+00:00</t>
  </si>
  <si>
    <t>2024-09-13T00:00:00+00:00</t>
  </si>
  <si>
    <t>2024-09-14T00:00:00+00:00</t>
  </si>
  <si>
    <t>2024-09-14</t>
  </si>
  <si>
    <t>2024-09-15T00:00:00+00:00</t>
  </si>
  <si>
    <t>2024-09-15</t>
  </si>
  <si>
    <t>2024-09-16T00:00:00+00:00</t>
  </si>
  <si>
    <t>2024-09-17T00:00:00+00:00</t>
  </si>
  <si>
    <t>2024-09-18T00:00:00+00:00</t>
  </si>
  <si>
    <t>2024-09-19T00:00:00+00:00</t>
  </si>
  <si>
    <t>2024-09-20T00:00:00+00:00</t>
  </si>
  <si>
    <t>2024-09-21T00:00:00+00:00</t>
  </si>
  <si>
    <t>2024-09-21</t>
  </si>
  <si>
    <t>2024-09-22T00:00:00+00:00</t>
  </si>
  <si>
    <t>2024-09-22</t>
  </si>
  <si>
    <t>2024-09-23T00:00:00+00:00</t>
  </si>
  <si>
    <t>2024-09-24T00:00:00+00:00</t>
  </si>
  <si>
    <t>2024-09-25T00:00:00+00:00</t>
  </si>
  <si>
    <t>2024-09-26T00:00:00+00:00</t>
  </si>
  <si>
    <t>2024-09-27T00:00:00+00:00</t>
  </si>
  <si>
    <t>2024-09-28T00:00:00+00:00</t>
  </si>
  <si>
    <t>2024-09-28</t>
  </si>
  <si>
    <t>2024-09-29T00:00:00+00:00</t>
  </si>
  <si>
    <t>2024-09-29</t>
  </si>
  <si>
    <t>2024-09-30T00:00:00+00:00</t>
  </si>
  <si>
    <t>2024-10-01T00:00:00+00:00</t>
  </si>
  <si>
    <t>2024-10-02T00:00:00+00:00</t>
  </si>
  <si>
    <t>2024-10-03T00:00:00+00:00</t>
  </si>
  <si>
    <t>2024-10-04T00:00:00+00:00</t>
  </si>
  <si>
    <t>2024-10-05T00:00:00+00:00</t>
  </si>
  <si>
    <t>2024-10-05</t>
  </si>
  <si>
    <t>2024-10-06T00:00:00+00:00</t>
  </si>
  <si>
    <t>2024-10-06</t>
  </si>
  <si>
    <t>2024-10-07T00:00:00+00:00</t>
  </si>
  <si>
    <t>2024-10-08T00:00:00+00:00</t>
  </si>
  <si>
    <t>2024-10-09T00:00:00+00:00</t>
  </si>
  <si>
    <t>2024-10-10T00:00:00+00:00</t>
  </si>
  <si>
    <t>2024-10-11T00:00:00+00:00</t>
  </si>
  <si>
    <t>2024-10-12T00:00:00+00:00</t>
  </si>
  <si>
    <t>2024-10-12</t>
  </si>
  <si>
    <t>2024-10-13T00:00:00+00:00</t>
  </si>
  <si>
    <t>2024-10-13</t>
  </si>
  <si>
    <t>2024-10-14T00:00:00+00:00</t>
  </si>
  <si>
    <t>2024-10-15T00:00:00+00:00</t>
  </si>
  <si>
    <t>2024-10-16T00:00:00+00:00</t>
  </si>
  <si>
    <t>2024-10-17T00:00:00+00:00</t>
  </si>
  <si>
    <t>2024-10-18T00:00:00+00:00</t>
  </si>
  <si>
    <t>2024-10-19T00:00:00+00:00</t>
  </si>
  <si>
    <t>2024-10-19</t>
  </si>
  <si>
    <t>2024-10-20T00:00:00+00:00</t>
  </si>
  <si>
    <t>2024-10-20</t>
  </si>
  <si>
    <t>2024-10-21T00:00:00+00:00</t>
  </si>
  <si>
    <t>2024-10-22T00:00:00+00:00</t>
  </si>
  <si>
    <t>2024-10-23T00:00:00+00:00</t>
  </si>
  <si>
    <t>2024-10-24T00:00:00+00:00</t>
  </si>
  <si>
    <t>2024-10-25T00:00:00+00:00</t>
  </si>
  <si>
    <t>2024-10-26T00:00:00+00:00</t>
  </si>
  <si>
    <t>2024-10-26</t>
  </si>
  <si>
    <t>2024-10-27T00:00:00+00:00</t>
  </si>
  <si>
    <t>2024-10-27</t>
  </si>
  <si>
    <t>2024-10-28T00:00:00+00:00</t>
  </si>
  <si>
    <t>2024-10-29T00:00:00+00:00</t>
  </si>
  <si>
    <t>2024-10-30T00:00:00+00:00</t>
  </si>
  <si>
    <t>2024-10-31T00:00:00+00:00</t>
  </si>
  <si>
    <t>2024-11-01T00:00:00+00:00</t>
  </si>
  <si>
    <t>2024-11-02T00:00:00+00:00</t>
  </si>
  <si>
    <t>2024-11-02</t>
  </si>
  <si>
    <t>2024-11-03T00:00:00+00:00</t>
  </si>
  <si>
    <t>2024-11-03</t>
  </si>
  <si>
    <t>2024-11-04T00:00:00+00:00</t>
  </si>
  <si>
    <t>2024-11-05T00:00:00+00:00</t>
  </si>
  <si>
    <t>2024-11-06T00:00:00+00:00</t>
  </si>
  <si>
    <t>2024-11-07T00:00:00+00:00</t>
  </si>
  <si>
    <t>2024-11-08T00:00:00+00:00</t>
  </si>
  <si>
    <t>2024-11-09T00:00:00+00:00</t>
  </si>
  <si>
    <t>2024-11-09</t>
  </si>
  <si>
    <t>2024-11-10T00:00:00+00:00</t>
  </si>
  <si>
    <t>2024-11-10</t>
  </si>
  <si>
    <t>2024-11-11T00:00:00+00:00</t>
  </si>
  <si>
    <t>2024-11-12T00:00:00+00:00</t>
  </si>
  <si>
    <t>2024-11-13T00:00:00+00:00</t>
  </si>
  <si>
    <t>2024-11-14T00:00:00+00:00</t>
  </si>
  <si>
    <t>2024-11-15T00:00:00+00:00</t>
  </si>
  <si>
    <t>2024-11-16T00:00:00+00:00</t>
  </si>
  <si>
    <t>2024-11-16</t>
  </si>
  <si>
    <t>2024-11-17T00:00:00+00:00</t>
  </si>
  <si>
    <t>2024-11-17</t>
  </si>
  <si>
    <t>2024-11-18T00:00:00+00:00</t>
  </si>
  <si>
    <t>2024-11-19T00:00:00+00:00</t>
  </si>
  <si>
    <t>2024-11-20T00:00:00+00:00</t>
  </si>
  <si>
    <t>2024-11-21T00:00:00+00:00</t>
  </si>
  <si>
    <t>2024-11-22T00:00:00+00:00</t>
  </si>
  <si>
    <t>2024-11-23T00:00:00+00:00</t>
  </si>
  <si>
    <t>2024-11-23</t>
  </si>
  <si>
    <t>2024-11-24T00:00:00+00:00</t>
  </si>
  <si>
    <t>2024-11-24</t>
  </si>
  <si>
    <t>2024-11-25T00:00:00+00:00</t>
  </si>
  <si>
    <t>2024-11-26T00:00:00+00:00</t>
  </si>
  <si>
    <t>2024-11-27T00:00:00+00:00</t>
  </si>
  <si>
    <t>2024-11-28T00:00:00+00:00</t>
  </si>
  <si>
    <t>2024-11-28</t>
  </si>
  <si>
    <t>2024-11-29T00:00:00+00:00</t>
  </si>
  <si>
    <t>2024-11-30T00:00:00+00:00</t>
  </si>
  <si>
    <t>2024-11-30</t>
  </si>
  <si>
    <t>2024-12-01T00:00:00+00:00</t>
  </si>
  <si>
    <t>2024-12-01</t>
  </si>
  <si>
    <t>2024-12-02T00:00:00+00:00</t>
  </si>
  <si>
    <t>2024-12-03T00:00:00+00:00</t>
  </si>
  <si>
    <t>2024-12-04T00:00:00+00:00</t>
  </si>
  <si>
    <t>2024-12-05T00:00:00+00:00</t>
  </si>
  <si>
    <t>2024-12-06T00:00:00+00:00</t>
  </si>
  <si>
    <t>2024-12-07T00:00:00+00:00</t>
  </si>
  <si>
    <t>2024-12-07</t>
  </si>
  <si>
    <t>2024-12-08T00:00:00+00:00</t>
  </si>
  <si>
    <t>2024-12-08</t>
  </si>
  <si>
    <t>2024-12-09T00:00:00+00:00</t>
  </si>
  <si>
    <t>2024-12-10T00:00:00+00:00</t>
  </si>
  <si>
    <t>2024-12-11T00:00:00+00:00</t>
  </si>
  <si>
    <t>2024-12-12T00:00:00+00:00</t>
  </si>
  <si>
    <t>2024-12-13T00:00:00+00:00</t>
  </si>
  <si>
    <t>2024-12-14T00:00:00+00:00</t>
  </si>
  <si>
    <t>2024-12-14</t>
  </si>
  <si>
    <t>2024-12-15T00:00:00+00:00</t>
  </si>
  <si>
    <t>2024-12-15</t>
  </si>
  <si>
    <t>2024-12-16T00:00:00+00:00</t>
  </si>
  <si>
    <t>2024-12-17T00:00:00+00:00</t>
  </si>
  <si>
    <t>2024-12-18T00:00:00+00:00</t>
  </si>
  <si>
    <t>2024-12-19T00:00:00+00:00</t>
  </si>
  <si>
    <t>2024-12-20T00:00:00+00:00</t>
  </si>
  <si>
    <t>2024-12-21T00:00:00+00:00</t>
  </si>
  <si>
    <t>2024-12-21</t>
  </si>
  <si>
    <t>2024-12-22T00:00:00+00:00</t>
  </si>
  <si>
    <t>2024-12-22</t>
  </si>
  <si>
    <t>2024-12-23T00:00:00+00:00</t>
  </si>
  <si>
    <t>2024-12-24T00:00:00+00:00</t>
  </si>
  <si>
    <t>2024-12-25T00:00:00+00:00</t>
  </si>
  <si>
    <t>2024-12-25</t>
  </si>
  <si>
    <t>2024-12-26T00:00:00+00:00</t>
  </si>
  <si>
    <t>2024-12-27T00:00:00+00:00</t>
  </si>
  <si>
    <t>2024-12-28T00:00:00+00:00</t>
  </si>
  <si>
    <t>2024-12-28</t>
  </si>
  <si>
    <t>2024-12-29T00:00:00+00:00</t>
  </si>
  <si>
    <t>2024-12-29</t>
  </si>
  <si>
    <t>2024-12-30T00:00:00+00:00</t>
  </si>
  <si>
    <t>2024-12-31T00:00:00+00:00</t>
  </si>
  <si>
    <t>2025-01-01T00:00:00+00:00</t>
  </si>
  <si>
    <t>2025-01-01</t>
  </si>
  <si>
    <t>2025-01-02T00:00:00+00:00</t>
  </si>
  <si>
    <t>2025-01-03T00:00:00+00:00</t>
  </si>
  <si>
    <t>2025-01-04T00:00:00+00:00</t>
  </si>
  <si>
    <t>2025-01-04</t>
  </si>
  <si>
    <t>2025-01-05T00:00:00+00:00</t>
  </si>
  <si>
    <t>2025-01-05</t>
  </si>
  <si>
    <t>2025-01-06T00:00:00+00:00</t>
  </si>
  <si>
    <t>2025-01-07T00:00:00+00:00</t>
  </si>
  <si>
    <t>2025-01-08T00:00:00+00:00</t>
  </si>
  <si>
    <t>2025-01-09T00:00:00+00:00</t>
  </si>
  <si>
    <t>2025-01-09</t>
  </si>
  <si>
    <t>2025-01-10T00:00:00+00:00</t>
  </si>
  <si>
    <t>2025-01-11T00:00:00+00:00</t>
  </si>
  <si>
    <t>2025-01-11</t>
  </si>
  <si>
    <t>2025-01-12T00:00:00+00:00</t>
  </si>
  <si>
    <t>2025-01-12</t>
  </si>
  <si>
    <t>2025-01-13T00:00:00+00:00</t>
  </si>
  <si>
    <t>2025-01-14T00:00:00+00:00</t>
  </si>
  <si>
    <t>2025-01-15T00:00:00+00:00</t>
  </si>
  <si>
    <t>2025-01-16T00:00:00+00:00</t>
  </si>
  <si>
    <t>2025-01-17T00:00:00+00:00</t>
  </si>
  <si>
    <t>2025-01-18T00:00:00+00:00</t>
  </si>
  <si>
    <t>2025-01-18</t>
  </si>
  <si>
    <t>2025-01-19T00:00:00+00:00</t>
  </si>
  <si>
    <t>2025-01-19</t>
  </si>
  <si>
    <t>2025-01-20T00:00:00+00:00</t>
  </si>
  <si>
    <t>2025-01-20</t>
  </si>
  <si>
    <t>2025-01-21T00:00:00+00:00</t>
  </si>
  <si>
    <t>2025-01-22T00:00:00+00:00</t>
  </si>
  <si>
    <t>2025-01-23T00:00:00+00:00</t>
  </si>
  <si>
    <t>2025-01-24T00:00:00+00:00</t>
  </si>
  <si>
    <t>2025-01-25T00:00:00+00:00</t>
  </si>
  <si>
    <t>2025-01-25</t>
  </si>
  <si>
    <t>2025-01-26T00:00:00+00:00</t>
  </si>
  <si>
    <t>2025-01-26</t>
  </si>
  <si>
    <t>2025-01-27T00:00:00+00:00</t>
  </si>
  <si>
    <t>2025-01-28T00:00:00+00:00</t>
  </si>
  <si>
    <t>2025-01-29T00:00:00+00:00</t>
  </si>
  <si>
    <t>2025-01-30T00:00:00+00:00</t>
  </si>
  <si>
    <t>2025-01-31T00:00:00+00:00</t>
  </si>
  <si>
    <t>2025-02-01T00:00:00+00:00</t>
  </si>
  <si>
    <t>2025-02-01</t>
  </si>
  <si>
    <t>2025-02-02T00:00:00+00:00</t>
  </si>
  <si>
    <t>2025-02-02</t>
  </si>
  <si>
    <t>2025-02-03T00:00:00+00:00</t>
  </si>
  <si>
    <t>2025-02-04T00:00:00+00:00</t>
  </si>
  <si>
    <t>2025-02-05T00:00:00+00:00</t>
  </si>
  <si>
    <t>2025-02-06T00:00:00+00:00</t>
  </si>
  <si>
    <t>2025-02-07T00:00:00+00:00</t>
  </si>
  <si>
    <t>2025-02-08T00:00:00+00:00</t>
  </si>
  <si>
    <t>2025-02-08</t>
  </si>
  <si>
    <t>2025-02-09T00:00:00+00:00</t>
  </si>
  <si>
    <t>2025-02-09</t>
  </si>
  <si>
    <t>2025-02-10T00:00:00+00:00</t>
  </si>
  <si>
    <t>2025-02-11T00:00:00+00:00</t>
  </si>
  <si>
    <t>2025-02-12T00:00:00+00:00</t>
  </si>
  <si>
    <t>2025-02-13T00:00:00+00:00</t>
  </si>
  <si>
    <t>2025-02-14T00:00:00+00:00</t>
  </si>
  <si>
    <t>2025-02-15T00:00:00+00:00</t>
  </si>
  <si>
    <t>2025-02-15</t>
  </si>
  <si>
    <t>2025-02-16T00:00:00+00:00</t>
  </si>
  <si>
    <t>2025-02-16</t>
  </si>
  <si>
    <t>2025-02-17T00:00:00+00:00</t>
  </si>
  <si>
    <t>2025-02-17</t>
  </si>
  <si>
    <t>2025-02-18T00:00:00+00:00</t>
  </si>
  <si>
    <t>2025-02-19T00:00:00+00:00</t>
  </si>
  <si>
    <t>2025-02-20T00:00:00+00:00</t>
  </si>
  <si>
    <t>2025-02-21T00:00:00+00:00</t>
  </si>
  <si>
    <t>2025-02-22T00:00:00+00:00</t>
  </si>
  <si>
    <t>2025-02-22</t>
  </si>
  <si>
    <t>2025-02-23T00:00:00+00:00</t>
  </si>
  <si>
    <t>2025-02-23</t>
  </si>
  <si>
    <t>2025-02-24T00:00:00+00:00</t>
  </si>
  <si>
    <t>2025-02-25T00:00:00+00:00</t>
  </si>
  <si>
    <t>2025-02-26T00:00:00+00:00</t>
  </si>
  <si>
    <t>2025-02-27T00:00:00+00:00</t>
  </si>
  <si>
    <t>2025-02-28T00:00:00+00:00</t>
  </si>
  <si>
    <t>2025-03-01T00:00:00+00:00</t>
  </si>
  <si>
    <t>2025-03-01</t>
  </si>
  <si>
    <t>2025-03-02T00:00:00+00:00</t>
  </si>
  <si>
    <t>2025-03-02</t>
  </si>
  <si>
    <t>2025-03-03T00:00:00+00:00</t>
  </si>
  <si>
    <t>2025-03-04T00:00:00+00:00</t>
  </si>
  <si>
    <t>2025-03-05T00:00:00+00:00</t>
  </si>
  <si>
    <t>2025-03-06T00:00:00+00:00</t>
  </si>
  <si>
    <t>2025-03-07T00:00:00+00:00</t>
  </si>
  <si>
    <t>2025-03-08T00:00:00+00:00</t>
  </si>
  <si>
    <t>2025-03-08</t>
  </si>
  <si>
    <t>2025-03-09T00:00:00+00:00</t>
  </si>
  <si>
    <t>2025-03-09</t>
  </si>
  <si>
    <t>2025-03-10T00:00:00+00:00</t>
  </si>
  <si>
    <t>2025-03-11T00:00:00+00:00</t>
  </si>
  <si>
    <t>2025-03-12T00:00:00+00:00</t>
  </si>
  <si>
    <t>2025-03-13T00:00:00+00:00</t>
  </si>
  <si>
    <t>2025-03-14T00:00:00+00:00</t>
  </si>
  <si>
    <t>2025-03-15T00:00:00+00:00</t>
  </si>
  <si>
    <t>2025-03-15</t>
  </si>
  <si>
    <t>2025-03-16T00:00:00+00:00</t>
  </si>
  <si>
    <t>2025-03-16</t>
  </si>
  <si>
    <t>2025-03-17T00:00:00+00:00</t>
  </si>
  <si>
    <t>2025-03-18T00:00:00+00:00</t>
  </si>
  <si>
    <t>2025-03-19T00:00:00+00:00</t>
  </si>
  <si>
    <t>2025-03-20T00:00:00+00:00</t>
  </si>
  <si>
    <t>2025-03-21T00:00:00+00:00</t>
  </si>
  <si>
    <t>2025-03-22T00:00:00+00:00</t>
  </si>
  <si>
    <t>2025-03-22</t>
  </si>
  <si>
    <t>2025-03-23T00:00:00+00:00</t>
  </si>
  <si>
    <t>2025-03-23</t>
  </si>
  <si>
    <t>2025-03-24T00:00:00+00:00</t>
  </si>
  <si>
    <t>2025-03-25T00:00:00+00:00</t>
  </si>
  <si>
    <t>2025-03-26T00:00:00+00:00</t>
  </si>
  <si>
    <t>2025-03-27T00:00:00+00:00</t>
  </si>
  <si>
    <t>2025-03-28T00:00:00+00:00</t>
  </si>
  <si>
    <t>2025-03-29T00:00:00+00:00</t>
  </si>
  <si>
    <t>2025-03-29</t>
  </si>
  <si>
    <t>2025-03-30T00:00:00+00:00</t>
  </si>
  <si>
    <t>2025-03-30</t>
  </si>
  <si>
    <t>2025-03-31T00:00:00+00:00</t>
  </si>
  <si>
    <t>2025-04-01T00:00:00+00:00</t>
  </si>
  <si>
    <t>2025-04-02T00:00:00+00:00</t>
  </si>
  <si>
    <t>2025-04-03T00:00:00+00:00</t>
  </si>
  <si>
    <t>2025-04-04T00:00:00+00:00</t>
  </si>
  <si>
    <t>2025-04-05T00:00:00+00:00</t>
  </si>
  <si>
    <t>2025-04-05</t>
  </si>
  <si>
    <t>2025-04-06T00:00:00+00:00</t>
  </si>
  <si>
    <t>2025-04-06</t>
  </si>
  <si>
    <t>2025-04-07T00:00:00+00:00</t>
  </si>
  <si>
    <t>2025-04-08T00:00:00+00:00</t>
  </si>
  <si>
    <t>2025-04-09T00:00:00+00:00</t>
  </si>
  <si>
    <t>2025-04-10T00:00:00+00:00</t>
  </si>
  <si>
    <t>2025-04-11T00:00:00+00:00</t>
  </si>
  <si>
    <t>2025-04-12T00:00:00+00:00</t>
  </si>
  <si>
    <t>2025-04-12</t>
  </si>
  <si>
    <t>2025-04-13T00:00:00+00:00</t>
  </si>
  <si>
    <t>2025-04-13</t>
  </si>
  <si>
    <t>2025-04-14T00:00:00+00:00</t>
  </si>
  <si>
    <t>2025-04-15T00:00:00+00:00</t>
  </si>
  <si>
    <t>2025-04-16T00:00:00+00:00</t>
  </si>
  <si>
    <t>2025-04-17T00:00:00+00:00</t>
  </si>
  <si>
    <t>2025-04-18T00:00:00+00:00</t>
  </si>
  <si>
    <t>2025-04-18</t>
  </si>
  <si>
    <t>2025-04-19T00:00:00+00:00</t>
  </si>
  <si>
    <t>2025-04-19</t>
  </si>
  <si>
    <t>2025-04-20T00:00:00+00:00</t>
  </si>
  <si>
    <t>2025-04-20</t>
  </si>
  <si>
    <t>2025-04-21T00:00:00+00:00</t>
  </si>
  <si>
    <t>2025-04-22T00:00:00+00:00</t>
  </si>
  <si>
    <t>2025-04-23T00:00:00+00:00</t>
  </si>
  <si>
    <t>2025-04-24T00:00:00+00:00</t>
  </si>
  <si>
    <t>2025-04-25T00:00:00+00:00</t>
  </si>
  <si>
    <t>2025-04-26T00:00:00+00:00</t>
  </si>
  <si>
    <t>2025-04-26</t>
  </si>
  <si>
    <t>2025-04-27T00:00:00+00:00</t>
  </si>
  <si>
    <t>2025-04-27</t>
  </si>
  <si>
    <t>2025-04-28T00:00:00+00:00</t>
  </si>
  <si>
    <t>2025-04-29T00:00:00+00:00</t>
  </si>
  <si>
    <t>2025-04-30T00:00:00+00:00</t>
  </si>
  <si>
    <t>2025-05-01T00:00:00+00:00</t>
  </si>
  <si>
    <t>2025-05-02T00:00:00+00:00</t>
  </si>
  <si>
    <t>2025-05-03T00:00:00+00:00</t>
  </si>
  <si>
    <t>2025-05-03</t>
  </si>
  <si>
    <t>2025-05-04T00:00:00+00:00</t>
  </si>
  <si>
    <t>2025-05-04</t>
  </si>
  <si>
    <t>2025-05-05T00:00:00+00:00</t>
  </si>
  <si>
    <t>2025-05-06T00:00:00+00:00</t>
  </si>
  <si>
    <t>2025-05-07T00:00:00+00:00</t>
  </si>
  <si>
    <t>2025-05-08T00:00:00+00:00</t>
  </si>
  <si>
    <t>2025-05-09T00:00:00+00:00</t>
  </si>
  <si>
    <t>2025-05-10T00:00:00+00:00</t>
  </si>
  <si>
    <t>2025-05-10</t>
  </si>
  <si>
    <t>2025-05-11T00:00:00+00:00</t>
  </si>
  <si>
    <t>2025-05-11</t>
  </si>
  <si>
    <t>2025-05-12T00:00:00+00:00</t>
  </si>
  <si>
    <t>2025-05-13T00:00:00+00:00</t>
  </si>
  <si>
    <t>2025-05-14T00:00:00+00:00</t>
  </si>
  <si>
    <t>2025-05-15T00:00:00+00:00</t>
  </si>
  <si>
    <t>2025-05-16T00:00:00+00:00</t>
  </si>
  <si>
    <t>2025-05-17T00:00:00+00:00</t>
  </si>
  <si>
    <t>2025-05-17</t>
  </si>
  <si>
    <t>2025-05-18T00:00:00+00:00</t>
  </si>
  <si>
    <t>2025-05-18</t>
  </si>
  <si>
    <t>2025-05-19T00:00:00+00:00</t>
  </si>
  <si>
    <t>2025-05-20T00:00:00+00:00</t>
  </si>
  <si>
    <t>2025-05-21T00:00:00+00:00</t>
  </si>
  <si>
    <t>2025-05-22T00:00:00+00:00</t>
  </si>
  <si>
    <t>2025-05-23T00:00:00+00:00</t>
  </si>
  <si>
    <t>2025-05-24T00:00:00+00:00</t>
  </si>
  <si>
    <t>2025-05-24</t>
  </si>
  <si>
    <t>2025-05-25T00:00:00+00:00</t>
  </si>
  <si>
    <t>2025-05-25</t>
  </si>
  <si>
    <t>2025-05-26T00:00:00+00:00</t>
  </si>
  <si>
    <t>2025-05-26</t>
  </si>
  <si>
    <t>2025-05-27T00:00:00+00:00</t>
  </si>
  <si>
    <t>2025-05-28T00:00:00+00:00</t>
  </si>
  <si>
    <t>2025-05-29T00:00:00+00:00</t>
  </si>
  <si>
    <t>2025-05-30T00:00:00+00:00</t>
  </si>
  <si>
    <t>2025-05-31T00:00:00+00:00</t>
  </si>
  <si>
    <t>2025-05-31</t>
  </si>
  <si>
    <t>2025-06-01T00:00:00+00:00</t>
  </si>
  <si>
    <t>2025-06-01</t>
  </si>
  <si>
    <t>2025-06-02T00:00:00+00:00</t>
  </si>
  <si>
    <t>2025-06-03T00:00:00+00:00</t>
  </si>
  <si>
    <t>2025-06-04T00:00:00+00:00</t>
  </si>
  <si>
    <t>2025-06-05T00:00:00+00:00</t>
  </si>
  <si>
    <t>2025-06-06T00:00:00+00:00</t>
  </si>
  <si>
    <t>2025-06-07T00:00:00+00:00</t>
  </si>
  <si>
    <t>2025-06-07</t>
  </si>
  <si>
    <t>2025-06-08T00:00:00+00:00</t>
  </si>
  <si>
    <t>2025-06-08</t>
  </si>
  <si>
    <t>2025-06-09T00:00:00+00:00</t>
  </si>
  <si>
    <t>2025-06-10T00:00:00+00:00</t>
  </si>
  <si>
    <t>2025-06-11T00:00:00+00:00</t>
  </si>
  <si>
    <t>2025-06-12T00:00:00+00:00</t>
  </si>
  <si>
    <t>2025-06-13T00:00:00+00:00</t>
  </si>
  <si>
    <t>2025-06-14T00:00:00+00:00</t>
  </si>
  <si>
    <t>2025-06-14</t>
  </si>
  <si>
    <t>2025-06-15T00:00:00+00:00</t>
  </si>
  <si>
    <t>2025-06-15</t>
  </si>
  <si>
    <t>2025-06-16T00:00:00+00:00</t>
  </si>
  <si>
    <t>2025-06-17T00:00:00+00:00</t>
  </si>
  <si>
    <t>2025-06-18T00:00:00+00:00</t>
  </si>
  <si>
    <t>2025-06-19T00:00:00+00:00</t>
  </si>
  <si>
    <t>2025-06-19</t>
  </si>
  <si>
    <t>2025-06-20T00:00:00+00:00</t>
  </si>
  <si>
    <t>2025-06-21T00:00:00+00:00</t>
  </si>
  <si>
    <t>2025-06-21</t>
  </si>
  <si>
    <t>2025-06-22T00:00:00+00:00</t>
  </si>
  <si>
    <t>2025-06-22</t>
  </si>
  <si>
    <t>2025-06-23T00:00:00+00:00</t>
  </si>
  <si>
    <t>2025-06-24T00:00:00+00:00</t>
  </si>
  <si>
    <t>2025-06-25T00:00:00+00:00</t>
  </si>
  <si>
    <t>2025-06-26T00:00:00+00:00</t>
  </si>
  <si>
    <t>2025-06-27T00:00:00+00:00</t>
  </si>
  <si>
    <t>2025-06-28T00:00:00+00:00</t>
  </si>
  <si>
    <t>2025-06-28</t>
  </si>
  <si>
    <t>2025-06-29T00:00:00+00:00</t>
  </si>
  <si>
    <t>2025-06-29</t>
  </si>
  <si>
    <t>2025-06-30T00:00:00+00:00</t>
  </si>
  <si>
    <t>2025-07-01T00:00:00+00:00</t>
  </si>
  <si>
    <t>2025-07-02T00:00:00+00:00</t>
  </si>
  <si>
    <t>2025-07-03T00:00:00+00:00</t>
  </si>
  <si>
    <t>2025-07-04T00:00:00+00:00</t>
  </si>
  <si>
    <t>2025-07-04</t>
  </si>
  <si>
    <t>2025-07-05T00:00:00+00:00</t>
  </si>
  <si>
    <t>2025-07-05</t>
  </si>
  <si>
    <t>2025-07-06T00:00:00+00:00</t>
  </si>
  <si>
    <t>2025-07-06</t>
  </si>
  <si>
    <t>2025-07-07T00:00:00+00:00</t>
  </si>
  <si>
    <t>2025-07-08T00:00:00+00:00</t>
  </si>
  <si>
    <t>2025-07-09T00:00:00+00:00</t>
  </si>
  <si>
    <t>2025-07-10T00:00:00+00:00</t>
  </si>
  <si>
    <t>2025-07-11T00:00:00+00:00</t>
  </si>
  <si>
    <t>2025-07-12T00:00:00+00:00</t>
  </si>
  <si>
    <t>2025-07-12</t>
  </si>
  <si>
    <t>2025-07-13T00:00:00+00:00</t>
  </si>
  <si>
    <t>2025-07-13</t>
  </si>
  <si>
    <t>2025-07-14T00:00:00+00:00</t>
  </si>
  <si>
    <t>2025-07-15T00:00:00+00:00</t>
  </si>
  <si>
    <t>2025-07-16T00:00:00+00:00</t>
  </si>
  <si>
    <t>2025-07-17T00:00:00+00:00</t>
  </si>
  <si>
    <t>2025-07-18T00:00:00+00:00</t>
  </si>
  <si>
    <t>2025-07-19T00:00:00+00:00</t>
  </si>
  <si>
    <t>2025-07-19</t>
  </si>
  <si>
    <t>2025-07-20T00:00:00+00:00</t>
  </si>
  <si>
    <t>2025-07-20</t>
  </si>
  <si>
    <t>2025-07-21T00:00:00+00:00</t>
  </si>
  <si>
    <t>2025-07-22T00:00:00+00:00</t>
  </si>
  <si>
    <t>2025-07-23T00:00:00+00:00</t>
  </si>
  <si>
    <t>2025-07-24T00:00:00+00:00</t>
  </si>
  <si>
    <t>2025-07-25T00:00:00+00:00</t>
  </si>
  <si>
    <t>2025-07-26T00:00:00+00:00</t>
  </si>
  <si>
    <t>2025-07-26</t>
  </si>
  <si>
    <t>2025-07-27T00:00:00+00:00</t>
  </si>
  <si>
    <t>2025-07-27</t>
  </si>
  <si>
    <t>2025-07-28T00:00:00+00:00</t>
  </si>
  <si>
    <t>2025-07-29T00:00:00+00:00</t>
  </si>
  <si>
    <t>2025-07-30T00:00:00+00:00</t>
  </si>
  <si>
    <t>2025-07-31T00:00:00+00:00</t>
  </si>
  <si>
    <t>2025-08-01T00:00:00+00:00</t>
  </si>
  <si>
    <t>2025-08-02T00:00:00+00:00</t>
  </si>
  <si>
    <t>2025-08-02</t>
  </si>
  <si>
    <t>2025-08-03T00:00:00+00:00</t>
  </si>
  <si>
    <t>2025-08-03</t>
  </si>
  <si>
    <t>2025-08-04T00:00:00+00:00</t>
  </si>
  <si>
    <t>2025-08-05T00:00:00+00:00</t>
  </si>
  <si>
    <t>2025-08-06T00:00:00+00:00</t>
  </si>
  <si>
    <t>2025-08-07T00:00:00+00:00</t>
  </si>
  <si>
    <t>2025-08-08T00:00:00+00:00</t>
  </si>
  <si>
    <t>2025-08-09T00:00:00+00:00</t>
  </si>
  <si>
    <t>2025-08-09</t>
  </si>
  <si>
    <t>2025-08-10T00:00:00+00:00</t>
  </si>
  <si>
    <t>2025-08-10</t>
  </si>
  <si>
    <t>2025-08-11T00:00:00+00:00</t>
  </si>
  <si>
    <t>2025-08-12T00:00:00+00:00</t>
  </si>
  <si>
    <t>2025-08-13T00:00:00+00:00</t>
  </si>
  <si>
    <t>2025-08-14T00:00:00+00:00</t>
  </si>
  <si>
    <t>2025-08-15T00:00:00+00:00</t>
  </si>
  <si>
    <t>2025-08-16T00:00:00+00:00</t>
  </si>
  <si>
    <t>2025-08-16</t>
  </si>
  <si>
    <t>2025-08-17T00:00:00+00:00</t>
  </si>
  <si>
    <t>2025-08-17</t>
  </si>
  <si>
    <t>2025-08-18T00:00:00+00:00</t>
  </si>
  <si>
    <t>2025-08-19T00:00:00+00:00</t>
  </si>
  <si>
    <t>2025-08-20T00:00:00+00:00</t>
  </si>
  <si>
    <t>2025-08-21T00:00:00+00:00</t>
  </si>
  <si>
    <t>2025-08-22T00:00:00+00:00</t>
  </si>
  <si>
    <t>2025-08-23T00:00:00+00:00</t>
  </si>
  <si>
    <t>2025-08-23</t>
  </si>
  <si>
    <t>2025-08-24T00:00:00+00:00</t>
  </si>
  <si>
    <t>2025-08-24</t>
  </si>
  <si>
    <t>2025-08-25T00:00:00+00:00</t>
  </si>
  <si>
    <t>2025-08-26T00:00:00+00:00</t>
  </si>
  <si>
    <t>2025-08-27T00:00:00+00:00</t>
  </si>
  <si>
    <t>2025-08-28T00:00:00+00:00</t>
  </si>
  <si>
    <t>2025-08-29T00:00:00+00:00</t>
  </si>
  <si>
    <t>2025-08-30T00:00:00+00:00</t>
  </si>
  <si>
    <t>2025-08-30</t>
  </si>
  <si>
    <t>2025-08-31T00:00:00+00:00</t>
  </si>
  <si>
    <t>2025-08-31</t>
  </si>
  <si>
    <t>2025-09-01T00:00:00+00:00</t>
  </si>
  <si>
    <t>2025-09-01</t>
  </si>
  <si>
    <t>2025-09-02T00:00:00+00:00</t>
  </si>
  <si>
    <t>2025-09-03T00:00:00+00:00</t>
  </si>
  <si>
    <t>2025-09-04T00:00:00+00:00</t>
  </si>
  <si>
    <t>2025-09-05T00:00:00+00:00</t>
  </si>
  <si>
    <t>2025-09-06T00:00:00+00:00</t>
  </si>
  <si>
    <t>2025-09-06</t>
  </si>
  <si>
    <t>2025-09-07T00:00:00+00:00</t>
  </si>
  <si>
    <t>2025-09-07</t>
  </si>
  <si>
    <t>2025-09-08T00:00:00+00:00</t>
  </si>
  <si>
    <t>2025-09-09T00:00:00+00:00</t>
  </si>
  <si>
    <t>2025-09-10T00:00:00+00:00</t>
  </si>
  <si>
    <t>2025-09-11T00:00:00+00:00</t>
  </si>
  <si>
    <t>2025-09-12T00:00:00+00:00</t>
  </si>
  <si>
    <t>2025-09-13T00:00:00+00:00</t>
  </si>
  <si>
    <t>2025-09-13</t>
  </si>
  <si>
    <t>2025-09-14T00:00:00+00:00</t>
  </si>
  <si>
    <t>2025-09-14</t>
  </si>
  <si>
    <t>2025-09-15T00:00:00+00:00</t>
  </si>
  <si>
    <t>2025-09-16T00:00:00+00:00</t>
  </si>
  <si>
    <t>2025-09-17T00:00:00+00:00</t>
  </si>
  <si>
    <t>2025-09-18T00:00:00+00:00</t>
  </si>
  <si>
    <t>2025-09-19T00:00:00+00:00</t>
  </si>
  <si>
    <t>2025-09-20T00:00:00+00:00</t>
  </si>
  <si>
    <t>2025-09-20</t>
  </si>
  <si>
    <t>2025-09-21T00:00:00+00:00</t>
  </si>
  <si>
    <t>2025-09-21</t>
  </si>
  <si>
    <t>2025-09-22T00:00:00+00:00</t>
  </si>
  <si>
    <t>2025-09-23T00:00:00+00:00</t>
  </si>
  <si>
    <t>2025-09-24T00:00:00+00:00</t>
  </si>
  <si>
    <t>2025-09-25T00:00:00+00:00</t>
  </si>
  <si>
    <t>2025-09-26T00:00:00+00:00</t>
  </si>
  <si>
    <t>2025-09-27T00:00:00+00:00</t>
  </si>
  <si>
    <t>2025-09-27</t>
  </si>
  <si>
    <t>2025-09-28T00:00:00+00:00</t>
  </si>
  <si>
    <t>2025-09-28</t>
  </si>
  <si>
    <t>2025-09-29T00:00:00+00:00</t>
  </si>
  <si>
    <t>2025-09-30T00:00:00+00:00</t>
  </si>
  <si>
    <t>2025-10-01T00:00:00+00:00</t>
  </si>
  <si>
    <t>2025-10-02T00:00:00+00:00</t>
  </si>
  <si>
    <t>2025-10-03T00:00:00+00:00</t>
  </si>
  <si>
    <t>2025-10-04T00:00:00+00:00</t>
  </si>
  <si>
    <t>2025-10-04</t>
  </si>
  <si>
    <t>2025-10-05T00:00:00+00:00</t>
  </si>
  <si>
    <t>2025-10-05</t>
  </si>
  <si>
    <t>2025-10-06T00:00:00+00:00</t>
  </si>
  <si>
    <t>2025-10-07T00:00:00+00:00</t>
  </si>
  <si>
    <t>2025-10-08T00:00:00+00:00</t>
  </si>
  <si>
    <t>2025-10-09T00:00:00+00:00</t>
  </si>
  <si>
    <t>2025-10-10T00:00:00+00:00</t>
  </si>
  <si>
    <t>2025-10-11T00:00:00+00:00</t>
  </si>
  <si>
    <t>2025-10-11</t>
  </si>
  <si>
    <t>2025-10-12T00:00:00+00:00</t>
  </si>
  <si>
    <t>2025-10-12</t>
  </si>
  <si>
    <t>2025-10-13T00:00:00+00:00</t>
  </si>
  <si>
    <t>2025-10-14T00:00:00+00:00</t>
  </si>
  <si>
    <t>2025-10-15T00:00:00+00:00</t>
  </si>
  <si>
    <t>2025-10-16T00:00:00+00:00</t>
  </si>
  <si>
    <t>2025-10-17T00:00:00+00:00</t>
  </si>
  <si>
    <t>2025-10-18T00:00:00+00:00</t>
  </si>
  <si>
    <t>2025-10-18</t>
  </si>
  <si>
    <t>2025-10-19T00:00:00+00:00</t>
  </si>
  <si>
    <t>2025-10-19</t>
  </si>
  <si>
    <t>2025-10-20T00:00:00+00:00</t>
  </si>
  <si>
    <t>2025-10-21T00:00:00+00:00</t>
  </si>
  <si>
    <t>2025-10-22T00:00:00+00:00</t>
  </si>
  <si>
    <t>2025-10-23T00:00:00+00:00</t>
  </si>
  <si>
    <t>2025-10-24T00:00:00+00:00</t>
  </si>
  <si>
    <t>2025-10-25T00:00:00+00:00</t>
  </si>
  <si>
    <t>2025-10-25</t>
  </si>
  <si>
    <t>2025-10-26T00:00:00+00:00</t>
  </si>
  <si>
    <t>2025-10-26</t>
  </si>
  <si>
    <t>2025-10-27T00:00:00+00:00</t>
  </si>
  <si>
    <t>2025-10-28T00:00:00+00:00</t>
  </si>
  <si>
    <t>2025-10-29T00:00:00+00:00</t>
  </si>
  <si>
    <t>2025-10-30T00:00:00+00:00</t>
  </si>
  <si>
    <t>2025-10-31T00:00:00+00:00</t>
  </si>
  <si>
    <t>2025-11-01T00:00:00+00:00</t>
  </si>
  <si>
    <t>2025-11-01</t>
  </si>
  <si>
    <t>2025-11-02T00:00:00+00:00</t>
  </si>
  <si>
    <t>2025-11-02</t>
  </si>
  <si>
    <t>2025-11-03T00:00:00+00:00</t>
  </si>
  <si>
    <t>2025-11-04T00:00:00+00:00</t>
  </si>
  <si>
    <t>2025-11-05T00:00:00+00:00</t>
  </si>
  <si>
    <t>2025-11-06T00:00:00+00:00</t>
  </si>
  <si>
    <t>2025-11-07T00:00:00+00:00</t>
  </si>
  <si>
    <t>2025-11-08T00:00:00+00:00</t>
  </si>
  <si>
    <t>2025-11-08</t>
  </si>
  <si>
    <t>2025-11-09T00:00:00+00:00</t>
  </si>
  <si>
    <t>2025-11-09</t>
  </si>
  <si>
    <t>2025-11-10T00:00:00+00:00</t>
  </si>
  <si>
    <t>2025-11-11T00:00:00+00:00</t>
  </si>
  <si>
    <t>2025-11-12T00:00:00+00:00</t>
  </si>
  <si>
    <t>2025-11-13T00:00:00+00:00</t>
  </si>
  <si>
    <t>2025-11-14T00:00:00+00:00</t>
  </si>
  <si>
    <t>2025-11-15T00:00:00+00:00</t>
  </si>
  <si>
    <t>2025-11-15</t>
  </si>
  <si>
    <t>2025-11-16T00:00:00+00:00</t>
  </si>
  <si>
    <t>2025-11-16</t>
  </si>
  <si>
    <t>2025-11-17T00:00:00+00:00</t>
  </si>
  <si>
    <t>2025-11-18T00:00:00+00:00</t>
  </si>
  <si>
    <t>2025-11-19T00:00:00+00:00</t>
  </si>
  <si>
    <t>2025-11-20T00:00:00+00:00</t>
  </si>
  <si>
    <t>2025-11-21T00:00:00+00:00</t>
  </si>
  <si>
    <t>2025-11-22T00:00:00+00:00</t>
  </si>
  <si>
    <t>2025-11-22</t>
  </si>
  <si>
    <t>2025-11-23T00:00:00+00:00</t>
  </si>
  <si>
    <t>2025-11-23</t>
  </si>
  <si>
    <t>2025-11-24T00:00:00+00:00</t>
  </si>
  <si>
    <t>2025-11-25T00:00:00+00:00</t>
  </si>
  <si>
    <t>2025-11-26T00:00:00+00:00</t>
  </si>
  <si>
    <t>2025-11-27T00:00:00+00:00</t>
  </si>
  <si>
    <t>2025-11-27</t>
  </si>
  <si>
    <t>2025-11-28T00:00:00+00:00</t>
  </si>
  <si>
    <t>2025-11-29T00:00:00+00:00</t>
  </si>
  <si>
    <t>2025-11-29</t>
  </si>
  <si>
    <t>2025-11-30T00:00:00+00:00</t>
  </si>
  <si>
    <t>2025-11-30</t>
  </si>
  <si>
    <t>2025-12-01T00:00:00+00:00</t>
  </si>
  <si>
    <t>2025-12-02T00:00:00+00:00</t>
  </si>
  <si>
    <t>2025-12-03T00:00:00+00:00</t>
  </si>
  <si>
    <t>2025-12-04T00:00:00+00:00</t>
  </si>
  <si>
    <t>2025-12-05T00:00:00+00:00</t>
  </si>
  <si>
    <t>2025-12-06T00:00:00+00:00</t>
  </si>
  <si>
    <t>2025-12-06</t>
  </si>
  <si>
    <t>2025-12-07T00:00:00+00:00</t>
  </si>
  <si>
    <t>2025-12-07</t>
  </si>
  <si>
    <t>2025-12-08T00:00:00+00:00</t>
  </si>
  <si>
    <t>2025-12-09T00:00:00+00:00</t>
  </si>
  <si>
    <t>2025-12-10T00:00:00+00:00</t>
  </si>
  <si>
    <t>2025-12-11T00:00:00+00:00</t>
  </si>
  <si>
    <t>2025-12-12T00:00:00+00:00</t>
  </si>
  <si>
    <t>2025-12-13T00:00:00+00:00</t>
  </si>
  <si>
    <t>2025-12-13</t>
  </si>
  <si>
    <t>2025-12-14T00:00:00+00:00</t>
  </si>
  <si>
    <t>2025-12-14</t>
  </si>
  <si>
    <t>2025-12-15T00:00:00+00:00</t>
  </si>
  <si>
    <t>2025-12-16T00:00:00+00:00</t>
  </si>
  <si>
    <t>2025-12-17T00:00:00+00:00</t>
  </si>
  <si>
    <t>2025-12-18T00:00:00+00:00</t>
  </si>
  <si>
    <t>2025-12-19T00:00:00+00:00</t>
  </si>
  <si>
    <t>2025-12-20T00:00:00+00:00</t>
  </si>
  <si>
    <t>2025-12-20</t>
  </si>
  <si>
    <t>2025-12-21T00:00:00+00:00</t>
  </si>
  <si>
    <t>2025-12-21</t>
  </si>
  <si>
    <t>2025-12-22T00:00:00+00:00</t>
  </si>
  <si>
    <t>2025-12-23T00:00:00+00:00</t>
  </si>
  <si>
    <t>2025-12-24T00:00:00+00:00</t>
  </si>
  <si>
    <t>2025-12-25T00:00:00+00:00</t>
  </si>
  <si>
    <t>2025-12-25</t>
  </si>
  <si>
    <t>2025-12-26T00:00:00+00:00</t>
  </si>
  <si>
    <t>2025-12-27T00:00:00+00:00</t>
  </si>
  <si>
    <t>2025-12-27</t>
  </si>
  <si>
    <t>2025-12-28T00:00:00+00:00</t>
  </si>
  <si>
    <t>2025-12-28</t>
  </si>
  <si>
    <t>2025-12-29T00:00:00+00:00</t>
  </si>
  <si>
    <t>2025-12-30T00:00:00+00:00</t>
  </si>
  <si>
    <t>2025-12-31T00:00:00+00:00</t>
  </si>
  <si>
    <t>2026-01-01T00:00:00+00:00</t>
  </si>
  <si>
    <t>2026-01-01</t>
  </si>
  <si>
    <t>2026-01-02T00:00:00+00:00</t>
  </si>
  <si>
    <t>2026-01-03T00:00:00+00:00</t>
  </si>
  <si>
    <t>2026-01-03</t>
  </si>
  <si>
    <t>2026-01-04T00:00:00+00:00</t>
  </si>
  <si>
    <t>2026-01-04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</si>
  <si>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</si>
  <si>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</si>
  <si>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</si>
  <si>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</si>
  <si>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</si>
  <si>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</si>
  <si>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2026-01-10</t>
  </si>
  <si>
    <t>2026-01-11T00:00:00+00:00</t>
  </si>
  <si>
    <t>2026-01-11</t>
  </si>
  <si>
    <t>2026-01-12T00:00:00+00:00</t>
  </si>
  <si>
    <t>2026-01-13T00:00:00+00:00</t>
  </si>
  <si>
    <t>2026-01-14T00:00:00+00:00</t>
  </si>
  <si>
    <t>2026-01-15T00:00:00+00:00</t>
  </si>
  <si>
    <t>2026-01-16T00:00:00+00:00</t>
  </si>
  <si>
    <t>2026-01-17T00:00:00+00:00</t>
  </si>
  <si>
    <t>2026-01-17</t>
  </si>
  <si>
    <t>2026-01-18T00:00:00+00:00</t>
  </si>
  <si>
    <t>2026-01-18</t>
  </si>
  <si>
    <t>2026-01-19T00:00:00+00:00</t>
  </si>
  <si>
    <t>2026-01-19</t>
  </si>
  <si>
    <t>2026-01-20T00:00:00+00:00</t>
  </si>
  <si>
    <t>2026-01-21T00:00:00+00:00</t>
  </si>
  <si>
    <t>2026-01-22T00:00:00+00:00</t>
  </si>
  <si>
    <t>2026-01-23T00:00:00+00:00</t>
  </si>
  <si>
    <t>2026-01-24T00:00:00+00:00</t>
  </si>
  <si>
    <t>2026-01-24</t>
  </si>
  <si>
    <t>2026-01-25T00:00:00+00:00</t>
  </si>
  <si>
    <t>2026-01-25</t>
  </si>
  <si>
    <t>2026-01-26T00:00:00+00:00</t>
  </si>
  <si>
    <t>2026-01-27T00:00:00+00:00</t>
  </si>
  <si>
    <t>2026-01-28T00:00:00+00:00</t>
  </si>
  <si>
    <t>2026-01-29T00:00:00+00:00</t>
  </si>
  <si>
    <t>2026-01-30T00:00:00+00:00</t>
  </si>
  <si>
    <t>2026-01-31T00:00:00+00:00</t>
  </si>
  <si>
    <t>2026-01-31</t>
  </si>
  <si>
    <t>2026-02-01T00:00:00+00:00</t>
  </si>
  <si>
    <t>2026-02-01</t>
  </si>
  <si>
    <t>2026-02-02T00:00:00+00:00</t>
  </si>
  <si>
    <t>2026-02-03T00:00:00+00:00</t>
  </si>
  <si>
    <t>2026-02-04T00:00:00+00:00</t>
  </si>
  <si>
    <t>2026-02-05T00:00:00+00:00</t>
  </si>
  <si>
    <t>2026-02-06T00:00:00+00:00</t>
  </si>
  <si>
    <t>2026-02-07T00:00:00+00:00</t>
  </si>
  <si>
    <t>2026-02-07</t>
  </si>
  <si>
    <t>2026-02-08T00:00:00+00:00</t>
  </si>
  <si>
    <t>2026-02-08</t>
  </si>
  <si>
    <t>2026-02-09T00:00:00+00:00</t>
  </si>
  <si>
    <t>2026-02-10T00:00:00+00:00</t>
  </si>
  <si>
    <t>2026-02-11T00:00:00+00:00</t>
  </si>
  <si>
    <t>2026-02-12T00:00:00+00:00</t>
  </si>
  <si>
    <t>2026-02-13T00:00:00+00:00</t>
  </si>
  <si>
    <t>2026-02-14T00:00:00+00:00</t>
  </si>
  <si>
    <t>2026-02-14</t>
  </si>
  <si>
    <t>2026-02-15T00:00:00+00:00</t>
  </si>
  <si>
    <t>2026-02-15</t>
  </si>
  <si>
    <t>2026-02-16T00:00:00+00:00</t>
  </si>
  <si>
    <t>2026-02-16</t>
  </si>
  <si>
    <t>2026-02-17T00:00:00+00:00</t>
  </si>
  <si>
    <t>2026-02-18T00:00:00+00:00</t>
  </si>
  <si>
    <t>2026-02-19T00:00:00+00:00</t>
  </si>
  <si>
    <t>2026-02-20T00:00:00+00:00</t>
  </si>
  <si>
    <t>2026-02-21T00:00:00+00:00</t>
  </si>
  <si>
    <t>2026-02-21</t>
  </si>
  <si>
    <t>2026-02-22T00:00:00+00:00</t>
  </si>
  <si>
    <t>2026-02-22</t>
  </si>
  <si>
    <t>2026-02-23T00:00:00+00:00</t>
  </si>
  <si>
    <t>2026-02-24T00:00:00+00:00</t>
  </si>
  <si>
    <t>2026-02-25T00:00:00+00:00</t>
  </si>
  <si>
    <t>2026-02-26T00:00:00+00:00</t>
  </si>
  <si>
    <t>2026-02-27T00:00:00+00:00</t>
  </si>
  <si>
    <t>2026-02-28T00:00:00+00:00</t>
  </si>
  <si>
    <t>2026-02-28</t>
  </si>
  <si>
    <t>2026-03-01T00:00:00+00:00</t>
  </si>
  <si>
    <t>2026-03-01</t>
  </si>
  <si>
    <t>2026-03-02T00:00:00+00:00</t>
  </si>
  <si>
    <t>2026-03-03T00:00:00+00:00</t>
  </si>
  <si>
    <t>2026-03-04T00:00:00+00:00</t>
  </si>
  <si>
    <t>2026-03-05T00:00:00+00:00</t>
  </si>
  <si>
    <t>2026-03-06T00:00:00+00:00</t>
  </si>
  <si>
    <t>2026-03-07T00:00:00+00:00</t>
  </si>
  <si>
    <t>2026-03-07</t>
  </si>
  <si>
    <t>2026-03-08T00:00:00+00:00</t>
  </si>
  <si>
    <t>2026-03-08</t>
  </si>
  <si>
    <t>2026-03-09T00:00:00+00:00</t>
  </si>
  <si>
    <t>2026-03-10T00:00:00+00:00</t>
  </si>
  <si>
    <t>2026-03-11T00:00:00+00:00</t>
  </si>
  <si>
    <t>2026-03-12T00:00:00+00:00</t>
  </si>
  <si>
    <t>2026-03-13T00:00:00+00:00</t>
  </si>
  <si>
    <t>2026-03-14T00:00:00+00:00</t>
  </si>
  <si>
    <t>2026-03-14</t>
  </si>
  <si>
    <t>2026-03-15T00:00:00+00:00</t>
  </si>
  <si>
    <t>2026-03-15</t>
  </si>
  <si>
    <t>2026-03-16T00:00:00+00:00</t>
  </si>
  <si>
    <t>2026-03-17T00:00:00+00:00</t>
  </si>
  <si>
    <t>2026-03-18T00:00:00+00:00</t>
  </si>
  <si>
    <t>2026-03-19T00:00:00+00:00</t>
  </si>
  <si>
    <t>2026-03-20T00:00:00+00:00</t>
  </si>
  <si>
    <t>2026-03-21T00:00:00+00:00</t>
  </si>
  <si>
    <t>2026-03-21</t>
  </si>
  <si>
    <t>2026-03-22T00:00:00+00:00</t>
  </si>
  <si>
    <t>2026-03-22</t>
  </si>
  <si>
    <t>2026-03-23T00:00:00+00:00</t>
  </si>
  <si>
    <t>2026-03-24T00:00:00+00:00</t>
  </si>
  <si>
    <t>2026-03-25T00:00:00+00:00</t>
  </si>
  <si>
    <t>2026-03-26T00:00:00+00:00</t>
  </si>
  <si>
    <t>2026-03-27T00:00:00+00:00</t>
  </si>
  <si>
    <t>2026-03-28T00:00:00+00:00</t>
  </si>
  <si>
    <t>2026-03-28</t>
  </si>
  <si>
    <t>2026-03-29T00:00:00+00:00</t>
  </si>
  <si>
    <t>2026-03-29</t>
  </si>
  <si>
    <t>2026-03-30T00:00:00+00:00</t>
  </si>
  <si>
    <t>2026-03-31T00:00:00+00:00</t>
  </si>
  <si>
    <t>2026-04-01T00:00:00+00:00</t>
  </si>
  <si>
    <t>2026-04-02T00:00:00+00:00</t>
  </si>
  <si>
    <t>2026-04-03T00:00:00+00:00</t>
  </si>
  <si>
    <t>2026-04-03</t>
  </si>
  <si>
    <t>2026-04-04T00:00:00+00:00</t>
  </si>
  <si>
    <t>2026-04-04</t>
  </si>
  <si>
    <t>2026-04-05T00:00:00+00:00</t>
  </si>
  <si>
    <t>2026-04-05</t>
  </si>
  <si>
    <t>2026-04-06T00:00:00+00:00</t>
  </si>
  <si>
    <t>2026-04-07T00:00:00+00:00</t>
  </si>
  <si>
    <t>2026-04-08T00:00:00+00:00</t>
  </si>
  <si>
    <t>2026-04-09T00:00:00+00:00</t>
  </si>
  <si>
    <t>2026-04-10T00:00:00+00:00</t>
  </si>
  <si>
    <t>2026-04-11T00:00:00+00:00</t>
  </si>
  <si>
    <t>2026-04-11</t>
  </si>
  <si>
    <t>2026-04-12T00:00:00+00:00</t>
  </si>
  <si>
    <t>2026-04-12</t>
  </si>
  <si>
    <t>2026-04-13T00:00:00+00:00</t>
  </si>
  <si>
    <t>2026-04-14T00:00:00+00:00</t>
  </si>
  <si>
    <t>2026-04-15T00:00:00+00:00</t>
  </si>
  <si>
    <t>2026-04-16T00:00:00+00:00</t>
  </si>
  <si>
    <t>2026-04-17T00:00:00+00:00</t>
  </si>
  <si>
    <t>2026-04-18T00:00:00+00:00</t>
  </si>
  <si>
    <t>2026-04-18</t>
  </si>
  <si>
    <t>2026-04-19T00:00:00+00:00</t>
  </si>
  <si>
    <t>2026-04-19</t>
  </si>
  <si>
    <t>2026-04-20T00:00:00+00:00</t>
  </si>
  <si>
    <t>2026-04-21T00:00:00+00:00</t>
  </si>
  <si>
    <t>2026-04-22T00:00:00+00:00</t>
  </si>
  <si>
    <t>2026-04-23T00:00:00+00:00</t>
  </si>
  <si>
    <t>2026-04-24T00:00:00+00:00</t>
  </si>
  <si>
    <t>2026-04-25T00:00:00+00:00</t>
  </si>
  <si>
    <t>2026-04-25</t>
  </si>
  <si>
    <t>2026-04-26T00:00:00+00:00</t>
  </si>
  <si>
    <t>2026-04-26</t>
  </si>
  <si>
    <t>2026-04-27T00:00:00+00:00</t>
  </si>
  <si>
    <t>2026-04-28T00:00:00+00:00</t>
  </si>
  <si>
    <t>2026-04-29T00:00:00+00:00</t>
  </si>
  <si>
    <t>2026-04-30T00:00:00+00:00</t>
  </si>
  <si>
    <t>2026-05-01T00:00:00+00:00</t>
  </si>
  <si>
    <t>2026-05-02T00:00:00+00:00</t>
  </si>
  <si>
    <t>2026-05-02</t>
  </si>
  <si>
    <t>2026-05-03T00:00:00+00:00</t>
  </si>
  <si>
    <t>2026-05-03</t>
  </si>
  <si>
    <t>2026-05-04T00:00:00+00:00</t>
  </si>
  <si>
    <t>2026-05-05T00:00:00+00:00</t>
  </si>
  <si>
    <t>2026-05-06T00:00:00+00:00</t>
  </si>
  <si>
    <t>2026-05-07T00:00:00+00:00</t>
  </si>
  <si>
    <t>2026-05-08T00:00:00+00:00</t>
  </si>
  <si>
    <t>2026-05-09T00:00:00+00:00</t>
  </si>
  <si>
    <t>2026-05-09</t>
  </si>
  <si>
    <t>2026-05-10T00:00:00+00:00</t>
  </si>
  <si>
    <t>2026-05-10</t>
  </si>
  <si>
    <t>2026-05-11T00:00:00+00:00</t>
  </si>
  <si>
    <t>2026-05-12T00:00:00+00:00</t>
  </si>
  <si>
    <t>2026-05-13T00:00:00+00:00</t>
  </si>
  <si>
    <t>2026-05-14T00:00:00+00:00</t>
  </si>
  <si>
    <t>2026-05-15T00:00:00+00:00</t>
  </si>
  <si>
    <t>2026-05-16T00:00:00+00:00</t>
  </si>
  <si>
    <t>2026-05-16</t>
  </si>
  <si>
    <t>2026-05-17T00:00:00+00:00</t>
  </si>
  <si>
    <t>2026-05-17</t>
  </si>
  <si>
    <t>2026-05-18T00:00:00+00:00</t>
  </si>
  <si>
    <t>2026-05-19T00:00:00+00:00</t>
  </si>
  <si>
    <t>2026-05-20T00:00:00+00:00</t>
  </si>
  <si>
    <t>2026-05-21T00:00:00+00:00</t>
  </si>
  <si>
    <t>2026-05-22T00:00:00+00:00</t>
  </si>
  <si>
    <t>2026-05-23T00:00:00+00:00</t>
  </si>
  <si>
    <t>2026-05-23</t>
  </si>
  <si>
    <t>2026-05-24T00:00:00+00:00</t>
  </si>
  <si>
    <t>2026-05-24</t>
  </si>
  <si>
    <t>2026-05-25T00:00:00+00:00</t>
  </si>
  <si>
    <t>2026-05-25</t>
  </si>
  <si>
    <t>2026-05-26T00:00:00+00:00</t>
  </si>
  <si>
    <t>2026-05-27T00:00:00+00:00</t>
  </si>
  <si>
    <t>2026-05-28T00:00:00+00:00</t>
  </si>
  <si>
    <t>2026-05-29T00:00:00+00:00</t>
  </si>
  <si>
    <t>2026-05-30T00:00:00+00:00</t>
  </si>
  <si>
    <t>2026-05-30</t>
  </si>
  <si>
    <t>2026-05-31T00:00:00+00:00</t>
  </si>
  <si>
    <t>2026-05-31</t>
  </si>
  <si>
    <t>2026-06-01T00:00:00+00:00</t>
  </si>
  <si>
    <t>2026-06-02T00:00:00+00:00</t>
  </si>
  <si>
    <t>2026-06-03T00:00:00+00:00</t>
  </si>
  <si>
    <t>2026-06-04T00:00:00+00:00</t>
  </si>
  <si>
    <t>2026-06-05T00:00:00+00:00</t>
  </si>
  <si>
    <t>2026-06-06T00:00:00+00:00</t>
  </si>
  <si>
    <t>2026-06-06</t>
  </si>
  <si>
    <t>2026-06-07T00:00:00+00:00</t>
  </si>
  <si>
    <t>2026-06-07</t>
  </si>
  <si>
    <t>2026-06-08T00:00:00+00:00</t>
  </si>
  <si>
    <t>2026-06-09T00:00:00+00:00</t>
  </si>
  <si>
    <t>2026-06-10T00:00:00+00:00</t>
  </si>
  <si>
    <t>2026-06-11T00:00:00+00:00</t>
  </si>
  <si>
    <t>2026-06-12T00:00:00+00:00</t>
  </si>
  <si>
    <t>2026-06-13T00:00:00+00:00</t>
  </si>
  <si>
    <t>2026-06-13</t>
  </si>
  <si>
    <t>2026-06-14T00:00:00+00:00</t>
  </si>
  <si>
    <t>2026-06-14</t>
  </si>
  <si>
    <t>2026-06-15T00:00:00+00:00</t>
  </si>
  <si>
    <t>2026-06-16T00:00:00+00:00</t>
  </si>
  <si>
    <t>2026-06-17T00:00:00+00:00</t>
  </si>
  <si>
    <t>2026-06-18T00:00:00+00:00</t>
  </si>
  <si>
    <t>2026-06-19T00:00:00+00:00</t>
  </si>
  <si>
    <t>2026-06-19</t>
  </si>
  <si>
    <t>2026-06-20T00:00:00+00:00</t>
  </si>
  <si>
    <t>2026-06-20</t>
  </si>
  <si>
    <t>2026-06-21T00:00:00+00:00</t>
  </si>
  <si>
    <t>2026-06-21</t>
  </si>
  <si>
    <t>2026-06-22T00:00:00+00:00</t>
  </si>
  <si>
    <t>2026-06-23T00:00:00+00:00</t>
  </si>
  <si>
    <t>2026-06-24T00:00:00+00:00</t>
  </si>
  <si>
    <t>2026-06-25T00:00:00+00:00</t>
  </si>
  <si>
    <t>2026-06-26T00:00:00+00:00</t>
  </si>
  <si>
    <t>2026-06-27T00:00:00+00:00</t>
  </si>
  <si>
    <t>2026-06-27</t>
  </si>
  <si>
    <t>2026-06-28T00:00:00+00:00</t>
  </si>
  <si>
    <t>2026-06-28</t>
  </si>
  <si>
    <t>2026-06-29T00:00:00+00:00</t>
  </si>
  <si>
    <t>2026-06-30T00:00:00+00:00</t>
  </si>
  <si>
    <t>2026-07-01T00:00:00+00:00</t>
  </si>
  <si>
    <t>2026-07-02T00:00:00+00:00</t>
  </si>
  <si>
    <t>2026-07-03T00:00:00+00:00</t>
  </si>
  <si>
    <t>2026-07-03</t>
  </si>
  <si>
    <t>2026-07-04T00:00:00+00:00</t>
  </si>
  <si>
    <t>2026-07-04</t>
  </si>
  <si>
    <t>2026-07-05T00:00:00+00:00</t>
  </si>
  <si>
    <t>2026-07-05</t>
  </si>
  <si>
    <t>2026-07-06T00:00:00+00:00</t>
  </si>
  <si>
    <t>2026-07-07T00:00:00+00:00</t>
  </si>
  <si>
    <t>2026-07-08T00:00:00+00:00</t>
  </si>
  <si>
    <t>2026-07-09T00:00:00+00:00</t>
  </si>
  <si>
    <t>2026-07-10T00:00:00+00:00</t>
  </si>
  <si>
    <t>2026-07-11T00:00:00+00:00</t>
  </si>
  <si>
    <t>2026-07-11</t>
  </si>
  <si>
    <t>2026-07-12T00:00:00+00:00</t>
  </si>
  <si>
    <t>2026-07-12</t>
  </si>
  <si>
    <t>2026-07-13T00:00:00+00:00</t>
  </si>
  <si>
    <t>2026-07-14T00:00:00+00:00</t>
  </si>
  <si>
    <t>2026-07-15T00:00:00+00:00</t>
  </si>
  <si>
    <t>2026-07-16T00:00:00+00:00</t>
  </si>
  <si>
    <t>2026-07-17T00:00:00+00:00</t>
  </si>
  <si>
    <t>2026-07-18T00:00:00+00:00</t>
  </si>
  <si>
    <t>2026-07-18</t>
  </si>
  <si>
    <t>2026-07-19T00:00:00+00:00</t>
  </si>
  <si>
    <t>2026-07-19</t>
  </si>
  <si>
    <t>2026-07-20T00:00:00+00:00</t>
  </si>
  <si>
    <t>2026-07-21T00:00:00+00:00</t>
  </si>
  <si>
    <t>2026-07-22T00:00:00+00:00</t>
  </si>
  <si>
    <t>2026-07-23T00:00:00+00:00</t>
  </si>
  <si>
    <t>2026-07-24T00:00:00+00:00</t>
  </si>
  <si>
    <t>2026-07-25T00:00:00+00:00</t>
  </si>
  <si>
    <t>2026-07-25</t>
  </si>
  <si>
    <t>2026-07-26T00:00:00+00:00</t>
  </si>
  <si>
    <t>2026-07-26</t>
  </si>
  <si>
    <t>2026-07-27T00:00:00+00:00</t>
  </si>
  <si>
    <t>2026-07-28T00:00:00+00:00</t>
  </si>
  <si>
    <t>2026-07-29T00:00:00+00:00</t>
  </si>
  <si>
    <t>2026-07-30T00:00:00+00:00</t>
  </si>
  <si>
    <t>2026-07-31T00:00:00+00:00</t>
  </si>
  <si>
    <t>2026-08-01T00:00:00+00:00</t>
  </si>
  <si>
    <t>2026-08-01</t>
  </si>
  <si>
    <t>2026-08-02T00:00:00+00:00</t>
  </si>
  <si>
    <t>2026-08-02</t>
  </si>
  <si>
    <t>2026-08-03T00:00:00+00:00</t>
  </si>
  <si>
    <t>2026-08-04T00:00:00+00:00</t>
  </si>
  <si>
    <t>2026-08-05T00:00:00+00:00</t>
  </si>
  <si>
    <t>2026-08-06T00:00:00+00:00</t>
  </si>
  <si>
    <t>2026-08-07T00:00:00+00:00</t>
  </si>
  <si>
    <t>2026-08-08T00:00:00+00:00</t>
  </si>
  <si>
    <t>2026-08-08</t>
  </si>
  <si>
    <t>2026-08-09T00:00:00+00:00</t>
  </si>
  <si>
    <t>2026-08-09</t>
  </si>
  <si>
    <t>2026-08-10T00:00:00+00:00</t>
  </si>
  <si>
    <t>2026-08-11T00:00:00+00:00</t>
  </si>
  <si>
    <t>2026-08-12T00:00:00+00:00</t>
  </si>
  <si>
    <t>2026-08-13T00:00:00+00:00</t>
  </si>
  <si>
    <t>2026-08-14T00:00:00+00:00</t>
  </si>
  <si>
    <t>2026-08-15T00:00:00+00:00</t>
  </si>
  <si>
    <t>2026-08-15</t>
  </si>
  <si>
    <t>2026-08-16T00:00:00+00:00</t>
  </si>
  <si>
    <t>2026-08-16</t>
  </si>
  <si>
    <t>2026-08-17T00:00:00+00:00</t>
  </si>
  <si>
    <t>2026-08-18T00:00:00+00:00</t>
  </si>
  <si>
    <t>2026-08-19T00:00:00+00:00</t>
  </si>
  <si>
    <t>2026-08-20T00:00:00+00:00</t>
  </si>
  <si>
    <t>2026-08-21T00:00:00+00:00</t>
  </si>
  <si>
    <t>2026-08-22T00:00:00+00:00</t>
  </si>
  <si>
    <t>2026-08-22</t>
  </si>
  <si>
    <t>2026-08-23T00:00:00+00:00</t>
  </si>
  <si>
    <t>2026-08-23</t>
  </si>
  <si>
    <t>2026-08-24T00:00:00+00:00</t>
  </si>
  <si>
    <t>2026-08-25T00:00:00+00:00</t>
  </si>
  <si>
    <t>2026-08-26T00:00:00+00:00</t>
  </si>
  <si>
    <t>2026-08-27T00:00:00+00:00</t>
  </si>
  <si>
    <t>2026-08-28T00:00:00+00:00</t>
  </si>
  <si>
    <t>2026-08-29T00:00:00+00:00</t>
  </si>
  <si>
    <t>2026-08-29</t>
  </si>
  <si>
    <t>2026-08-30T00:00:00+00:00</t>
  </si>
  <si>
    <t>2026-08-30</t>
  </si>
  <si>
    <t>2026-08-31T00:00:00+00:00</t>
  </si>
  <si>
    <t>2026-09-01T00:00:00+00:00</t>
  </si>
  <si>
    <t>2026-09-02T00:00:00+00:00</t>
  </si>
  <si>
    <t>2026-09-03T00:00:00+00:00</t>
  </si>
  <si>
    <t>2026-09-04T00:00:00+00:00</t>
  </si>
  <si>
    <t>2026-09-05T00:00:00+00:00</t>
  </si>
  <si>
    <t>2026-09-05</t>
  </si>
  <si>
    <t>2026-09-06T00:00:00+00:00</t>
  </si>
  <si>
    <t>2026-09-06</t>
  </si>
  <si>
    <t>2026-09-07T00:00:00+00:00</t>
  </si>
  <si>
    <t>2026-09-07</t>
  </si>
  <si>
    <t>2026-09-08T00:00:00+00:00</t>
  </si>
  <si>
    <t>2026-09-09T00:00:00+00:00</t>
  </si>
  <si>
    <t>2026-09-10T00:00:00+00:00</t>
  </si>
  <si>
    <t>2026-09-11T00:00:00+00:00</t>
  </si>
  <si>
    <t>2026-09-12T00:00:00+00:00</t>
  </si>
  <si>
    <t>2026-09-12</t>
  </si>
  <si>
    <t>2026-09-13T00:00:00+00:00</t>
  </si>
  <si>
    <t>2026-09-13</t>
  </si>
  <si>
    <t>2026-09-14T00:00:00+00:00</t>
  </si>
  <si>
    <t>2026-09-15T00:00:00+00:00</t>
  </si>
  <si>
    <t>2026-09-16T00:00:00+00:00</t>
  </si>
  <si>
    <t>2026-09-17T00:00:00+00:00</t>
  </si>
  <si>
    <t>2026-09-18T00:00:00+00:00</t>
  </si>
  <si>
    <t>2026-09-19T00:00:00+00:00</t>
  </si>
  <si>
    <t>2026-09-19</t>
  </si>
  <si>
    <t>2026-09-20T00:00:00+00:00</t>
  </si>
  <si>
    <t>2026-09-20</t>
  </si>
  <si>
    <t>2026-09-21T00:00:00+00:00</t>
  </si>
  <si>
    <t>2026-09-22T00:00:00+00:00</t>
  </si>
  <si>
    <t>2026-09-23T00:00:00+00:00</t>
  </si>
  <si>
    <t>2026-09-24T00:00:00+00:00</t>
  </si>
  <si>
    <t>2026-09-25T00:00:00+00:00</t>
  </si>
  <si>
    <t>2026-09-26T00:00:00+00:00</t>
  </si>
  <si>
    <t>2026-09-26</t>
  </si>
  <si>
    <t>2026-09-27T00:00:00+00:00</t>
  </si>
  <si>
    <t>2026-09-27</t>
  </si>
  <si>
    <t>2026-09-28T00:00:00+00:00</t>
  </si>
  <si>
    <t>SPY</t>
  </si>
  <si>
    <t>prices-SPY-ba0266b147e1</t>
  </si>
  <si>
    <t>估值日期</t>
  </si>
  <si>
    <t>估值 UTC</t>
  </si>
  <si>
    <t>GLD 实际日线</t>
  </si>
  <si>
    <t>BTC-USD 实际日线</t>
  </si>
  <si>
    <t>GLD 调仓前</t>
  </si>
  <si>
    <t>BTC-USD 调仓前</t>
  </si>
  <si>
    <t>费用前资产</t>
  </si>
  <si>
    <t>再平衡</t>
  </si>
  <si>
    <t>成交额近似</t>
  </si>
  <si>
    <t>费用</t>
  </si>
  <si>
    <t>净资产</t>
  </si>
  <si>
    <t>GLD 调仓后</t>
  </si>
  <si>
    <t>BTC-USD 调仓后</t>
  </si>
  <si>
    <t>历史峰值</t>
  </si>
  <si>
    <t>回撤</t>
  </si>
  <si>
    <t>期间收益</t>
  </si>
  <si>
    <t>Python 初始校验</t>
  </si>
  <si>
    <t>初始参数差额</t>
  </si>
  <si>
    <t>月度近似期末净资产</t>
  </si>
  <si>
    <t>累计收益（含初始费用）</t>
  </si>
  <si>
    <t>最大回撤</t>
  </si>
  <si>
    <t>公式 / Python 初始差额</t>
  </si>
  <si>
    <t>初始参数差额用于核对交付时默认参数。修改参数后差额变化是预期现象。Sources 与 EventWindows 保留原始链接和对应交易窗口。</t>
  </si>
  <si>
    <t>Signal UTC</t>
  </si>
  <si>
    <t>Execution UTC</t>
  </si>
  <si>
    <t>Adjusted units</t>
  </si>
  <si>
    <t>Adjusted open</t>
  </si>
  <si>
    <t>Notional</t>
  </si>
  <si>
    <t>Cost</t>
  </si>
  <si>
    <t>Cash after</t>
  </si>
  <si>
    <t>Event ID</t>
  </si>
  <si>
    <t>事件</t>
  </si>
  <si>
    <t>来源日期</t>
  </si>
  <si>
    <t>对齐交易日</t>
  </si>
  <si>
    <t>Window</t>
  </si>
  <si>
    <t>Return</t>
  </si>
  <si>
    <t>Benchmark</t>
  </si>
  <si>
    <t>Relative</t>
  </si>
  <si>
    <t>Strength</t>
  </si>
  <si>
    <t>Confidence</t>
  </si>
  <si>
    <t>Source IDs</t>
  </si>
  <si>
    <t>说明</t>
  </si>
  <si>
    <t>Window start UTC</t>
  </si>
  <si>
    <t>Window end UTC</t>
  </si>
  <si>
    <t>ev-1</t>
  </si>
  <si>
    <t>美联储加息75个基点，为1994年以来最大单次加息</t>
  </si>
  <si>
    <t>低</t>
  </si>
  <si>
    <t>high</t>
  </si>
  <si>
    <t>src-4f517df5f22832, src-eefffabc38a184</t>
  </si>
  <si>
    <t>日线包含公告前交易，无法精确隔离盘中反应。</t>
  </si>
  <si>
    <t>ev-4</t>
  </si>
  <si>
    <t>美联储9月加息75个基点至3%–3.25%</t>
  </si>
  <si>
    <t>中</t>
  </si>
  <si>
    <t>medium</t>
  </si>
  <si>
    <t>src-d39adf303e613c</t>
  </si>
  <si>
    <t>来源只有日期，盘前/盘后时间不确定；使用当日或下一交易日近似。</t>
  </si>
  <si>
    <t>ev-7</t>
  </si>
  <si>
    <t>黄金重挫、白银期货暴跌31.4%，沃什获提名缓解美联储独立性担忧</t>
  </si>
  <si>
    <t>高</t>
  </si>
  <si>
    <t>src-52290fdbe0be60</t>
  </si>
  <si>
    <t>ev-9</t>
  </si>
  <si>
    <t>比特币一度跌破6.1万美元，单周跌近30%，表现远逊黄金</t>
  </si>
  <si>
    <t>src-6e0021d495f65b</t>
  </si>
  <si>
    <t>日线包含公告前交易，无法精确隔离盘中反应。 同期存在其他已收录事件，无法分离各自作用。</t>
  </si>
  <si>
    <t>ev-2</t>
  </si>
  <si>
    <t>比特币跌破2.3万美元，Celsius暂停提款加剧加密市场抛售</t>
  </si>
  <si>
    <t>src-84d4aa2b0397b9</t>
  </si>
  <si>
    <t>ev-3</t>
  </si>
  <si>
    <t>Terra的LUNA跌至0美元、UST脱锚，比特币反弹至3万美元上方</t>
  </si>
  <si>
    <t>src-a50be069675b1c</t>
  </si>
  <si>
    <t>ev-5</t>
  </si>
  <si>
    <t>比特币升破3.1万美元，现货ETF乐观情绪升温</t>
  </si>
  <si>
    <t>src-1607273d2324e2</t>
  </si>
  <si>
    <t>未取得匹配的精确发布时刻，降级为日期对齐。 来源只有日期，盘前/盘后时间不确定；使用当日或下一交易日近似。</t>
  </si>
  <si>
    <t>ev-6</t>
  </si>
  <si>
    <t>SEC批准比特币现货ETF相关规则变更</t>
  </si>
  <si>
    <t>src-c1c0f360de49ce</t>
  </si>
  <si>
    <t>ev-8</t>
  </si>
  <si>
    <t>比特币跌破8万美元，为2025年4月以来首次</t>
  </si>
  <si>
    <t>src-cb000c43e683b8</t>
  </si>
  <si>
    <t>ev-10</t>
  </si>
  <si>
    <t>特朗普宣布美国“战略加密储备”将纳入比特币等五种资产</t>
  </si>
  <si>
    <t>src-65b6657762695e, src-836ed4c0a4973f</t>
  </si>
  <si>
    <t>ID</t>
  </si>
  <si>
    <t>Title</t>
  </si>
  <si>
    <t>Original URL</t>
  </si>
  <si>
    <t>Retrieved UTC</t>
  </si>
  <si>
    <t>SHA-256</t>
  </si>
  <si>
    <t>Status</t>
  </si>
  <si>
    <t>src-4f517df5f22832</t>
  </si>
  <si>
    <t>Federal Reserve Board - Federal Reserve issues FOMC statement</t>
  </si>
  <si>
    <t>https://www.federalreserve.gov/newsevents/pressreleases/monetary20220615a.htm</t>
  </si>
  <si>
    <t>2026-09-29T02:49:31.305620+00:00</t>
  </si>
  <si>
    <t>36b58bf8d97bd274b50c64087ea4e47d7e93ff4b69ff6df8e55cac2816fc4e62</t>
  </si>
  <si>
    <t>retrieved</t>
  </si>
  <si>
    <t>https://www.federalreserve.gov/newsevents/pressreleases/monetary20220921a.htm</t>
  </si>
  <si>
    <t>2026-09-29T02:49:56.224494+00:00</t>
  </si>
  <si>
    <t>890e6f45d610a09ea9ac8e240fe189e100985f51e5779b0618e829784cf0840b</t>
  </si>
  <si>
    <t>Cryptocurrency luna crashes to $0 as UST falls from peg; bitcoin rises</t>
  </si>
  <si>
    <t>https://www.cnbc.com/2022/05/13/cryptocurrency-luna-crashes-to-0-as-ust-falls-from-peg-bitcoin-rises.html</t>
  </si>
  <si>
    <t>2026-09-29T02:49:57.419007+00:00</t>
  </si>
  <si>
    <t>82672624eddec639dc2a784ad6670b600c7dfd2baec9cb51296acd3f4f0c1ee6</t>
  </si>
  <si>
    <t>src-65b6657762695e</t>
  </si>
  <si>
    <t>Trump announces strategic crypto reserve including bitcoin, Solana, XRP and more</t>
  </si>
  <si>
    <t>https://www.cnbc.com/2025/03/02/trump-announces-strategic-crypto-reserve-including-bitcoin-solana-xrp-and-more.html</t>
  </si>
  <si>
    <t>2026-09-29T02:50:22.632342+00:00</t>
  </si>
  <si>
    <t>0fadd2cde9419e6709176e779e0ba1a8a7ec444eb987f64b2d7c13fa5d5e849a</t>
  </si>
  <si>
    <t>Bitcoin Blasts Past $31,000 as Optimism for BTC Spot ETF Surges - Decrypt</t>
  </si>
  <si>
    <t>https://decrypt.co/202840/bitcoin-31000-spot-btc-etf-optimism</t>
  </si>
  <si>
    <t>2026-09-29T02:50:42.692862+00:00</t>
  </si>
  <si>
    <t>ac43332d7809ca7ef3b42d6b609c4eab2250485b7527ff5713f9ee4b5dff651d</t>
  </si>
  <si>
    <t>src-b38ac08d0bba86</t>
  </si>
  <si>
    <t>SPDR® Gold Shares (Ticker: GLD, New York Stock Exchange) | Charts, data and downloads | World Gold Trust Services</t>
  </si>
  <si>
    <t>https://www.spdrgoldshares.com/usa/gld/</t>
  </si>
  <si>
    <t>2026-09-29T02:50:43.093683+00:00</t>
  </si>
  <si>
    <t>b81e6d2517df42d383c5172de04ea44ee4557bb986582a1b2401c901e59db446</t>
  </si>
  <si>
    <t>Bitcoin briefly breaks below $61,000 as sell-off intensifies</t>
  </si>
  <si>
    <t>https://www.cnbc.com/2026/02/05/bitcoin-price-today-70000-in-focus.html</t>
  </si>
  <si>
    <t>2026-09-29T02:50:43.650350+00:00</t>
  </si>
  <si>
    <t>1e3b49a621f691aab4908f2a31b78e1f900ed931652ad67ff41a321643094839</t>
  </si>
  <si>
    <t>SEC approves rule changes that pave the way for bitcoin ETFs</t>
  </si>
  <si>
    <t>https://www.cnbc.com/2024/01/10/sec-approves-rule-changes-that-pave-the-way-for-bitcoin-etfs.html</t>
  </si>
  <si>
    <t>2026-09-29T02:51:05.147130+00:00</t>
  </si>
  <si>
    <t>0e817172b577027a6459beee16c4e7d10566b2efc4f9660d10e3e2052a26b0de</t>
  </si>
  <si>
    <t>Bitcoin price falls under $80,000. Here's why</t>
  </si>
  <si>
    <t>https://www.cnbc.com/2026/02/02/bitcoin-btc-price-today-cryptocurrency.html</t>
  </si>
  <si>
    <t>2026-09-29T02:51:26.192826+00:00</t>
  </si>
  <si>
    <t>bf74606b6fa77aa956ca1713091d41a61127cd08bc1fd0a373a87e6bd72e6552</t>
  </si>
  <si>
    <t>src-836ed4c0a4973f</t>
  </si>
  <si>
    <t>What to know about Trump's 'crypto strategic reserve' plan : NPR</t>
  </si>
  <si>
    <t>https://www.npr.org/2025/03/04/g-s1-51748/trump-crypto-reserve-bitcoin-stockpile-ether</t>
  </si>
  <si>
    <t>2026-09-29T02:51:26.732562+00:00</t>
  </si>
  <si>
    <t>c24ed3b9bc2bf20d1939939ee364a236e4e295137d9e13484472985360b0561d</t>
  </si>
  <si>
    <t>Silver, gold sell off as precious metals markets nosedive</t>
  </si>
  <si>
    <t>https://www.cnbc.com/2026/01/30/silver-gold-fall-price-usd-dollar-fed-warsh-chair-trump-metals.html</t>
  </si>
  <si>
    <t>2026-09-29T02:51:50.385231+00:00</t>
  </si>
  <si>
    <t>9079a70b490cca4058c19e8f9c28b76288da8e3dbe7eb53fe04ea88877044ea6</t>
  </si>
  <si>
    <t>src-eefffabc38a184</t>
  </si>
  <si>
    <t>Fed hikes its benchmark interest rate by 0.75 percentage point, the biggest increase since 1994</t>
  </si>
  <si>
    <t>https://www.cnbc.com/2022/06/15/fed-hikes-its-benchmark-interest-rate-by-three-quarters-of-a-point-the-biggest-increase-since-1994.html</t>
  </si>
  <si>
    <t>2026-09-29T02:53:16.839364+00:00</t>
  </si>
  <si>
    <t>8afc846de69b5f4179f25d78da9b3e021f3717aabf175e80f8c1a14916d61ae9</t>
  </si>
  <si>
    <t>Bitcoin (BTC) falls as market focuses on Celsius issue, Fed rate hike</t>
  </si>
  <si>
    <t>https://www.cnbc.com/2022/06/13/bitcoin-btc-falls-as-market-focuses-on-celsius-issue-fed-rate-hike.html</t>
  </si>
  <si>
    <t>2026-09-29T02:53:17.251121+00:00</t>
  </si>
  <si>
    <t>78e0e145bcb3058389a405473f5e9d7971b01ba3111bea6556090f21222136ce</t>
  </si>
  <si>
    <t>fred-CPIAUCNS</t>
  </si>
  <si>
    <t>FRED · CPIAUCNS</t>
  </si>
  <si>
    <t>https://fred.stlouisfed.org/series/CPIAUCNS</t>
  </si>
  <si>
    <t>2026-09-29T02:49:20.353743+00:00</t>
  </si>
  <si>
    <t>2132cad6777d1d14497f26f596e08a18cca1693ac79c0d9f42116ef7f88ade87</t>
  </si>
  <si>
    <t>fred-DGS3MO</t>
  </si>
  <si>
    <t>FRED · DGS3MO</t>
  </si>
  <si>
    <t>https://fred.stlouisfed.org/series/DGS3MO</t>
  </si>
  <si>
    <t>2026-09-29T02:49:22.004202+00:00</t>
  </si>
  <si>
    <t>92a089e235d018e7767c2e9baf7dcfac9907fe3f36be0d0b00fde5066c617591</t>
  </si>
  <si>
    <t>https://query1.finance.yahoo.com/v8/finance/chart/GLD?period1=1598227200&amp;period2=1790726400&amp;interval=1d&amp;events=div%2Csplits&amp;includeAdjustedClose=true</t>
  </si>
  <si>
    <t>2026-09-29T02:33:26.161687+00:00</t>
  </si>
  <si>
    <t>1a8f833cf4e3345f8e66ff7fa8261860dfede09eb2082a7061e28c6e7e3799b8</t>
  </si>
  <si>
    <t>Yahoo split-adjusted OHLC; adj_close additionally reflects distributions</t>
  </si>
  <si>
    <t>https://query1.finance.yahoo.com/v8/finance/chart/BTC-USD?period1=1598227200&amp;period2=1790726400&amp;interval=1d&amp;events=div%2Csplits&amp;includeAdjustedClose=true</t>
  </si>
  <si>
    <t>2026-09-29T02:33:25.815223+00:00</t>
  </si>
  <si>
    <t>f3226c91d62b515ef9227d5bb113b945e45cf7e18dbb6d3f8ce726a63f3512b0</t>
  </si>
  <si>
    <t>https://query1.finance.yahoo.com/v8/finance/chart/SPY?period1=1598227200&amp;period2=1790726400&amp;interval=1d&amp;events=div%2Csplits&amp;includeAdjustedClose=true</t>
  </si>
  <si>
    <t>2026-09-29T02:33:25.620138+00:00</t>
  </si>
  <si>
    <t>ba0266b147e1210651f9991e41f1ed135bc89c7cc3faa0088be1865d09d2bbb6</t>
  </si>
  <si>
    <t>Series</t>
  </si>
  <si>
    <t>Observation date</t>
  </si>
  <si>
    <t>Value</t>
  </si>
  <si>
    <t>Vintage use</t>
  </si>
  <si>
    <t>CPIAUCNS</t>
  </si>
  <si>
    <t>当前历史版本，仅用于事后分析</t>
  </si>
  <si>
    <t>DGS3MO</t>
  </si>
  <si>
    <t>检查项</t>
  </si>
  <si>
    <t>状态</t>
  </si>
  <si>
    <t>依据 / 缺口</t>
  </si>
  <si>
    <t>研究要求覆盖</t>
  </si>
  <si>
    <t>通过</t>
  </si>
  <si>
    <t>覆盖检查与事实核验分别执行；相关不代表因果</t>
  </si>
  <si>
    <t>异动日期</t>
  </si>
  <si>
    <t>资产</t>
  </si>
  <si>
    <t>事件 ID</t>
  </si>
  <si>
    <t>滞后日线数</t>
  </si>
  <si>
    <t>关联类型</t>
  </si>
  <si>
    <t>依据</t>
  </si>
  <si>
    <t>来源 ID</t>
  </si>
  <si>
    <t>same_session_candidate</t>
  </si>
  <si>
    <t>来源支持的事件公开后第 0 根日线出现变化；同标的与时间先后支持候选关联，未证明该事件触发行情。</t>
  </si>
  <si>
    <t>delayed_candidate</t>
  </si>
  <si>
    <t>来源支持的事件公开后第 3 根日线出现变化；同标的与时间先后支持候选关联，未证明该事件触发行情。</t>
  </si>
  <si>
    <t>情景</t>
  </si>
  <si>
    <t>开始</t>
  </si>
  <si>
    <t>结束</t>
  </si>
  <si>
    <t>权重</t>
  </si>
  <si>
    <t>成本 bps</t>
  </si>
  <si>
    <t>年化收益</t>
  </si>
  <si>
    <t>年化波动</t>
  </si>
  <si>
    <t>累计费用 USD</t>
  </si>
  <si>
    <t>数据 ID</t>
  </si>
  <si>
    <t>原始配置</t>
  </si>
  <si>
    <t>[0.6, 0.4]</t>
  </si>
  <si>
    <t>prices-GLD-1a8f833cf4e3, prices-BTC-USD-f3226c91d62b</t>
  </si>
  <si>
    <t>成本 0 bps</t>
  </si>
  <si>
    <t>成本 10 bps</t>
  </si>
  <si>
    <t>成本 25 bps</t>
  </si>
  <si>
    <t>成本 50 bps</t>
  </si>
  <si>
    <t>买入持有</t>
  </si>
  <si>
    <t>每 1 月再平衡</t>
  </si>
  <si>
    <t>每 12 月再平衡</t>
  </si>
  <si>
    <t>GLD 20%</t>
  </si>
  <si>
    <t>[0.2, 0.8]</t>
  </si>
  <si>
    <t>GLD 50%</t>
  </si>
  <si>
    <t>[0.5, 0.5]</t>
  </si>
  <si>
    <t>GLD 80%</t>
  </si>
  <si>
    <t>[0.8, 0.19999999999999996]</t>
  </si>
  <si>
    <t>前半区间</t>
  </si>
  <si>
    <t>后半区间</t>
  </si>
  <si>
    <t>固定网格逐项改变一个参数；全部使用下一可交易开盘执行口径。分段结果为历史稳健性检查，不是样本外检验；不同期限比较应看年化及风险，不以全样本最优结果推荐配置。Excel 中该表为快照，不随蓝色输入格重算。</t>
  </si>
</sst>
</file>

<file path=xl/styles.xml><?xml version="1.0" encoding="utf-8"?>
<styleSheet xmlns="http://schemas.openxmlformats.org/spreadsheetml/2006/main">
  <numFmts count="5">
    <numFmt numFmtId="164" formatCode="#,##0.00;[Red](#,##0.00);–"/>
    <numFmt numFmtId="165" formatCode="0.00%;[Red](0.00%);–"/>
    <numFmt numFmtId="166" formatCode="0.000000"/>
    <numFmt numFmtId="167" formatCode="0.00"/>
    <numFmt numFmtId="168" formatCode="0.0%"/>
  </numFmts>
  <fonts count="8">
    <font>
      <sz val="11"/>
      <color theme="1"/>
      <name val="Calibri"/>
      <family val="2"/>
      <scheme val="minor"/>
    </font>
    <font>
      <b/>
      <sz val="20"/>
      <color rgb="FF355A45"/>
      <name val="Calibri"/>
      <family val="2"/>
      <scheme val="minor"/>
    </font>
    <font>
      <sz val="11"/>
      <color rgb="FF536654"/>
      <name val="Calibri"/>
      <family val="2"/>
      <scheme val="minor"/>
    </font>
    <font>
      <sz val="11"/>
      <color rgb="FF263D2E"/>
      <name val="Calibri"/>
      <family val="2"/>
      <scheme val="minor"/>
    </font>
    <font>
      <sz val="11"/>
      <color rgb="FF38744C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1761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5A45"/>
        <bgColor indexed="64"/>
      </patternFill>
    </fill>
    <fill>
      <patternFill patternType="solid">
        <fgColor rgb="FFEDF4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64" fontId="3" fillId="0" borderId="0" xfId="0" applyNumberFormat="1" applyFont="1"/>
    <xf numFmtId="165" fontId="3" fillId="0" borderId="0" xfId="0" applyNumberFormat="1" applyFont="1"/>
    <xf numFmtId="166" fontId="4" fillId="0" borderId="0" xfId="0" applyNumberFormat="1" applyFont="1"/>
    <xf numFmtId="0" fontId="5" fillId="0" borderId="0" xfId="1" applyAlignment="1" applyProtection="1"/>
    <xf numFmtId="0" fontId="6" fillId="2" borderId="0" xfId="0" applyFont="1" applyFill="1" applyAlignment="1">
      <alignment vertical="center" wrapText="1"/>
    </xf>
    <xf numFmtId="167" fontId="7" fillId="3" borderId="0" xfId="0" applyNumberFormat="1" applyFont="1" applyFill="1"/>
    <xf numFmtId="168" fontId="7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可重算的配置净资产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月度配置近似</c:v>
          </c:tx>
          <c:spPr>
            <a:ln w="25400">
              <a:solidFill>
                <a:srgbClr val="547B5B"/>
              </a:solidFill>
            </a:ln>
          </c:spPr>
          <c:marker>
            <c:symbol val="none"/>
          </c:marker>
          <c:cat>
            <c:strRef>
              <c:f>MonthlyCalc!$A$2:$A$61</c:f>
              <c:strCache>
                <c:ptCount val="60"/>
                <c:pt idx="0">
                  <c:v>2021-09-30</c:v>
                </c:pt>
                <c:pt idx="1">
                  <c:v>2021-10-29</c:v>
                </c:pt>
                <c:pt idx="2">
                  <c:v>2021-11-30</c:v>
                </c:pt>
                <c:pt idx="3">
                  <c:v>2021-12-31</c:v>
                </c:pt>
                <c:pt idx="4">
                  <c:v>2022-01-31</c:v>
                </c:pt>
                <c:pt idx="5">
                  <c:v>2022-02-28</c:v>
                </c:pt>
                <c:pt idx="6">
                  <c:v>2022-03-31</c:v>
                </c:pt>
                <c:pt idx="7">
                  <c:v>2022-04-29</c:v>
                </c:pt>
                <c:pt idx="8">
                  <c:v>2022-05-31</c:v>
                </c:pt>
                <c:pt idx="9">
                  <c:v>2022-06-30</c:v>
                </c:pt>
                <c:pt idx="10">
                  <c:v>2022-07-29</c:v>
                </c:pt>
                <c:pt idx="11">
                  <c:v>2022-08-31</c:v>
                </c:pt>
                <c:pt idx="12">
                  <c:v>2022-09-30</c:v>
                </c:pt>
                <c:pt idx="13">
                  <c:v>2022-10-31</c:v>
                </c:pt>
                <c:pt idx="14">
                  <c:v>2022-11-30</c:v>
                </c:pt>
                <c:pt idx="15">
                  <c:v>2022-12-30</c:v>
                </c:pt>
                <c:pt idx="16">
                  <c:v>2023-01-31</c:v>
                </c:pt>
                <c:pt idx="17">
                  <c:v>2023-02-28</c:v>
                </c:pt>
                <c:pt idx="18">
                  <c:v>2023-03-31</c:v>
                </c:pt>
                <c:pt idx="19">
                  <c:v>2023-04-28</c:v>
                </c:pt>
                <c:pt idx="20">
                  <c:v>2023-05-31</c:v>
                </c:pt>
                <c:pt idx="21">
                  <c:v>2023-06-30</c:v>
                </c:pt>
                <c:pt idx="22">
                  <c:v>2023-07-31</c:v>
                </c:pt>
                <c:pt idx="23">
                  <c:v>2023-08-31</c:v>
                </c:pt>
                <c:pt idx="24">
                  <c:v>2023-09-29</c:v>
                </c:pt>
                <c:pt idx="25">
                  <c:v>2023-10-31</c:v>
                </c:pt>
                <c:pt idx="26">
                  <c:v>2023-11-30</c:v>
                </c:pt>
                <c:pt idx="27">
                  <c:v>2023-12-29</c:v>
                </c:pt>
                <c:pt idx="28">
                  <c:v>2024-01-31</c:v>
                </c:pt>
                <c:pt idx="29">
                  <c:v>2024-02-29</c:v>
                </c:pt>
                <c:pt idx="30">
                  <c:v>2024-03-28</c:v>
                </c:pt>
                <c:pt idx="31">
                  <c:v>2024-04-30</c:v>
                </c:pt>
                <c:pt idx="32">
                  <c:v>2024-05-31</c:v>
                </c:pt>
                <c:pt idx="33">
                  <c:v>2024-06-28</c:v>
                </c:pt>
                <c:pt idx="34">
                  <c:v>2024-07-31</c:v>
                </c:pt>
                <c:pt idx="35">
                  <c:v>2024-08-30</c:v>
                </c:pt>
                <c:pt idx="36">
                  <c:v>2024-09-30</c:v>
                </c:pt>
                <c:pt idx="37">
                  <c:v>2024-10-31</c:v>
                </c:pt>
                <c:pt idx="38">
                  <c:v>2024-11-29</c:v>
                </c:pt>
                <c:pt idx="39">
                  <c:v>2024-12-31</c:v>
                </c:pt>
                <c:pt idx="40">
                  <c:v>2025-01-31</c:v>
                </c:pt>
                <c:pt idx="41">
                  <c:v>2025-02-28</c:v>
                </c:pt>
                <c:pt idx="42">
                  <c:v>2025-03-31</c:v>
                </c:pt>
                <c:pt idx="43">
                  <c:v>2025-04-30</c:v>
                </c:pt>
                <c:pt idx="44">
                  <c:v>2025-05-30</c:v>
                </c:pt>
                <c:pt idx="45">
                  <c:v>2025-06-30</c:v>
                </c:pt>
                <c:pt idx="46">
                  <c:v>2025-07-31</c:v>
                </c:pt>
                <c:pt idx="47">
                  <c:v>2025-08-29</c:v>
                </c:pt>
                <c:pt idx="48">
                  <c:v>2025-09-30</c:v>
                </c:pt>
                <c:pt idx="49">
                  <c:v>2025-10-31</c:v>
                </c:pt>
                <c:pt idx="50">
                  <c:v>2025-11-28</c:v>
                </c:pt>
                <c:pt idx="51">
                  <c:v>2025-12-31</c:v>
                </c:pt>
                <c:pt idx="52">
                  <c:v>2026-01-30</c:v>
                </c:pt>
                <c:pt idx="53">
                  <c:v>2026-02-27</c:v>
                </c:pt>
                <c:pt idx="54">
                  <c:v>2026-03-31</c:v>
                </c:pt>
                <c:pt idx="55">
                  <c:v>2026-04-30</c:v>
                </c:pt>
                <c:pt idx="56">
                  <c:v>2026-05-29</c:v>
                </c:pt>
                <c:pt idx="57">
                  <c:v>2026-06-30</c:v>
                </c:pt>
                <c:pt idx="58">
                  <c:v>2026-07-31</c:v>
                </c:pt>
                <c:pt idx="59">
                  <c:v>2026-08-31</c:v>
                </c:pt>
              </c:strCache>
            </c:strRef>
          </c:cat>
          <c:val>
            <c:numRef>
              <c:f>MonthlyCalc!$H$2:$H$61</c:f>
              <c:numCache>
                <c:formatCode>General</c:formatCode>
                <c:ptCount val="60"/>
                <c:pt idx="0">
                  <c:v>99800.0</c:v>
                </c:pt>
                <c:pt idx="1">
                  <c:v>118989.86763304014</c:v>
                </c:pt>
                <c:pt idx="2">
                  <c:v>115866.36100038109</c:v>
                </c:pt>
                <c:pt idx="3">
                  <c:v>107640.29021093226</c:v>
                </c:pt>
                <c:pt idx="4">
                  <c:v>98104.65562439618</c:v>
                </c:pt>
                <c:pt idx="5">
                  <c:v>101802.28977234733</c:v>
                </c:pt>
                <c:pt idx="6">
                  <c:v>111189.4285120695</c:v>
                </c:pt>
                <c:pt idx="7">
                  <c:v>102920.06748628864</c:v>
                </c:pt>
                <c:pt idx="8">
                  <c:v>93184.12308649727</c:v>
                </c:pt>
                <c:pt idx="9">
                  <c:v>81156.94522988249</c:v>
                </c:pt>
                <c:pt idx="10">
                  <c:v>85935.57448161561</c:v>
                </c:pt>
                <c:pt idx="11">
                  <c:v>78004.45905376432</c:v>
                </c:pt>
                <c:pt idx="12">
                  <c:v>76309.17462424333</c:v>
                </c:pt>
                <c:pt idx="13">
                  <c:v>77149.18310176022</c:v>
                </c:pt>
                <c:pt idx="14">
                  <c:v>74432.68102506585</c:v>
                </c:pt>
                <c:pt idx="15">
                  <c:v>76152.17874973634</c:v>
                </c:pt>
                <c:pt idx="16">
                  <c:v>90127.63285136558</c:v>
                </c:pt>
                <c:pt idx="17">
                  <c:v>88783.48195294107</c:v>
                </c:pt>
                <c:pt idx="18">
                  <c:v>100615.28770586973</c:v>
                </c:pt>
                <c:pt idx="19">
                  <c:v>103203.52727818751</c:v>
                </c:pt>
                <c:pt idx="20">
                  <c:v>99843.24603691642</c:v>
                </c:pt>
                <c:pt idx="21">
                  <c:v>102435.85518529864</c:v>
                </c:pt>
                <c:pt idx="22">
                  <c:v>102267.82105985397</c:v>
                </c:pt>
                <c:pt idx="23">
                  <c:v>98802.40023038385</c:v>
                </c:pt>
                <c:pt idx="24">
                  <c:v>95469.38136507274</c:v>
                </c:pt>
                <c:pt idx="25">
                  <c:v>110264.55838798631</c:v>
                </c:pt>
                <c:pt idx="26">
                  <c:v>116564.46409826189</c:v>
                </c:pt>
                <c:pt idx="27">
                  <c:v>124070.82028037081</c:v>
                </c:pt>
                <c:pt idx="28">
                  <c:v>123389.72502680702</c:v>
                </c:pt>
                <c:pt idx="29">
                  <c:v>146487.70981872536</c:v>
                </c:pt>
                <c:pt idx="30">
                  <c:v>160903.94313570182</c:v>
                </c:pt>
                <c:pt idx="31">
                  <c:v>158587.59185045073</c:v>
                </c:pt>
                <c:pt idx="32">
                  <c:v>164389.35686255584</c:v>
                </c:pt>
                <c:pt idx="33">
                  <c:v>157964.41611169797</c:v>
                </c:pt>
                <c:pt idx="34">
                  <c:v>167765.53995213783</c:v>
                </c:pt>
                <c:pt idx="35">
                  <c:v>162867.30318951898</c:v>
                </c:pt>
                <c:pt idx="36">
                  <c:v>174453.22693389302</c:v>
                </c:pt>
                <c:pt idx="37">
                  <c:v>186081.15933377348</c:v>
                </c:pt>
                <c:pt idx="38">
                  <c:v>207456.01026138233</c:v>
                </c:pt>
                <c:pt idx="39">
                  <c:v>202697.09347772493</c:v>
                </c:pt>
                <c:pt idx="40">
                  <c:v>221532.3054731686</c:v>
                </c:pt>
                <c:pt idx="41">
                  <c:v>206367.40441642067</c:v>
                </c:pt>
                <c:pt idx="42">
                  <c:v>216726.71491702634</c:v>
                </c:pt>
                <c:pt idx="43">
                  <c:v>236362.96912168758</c:v>
                </c:pt>
                <c:pt idx="44">
                  <c:v>248244.1010503075</c:v>
                </c:pt>
                <c:pt idx="45">
                  <c:v>251634.3878529913</c:v>
                </c:pt>
                <c:pt idx="46">
                  <c:v>259479.9921640185</c:v>
                </c:pt>
                <c:pt idx="47">
                  <c:v>262054.62842904474</c:v>
                </c:pt>
                <c:pt idx="48">
                  <c:v>282275.12502289284</c:v>
                </c:pt>
                <c:pt idx="49">
                  <c:v>282286.82775360195</c:v>
                </c:pt>
                <c:pt idx="50">
                  <c:v>274903.1175460811</c:v>
                </c:pt>
                <c:pt idx="51">
                  <c:v>276008.9245900555</c:v>
                </c:pt>
                <c:pt idx="52">
                  <c:v>291504.2238193097</c:v>
                </c:pt>
                <c:pt idx="53">
                  <c:v>286358.682604191</c:v>
                </c:pt>
                <c:pt idx="54">
                  <c:v>262979.8411607692</c:v>
                </c:pt>
                <c:pt idx="55">
                  <c:v>274877.8219411446</c:v>
                </c:pt>
                <c:pt idx="56">
                  <c:v>268947.1218681174</c:v>
                </c:pt>
                <c:pt idx="57">
                  <c:v>229929.74068102724</c:v>
                </c:pt>
                <c:pt idx="58">
                  <c:v>238128.1230137003</c:v>
                </c:pt>
                <c:pt idx="59">
                  <c:v>271732.72814980877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4</xdr:col>
      <xdr:colOff>514350</xdr:colOff>
      <xdr:row>45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pdrgoldshares.com/usa/gld/" TargetMode="External"/><Relationship Id="rId2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ederalreserve.gov/newsevents/pressreleases/monetary20220615a.htm" TargetMode="External"/><Relationship Id="rId2" Type="http://schemas.openxmlformats.org/officeDocument/2006/relationships/hyperlink" Target="https://www.federalreserve.gov/newsevents/pressreleases/monetary20220921a.htm" TargetMode="External"/><Relationship Id="rId3" Type="http://schemas.openxmlformats.org/officeDocument/2006/relationships/hyperlink" Target="https://www.cnbc.com/2022/05/13/cryptocurrency-luna-crashes-to-0-as-ust-falls-from-peg-bitcoin-rises.html" TargetMode="External"/><Relationship Id="rId4" Type="http://schemas.openxmlformats.org/officeDocument/2006/relationships/hyperlink" Target="https://www.cnbc.com/2025/03/02/trump-announces-strategic-crypto-reserve-including-bitcoin-solana-xrp-and-more.html" TargetMode="External"/><Relationship Id="rId5" Type="http://schemas.openxmlformats.org/officeDocument/2006/relationships/hyperlink" Target="https://decrypt.co/202840/bitcoin-31000-spot-btc-etf-optimism" TargetMode="External"/><Relationship Id="rId6" Type="http://schemas.openxmlformats.org/officeDocument/2006/relationships/hyperlink" Target="https://www.spdrgoldshares.com/usa/gld/" TargetMode="External"/><Relationship Id="rId7" Type="http://schemas.openxmlformats.org/officeDocument/2006/relationships/hyperlink" Target="https://www.cnbc.com/2026/02/05/bitcoin-price-today-70000-in-focus.html" TargetMode="External"/><Relationship Id="rId8" Type="http://schemas.openxmlformats.org/officeDocument/2006/relationships/hyperlink" Target="https://www.cnbc.com/2024/01/10/sec-approves-rule-changes-that-pave-the-way-for-bitcoin-etfs.html" TargetMode="External"/><Relationship Id="rId9" Type="http://schemas.openxmlformats.org/officeDocument/2006/relationships/hyperlink" Target="https://www.cnbc.com/2026/02/02/bitcoin-btc-price-today-cryptocurrency.html" TargetMode="External"/><Relationship Id="rId10" Type="http://schemas.openxmlformats.org/officeDocument/2006/relationships/hyperlink" Target="https://www.npr.org/2025/03/04/g-s1-51748/trump-crypto-reserve-bitcoin-stockpile-ether" TargetMode="External"/><Relationship Id="rId11" Type="http://schemas.openxmlformats.org/officeDocument/2006/relationships/hyperlink" Target="https://www.cnbc.com/2026/01/30/silver-gold-fall-price-usd-dollar-fed-warsh-chair-trump-metals.html" TargetMode="External"/><Relationship Id="rId12" Type="http://schemas.openxmlformats.org/officeDocument/2006/relationships/hyperlink" Target="https://www.cnbc.com/2022/06/15/fed-hikes-its-benchmark-interest-rate-by-three-quarters-of-a-point-the-biggest-increase-since-1994.html" TargetMode="External"/><Relationship Id="rId13" Type="http://schemas.openxmlformats.org/officeDocument/2006/relationships/hyperlink" Target="https://www.cnbc.com/2022/06/13/bitcoin-btc-falls-as-market-focuses-on-celsius-issue-fed-rate-hike.html" TargetMode="External"/><Relationship Id="rId14" Type="http://schemas.openxmlformats.org/officeDocument/2006/relationships/hyperlink" Target="https://fred.stlouisfed.org/series/CPIAUCNS" TargetMode="External"/><Relationship Id="rId15" Type="http://schemas.openxmlformats.org/officeDocument/2006/relationships/hyperlink" Target="https://fred.stlouisfed.org/series/DGS3MO" TargetMode="External"/><Relationship Id="rId16" Type="http://schemas.openxmlformats.org/officeDocument/2006/relationships/hyperlink" Target="https://query1.finance.yahoo.com/v8/finance/chart/GLD?period1=1598227200&amp;period2=1790726400&amp;interval=1d&amp;events=div%2Csplits&amp;includeAdjustedClose=true" TargetMode="External"/><Relationship Id="rId17" Type="http://schemas.openxmlformats.org/officeDocument/2006/relationships/hyperlink" Target="https://query1.finance.yahoo.com/v8/finance/chart/BTC-USD?period1=1598227200&amp;period2=1790726400&amp;interval=1d&amp;events=div%2Csplits&amp;includeAdjustedClose=true" TargetMode="External"/><Relationship Id="rId18" Type="http://schemas.openxmlformats.org/officeDocument/2006/relationships/hyperlink" Target="https://query1.finance.yahoo.com/v8/finance/chart/SPY?period1=1598227200&amp;period2=1790726400&amp;interval=1d&amp;events=div%2Csplits&amp;includeAdjustedClos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showGridLines="0" tabSelected="1" workbookViewId="0"/>
  </sheetViews>
  <sheetFormatPr defaultRowHeight="20" customHeight="1"/>
  <cols>
    <col min="1" max="1" width="28.7109375" customWidth="1"/>
    <col min="2" max="2" width="30.7109375" customWidth="1"/>
    <col min="3" max="3" width="26.7109375" customWidth="1"/>
    <col min="4" max="5" width="24.7109375" customWidth="1"/>
    <col min="6" max="36" width="17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1"/>
      <c r="B2" s="1"/>
      <c r="C2" s="1"/>
      <c r="D2" s="1"/>
      <c r="E2" s="1"/>
    </row>
    <row r="4" spans="1:5" ht="20" customHeight="1">
      <c r="A4" s="2" t="s">
        <v>1</v>
      </c>
      <c r="B4" s="2"/>
      <c r="C4" s="2"/>
      <c r="D4" s="2"/>
      <c r="E4" s="2"/>
    </row>
    <row r="6" spans="1:5" ht="20" customHeight="1">
      <c r="A6" s="2" t="s">
        <v>2</v>
      </c>
      <c r="B6" s="2"/>
      <c r="C6" s="2"/>
      <c r="D6" s="2"/>
      <c r="E6" s="2"/>
    </row>
    <row r="7" spans="1:5" ht="20" customHeight="1">
      <c r="A7" s="2"/>
      <c r="B7" s="2"/>
      <c r="C7" s="2"/>
      <c r="D7" s="2"/>
      <c r="E7" s="2"/>
    </row>
    <row r="9" spans="1:5" ht="20" customHeight="1">
      <c r="A9" s="2" t="s">
        <v>3</v>
      </c>
      <c r="B9" s="2"/>
      <c r="C9" s="2"/>
      <c r="D9" s="2"/>
      <c r="E9" s="2"/>
    </row>
    <row r="10" spans="1:5" ht="20" customHeight="1">
      <c r="A10" s="2"/>
      <c r="B10" s="2"/>
      <c r="C10" s="2"/>
      <c r="D10" s="2"/>
      <c r="E10" s="2"/>
    </row>
    <row r="12" spans="1:5" ht="20" customHeight="1">
      <c r="A12" s="2" t="s">
        <v>4</v>
      </c>
      <c r="B12" t="s">
        <v>5</v>
      </c>
    </row>
    <row r="13" spans="1:5" ht="20" customHeight="1">
      <c r="A13" s="2" t="s">
        <v>6</v>
      </c>
      <c r="B13" t="s">
        <v>7</v>
      </c>
    </row>
    <row r="16" spans="1:5" ht="20" customHeight="1">
      <c r="A16" s="2" t="s">
        <v>7576</v>
      </c>
      <c r="B16" s="3">
        <f>MonthlyCalc!H61</f>
        <v>271732.72814980877</v>
      </c>
    </row>
    <row r="17" spans="1:5" ht="20" customHeight="1">
      <c r="A17" s="2" t="s">
        <v>7577</v>
      </c>
      <c r="B17" s="4">
        <f>B16/Parameters!B2-1</f>
        <v>1.7173272814980876</v>
      </c>
    </row>
    <row r="18" spans="1:5" ht="20" customHeight="1">
      <c r="A18" s="2" t="s">
        <v>7578</v>
      </c>
      <c r="B18" s="4">
        <f>MIN(MonthlyCalc!L2:L61)</f>
        <v>-0.3744620234841073</v>
      </c>
    </row>
    <row r="19" spans="1:5" ht="20" customHeight="1">
      <c r="A19" s="2" t="s">
        <v>7579</v>
      </c>
      <c r="B19" s="5">
        <f>MAX(MonthlyCalc!O2:O61)-MIN(MonthlyCalc!O2:O61)</f>
        <v>0</v>
      </c>
    </row>
    <row r="21" spans="1:5" ht="20" customHeight="1">
      <c r="A21" s="2" t="s">
        <v>7580</v>
      </c>
      <c r="B21" s="2"/>
      <c r="C21" s="2"/>
      <c r="D21" s="2"/>
      <c r="E21" s="2"/>
    </row>
    <row r="22" spans="1:5" ht="20" customHeight="1">
      <c r="A22" s="2"/>
      <c r="B22" s="2"/>
      <c r="C22" s="2"/>
      <c r="D22" s="2"/>
      <c r="E22" s="2"/>
    </row>
    <row r="26" spans="1:5" ht="20" customHeight="1">
      <c r="A26" s="2" t="s">
        <v>8</v>
      </c>
      <c r="B26" s="2"/>
      <c r="C26" s="2"/>
      <c r="D26" s="2"/>
      <c r="E26" s="2"/>
    </row>
    <row r="27" spans="1:5" ht="20" customHeight="1">
      <c r="A27" s="2"/>
      <c r="B27" s="2"/>
      <c r="C27" s="2"/>
      <c r="D27" s="2"/>
      <c r="E27" s="2"/>
    </row>
    <row r="28" spans="1:5" ht="20" customHeight="1">
      <c r="A28" s="2" t="s">
        <v>9</v>
      </c>
      <c r="B28" s="2"/>
      <c r="C28" s="2"/>
      <c r="D28" s="2"/>
      <c r="E28" s="2"/>
    </row>
    <row r="29" spans="1:5" ht="20" customHeight="1">
      <c r="A29" s="2"/>
      <c r="B29" s="2"/>
      <c r="C29" s="2"/>
      <c r="D29" s="2"/>
      <c r="E29" s="2"/>
    </row>
    <row r="30" spans="1:5" ht="20" customHeight="1">
      <c r="A30" s="6" t="s">
        <v>10</v>
      </c>
    </row>
  </sheetData>
  <mergeCells count="7">
    <mergeCell ref="A1:E2"/>
    <mergeCell ref="A4:E4"/>
    <mergeCell ref="A6:E7"/>
    <mergeCell ref="A9:E10"/>
    <mergeCell ref="A26:E27"/>
    <mergeCell ref="A28:E29"/>
    <mergeCell ref="A21:E22"/>
  </mergeCells>
  <hyperlinks>
    <hyperlink ref="A3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25.7109375" customWidth="1"/>
    <col min="2" max="2" width="22.7109375" customWidth="1"/>
    <col min="3" max="3" width="80.7109375" customWidth="1"/>
    <col min="4" max="36" width="17.7109375" customWidth="1"/>
  </cols>
  <sheetData>
    <row r="1" spans="1:3" ht="32" customHeight="1">
      <c r="A1" s="7" t="s">
        <v>11</v>
      </c>
      <c r="B1" s="7" t="s">
        <v>12</v>
      </c>
      <c r="C1" s="7" t="s">
        <v>13</v>
      </c>
    </row>
    <row r="2" spans="1:3" ht="20" customHeight="1">
      <c r="A2" s="2" t="s">
        <v>14</v>
      </c>
      <c r="B2" s="8">
        <v>100000</v>
      </c>
      <c r="C2" s="2" t="s">
        <v>15</v>
      </c>
    </row>
    <row r="3" spans="1:3" ht="20" customHeight="1">
      <c r="A3" s="2" t="s">
        <v>16</v>
      </c>
      <c r="B3" s="8">
        <v>20</v>
      </c>
      <c r="C3" s="2" t="s">
        <v>17</v>
      </c>
    </row>
    <row r="4" spans="1:3" ht="20" customHeight="1">
      <c r="A4" s="2" t="s">
        <v>18</v>
      </c>
      <c r="B4" s="8">
        <v>3</v>
      </c>
      <c r="C4" s="2" t="s">
        <v>19</v>
      </c>
    </row>
    <row r="5" spans="1:3" ht="20" customHeight="1">
      <c r="A5" s="2" t="s">
        <v>20</v>
      </c>
      <c r="B5" s="4">
        <f>SUM(B8:B9)</f>
        <v>1</v>
      </c>
      <c r="C5" s="2" t="s">
        <v>21</v>
      </c>
    </row>
    <row r="6" spans="1:3" ht="20" customHeight="1">
      <c r="A6" s="2" t="s">
        <v>22</v>
      </c>
      <c r="B6" s="2" t="s">
        <v>23</v>
      </c>
      <c r="C6" s="2" t="s">
        <v>24</v>
      </c>
    </row>
    <row r="8" spans="1:3" ht="20" customHeight="1">
      <c r="A8" s="2" t="s">
        <v>25</v>
      </c>
      <c r="B8" s="9">
        <v>0.6</v>
      </c>
    </row>
    <row r="9" spans="1:3" ht="20" customHeight="1">
      <c r="A9" s="2" t="s">
        <v>26</v>
      </c>
      <c r="B9" s="9">
        <v>0.4</v>
      </c>
    </row>
  </sheetData>
  <dataValidations count="4">
    <dataValidation type="decimal" operator="greaterThan" allowBlank="1" showInputMessage="1" showErrorMessage="1" sqref="B2">
      <formula1>0</formula1>
    </dataValidation>
    <dataValidation type="decimal" allowBlank="1" showInputMessage="1" showErrorMessage="1" sqref="B3">
      <formula1>0</formula1>
      <formula2>100</formula2>
    </dataValidation>
    <dataValidation type="list" allowBlank="1" showInputMessage="1" showErrorMessage="1" sqref="B4">
      <formula1>"0,1,3,12"</formula1>
    </dataValidation>
    <dataValidation type="decimal" allowBlank="1" showInputMessage="1" showErrorMessage="1" sqref="B8:B9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28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8" width="17.7109375" customWidth="1"/>
    <col min="9" max="11" width="30.7109375" customWidth="1"/>
    <col min="12" max="36" width="17.7109375" customWidth="1"/>
  </cols>
  <sheetData>
    <row r="1" spans="1:11" ht="32" customHeight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</row>
    <row r="2" spans="1:11" ht="20" customHeight="1">
      <c r="A2" t="s">
        <v>25</v>
      </c>
      <c r="B2" t="s">
        <v>38</v>
      </c>
      <c r="C2">
        <v>182.9100036621094</v>
      </c>
      <c r="D2">
        <v>182.9299926757812</v>
      </c>
      <c r="E2">
        <v>180.6900024414062</v>
      </c>
      <c r="F2">
        <v>181</v>
      </c>
      <c r="G2">
        <v>181</v>
      </c>
      <c r="H2">
        <v>11605800</v>
      </c>
      <c r="I2" t="s">
        <v>39</v>
      </c>
      <c r="J2" t="s">
        <v>40</v>
      </c>
      <c r="K2" t="s">
        <v>41</v>
      </c>
    </row>
    <row r="3" spans="1:11" ht="20" customHeight="1">
      <c r="A3" t="s">
        <v>25</v>
      </c>
      <c r="B3" t="s">
        <v>42</v>
      </c>
      <c r="C3">
        <v>181.0599975585938</v>
      </c>
      <c r="D3">
        <v>181.25</v>
      </c>
      <c r="E3">
        <v>179.7299957275391</v>
      </c>
      <c r="F3">
        <v>181.2200012207031</v>
      </c>
      <c r="G3">
        <v>181.2200012207031</v>
      </c>
      <c r="H3">
        <v>10056100</v>
      </c>
      <c r="I3" t="s">
        <v>43</v>
      </c>
      <c r="J3" t="s">
        <v>44</v>
      </c>
      <c r="K3" t="s">
        <v>41</v>
      </c>
    </row>
    <row r="4" spans="1:11" ht="20" customHeight="1">
      <c r="A4" t="s">
        <v>25</v>
      </c>
      <c r="B4" t="s">
        <v>45</v>
      </c>
      <c r="C4">
        <v>180.2599945068359</v>
      </c>
      <c r="D4">
        <v>183.5800018310547</v>
      </c>
      <c r="E4">
        <v>180.1999969482422</v>
      </c>
      <c r="F4">
        <v>183.3600006103516</v>
      </c>
      <c r="G4">
        <v>183.3600006103516</v>
      </c>
      <c r="H4">
        <v>12715800</v>
      </c>
      <c r="I4" t="s">
        <v>46</v>
      </c>
      <c r="J4" t="s">
        <v>47</v>
      </c>
      <c r="K4" t="s">
        <v>41</v>
      </c>
    </row>
    <row r="5" spans="1:11" ht="20" customHeight="1">
      <c r="A5" t="s">
        <v>25</v>
      </c>
      <c r="B5" t="s">
        <v>48</v>
      </c>
      <c r="C5">
        <v>185</v>
      </c>
      <c r="D5">
        <v>185.1699981689453</v>
      </c>
      <c r="E5">
        <v>179.3699951171875</v>
      </c>
      <c r="F5">
        <v>181.2400054931641</v>
      </c>
      <c r="G5">
        <v>181.2400054931641</v>
      </c>
      <c r="H5">
        <v>16299200</v>
      </c>
      <c r="I5" t="s">
        <v>49</v>
      </c>
      <c r="J5" t="s">
        <v>50</v>
      </c>
      <c r="K5" t="s">
        <v>41</v>
      </c>
    </row>
    <row r="6" spans="1:11" ht="20" customHeight="1">
      <c r="A6" t="s">
        <v>25</v>
      </c>
      <c r="B6" t="s">
        <v>51</v>
      </c>
      <c r="C6">
        <v>183.9799957275391</v>
      </c>
      <c r="D6">
        <v>185.3999938964844</v>
      </c>
      <c r="E6">
        <v>183.3999938964844</v>
      </c>
      <c r="F6">
        <v>184.3899993896484</v>
      </c>
      <c r="G6">
        <v>184.3899993896484</v>
      </c>
      <c r="H6">
        <v>13200800</v>
      </c>
      <c r="I6" t="s">
        <v>52</v>
      </c>
      <c r="J6" t="s">
        <v>53</v>
      </c>
      <c r="K6" t="s">
        <v>41</v>
      </c>
    </row>
    <row r="7" spans="1:11" ht="20" customHeight="1">
      <c r="A7" t="s">
        <v>25</v>
      </c>
      <c r="B7" t="s">
        <v>54</v>
      </c>
      <c r="C7">
        <v>184.7899932861328</v>
      </c>
      <c r="D7">
        <v>185.5299987792969</v>
      </c>
      <c r="E7">
        <v>184.2799987792969</v>
      </c>
      <c r="F7">
        <v>184.8300018310547</v>
      </c>
      <c r="G7">
        <v>184.8300018310547</v>
      </c>
      <c r="H7">
        <v>10251200</v>
      </c>
      <c r="I7" t="s">
        <v>55</v>
      </c>
      <c r="J7" t="s">
        <v>56</v>
      </c>
      <c r="K7" t="s">
        <v>41</v>
      </c>
    </row>
    <row r="8" spans="1:11" ht="20" customHeight="1">
      <c r="A8" t="s">
        <v>25</v>
      </c>
      <c r="B8" t="s">
        <v>57</v>
      </c>
      <c r="C8">
        <v>186.9900054931641</v>
      </c>
      <c r="D8">
        <v>186.9900054931641</v>
      </c>
      <c r="E8">
        <v>184.3300018310547</v>
      </c>
      <c r="F8">
        <v>185.0500030517578</v>
      </c>
      <c r="G8">
        <v>185.0500030517578</v>
      </c>
      <c r="H8">
        <v>10662100</v>
      </c>
      <c r="I8" t="s">
        <v>58</v>
      </c>
      <c r="J8" t="s">
        <v>59</v>
      </c>
      <c r="K8" t="s">
        <v>41</v>
      </c>
    </row>
    <row r="9" spans="1:11" ht="20" customHeight="1">
      <c r="A9" t="s">
        <v>25</v>
      </c>
      <c r="B9" t="s">
        <v>60</v>
      </c>
      <c r="C9">
        <v>183.75</v>
      </c>
      <c r="D9">
        <v>183.8600006103516</v>
      </c>
      <c r="E9">
        <v>181.5</v>
      </c>
      <c r="F9">
        <v>182.6199951171875</v>
      </c>
      <c r="G9">
        <v>182.6199951171875</v>
      </c>
      <c r="H9">
        <v>11536900</v>
      </c>
      <c r="I9" t="s">
        <v>61</v>
      </c>
      <c r="J9" t="s">
        <v>62</v>
      </c>
      <c r="K9" t="s">
        <v>41</v>
      </c>
    </row>
    <row r="10" spans="1:11" ht="20" customHeight="1">
      <c r="A10" t="s">
        <v>25</v>
      </c>
      <c r="B10" t="s">
        <v>63</v>
      </c>
      <c r="C10">
        <v>182.3000030517578</v>
      </c>
      <c r="D10">
        <v>182.8200073242188</v>
      </c>
      <c r="E10">
        <v>180.4900054931641</v>
      </c>
      <c r="F10">
        <v>181.1399993896484</v>
      </c>
      <c r="G10">
        <v>181.1399993896484</v>
      </c>
      <c r="H10">
        <v>12148100</v>
      </c>
      <c r="I10" t="s">
        <v>64</v>
      </c>
      <c r="J10" t="s">
        <v>65</v>
      </c>
      <c r="K10" t="s">
        <v>41</v>
      </c>
    </row>
    <row r="11" spans="1:11" ht="20" customHeight="1">
      <c r="A11" t="s">
        <v>25</v>
      </c>
      <c r="B11" t="s">
        <v>66</v>
      </c>
      <c r="C11">
        <v>180.9499969482422</v>
      </c>
      <c r="D11">
        <v>182.1000061035156</v>
      </c>
      <c r="E11">
        <v>180.0500030517578</v>
      </c>
      <c r="F11">
        <v>181.6399993896484</v>
      </c>
      <c r="G11">
        <v>181.6399993896484</v>
      </c>
      <c r="H11">
        <v>11567900</v>
      </c>
      <c r="I11" t="s">
        <v>67</v>
      </c>
      <c r="J11" t="s">
        <v>68</v>
      </c>
      <c r="K11" t="s">
        <v>41</v>
      </c>
    </row>
    <row r="12" spans="1:11" ht="20" customHeight="1">
      <c r="A12" t="s">
        <v>25</v>
      </c>
      <c r="B12" t="s">
        <v>69</v>
      </c>
      <c r="C12">
        <v>179.5</v>
      </c>
      <c r="D12">
        <v>182.2700042724609</v>
      </c>
      <c r="E12">
        <v>179.0200042724609</v>
      </c>
      <c r="F12">
        <v>181.2899932861328</v>
      </c>
      <c r="G12">
        <v>181.2899932861328</v>
      </c>
      <c r="H12">
        <v>13229200</v>
      </c>
      <c r="I12" t="s">
        <v>70</v>
      </c>
      <c r="J12" t="s">
        <v>71</v>
      </c>
      <c r="K12" t="s">
        <v>41</v>
      </c>
    </row>
    <row r="13" spans="1:11" ht="20" customHeight="1">
      <c r="A13" t="s">
        <v>25</v>
      </c>
      <c r="B13" t="s">
        <v>72</v>
      </c>
      <c r="C13">
        <v>182.5</v>
      </c>
      <c r="D13">
        <v>183.2200012207031</v>
      </c>
      <c r="E13">
        <v>182.1900024414062</v>
      </c>
      <c r="F13">
        <v>183.0500030517578</v>
      </c>
      <c r="G13">
        <v>183.0500030517578</v>
      </c>
      <c r="H13">
        <v>8424100</v>
      </c>
      <c r="I13" t="s">
        <v>73</v>
      </c>
      <c r="J13" t="s">
        <v>74</v>
      </c>
      <c r="K13" t="s">
        <v>41</v>
      </c>
    </row>
    <row r="14" spans="1:11" ht="20" customHeight="1">
      <c r="A14" t="s">
        <v>25</v>
      </c>
      <c r="B14" t="s">
        <v>75</v>
      </c>
      <c r="C14">
        <v>184.2299957275391</v>
      </c>
      <c r="D14">
        <v>184.6799926757812</v>
      </c>
      <c r="E14">
        <v>182.2799987792969</v>
      </c>
      <c r="F14">
        <v>182.4600067138672</v>
      </c>
      <c r="G14">
        <v>182.4600067138672</v>
      </c>
      <c r="H14">
        <v>9143600</v>
      </c>
      <c r="I14" t="s">
        <v>76</v>
      </c>
      <c r="J14" t="s">
        <v>77</v>
      </c>
      <c r="K14" t="s">
        <v>41</v>
      </c>
    </row>
    <row r="15" spans="1:11" ht="20" customHeight="1">
      <c r="A15" t="s">
        <v>25</v>
      </c>
      <c r="B15" t="s">
        <v>78</v>
      </c>
      <c r="C15">
        <v>183.1399993896484</v>
      </c>
      <c r="D15">
        <v>183.5500030517578</v>
      </c>
      <c r="E15">
        <v>182.0099945068359</v>
      </c>
      <c r="F15">
        <v>182.4499969482422</v>
      </c>
      <c r="G15">
        <v>182.4499969482422</v>
      </c>
      <c r="H15">
        <v>7662300</v>
      </c>
      <c r="I15" t="s">
        <v>79</v>
      </c>
      <c r="J15" t="s">
        <v>80</v>
      </c>
      <c r="K15" t="s">
        <v>41</v>
      </c>
    </row>
    <row r="16" spans="1:11" ht="20" customHeight="1">
      <c r="A16" t="s">
        <v>25</v>
      </c>
      <c r="B16" t="s">
        <v>81</v>
      </c>
      <c r="C16">
        <v>183.5700073242188</v>
      </c>
      <c r="D16">
        <v>184.3000030517578</v>
      </c>
      <c r="E16">
        <v>183.3899993896484</v>
      </c>
      <c r="F16">
        <v>183.8899993896484</v>
      </c>
      <c r="G16">
        <v>183.8899993896484</v>
      </c>
      <c r="H16">
        <v>9709500</v>
      </c>
      <c r="I16" t="s">
        <v>82</v>
      </c>
      <c r="J16" t="s">
        <v>83</v>
      </c>
      <c r="K16" t="s">
        <v>41</v>
      </c>
    </row>
    <row r="17" spans="1:11" ht="20" customHeight="1">
      <c r="A17" t="s">
        <v>25</v>
      </c>
      <c r="B17" t="s">
        <v>84</v>
      </c>
      <c r="C17">
        <v>184.4600067138672</v>
      </c>
      <c r="D17">
        <v>184.6699981689453</v>
      </c>
      <c r="E17">
        <v>182.9199981689453</v>
      </c>
      <c r="F17">
        <v>183.4499969482422</v>
      </c>
      <c r="G17">
        <v>183.4499969482422</v>
      </c>
      <c r="H17">
        <v>7993700</v>
      </c>
      <c r="I17" t="s">
        <v>85</v>
      </c>
      <c r="J17" t="s">
        <v>86</v>
      </c>
      <c r="K17" t="s">
        <v>41</v>
      </c>
    </row>
    <row r="18" spans="1:11" ht="20" customHeight="1">
      <c r="A18" t="s">
        <v>25</v>
      </c>
      <c r="B18" t="s">
        <v>87</v>
      </c>
      <c r="C18">
        <v>184.9799957275391</v>
      </c>
      <c r="D18">
        <v>185.0099945068359</v>
      </c>
      <c r="E18">
        <v>183.3300018310547</v>
      </c>
      <c r="F18">
        <v>183.9700012207031</v>
      </c>
      <c r="G18">
        <v>183.9700012207031</v>
      </c>
      <c r="H18">
        <v>12702400</v>
      </c>
      <c r="I18" t="s">
        <v>88</v>
      </c>
      <c r="J18" t="s">
        <v>89</v>
      </c>
      <c r="K18" t="s">
        <v>41</v>
      </c>
    </row>
    <row r="19" spans="1:11" ht="20" customHeight="1">
      <c r="A19" t="s">
        <v>25</v>
      </c>
      <c r="B19" t="s">
        <v>90</v>
      </c>
      <c r="C19">
        <v>181.9199981689453</v>
      </c>
      <c r="D19">
        <v>183.0899963378906</v>
      </c>
      <c r="E19">
        <v>181.4799957275391</v>
      </c>
      <c r="F19">
        <v>182.9600067138672</v>
      </c>
      <c r="G19">
        <v>182.9600067138672</v>
      </c>
      <c r="H19">
        <v>8836200</v>
      </c>
      <c r="I19" t="s">
        <v>91</v>
      </c>
      <c r="J19" t="s">
        <v>92</v>
      </c>
      <c r="K19" t="s">
        <v>41</v>
      </c>
    </row>
    <row r="20" spans="1:11" ht="20" customHeight="1">
      <c r="A20" t="s">
        <v>25</v>
      </c>
      <c r="B20" t="s">
        <v>93</v>
      </c>
      <c r="C20">
        <v>183.0700073242188</v>
      </c>
      <c r="D20">
        <v>184.0899963378906</v>
      </c>
      <c r="E20">
        <v>182.6399993896484</v>
      </c>
      <c r="F20">
        <v>183.1999969482422</v>
      </c>
      <c r="G20">
        <v>183.1999969482422</v>
      </c>
      <c r="H20">
        <v>9959700</v>
      </c>
      <c r="I20" t="s">
        <v>94</v>
      </c>
      <c r="J20" t="s">
        <v>95</v>
      </c>
      <c r="K20" t="s">
        <v>41</v>
      </c>
    </row>
    <row r="21" spans="1:11" ht="20" customHeight="1">
      <c r="A21" t="s">
        <v>25</v>
      </c>
      <c r="B21" t="s">
        <v>96</v>
      </c>
      <c r="C21">
        <v>179.8399963378906</v>
      </c>
      <c r="D21">
        <v>180.2899932861328</v>
      </c>
      <c r="E21">
        <v>176.75</v>
      </c>
      <c r="F21">
        <v>179.5200042724609</v>
      </c>
      <c r="G21">
        <v>179.5200042724609</v>
      </c>
      <c r="H21">
        <v>17436100</v>
      </c>
      <c r="I21" t="s">
        <v>97</v>
      </c>
      <c r="J21" t="s">
        <v>98</v>
      </c>
      <c r="K21" t="s">
        <v>41</v>
      </c>
    </row>
    <row r="22" spans="1:11" ht="20" customHeight="1">
      <c r="A22" t="s">
        <v>25</v>
      </c>
      <c r="B22" t="s">
        <v>99</v>
      </c>
      <c r="C22">
        <v>179.6300048828125</v>
      </c>
      <c r="D22">
        <v>180.0200042724609</v>
      </c>
      <c r="E22">
        <v>178.1100006103516</v>
      </c>
      <c r="F22">
        <v>178.6499938964844</v>
      </c>
      <c r="G22">
        <v>178.6499938964844</v>
      </c>
      <c r="H22">
        <v>7977900</v>
      </c>
      <c r="I22" t="s">
        <v>100</v>
      </c>
      <c r="J22" t="s">
        <v>101</v>
      </c>
      <c r="K22" t="s">
        <v>41</v>
      </c>
    </row>
    <row r="23" spans="1:11" ht="20" customHeight="1">
      <c r="A23" t="s">
        <v>25</v>
      </c>
      <c r="B23" t="s">
        <v>102</v>
      </c>
      <c r="C23">
        <v>176.9799957275391</v>
      </c>
      <c r="D23">
        <v>177.2599945068359</v>
      </c>
      <c r="E23">
        <v>174.1000061035156</v>
      </c>
      <c r="F23">
        <v>174.7899932861328</v>
      </c>
      <c r="G23">
        <v>174.7899932861328</v>
      </c>
      <c r="H23">
        <v>18134000</v>
      </c>
      <c r="I23" t="s">
        <v>103</v>
      </c>
      <c r="J23" t="s">
        <v>104</v>
      </c>
      <c r="K23" t="s">
        <v>41</v>
      </c>
    </row>
    <row r="24" spans="1:11" ht="20" customHeight="1">
      <c r="A24" t="s">
        <v>25</v>
      </c>
      <c r="B24" t="s">
        <v>105</v>
      </c>
      <c r="C24">
        <v>174.3600006103516</v>
      </c>
      <c r="D24">
        <v>176.2400054931641</v>
      </c>
      <c r="E24">
        <v>173.7700042724609</v>
      </c>
      <c r="F24">
        <v>175.4400024414062</v>
      </c>
      <c r="G24">
        <v>175.4400024414062</v>
      </c>
      <c r="H24">
        <v>11759200</v>
      </c>
      <c r="I24" t="s">
        <v>106</v>
      </c>
      <c r="J24" t="s">
        <v>107</v>
      </c>
      <c r="K24" t="s">
        <v>41</v>
      </c>
    </row>
    <row r="25" spans="1:11" ht="20" customHeight="1">
      <c r="A25" t="s">
        <v>25</v>
      </c>
      <c r="B25" t="s">
        <v>108</v>
      </c>
      <c r="C25">
        <v>174.4100036621094</v>
      </c>
      <c r="D25">
        <v>175.3000030517578</v>
      </c>
      <c r="E25">
        <v>173.8899993896484</v>
      </c>
      <c r="F25">
        <v>174.9400024414062</v>
      </c>
      <c r="G25">
        <v>174.9400024414062</v>
      </c>
      <c r="H25">
        <v>6779200</v>
      </c>
      <c r="I25" t="s">
        <v>109</v>
      </c>
      <c r="J25" t="s">
        <v>110</v>
      </c>
      <c r="K25" t="s">
        <v>41</v>
      </c>
    </row>
    <row r="26" spans="1:11" ht="20" customHeight="1">
      <c r="A26" t="s">
        <v>25</v>
      </c>
      <c r="B26" t="s">
        <v>111</v>
      </c>
      <c r="C26">
        <v>175.8300018310547</v>
      </c>
      <c r="D26">
        <v>176.8099975585938</v>
      </c>
      <c r="E26">
        <v>175.0899963378906</v>
      </c>
      <c r="F26">
        <v>176.6999969482422</v>
      </c>
      <c r="G26">
        <v>176.6999969482422</v>
      </c>
      <c r="H26">
        <v>7109700</v>
      </c>
      <c r="I26" t="s">
        <v>112</v>
      </c>
      <c r="J26" t="s">
        <v>113</v>
      </c>
      <c r="K26" t="s">
        <v>41</v>
      </c>
    </row>
    <row r="27" spans="1:11" ht="20" customHeight="1">
      <c r="A27" t="s">
        <v>25</v>
      </c>
      <c r="B27" t="s">
        <v>114</v>
      </c>
      <c r="C27">
        <v>177.1900024414062</v>
      </c>
      <c r="D27">
        <v>178.3300018310547</v>
      </c>
      <c r="E27">
        <v>176.9499969482422</v>
      </c>
      <c r="F27">
        <v>178.1900024414062</v>
      </c>
      <c r="G27">
        <v>178.1900024414062</v>
      </c>
      <c r="H27">
        <v>8718500</v>
      </c>
      <c r="I27" t="s">
        <v>115</v>
      </c>
      <c r="J27" t="s">
        <v>116</v>
      </c>
      <c r="K27" t="s">
        <v>41</v>
      </c>
    </row>
    <row r="28" spans="1:11" ht="20" customHeight="1">
      <c r="A28" t="s">
        <v>25</v>
      </c>
      <c r="B28" t="s">
        <v>117</v>
      </c>
      <c r="C28">
        <v>177.7100067138672</v>
      </c>
      <c r="D28">
        <v>178.6100006103516</v>
      </c>
      <c r="E28">
        <v>176.6600036621094</v>
      </c>
      <c r="F28">
        <v>177.1199951171875</v>
      </c>
      <c r="G28">
        <v>177.1199951171875</v>
      </c>
      <c r="H28">
        <v>8371800</v>
      </c>
      <c r="I28" t="s">
        <v>118</v>
      </c>
      <c r="J28" t="s">
        <v>119</v>
      </c>
      <c r="K28" t="s">
        <v>41</v>
      </c>
    </row>
    <row r="29" spans="1:11" ht="20" customHeight="1">
      <c r="A29" t="s">
        <v>25</v>
      </c>
      <c r="B29" t="s">
        <v>120</v>
      </c>
      <c r="C29">
        <v>178.7100067138672</v>
      </c>
      <c r="D29">
        <v>179.5</v>
      </c>
      <c r="E29">
        <v>178.0399932861328</v>
      </c>
      <c r="F29">
        <v>178.6999969482422</v>
      </c>
      <c r="G29">
        <v>178.6999969482422</v>
      </c>
      <c r="H29">
        <v>10402800</v>
      </c>
      <c r="I29" t="s">
        <v>121</v>
      </c>
      <c r="J29" t="s">
        <v>122</v>
      </c>
      <c r="K29" t="s">
        <v>41</v>
      </c>
    </row>
    <row r="30" spans="1:11" ht="20" customHeight="1">
      <c r="A30" t="s">
        <v>25</v>
      </c>
      <c r="B30" t="s">
        <v>123</v>
      </c>
      <c r="C30">
        <v>178.6900024414062</v>
      </c>
      <c r="D30">
        <v>179.2899932861328</v>
      </c>
      <c r="E30">
        <v>178.1600036621094</v>
      </c>
      <c r="F30">
        <v>178.5399932861328</v>
      </c>
      <c r="G30">
        <v>178.5399932861328</v>
      </c>
      <c r="H30">
        <v>7488500</v>
      </c>
      <c r="I30" t="s">
        <v>124</v>
      </c>
      <c r="J30" t="s">
        <v>125</v>
      </c>
      <c r="K30" t="s">
        <v>41</v>
      </c>
    </row>
    <row r="31" spans="1:11" ht="20" customHeight="1">
      <c r="A31" t="s">
        <v>25</v>
      </c>
      <c r="B31" t="s">
        <v>126</v>
      </c>
      <c r="C31">
        <v>179.0200042724609</v>
      </c>
      <c r="D31">
        <v>180.1399993896484</v>
      </c>
      <c r="E31">
        <v>178.8999938964844</v>
      </c>
      <c r="F31">
        <v>179.4100036621094</v>
      </c>
      <c r="G31">
        <v>179.4100036621094</v>
      </c>
      <c r="H31">
        <v>6969600</v>
      </c>
      <c r="I31" t="s">
        <v>127</v>
      </c>
      <c r="J31" t="s">
        <v>128</v>
      </c>
      <c r="K31" t="s">
        <v>41</v>
      </c>
    </row>
    <row r="32" spans="1:11" ht="20" customHeight="1">
      <c r="A32" t="s">
        <v>25</v>
      </c>
      <c r="B32" t="s">
        <v>129</v>
      </c>
      <c r="C32">
        <v>180.1600036621094</v>
      </c>
      <c r="D32">
        <v>180.3699951171875</v>
      </c>
      <c r="E32">
        <v>177.0500030517578</v>
      </c>
      <c r="F32">
        <v>177.3000030517578</v>
      </c>
      <c r="G32">
        <v>177.3000030517578</v>
      </c>
      <c r="H32">
        <v>8632800</v>
      </c>
      <c r="I32" t="s">
        <v>130</v>
      </c>
      <c r="J32" t="s">
        <v>131</v>
      </c>
      <c r="K32" t="s">
        <v>41</v>
      </c>
    </row>
    <row r="33" spans="1:11" ht="20" customHeight="1">
      <c r="A33" t="s">
        <v>25</v>
      </c>
      <c r="B33" t="s">
        <v>132</v>
      </c>
      <c r="C33">
        <v>177.0899963378906</v>
      </c>
      <c r="D33">
        <v>177.4199981689453</v>
      </c>
      <c r="E33">
        <v>176.4299926757812</v>
      </c>
      <c r="F33">
        <v>177.2200012207031</v>
      </c>
      <c r="G33">
        <v>177.2200012207031</v>
      </c>
      <c r="H33">
        <v>6410900</v>
      </c>
      <c r="I33" t="s">
        <v>133</v>
      </c>
      <c r="J33" t="s">
        <v>134</v>
      </c>
      <c r="K33" t="s">
        <v>41</v>
      </c>
    </row>
    <row r="34" spans="1:11" ht="20" customHeight="1">
      <c r="A34" t="s">
        <v>25</v>
      </c>
      <c r="B34" t="s">
        <v>135</v>
      </c>
      <c r="C34">
        <v>178.1799926757812</v>
      </c>
      <c r="D34">
        <v>178.4499969482422</v>
      </c>
      <c r="E34">
        <v>176.6699981689453</v>
      </c>
      <c r="F34">
        <v>177.8500061035156</v>
      </c>
      <c r="G34">
        <v>177.8500061035156</v>
      </c>
      <c r="H34">
        <v>6530800</v>
      </c>
      <c r="I34" t="s">
        <v>136</v>
      </c>
      <c r="J34" t="s">
        <v>137</v>
      </c>
      <c r="K34" t="s">
        <v>41</v>
      </c>
    </row>
    <row r="35" spans="1:11" ht="20" customHeight="1">
      <c r="A35" t="s">
        <v>25</v>
      </c>
      <c r="B35" t="s">
        <v>138</v>
      </c>
      <c r="C35">
        <v>180.1300048828125</v>
      </c>
      <c r="D35">
        <v>181.1699981689453</v>
      </c>
      <c r="E35">
        <v>179.9299926757812</v>
      </c>
      <c r="F35">
        <v>181.0800018310547</v>
      </c>
      <c r="G35">
        <v>181.0800018310547</v>
      </c>
      <c r="H35">
        <v>15979800</v>
      </c>
      <c r="I35" t="s">
        <v>139</v>
      </c>
      <c r="J35" t="s">
        <v>140</v>
      </c>
      <c r="K35" t="s">
        <v>41</v>
      </c>
    </row>
    <row r="36" spans="1:11" ht="20" customHeight="1">
      <c r="A36" t="s">
        <v>25</v>
      </c>
      <c r="B36" t="s">
        <v>141</v>
      </c>
      <c r="C36">
        <v>180.5700073242188</v>
      </c>
      <c r="D36">
        <v>180.8300018310547</v>
      </c>
      <c r="E36">
        <v>180.1900024414062</v>
      </c>
      <c r="F36">
        <v>180.5599975585938</v>
      </c>
      <c r="G36">
        <v>180.5599975585938</v>
      </c>
      <c r="H36">
        <v>4843000</v>
      </c>
      <c r="I36" t="s">
        <v>142</v>
      </c>
      <c r="J36" t="s">
        <v>143</v>
      </c>
      <c r="K36" t="s">
        <v>41</v>
      </c>
    </row>
    <row r="37" spans="1:11" ht="20" customHeight="1">
      <c r="A37" t="s">
        <v>25</v>
      </c>
      <c r="B37" t="s">
        <v>144</v>
      </c>
      <c r="C37">
        <v>178.5599975585938</v>
      </c>
      <c r="D37">
        <v>178.6000061035156</v>
      </c>
      <c r="E37">
        <v>177.1000061035156</v>
      </c>
      <c r="F37">
        <v>177.7200012207031</v>
      </c>
      <c r="G37">
        <v>177.7200012207031</v>
      </c>
      <c r="H37">
        <v>8384300</v>
      </c>
      <c r="I37" t="s">
        <v>145</v>
      </c>
      <c r="J37" t="s">
        <v>146</v>
      </c>
      <c r="K37" t="s">
        <v>41</v>
      </c>
    </row>
    <row r="38" spans="1:11" ht="20" customHeight="1">
      <c r="A38" t="s">
        <v>25</v>
      </c>
      <c r="B38" t="s">
        <v>147</v>
      </c>
      <c r="C38">
        <v>179.0899963378906</v>
      </c>
      <c r="D38">
        <v>179.5899963378906</v>
      </c>
      <c r="E38">
        <v>178.2700042724609</v>
      </c>
      <c r="F38">
        <v>178.2700042724609</v>
      </c>
      <c r="G38">
        <v>178.2700042724609</v>
      </c>
      <c r="H38">
        <v>9076600</v>
      </c>
      <c r="I38" t="s">
        <v>148</v>
      </c>
      <c r="J38" t="s">
        <v>149</v>
      </c>
      <c r="K38" t="s">
        <v>41</v>
      </c>
    </row>
    <row r="39" spans="1:11" ht="20" customHeight="1">
      <c r="A39" t="s">
        <v>25</v>
      </c>
      <c r="B39" t="s">
        <v>150</v>
      </c>
      <c r="C39">
        <v>177.7100067138672</v>
      </c>
      <c r="D39">
        <v>179.1499938964844</v>
      </c>
      <c r="E39">
        <v>177.5899963378906</v>
      </c>
      <c r="F39">
        <v>178.9199981689453</v>
      </c>
      <c r="G39">
        <v>178.9199981689453</v>
      </c>
      <c r="H39">
        <v>6815400</v>
      </c>
      <c r="I39" t="s">
        <v>151</v>
      </c>
      <c r="J39" t="s">
        <v>152</v>
      </c>
      <c r="K39" t="s">
        <v>41</v>
      </c>
    </row>
    <row r="40" spans="1:11" ht="20" customHeight="1">
      <c r="A40" t="s">
        <v>25</v>
      </c>
      <c r="B40" t="s">
        <v>153</v>
      </c>
      <c r="C40">
        <v>179.2200012207031</v>
      </c>
      <c r="D40">
        <v>179.3200073242188</v>
      </c>
      <c r="E40">
        <v>178.1300048828125</v>
      </c>
      <c r="F40">
        <v>178.3000030517578</v>
      </c>
      <c r="G40">
        <v>178.3000030517578</v>
      </c>
      <c r="H40">
        <v>7260700</v>
      </c>
      <c r="I40" t="s">
        <v>154</v>
      </c>
      <c r="J40" t="s">
        <v>155</v>
      </c>
      <c r="K40" t="s">
        <v>41</v>
      </c>
    </row>
    <row r="41" spans="1:11" ht="20" customHeight="1">
      <c r="A41" t="s">
        <v>25</v>
      </c>
      <c r="B41" t="s">
        <v>156</v>
      </c>
      <c r="C41">
        <v>179.4100036621094</v>
      </c>
      <c r="D41">
        <v>179.4799957275391</v>
      </c>
      <c r="E41">
        <v>178.3699951171875</v>
      </c>
      <c r="F41">
        <v>178.3899993896484</v>
      </c>
      <c r="G41">
        <v>178.3899993896484</v>
      </c>
      <c r="H41">
        <v>6084400</v>
      </c>
      <c r="I41" t="s">
        <v>157</v>
      </c>
      <c r="J41" t="s">
        <v>158</v>
      </c>
      <c r="K41" t="s">
        <v>41</v>
      </c>
    </row>
    <row r="42" spans="1:11" ht="20" customHeight="1">
      <c r="A42" t="s">
        <v>25</v>
      </c>
      <c r="B42" t="s">
        <v>159</v>
      </c>
      <c r="C42">
        <v>178.5399932861328</v>
      </c>
      <c r="D42">
        <v>179.6699981689453</v>
      </c>
      <c r="E42">
        <v>178.0800018310547</v>
      </c>
      <c r="F42">
        <v>179.25</v>
      </c>
      <c r="G42">
        <v>179.25</v>
      </c>
      <c r="H42">
        <v>7121400</v>
      </c>
      <c r="I42" t="s">
        <v>160</v>
      </c>
      <c r="J42" t="s">
        <v>161</v>
      </c>
      <c r="K42" t="s">
        <v>41</v>
      </c>
    </row>
    <row r="43" spans="1:11" ht="20" customHeight="1">
      <c r="A43" t="s">
        <v>25</v>
      </c>
      <c r="B43" t="s">
        <v>162</v>
      </c>
      <c r="C43">
        <v>180.4700012207031</v>
      </c>
      <c r="D43">
        <v>181.3099975585938</v>
      </c>
      <c r="E43">
        <v>180.2299957275391</v>
      </c>
      <c r="F43">
        <v>180.6000061035156</v>
      </c>
      <c r="G43">
        <v>180.6000061035156</v>
      </c>
      <c r="H43">
        <v>7548100</v>
      </c>
      <c r="I43" t="s">
        <v>163</v>
      </c>
      <c r="J43" t="s">
        <v>164</v>
      </c>
      <c r="K43" t="s">
        <v>41</v>
      </c>
    </row>
    <row r="44" spans="1:11" ht="20" customHeight="1">
      <c r="A44" t="s">
        <v>25</v>
      </c>
      <c r="B44" t="s">
        <v>165</v>
      </c>
      <c r="C44">
        <v>178.8800048828125</v>
      </c>
      <c r="D44">
        <v>179.0299987792969</v>
      </c>
      <c r="E44">
        <v>177.7200012207031</v>
      </c>
      <c r="F44">
        <v>178.8300018310547</v>
      </c>
      <c r="G44">
        <v>178.8300018310547</v>
      </c>
      <c r="H44">
        <v>8377000</v>
      </c>
      <c r="I44" t="s">
        <v>166</v>
      </c>
      <c r="J44" t="s">
        <v>167</v>
      </c>
      <c r="K44" t="s">
        <v>41</v>
      </c>
    </row>
    <row r="45" spans="1:11" ht="20" customHeight="1">
      <c r="A45" t="s">
        <v>25</v>
      </c>
      <c r="B45" t="s">
        <v>168</v>
      </c>
      <c r="C45">
        <v>179.0899963378906</v>
      </c>
      <c r="D45">
        <v>179.1999969482422</v>
      </c>
      <c r="E45">
        <v>177.7599945068359</v>
      </c>
      <c r="F45">
        <v>178.6399993896484</v>
      </c>
      <c r="G45">
        <v>178.6399993896484</v>
      </c>
      <c r="H45">
        <v>5919300</v>
      </c>
      <c r="I45" t="s">
        <v>169</v>
      </c>
      <c r="J45" t="s">
        <v>170</v>
      </c>
      <c r="K45" t="s">
        <v>41</v>
      </c>
    </row>
    <row r="46" spans="1:11" ht="20" customHeight="1">
      <c r="A46" t="s">
        <v>25</v>
      </c>
      <c r="B46" t="s">
        <v>171</v>
      </c>
      <c r="C46">
        <v>178.75</v>
      </c>
      <c r="D46">
        <v>179.1399993896484</v>
      </c>
      <c r="E46">
        <v>178.2200012207031</v>
      </c>
      <c r="F46">
        <v>178.5500030517578</v>
      </c>
      <c r="G46">
        <v>178.5500030517578</v>
      </c>
      <c r="H46">
        <v>5105100</v>
      </c>
      <c r="I46" t="s">
        <v>172</v>
      </c>
      <c r="J46" t="s">
        <v>173</v>
      </c>
      <c r="K46" t="s">
        <v>41</v>
      </c>
    </row>
    <row r="47" spans="1:11" ht="20" customHeight="1">
      <c r="A47" t="s">
        <v>25</v>
      </c>
      <c r="B47" t="s">
        <v>174</v>
      </c>
      <c r="C47">
        <v>178.7100067138672</v>
      </c>
      <c r="D47">
        <v>179.4299926757812</v>
      </c>
      <c r="E47">
        <v>178.5099945068359</v>
      </c>
      <c r="F47">
        <v>179.0200042724609</v>
      </c>
      <c r="G47">
        <v>179.0200042724609</v>
      </c>
      <c r="H47">
        <v>5826900</v>
      </c>
      <c r="I47" t="s">
        <v>175</v>
      </c>
      <c r="J47" t="s">
        <v>176</v>
      </c>
      <c r="K47" t="s">
        <v>41</v>
      </c>
    </row>
    <row r="48" spans="1:11" ht="20" customHeight="1">
      <c r="A48" t="s">
        <v>25</v>
      </c>
      <c r="B48" t="s">
        <v>177</v>
      </c>
      <c r="C48">
        <v>176.4499969482422</v>
      </c>
      <c r="D48">
        <v>176.8500061035156</v>
      </c>
      <c r="E48">
        <v>175.4400024414062</v>
      </c>
      <c r="F48">
        <v>176.1300048828125</v>
      </c>
      <c r="G48">
        <v>176.1300048828125</v>
      </c>
      <c r="H48">
        <v>11734100</v>
      </c>
      <c r="I48" t="s">
        <v>178</v>
      </c>
      <c r="J48" t="s">
        <v>179</v>
      </c>
      <c r="K48" t="s">
        <v>41</v>
      </c>
    </row>
    <row r="49" spans="1:11" ht="20" customHeight="1">
      <c r="A49" t="s">
        <v>25</v>
      </c>
      <c r="B49" t="s">
        <v>180</v>
      </c>
      <c r="C49">
        <v>175.0200042724609</v>
      </c>
      <c r="D49">
        <v>176.1399993896484</v>
      </c>
      <c r="E49">
        <v>174.8300018310547</v>
      </c>
      <c r="F49">
        <v>175.3999938964844</v>
      </c>
      <c r="G49">
        <v>175.3999938964844</v>
      </c>
      <c r="H49">
        <v>8474500</v>
      </c>
      <c r="I49" t="s">
        <v>181</v>
      </c>
      <c r="J49" t="s">
        <v>182</v>
      </c>
      <c r="K49" t="s">
        <v>41</v>
      </c>
    </row>
    <row r="50" spans="1:11" ht="20" customHeight="1">
      <c r="A50" t="s">
        <v>25</v>
      </c>
      <c r="B50" t="s">
        <v>183</v>
      </c>
      <c r="C50">
        <v>177.1799926757812</v>
      </c>
      <c r="D50">
        <v>177.3600006103516</v>
      </c>
      <c r="E50">
        <v>175.9499969482422</v>
      </c>
      <c r="F50">
        <v>176.1999969482422</v>
      </c>
      <c r="G50">
        <v>176.1999969482422</v>
      </c>
      <c r="H50">
        <v>7303000</v>
      </c>
      <c r="I50" t="s">
        <v>184</v>
      </c>
      <c r="J50" t="s">
        <v>185</v>
      </c>
      <c r="K50" t="s">
        <v>41</v>
      </c>
    </row>
    <row r="51" spans="1:11" ht="20" customHeight="1">
      <c r="A51" t="s">
        <v>25</v>
      </c>
      <c r="B51" t="s">
        <v>186</v>
      </c>
      <c r="C51">
        <v>177.4499969482422</v>
      </c>
      <c r="D51">
        <v>177.9299926757812</v>
      </c>
      <c r="E51">
        <v>177.1300048828125</v>
      </c>
      <c r="F51">
        <v>177.9100036621094</v>
      </c>
      <c r="G51">
        <v>177.9100036621094</v>
      </c>
      <c r="H51">
        <v>6498400</v>
      </c>
      <c r="I51" t="s">
        <v>187</v>
      </c>
      <c r="J51" t="s">
        <v>188</v>
      </c>
      <c r="K51" t="s">
        <v>41</v>
      </c>
    </row>
    <row r="52" spans="1:11" ht="20" customHeight="1">
      <c r="A52" t="s">
        <v>25</v>
      </c>
      <c r="B52" t="s">
        <v>189</v>
      </c>
      <c r="C52">
        <v>178.9499969482422</v>
      </c>
      <c r="D52">
        <v>179.3899993896484</v>
      </c>
      <c r="E52">
        <v>178.3000030517578</v>
      </c>
      <c r="F52">
        <v>178.9199981689453</v>
      </c>
      <c r="G52">
        <v>178.9199981689453</v>
      </c>
      <c r="H52">
        <v>7577200</v>
      </c>
      <c r="I52" t="s">
        <v>190</v>
      </c>
      <c r="J52" t="s">
        <v>191</v>
      </c>
      <c r="K52" t="s">
        <v>41</v>
      </c>
    </row>
    <row r="53" spans="1:11" ht="20" customHeight="1">
      <c r="A53" t="s">
        <v>25</v>
      </c>
      <c r="B53" t="s">
        <v>192</v>
      </c>
      <c r="C53">
        <v>178.9299926757812</v>
      </c>
      <c r="D53">
        <v>179.1900024414062</v>
      </c>
      <c r="E53">
        <v>177.6600036621094</v>
      </c>
      <c r="F53">
        <v>178.8200073242188</v>
      </c>
      <c r="G53">
        <v>178.8200073242188</v>
      </c>
      <c r="H53">
        <v>11117300</v>
      </c>
      <c r="I53" t="s">
        <v>193</v>
      </c>
      <c r="J53" t="s">
        <v>194</v>
      </c>
      <c r="K53" t="s">
        <v>41</v>
      </c>
    </row>
    <row r="54" spans="1:11" ht="20" customHeight="1">
      <c r="A54" t="s">
        <v>25</v>
      </c>
      <c r="B54" t="s">
        <v>195</v>
      </c>
      <c r="C54">
        <v>181</v>
      </c>
      <c r="D54">
        <v>183.2899932861328</v>
      </c>
      <c r="E54">
        <v>180.9700012207031</v>
      </c>
      <c r="F54">
        <v>182.9299926757812</v>
      </c>
      <c r="G54">
        <v>182.9299926757812</v>
      </c>
      <c r="H54">
        <v>16102800</v>
      </c>
      <c r="I54" t="s">
        <v>196</v>
      </c>
      <c r="J54" t="s">
        <v>197</v>
      </c>
      <c r="K54" t="s">
        <v>41</v>
      </c>
    </row>
    <row r="55" spans="1:11" ht="20" customHeight="1">
      <c r="A55" t="s">
        <v>25</v>
      </c>
      <c r="B55" t="s">
        <v>198</v>
      </c>
      <c r="C55">
        <v>183.3999938964844</v>
      </c>
      <c r="D55">
        <v>183.5299987792969</v>
      </c>
      <c r="E55">
        <v>182.1900024414062</v>
      </c>
      <c r="F55">
        <v>183.1900024414062</v>
      </c>
      <c r="G55">
        <v>183.1900024414062</v>
      </c>
      <c r="H55">
        <v>10378300</v>
      </c>
      <c r="I55" t="s">
        <v>199</v>
      </c>
      <c r="J55" t="s">
        <v>200</v>
      </c>
      <c r="K55" t="s">
        <v>41</v>
      </c>
    </row>
    <row r="56" spans="1:11" ht="20" customHeight="1">
      <c r="A56" t="s">
        <v>25</v>
      </c>
      <c r="B56" t="s">
        <v>201</v>
      </c>
      <c r="C56">
        <v>176.4199981689453</v>
      </c>
      <c r="D56">
        <v>176.4499969482422</v>
      </c>
      <c r="E56">
        <v>173.6399993896484</v>
      </c>
      <c r="F56">
        <v>175.0800018310547</v>
      </c>
      <c r="G56">
        <v>175.0800018310547</v>
      </c>
      <c r="H56">
        <v>29800700</v>
      </c>
      <c r="I56" t="s">
        <v>202</v>
      </c>
      <c r="J56" t="s">
        <v>203</v>
      </c>
      <c r="K56" t="s">
        <v>41</v>
      </c>
    </row>
    <row r="57" spans="1:11" ht="20" customHeight="1">
      <c r="A57" t="s">
        <v>25</v>
      </c>
      <c r="B57" t="s">
        <v>204</v>
      </c>
      <c r="C57">
        <v>176.75</v>
      </c>
      <c r="D57">
        <v>176.9100036621094</v>
      </c>
      <c r="E57">
        <v>175.6600036621094</v>
      </c>
      <c r="F57">
        <v>175.6600036621094</v>
      </c>
      <c r="G57">
        <v>175.6600036621094</v>
      </c>
      <c r="H57">
        <v>11728500</v>
      </c>
      <c r="I57" t="s">
        <v>205</v>
      </c>
      <c r="J57" t="s">
        <v>206</v>
      </c>
      <c r="K57" t="s">
        <v>41</v>
      </c>
    </row>
    <row r="58" spans="1:11" ht="20" customHeight="1">
      <c r="A58" t="s">
        <v>25</v>
      </c>
      <c r="B58" t="s">
        <v>207</v>
      </c>
      <c r="C58">
        <v>174.6999969482422</v>
      </c>
      <c r="D58">
        <v>175.2799987792969</v>
      </c>
      <c r="E58">
        <v>174.4400024414062</v>
      </c>
      <c r="F58">
        <v>174.8999938964844</v>
      </c>
      <c r="G58">
        <v>174.8999938964844</v>
      </c>
      <c r="H58">
        <v>9008500</v>
      </c>
      <c r="I58" t="s">
        <v>208</v>
      </c>
      <c r="J58" t="s">
        <v>209</v>
      </c>
      <c r="K58" t="s">
        <v>41</v>
      </c>
    </row>
    <row r="59" spans="1:11" ht="20" customHeight="1">
      <c r="A59" t="s">
        <v>25</v>
      </c>
      <c r="B59" t="s">
        <v>210</v>
      </c>
      <c r="C59">
        <v>176.0399932861328</v>
      </c>
      <c r="D59">
        <v>176.7700042724609</v>
      </c>
      <c r="E59">
        <v>175.8399963378906</v>
      </c>
      <c r="F59">
        <v>175.9600067138672</v>
      </c>
      <c r="G59">
        <v>175.9600067138672</v>
      </c>
      <c r="H59">
        <v>7167900</v>
      </c>
      <c r="I59" t="s">
        <v>211</v>
      </c>
      <c r="J59" t="s">
        <v>212</v>
      </c>
      <c r="K59" t="s">
        <v>41</v>
      </c>
    </row>
    <row r="60" spans="1:11" ht="20" customHeight="1">
      <c r="A60" t="s">
        <v>25</v>
      </c>
      <c r="B60" t="s">
        <v>213</v>
      </c>
      <c r="C60">
        <v>177.6499938964844</v>
      </c>
      <c r="D60">
        <v>177.8000030517578</v>
      </c>
      <c r="E60">
        <v>176.8399963378906</v>
      </c>
      <c r="F60">
        <v>177.1600036621094</v>
      </c>
      <c r="G60">
        <v>177.1600036621094</v>
      </c>
      <c r="H60">
        <v>6469800</v>
      </c>
      <c r="I60" t="s">
        <v>214</v>
      </c>
      <c r="J60" t="s">
        <v>215</v>
      </c>
      <c r="K60" t="s">
        <v>41</v>
      </c>
    </row>
    <row r="61" spans="1:11" ht="20" customHeight="1">
      <c r="A61" t="s">
        <v>25</v>
      </c>
      <c r="B61" t="s">
        <v>216</v>
      </c>
      <c r="C61">
        <v>177.2299957275391</v>
      </c>
      <c r="D61">
        <v>177.9100036621094</v>
      </c>
      <c r="E61">
        <v>176.8699951171875</v>
      </c>
      <c r="F61">
        <v>177.1499938964844</v>
      </c>
      <c r="G61">
        <v>177.1499938964844</v>
      </c>
      <c r="H61">
        <v>8358500</v>
      </c>
      <c r="I61" t="s">
        <v>217</v>
      </c>
      <c r="J61" t="s">
        <v>218</v>
      </c>
      <c r="K61" t="s">
        <v>41</v>
      </c>
    </row>
    <row r="62" spans="1:11" ht="20" customHeight="1">
      <c r="A62" t="s">
        <v>25</v>
      </c>
      <c r="B62" t="s">
        <v>219</v>
      </c>
      <c r="C62">
        <v>177.25</v>
      </c>
      <c r="D62">
        <v>177.4400024414062</v>
      </c>
      <c r="E62">
        <v>176.0899963378906</v>
      </c>
      <c r="F62">
        <v>176.5</v>
      </c>
      <c r="G62">
        <v>176.5</v>
      </c>
      <c r="H62">
        <v>8229100</v>
      </c>
      <c r="I62" t="s">
        <v>220</v>
      </c>
      <c r="J62" t="s">
        <v>221</v>
      </c>
      <c r="K62" t="s">
        <v>41</v>
      </c>
    </row>
    <row r="63" spans="1:11" ht="20" customHeight="1">
      <c r="A63" t="s">
        <v>25</v>
      </c>
      <c r="B63" t="s">
        <v>222</v>
      </c>
      <c r="C63">
        <v>176.2599945068359</v>
      </c>
      <c r="D63">
        <v>176.8600006103516</v>
      </c>
      <c r="E63">
        <v>175.3500061035156</v>
      </c>
      <c r="F63">
        <v>175.4900054931641</v>
      </c>
      <c r="G63">
        <v>175.4900054931641</v>
      </c>
      <c r="H63">
        <v>7384700</v>
      </c>
      <c r="I63" t="s">
        <v>223</v>
      </c>
      <c r="J63" t="s">
        <v>224</v>
      </c>
      <c r="K63" t="s">
        <v>41</v>
      </c>
    </row>
    <row r="64" spans="1:11" ht="20" customHeight="1">
      <c r="A64" t="s">
        <v>25</v>
      </c>
      <c r="B64" t="s">
        <v>225</v>
      </c>
      <c r="C64">
        <v>174.3000030517578</v>
      </c>
      <c r="D64">
        <v>175.2200012207031</v>
      </c>
      <c r="E64">
        <v>174.1699981689453</v>
      </c>
      <c r="F64">
        <v>175.1600036621094</v>
      </c>
      <c r="G64">
        <v>175.1600036621094</v>
      </c>
      <c r="H64">
        <v>6965100</v>
      </c>
      <c r="I64" t="s">
        <v>226</v>
      </c>
      <c r="J64" t="s">
        <v>227</v>
      </c>
      <c r="K64" t="s">
        <v>41</v>
      </c>
    </row>
    <row r="65" spans="1:11" ht="20" customHeight="1">
      <c r="A65" t="s">
        <v>25</v>
      </c>
      <c r="B65" t="s">
        <v>228</v>
      </c>
      <c r="C65">
        <v>176.1199951171875</v>
      </c>
      <c r="D65">
        <v>176.3800048828125</v>
      </c>
      <c r="E65">
        <v>175.5800018310547</v>
      </c>
      <c r="F65">
        <v>175.6900024414062</v>
      </c>
      <c r="G65">
        <v>175.6900024414062</v>
      </c>
      <c r="H65">
        <v>6379400</v>
      </c>
      <c r="I65" t="s">
        <v>229</v>
      </c>
      <c r="J65" t="s">
        <v>230</v>
      </c>
      <c r="K65" t="s">
        <v>41</v>
      </c>
    </row>
    <row r="66" spans="1:11" ht="20" customHeight="1">
      <c r="A66" t="s">
        <v>25</v>
      </c>
      <c r="B66" t="s">
        <v>231</v>
      </c>
      <c r="C66">
        <v>175.1000061035156</v>
      </c>
      <c r="D66">
        <v>175.2400054931641</v>
      </c>
      <c r="E66">
        <v>171.7799987792969</v>
      </c>
      <c r="F66">
        <v>172.2299957275391</v>
      </c>
      <c r="G66">
        <v>172.2299957275391</v>
      </c>
      <c r="H66">
        <v>15510600</v>
      </c>
      <c r="I66" t="s">
        <v>232</v>
      </c>
      <c r="J66" t="s">
        <v>233</v>
      </c>
      <c r="K66" t="s">
        <v>41</v>
      </c>
    </row>
    <row r="67" spans="1:11" ht="20" customHeight="1">
      <c r="A67" t="s">
        <v>25</v>
      </c>
      <c r="B67" t="s">
        <v>234</v>
      </c>
      <c r="C67">
        <v>169.3000030517578</v>
      </c>
      <c r="D67">
        <v>169.6900024414062</v>
      </c>
      <c r="E67">
        <v>168.8600006103516</v>
      </c>
      <c r="F67">
        <v>169.5899963378906</v>
      </c>
      <c r="G67">
        <v>169.5899963378906</v>
      </c>
      <c r="H67">
        <v>19504000</v>
      </c>
      <c r="I67" t="s">
        <v>235</v>
      </c>
      <c r="J67" t="s">
        <v>236</v>
      </c>
      <c r="K67" t="s">
        <v>41</v>
      </c>
    </row>
    <row r="68" spans="1:11" ht="20" customHeight="1">
      <c r="A68" t="s">
        <v>25</v>
      </c>
      <c r="B68" t="s">
        <v>237</v>
      </c>
      <c r="C68">
        <v>169.9799957275391</v>
      </c>
      <c r="D68">
        <v>170.5200042724609</v>
      </c>
      <c r="E68">
        <v>169.2400054931641</v>
      </c>
      <c r="F68">
        <v>169.5099945068359</v>
      </c>
      <c r="G68">
        <v>169.5099945068359</v>
      </c>
      <c r="H68">
        <v>10286600</v>
      </c>
      <c r="I68" t="s">
        <v>238</v>
      </c>
      <c r="J68" t="s">
        <v>239</v>
      </c>
      <c r="K68" t="s">
        <v>41</v>
      </c>
    </row>
    <row r="69" spans="1:11" ht="20" customHeight="1">
      <c r="A69" t="s">
        <v>25</v>
      </c>
      <c r="B69" t="s">
        <v>240</v>
      </c>
      <c r="C69">
        <v>166.8999938964844</v>
      </c>
      <c r="D69">
        <v>167.8300018310547</v>
      </c>
      <c r="E69">
        <v>166.7799987792969</v>
      </c>
      <c r="F69">
        <v>167.7899932861328</v>
      </c>
      <c r="G69">
        <v>167.7899932861328</v>
      </c>
      <c r="H69">
        <v>10569100</v>
      </c>
      <c r="I69" t="s">
        <v>241</v>
      </c>
      <c r="J69" t="s">
        <v>242</v>
      </c>
      <c r="K69" t="s">
        <v>41</v>
      </c>
    </row>
    <row r="70" spans="1:11" ht="20" customHeight="1">
      <c r="A70" t="s">
        <v>25</v>
      </c>
      <c r="B70" t="s">
        <v>243</v>
      </c>
      <c r="C70">
        <v>166.6799926757812</v>
      </c>
      <c r="D70">
        <v>167.4299926757812</v>
      </c>
      <c r="E70">
        <v>166.0299987792969</v>
      </c>
      <c r="F70">
        <v>166.6699981689453</v>
      </c>
      <c r="G70">
        <v>166.6699981689453</v>
      </c>
      <c r="H70">
        <v>13210000</v>
      </c>
      <c r="I70" t="s">
        <v>244</v>
      </c>
      <c r="J70" t="s">
        <v>245</v>
      </c>
      <c r="K70" t="s">
        <v>41</v>
      </c>
    </row>
    <row r="71" spans="1:11" ht="20" customHeight="1">
      <c r="A71" t="s">
        <v>25</v>
      </c>
      <c r="B71" t="s">
        <v>246</v>
      </c>
      <c r="C71">
        <v>169.7599945068359</v>
      </c>
      <c r="D71">
        <v>170.4799957275391</v>
      </c>
      <c r="E71">
        <v>169.3000030517578</v>
      </c>
      <c r="F71">
        <v>170.1799926757812</v>
      </c>
      <c r="G71">
        <v>170.1799926757812</v>
      </c>
      <c r="H71">
        <v>13533300</v>
      </c>
      <c r="I71" t="s">
        <v>247</v>
      </c>
      <c r="J71" t="s">
        <v>248</v>
      </c>
      <c r="K71" t="s">
        <v>41</v>
      </c>
    </row>
    <row r="72" spans="1:11" ht="20" customHeight="1">
      <c r="A72" t="s">
        <v>25</v>
      </c>
      <c r="B72" t="s">
        <v>249</v>
      </c>
      <c r="C72">
        <v>170.5700073242188</v>
      </c>
      <c r="D72">
        <v>171.7599945068359</v>
      </c>
      <c r="E72">
        <v>170.1499938964844</v>
      </c>
      <c r="F72">
        <v>171.4600067138672</v>
      </c>
      <c r="G72">
        <v>171.4600067138672</v>
      </c>
      <c r="H72">
        <v>9199700</v>
      </c>
      <c r="I72" t="s">
        <v>250</v>
      </c>
      <c r="J72" t="s">
        <v>251</v>
      </c>
      <c r="K72" t="s">
        <v>41</v>
      </c>
    </row>
    <row r="73" spans="1:11" ht="20" customHeight="1">
      <c r="A73" t="s">
        <v>25</v>
      </c>
      <c r="B73" t="s">
        <v>252</v>
      </c>
      <c r="C73">
        <v>172.6399993896484</v>
      </c>
      <c r="D73">
        <v>172.8500061035156</v>
      </c>
      <c r="E73">
        <v>171.0800018310547</v>
      </c>
      <c r="F73">
        <v>172.8099975585938</v>
      </c>
      <c r="G73">
        <v>172.8099975585938</v>
      </c>
      <c r="H73">
        <v>10457300</v>
      </c>
      <c r="I73" t="s">
        <v>253</v>
      </c>
      <c r="J73" t="s">
        <v>254</v>
      </c>
      <c r="K73" t="s">
        <v>41</v>
      </c>
    </row>
    <row r="74" spans="1:11" ht="20" customHeight="1">
      <c r="A74" t="s">
        <v>25</v>
      </c>
      <c r="B74" t="s">
        <v>255</v>
      </c>
      <c r="C74">
        <v>172.7799987792969</v>
      </c>
      <c r="D74">
        <v>173.3200073242188</v>
      </c>
      <c r="E74">
        <v>171.5899963378906</v>
      </c>
      <c r="F74">
        <v>172.3200073242188</v>
      </c>
      <c r="G74">
        <v>172.3200073242188</v>
      </c>
      <c r="H74">
        <v>10098600</v>
      </c>
      <c r="I74" t="s">
        <v>256</v>
      </c>
      <c r="J74" t="s">
        <v>257</v>
      </c>
      <c r="K74" t="s">
        <v>41</v>
      </c>
    </row>
    <row r="75" spans="1:11" ht="20" customHeight="1">
      <c r="A75" t="s">
        <v>25</v>
      </c>
      <c r="B75" t="s">
        <v>258</v>
      </c>
      <c r="C75">
        <v>172.5599975585938</v>
      </c>
      <c r="D75">
        <v>175.2899932861328</v>
      </c>
      <c r="E75">
        <v>172.5099945068359</v>
      </c>
      <c r="F75">
        <v>174.8899993896484</v>
      </c>
      <c r="G75">
        <v>174.8899993896484</v>
      </c>
      <c r="H75">
        <v>10555100</v>
      </c>
      <c r="I75" t="s">
        <v>259</v>
      </c>
      <c r="J75" t="s">
        <v>260</v>
      </c>
      <c r="K75" t="s">
        <v>41</v>
      </c>
    </row>
    <row r="76" spans="1:11" ht="20" customHeight="1">
      <c r="A76" t="s">
        <v>25</v>
      </c>
      <c r="B76" t="s">
        <v>261</v>
      </c>
      <c r="C76">
        <v>175.5099945068359</v>
      </c>
      <c r="D76">
        <v>175.9299926757812</v>
      </c>
      <c r="E76">
        <v>174.7200012207031</v>
      </c>
      <c r="F76">
        <v>175.5</v>
      </c>
      <c r="G76">
        <v>175.5</v>
      </c>
      <c r="H76">
        <v>6348400</v>
      </c>
      <c r="I76" t="s">
        <v>262</v>
      </c>
      <c r="J76" t="s">
        <v>263</v>
      </c>
      <c r="K76" t="s">
        <v>41</v>
      </c>
    </row>
    <row r="77" spans="1:11" ht="20" customHeight="1">
      <c r="A77" t="s">
        <v>25</v>
      </c>
      <c r="B77" t="s">
        <v>264</v>
      </c>
      <c r="C77">
        <v>173.9199981689453</v>
      </c>
      <c r="D77">
        <v>174.0399932861328</v>
      </c>
      <c r="E77">
        <v>171.2400054931641</v>
      </c>
      <c r="F77">
        <v>172.5</v>
      </c>
      <c r="G77">
        <v>172.5</v>
      </c>
      <c r="H77">
        <v>10743200</v>
      </c>
      <c r="I77" t="s">
        <v>265</v>
      </c>
      <c r="J77" t="s">
        <v>266</v>
      </c>
      <c r="K77" t="s">
        <v>41</v>
      </c>
    </row>
    <row r="78" spans="1:11" ht="20" customHeight="1">
      <c r="A78" t="s">
        <v>25</v>
      </c>
      <c r="B78" t="s">
        <v>267</v>
      </c>
      <c r="C78">
        <v>172.8999938964844</v>
      </c>
      <c r="D78">
        <v>173.5800018310547</v>
      </c>
      <c r="E78">
        <v>171.6999969482422</v>
      </c>
      <c r="F78">
        <v>172.1699981689453</v>
      </c>
      <c r="G78">
        <v>172.1699981689453</v>
      </c>
      <c r="H78">
        <v>6564000</v>
      </c>
      <c r="I78" t="s">
        <v>268</v>
      </c>
      <c r="J78" t="s">
        <v>269</v>
      </c>
      <c r="K78" t="s">
        <v>41</v>
      </c>
    </row>
    <row r="79" spans="1:11" ht="20" customHeight="1">
      <c r="A79" t="s">
        <v>25</v>
      </c>
      <c r="B79" t="s">
        <v>270</v>
      </c>
      <c r="C79">
        <v>172.25</v>
      </c>
      <c r="D79">
        <v>173.3200073242188</v>
      </c>
      <c r="E79">
        <v>172.1100006103516</v>
      </c>
      <c r="F79">
        <v>172.4900054931641</v>
      </c>
      <c r="G79">
        <v>172.4900054931641</v>
      </c>
      <c r="H79">
        <v>6084800</v>
      </c>
      <c r="I79" t="s">
        <v>271</v>
      </c>
      <c r="J79" t="s">
        <v>272</v>
      </c>
      <c r="K79" t="s">
        <v>41</v>
      </c>
    </row>
    <row r="80" spans="1:11" ht="20" customHeight="1">
      <c r="A80" t="s">
        <v>25</v>
      </c>
      <c r="B80" t="s">
        <v>273</v>
      </c>
      <c r="C80">
        <v>171.9100036621094</v>
      </c>
      <c r="D80">
        <v>172.5200042724609</v>
      </c>
      <c r="E80">
        <v>170.9100036621094</v>
      </c>
      <c r="F80">
        <v>171.5399932861328</v>
      </c>
      <c r="G80">
        <v>171.5399932861328</v>
      </c>
      <c r="H80">
        <v>7644400</v>
      </c>
      <c r="I80" t="s">
        <v>274</v>
      </c>
      <c r="J80" t="s">
        <v>275</v>
      </c>
      <c r="K80" t="s">
        <v>41</v>
      </c>
    </row>
    <row r="81" spans="1:11" ht="20" customHeight="1">
      <c r="A81" t="s">
        <v>25</v>
      </c>
      <c r="B81" t="s">
        <v>276</v>
      </c>
      <c r="C81">
        <v>173.4299926757812</v>
      </c>
      <c r="D81">
        <v>173.9799957275391</v>
      </c>
      <c r="E81">
        <v>173.0599975585938</v>
      </c>
      <c r="F81">
        <v>173.9400024414062</v>
      </c>
      <c r="G81">
        <v>173.9400024414062</v>
      </c>
      <c r="H81">
        <v>6840500</v>
      </c>
      <c r="I81" t="s">
        <v>277</v>
      </c>
      <c r="J81" t="s">
        <v>278</v>
      </c>
      <c r="K81" t="s">
        <v>41</v>
      </c>
    </row>
    <row r="82" spans="1:11" ht="20" customHeight="1">
      <c r="A82" t="s">
        <v>25</v>
      </c>
      <c r="B82" t="s">
        <v>279</v>
      </c>
      <c r="C82">
        <v>174.1300048828125</v>
      </c>
      <c r="D82">
        <v>175.0200042724609</v>
      </c>
      <c r="E82">
        <v>173.0200042724609</v>
      </c>
      <c r="F82">
        <v>174.8999938964844</v>
      </c>
      <c r="G82">
        <v>174.8999938964844</v>
      </c>
      <c r="H82">
        <v>8174700</v>
      </c>
      <c r="I82" t="s">
        <v>280</v>
      </c>
      <c r="J82" t="s">
        <v>281</v>
      </c>
      <c r="K82" t="s">
        <v>41</v>
      </c>
    </row>
    <row r="83" spans="1:11" ht="20" customHeight="1">
      <c r="A83" t="s">
        <v>25</v>
      </c>
      <c r="B83" t="s">
        <v>282</v>
      </c>
      <c r="C83">
        <v>177.1499938964844</v>
      </c>
      <c r="D83">
        <v>177.8699951171875</v>
      </c>
      <c r="E83">
        <v>176.5800018310547</v>
      </c>
      <c r="F83">
        <v>176.7400054931641</v>
      </c>
      <c r="G83">
        <v>176.7400054931641</v>
      </c>
      <c r="H83">
        <v>9475800</v>
      </c>
      <c r="I83" t="s">
        <v>283</v>
      </c>
      <c r="J83" t="s">
        <v>284</v>
      </c>
      <c r="K83" t="s">
        <v>41</v>
      </c>
    </row>
    <row r="84" spans="1:11" ht="20" customHeight="1">
      <c r="A84" t="s">
        <v>25</v>
      </c>
      <c r="B84" t="s">
        <v>285</v>
      </c>
      <c r="C84">
        <v>176.6499938964844</v>
      </c>
      <c r="D84">
        <v>176.9799957275391</v>
      </c>
      <c r="E84">
        <v>176.1000061035156</v>
      </c>
      <c r="F84">
        <v>176.4400024414062</v>
      </c>
      <c r="G84">
        <v>176.4400024414062</v>
      </c>
      <c r="H84">
        <v>6789900</v>
      </c>
      <c r="I84" t="s">
        <v>286</v>
      </c>
      <c r="J84" t="s">
        <v>287</v>
      </c>
      <c r="K84" t="s">
        <v>41</v>
      </c>
    </row>
    <row r="85" spans="1:11" ht="20" customHeight="1">
      <c r="A85" t="s">
        <v>25</v>
      </c>
      <c r="B85" t="s">
        <v>288</v>
      </c>
      <c r="C85">
        <v>176.2899932861328</v>
      </c>
      <c r="D85">
        <v>176.9400024414062</v>
      </c>
      <c r="E85">
        <v>175.7599945068359</v>
      </c>
      <c r="F85">
        <v>175.8800048828125</v>
      </c>
      <c r="G85">
        <v>175.8800048828125</v>
      </c>
      <c r="H85">
        <v>8168900</v>
      </c>
      <c r="I85" t="s">
        <v>289</v>
      </c>
      <c r="J85" t="s">
        <v>290</v>
      </c>
      <c r="K85" t="s">
        <v>41</v>
      </c>
    </row>
    <row r="86" spans="1:11" ht="20" customHeight="1">
      <c r="A86" t="s">
        <v>25</v>
      </c>
      <c r="B86" t="s">
        <v>291</v>
      </c>
      <c r="C86">
        <v>176.1999969482422</v>
      </c>
      <c r="D86">
        <v>176.3399963378906</v>
      </c>
      <c r="E86">
        <v>174.3399963378906</v>
      </c>
      <c r="F86">
        <v>174.4900054931641</v>
      </c>
      <c r="G86">
        <v>174.4900054931641</v>
      </c>
      <c r="H86">
        <v>9442400</v>
      </c>
      <c r="I86" t="s">
        <v>292</v>
      </c>
      <c r="J86" t="s">
        <v>293</v>
      </c>
      <c r="K86" t="s">
        <v>41</v>
      </c>
    </row>
    <row r="87" spans="1:11" ht="20" customHeight="1">
      <c r="A87" t="s">
        <v>25</v>
      </c>
      <c r="B87" t="s">
        <v>294</v>
      </c>
      <c r="C87">
        <v>175.1000061035156</v>
      </c>
      <c r="D87">
        <v>176.2100067138672</v>
      </c>
      <c r="E87">
        <v>175.0599975585938</v>
      </c>
      <c r="F87">
        <v>175.6499938964844</v>
      </c>
      <c r="G87">
        <v>175.6499938964844</v>
      </c>
      <c r="H87">
        <v>6542800</v>
      </c>
      <c r="I87" t="s">
        <v>295</v>
      </c>
      <c r="J87" t="s">
        <v>296</v>
      </c>
      <c r="K87" t="s">
        <v>41</v>
      </c>
    </row>
    <row r="88" spans="1:11" ht="20" customHeight="1">
      <c r="A88" t="s">
        <v>25</v>
      </c>
      <c r="B88" t="s">
        <v>297</v>
      </c>
      <c r="C88">
        <v>175.5500030517578</v>
      </c>
      <c r="D88">
        <v>176.3699951171875</v>
      </c>
      <c r="E88">
        <v>175.5099945068359</v>
      </c>
      <c r="F88">
        <v>176.3500061035156</v>
      </c>
      <c r="G88">
        <v>176.3500061035156</v>
      </c>
      <c r="H88">
        <v>3695400</v>
      </c>
      <c r="I88" t="s">
        <v>298</v>
      </c>
      <c r="J88" t="s">
        <v>299</v>
      </c>
      <c r="K88" t="s">
        <v>41</v>
      </c>
    </row>
    <row r="89" spans="1:11" ht="20" customHeight="1">
      <c r="A89" t="s">
        <v>25</v>
      </c>
      <c r="B89" t="s">
        <v>300</v>
      </c>
      <c r="C89">
        <v>177.2599945068359</v>
      </c>
      <c r="D89">
        <v>177.9100036621094</v>
      </c>
      <c r="E89">
        <v>175.6300048828125</v>
      </c>
      <c r="F89">
        <v>175.7100067138672</v>
      </c>
      <c r="G89">
        <v>175.7100067138672</v>
      </c>
      <c r="H89">
        <v>7778700</v>
      </c>
      <c r="I89" t="s">
        <v>301</v>
      </c>
      <c r="J89" t="s">
        <v>302</v>
      </c>
      <c r="K89" t="s">
        <v>41</v>
      </c>
    </row>
    <row r="90" spans="1:11" ht="20" customHeight="1">
      <c r="A90" t="s">
        <v>25</v>
      </c>
      <c r="B90" t="s">
        <v>303</v>
      </c>
      <c r="C90">
        <v>176.25</v>
      </c>
      <c r="D90">
        <v>176.9700012207031</v>
      </c>
      <c r="E90">
        <v>175.5700073242188</v>
      </c>
      <c r="F90">
        <v>176.3500061035156</v>
      </c>
      <c r="G90">
        <v>176.3500061035156</v>
      </c>
      <c r="H90">
        <v>5983700</v>
      </c>
      <c r="I90" t="s">
        <v>304</v>
      </c>
      <c r="J90" t="s">
        <v>305</v>
      </c>
      <c r="K90" t="s">
        <v>41</v>
      </c>
    </row>
    <row r="91" spans="1:11" ht="20" customHeight="1">
      <c r="A91" t="s">
        <v>25</v>
      </c>
      <c r="B91" t="s">
        <v>306</v>
      </c>
      <c r="C91">
        <v>176.4400024414062</v>
      </c>
      <c r="D91">
        <v>177.7200012207031</v>
      </c>
      <c r="E91">
        <v>176.4400024414062</v>
      </c>
      <c r="F91">
        <v>177.6999969482422</v>
      </c>
      <c r="G91">
        <v>177.6999969482422</v>
      </c>
      <c r="H91">
        <v>5914000</v>
      </c>
      <c r="I91" t="s">
        <v>307</v>
      </c>
      <c r="J91" t="s">
        <v>308</v>
      </c>
      <c r="K91" t="s">
        <v>41</v>
      </c>
    </row>
    <row r="92" spans="1:11" ht="20" customHeight="1">
      <c r="A92" t="s">
        <v>25</v>
      </c>
      <c r="B92" t="s">
        <v>309</v>
      </c>
      <c r="C92">
        <v>178.0700073242188</v>
      </c>
      <c r="D92">
        <v>178.3999938964844</v>
      </c>
      <c r="E92">
        <v>177.3200073242188</v>
      </c>
      <c r="F92">
        <v>178.3600006103516</v>
      </c>
      <c r="G92">
        <v>178.3600006103516</v>
      </c>
      <c r="H92">
        <v>7540800</v>
      </c>
      <c r="I92" t="s">
        <v>310</v>
      </c>
      <c r="J92" t="s">
        <v>311</v>
      </c>
      <c r="K92" t="s">
        <v>41</v>
      </c>
    </row>
    <row r="93" spans="1:11" ht="20" customHeight="1">
      <c r="A93" t="s">
        <v>25</v>
      </c>
      <c r="B93" t="s">
        <v>312</v>
      </c>
      <c r="C93">
        <v>181.9700012207031</v>
      </c>
      <c r="D93">
        <v>182.3999938964844</v>
      </c>
      <c r="E93">
        <v>180.9600067138672</v>
      </c>
      <c r="F93">
        <v>182.3300018310547</v>
      </c>
      <c r="G93">
        <v>182.3300018310547</v>
      </c>
      <c r="H93">
        <v>14331400</v>
      </c>
      <c r="I93" t="s">
        <v>313</v>
      </c>
      <c r="J93" t="s">
        <v>314</v>
      </c>
      <c r="K93" t="s">
        <v>41</v>
      </c>
    </row>
    <row r="94" spans="1:11" ht="20" customHeight="1">
      <c r="A94" t="s">
        <v>25</v>
      </c>
      <c r="B94" t="s">
        <v>315</v>
      </c>
      <c r="C94">
        <v>182.8699951171875</v>
      </c>
      <c r="D94">
        <v>183.2100067138672</v>
      </c>
      <c r="E94">
        <v>181.8200073242188</v>
      </c>
      <c r="F94">
        <v>182.8699951171875</v>
      </c>
      <c r="G94">
        <v>182.8699951171875</v>
      </c>
      <c r="H94">
        <v>12718800</v>
      </c>
      <c r="I94" t="s">
        <v>316</v>
      </c>
      <c r="J94" t="s">
        <v>317</v>
      </c>
      <c r="K94" t="s">
        <v>41</v>
      </c>
    </row>
    <row r="95" spans="1:11" ht="20" customHeight="1">
      <c r="A95" t="s">
        <v>25</v>
      </c>
      <c r="B95" t="s">
        <v>318</v>
      </c>
      <c r="C95">
        <v>181.4900054931641</v>
      </c>
      <c r="D95">
        <v>181.5800018310547</v>
      </c>
      <c r="E95">
        <v>178.2400054931641</v>
      </c>
      <c r="F95">
        <v>179.8999938964844</v>
      </c>
      <c r="G95">
        <v>179.8999938964844</v>
      </c>
      <c r="H95">
        <v>18453500</v>
      </c>
      <c r="I95" t="s">
        <v>319</v>
      </c>
      <c r="J95" t="s">
        <v>320</v>
      </c>
      <c r="K95" t="s">
        <v>41</v>
      </c>
    </row>
    <row r="96" spans="1:11" ht="20" customHeight="1">
      <c r="A96" t="s">
        <v>25</v>
      </c>
      <c r="B96" t="s">
        <v>321</v>
      </c>
      <c r="C96">
        <v>179.6900024414062</v>
      </c>
      <c r="D96">
        <v>179.9199981689453</v>
      </c>
      <c r="E96">
        <v>178.8399963378906</v>
      </c>
      <c r="F96">
        <v>179.4799957275391</v>
      </c>
      <c r="G96">
        <v>179.4799957275391</v>
      </c>
      <c r="H96">
        <v>7110200</v>
      </c>
      <c r="I96" t="s">
        <v>322</v>
      </c>
      <c r="J96" t="s">
        <v>323</v>
      </c>
      <c r="K96" t="s">
        <v>41</v>
      </c>
    </row>
    <row r="97" spans="1:11" ht="20" customHeight="1">
      <c r="A97" t="s">
        <v>25</v>
      </c>
      <c r="B97" t="s">
        <v>324</v>
      </c>
      <c r="C97">
        <v>176.8300018310547</v>
      </c>
      <c r="D97">
        <v>176.9900054931641</v>
      </c>
      <c r="E97">
        <v>171.4799957275391</v>
      </c>
      <c r="F97">
        <v>173.3399963378906</v>
      </c>
      <c r="G97">
        <v>173.3399963378906</v>
      </c>
      <c r="H97">
        <v>24399900</v>
      </c>
      <c r="I97" t="s">
        <v>325</v>
      </c>
      <c r="J97" t="s">
        <v>326</v>
      </c>
      <c r="K97" t="s">
        <v>41</v>
      </c>
    </row>
    <row r="98" spans="1:11" ht="20" customHeight="1">
      <c r="A98" t="s">
        <v>25</v>
      </c>
      <c r="B98" t="s">
        <v>327</v>
      </c>
      <c r="C98">
        <v>172.1399993896484</v>
      </c>
      <c r="D98">
        <v>173.6799926757812</v>
      </c>
      <c r="E98">
        <v>172.0299987792969</v>
      </c>
      <c r="F98">
        <v>173</v>
      </c>
      <c r="G98">
        <v>173</v>
      </c>
      <c r="H98">
        <v>8571400</v>
      </c>
      <c r="I98" t="s">
        <v>328</v>
      </c>
      <c r="J98" t="s">
        <v>329</v>
      </c>
      <c r="K98" t="s">
        <v>41</v>
      </c>
    </row>
    <row r="99" spans="1:11" ht="20" customHeight="1">
      <c r="A99" t="s">
        <v>25</v>
      </c>
      <c r="B99" t="s">
        <v>330</v>
      </c>
      <c r="C99">
        <v>173.1300048828125</v>
      </c>
      <c r="D99">
        <v>174.1799926757812</v>
      </c>
      <c r="E99">
        <v>172.3200073242188</v>
      </c>
      <c r="F99">
        <v>174.1199951171875</v>
      </c>
      <c r="G99">
        <v>174.1199951171875</v>
      </c>
      <c r="H99">
        <v>9798500</v>
      </c>
      <c r="I99" t="s">
        <v>331</v>
      </c>
      <c r="J99" t="s">
        <v>332</v>
      </c>
      <c r="K99" t="s">
        <v>41</v>
      </c>
    </row>
    <row r="100" spans="1:11" ht="20" customHeight="1">
      <c r="A100" t="s">
        <v>25</v>
      </c>
      <c r="B100" t="s">
        <v>333</v>
      </c>
      <c r="C100">
        <v>173.6799926757812</v>
      </c>
      <c r="D100">
        <v>174.4600067138672</v>
      </c>
      <c r="E100">
        <v>173.0500030517578</v>
      </c>
      <c r="F100">
        <v>173.3699951171875</v>
      </c>
      <c r="G100">
        <v>173.3699951171875</v>
      </c>
      <c r="H100">
        <v>14110300</v>
      </c>
      <c r="I100" t="s">
        <v>334</v>
      </c>
      <c r="J100" t="s">
        <v>335</v>
      </c>
      <c r="K100" t="s">
        <v>41</v>
      </c>
    </row>
    <row r="101" spans="1:11" ht="20" customHeight="1">
      <c r="A101" t="s">
        <v>25</v>
      </c>
      <c r="B101" t="s">
        <v>336</v>
      </c>
      <c r="C101">
        <v>173.4400024414062</v>
      </c>
      <c r="D101">
        <v>174.2200012207031</v>
      </c>
      <c r="E101">
        <v>172.6600036621094</v>
      </c>
      <c r="F101">
        <v>173.2799987792969</v>
      </c>
      <c r="G101">
        <v>173.2799987792969</v>
      </c>
      <c r="H101">
        <v>13522700</v>
      </c>
      <c r="I101" t="s">
        <v>337</v>
      </c>
      <c r="J101" t="s">
        <v>338</v>
      </c>
      <c r="K101" t="s">
        <v>41</v>
      </c>
    </row>
    <row r="102" spans="1:11" ht="20" customHeight="1">
      <c r="A102" t="s">
        <v>25</v>
      </c>
      <c r="B102" t="s">
        <v>339</v>
      </c>
      <c r="C102">
        <v>172.8399963378906</v>
      </c>
      <c r="D102">
        <v>173.0700073242188</v>
      </c>
      <c r="E102">
        <v>170.9799957275391</v>
      </c>
      <c r="F102">
        <v>171.1300048828125</v>
      </c>
      <c r="G102">
        <v>171.1300048828125</v>
      </c>
      <c r="H102">
        <v>16172500</v>
      </c>
      <c r="I102" t="s">
        <v>340</v>
      </c>
      <c r="J102" t="s">
        <v>341</v>
      </c>
      <c r="K102" t="s">
        <v>41</v>
      </c>
    </row>
    <row r="103" spans="1:11" ht="20" customHeight="1">
      <c r="A103" t="s">
        <v>25</v>
      </c>
      <c r="B103" t="s">
        <v>342</v>
      </c>
      <c r="C103">
        <v>172.7100067138672</v>
      </c>
      <c r="D103">
        <v>172.8500061035156</v>
      </c>
      <c r="E103">
        <v>171.9199981689453</v>
      </c>
      <c r="F103">
        <v>172.5800018310547</v>
      </c>
      <c r="G103">
        <v>172.5800018310547</v>
      </c>
      <c r="H103">
        <v>7485700</v>
      </c>
      <c r="I103" t="s">
        <v>343</v>
      </c>
      <c r="J103" t="s">
        <v>344</v>
      </c>
      <c r="K103" t="s">
        <v>41</v>
      </c>
    </row>
    <row r="104" spans="1:11" ht="20" customHeight="1">
      <c r="A104" t="s">
        <v>25</v>
      </c>
      <c r="B104" t="s">
        <v>345</v>
      </c>
      <c r="C104">
        <v>174.3699951171875</v>
      </c>
      <c r="D104">
        <v>175.4700012207031</v>
      </c>
      <c r="E104">
        <v>173.8200073242188</v>
      </c>
      <c r="F104">
        <v>175.3899993896484</v>
      </c>
      <c r="G104">
        <v>175.3899993896484</v>
      </c>
      <c r="H104">
        <v>9456000</v>
      </c>
      <c r="I104" t="s">
        <v>346</v>
      </c>
      <c r="J104" t="s">
        <v>347</v>
      </c>
      <c r="K104" t="s">
        <v>41</v>
      </c>
    </row>
    <row r="105" spans="1:11" ht="20" customHeight="1">
      <c r="A105" t="s">
        <v>25</v>
      </c>
      <c r="B105" t="s">
        <v>348</v>
      </c>
      <c r="C105">
        <v>175.1100006103516</v>
      </c>
      <c r="D105">
        <v>175.5099945068359</v>
      </c>
      <c r="E105">
        <v>174.5099945068359</v>
      </c>
      <c r="F105">
        <v>175.2799987792969</v>
      </c>
      <c r="G105">
        <v>175.2799987792969</v>
      </c>
      <c r="H105">
        <v>7246800</v>
      </c>
      <c r="I105" t="s">
        <v>349</v>
      </c>
      <c r="J105" t="s">
        <v>350</v>
      </c>
      <c r="K105" t="s">
        <v>41</v>
      </c>
    </row>
    <row r="106" spans="1:11" ht="20" customHeight="1">
      <c r="A106" t="s">
        <v>25</v>
      </c>
      <c r="B106" t="s">
        <v>351</v>
      </c>
      <c r="C106">
        <v>172.8899993896484</v>
      </c>
      <c r="D106">
        <v>174.2899932861328</v>
      </c>
      <c r="E106">
        <v>172.3500061035156</v>
      </c>
      <c r="F106">
        <v>173.8999938964844</v>
      </c>
      <c r="G106">
        <v>173.8999938964844</v>
      </c>
      <c r="H106">
        <v>7269600</v>
      </c>
      <c r="I106" t="s">
        <v>352</v>
      </c>
      <c r="J106" t="s">
        <v>353</v>
      </c>
      <c r="K106" t="s">
        <v>41</v>
      </c>
    </row>
    <row r="107" spans="1:11" ht="20" customHeight="1">
      <c r="A107" t="s">
        <v>25</v>
      </c>
      <c r="B107" t="s">
        <v>354</v>
      </c>
      <c r="C107">
        <v>174.8200073242188</v>
      </c>
      <c r="D107">
        <v>174.9600067138672</v>
      </c>
      <c r="E107">
        <v>173.1900024414062</v>
      </c>
      <c r="F107">
        <v>174.0500030517578</v>
      </c>
      <c r="G107">
        <v>174.0500030517578</v>
      </c>
      <c r="H107">
        <v>5936800</v>
      </c>
      <c r="I107" t="s">
        <v>355</v>
      </c>
      <c r="J107" t="s">
        <v>356</v>
      </c>
      <c r="K107" t="s">
        <v>41</v>
      </c>
    </row>
    <row r="108" spans="1:11" ht="20" customHeight="1">
      <c r="A108" t="s">
        <v>25</v>
      </c>
      <c r="B108" t="s">
        <v>357</v>
      </c>
      <c r="C108">
        <v>173.9799957275391</v>
      </c>
      <c r="D108">
        <v>174.2599945068359</v>
      </c>
      <c r="E108">
        <v>173.4199981689453</v>
      </c>
      <c r="F108">
        <v>173.6199951171875</v>
      </c>
      <c r="G108">
        <v>173.6199951171875</v>
      </c>
      <c r="H108">
        <v>4685600</v>
      </c>
      <c r="I108" t="s">
        <v>358</v>
      </c>
      <c r="J108" t="s">
        <v>359</v>
      </c>
      <c r="K108" t="s">
        <v>41</v>
      </c>
    </row>
    <row r="109" spans="1:11" ht="20" customHeight="1">
      <c r="A109" t="s">
        <v>25</v>
      </c>
      <c r="B109" t="s">
        <v>360</v>
      </c>
      <c r="C109">
        <v>172.9299926757812</v>
      </c>
      <c r="D109">
        <v>173.5200042724609</v>
      </c>
      <c r="E109">
        <v>171.6600036621094</v>
      </c>
      <c r="F109">
        <v>172.5200042724609</v>
      </c>
      <c r="G109">
        <v>172.5200042724609</v>
      </c>
      <c r="H109">
        <v>9036500</v>
      </c>
      <c r="I109" t="s">
        <v>361</v>
      </c>
      <c r="J109" t="s">
        <v>362</v>
      </c>
      <c r="K109" t="s">
        <v>41</v>
      </c>
    </row>
    <row r="110" spans="1:11" ht="20" customHeight="1">
      <c r="A110" t="s">
        <v>25</v>
      </c>
      <c r="B110" t="s">
        <v>363</v>
      </c>
      <c r="C110">
        <v>174.2799987792969</v>
      </c>
      <c r="D110">
        <v>174.7299957275391</v>
      </c>
      <c r="E110">
        <v>172.0399932861328</v>
      </c>
      <c r="F110">
        <v>172.6799926757812</v>
      </c>
      <c r="G110">
        <v>172.6799926757812</v>
      </c>
      <c r="H110">
        <v>9392400</v>
      </c>
      <c r="I110" t="s">
        <v>364</v>
      </c>
      <c r="J110" t="s">
        <v>365</v>
      </c>
      <c r="K110" t="s">
        <v>41</v>
      </c>
    </row>
    <row r="111" spans="1:11" ht="20" customHeight="1">
      <c r="A111" t="s">
        <v>25</v>
      </c>
      <c r="B111" t="s">
        <v>366</v>
      </c>
      <c r="C111">
        <v>174.8699951171875</v>
      </c>
      <c r="D111">
        <v>175.1600036621094</v>
      </c>
      <c r="E111">
        <v>172.6100006103516</v>
      </c>
      <c r="F111">
        <v>172.6100006103516</v>
      </c>
      <c r="G111">
        <v>172.6100006103516</v>
      </c>
      <c r="H111">
        <v>11252800</v>
      </c>
      <c r="I111" t="s">
        <v>367</v>
      </c>
      <c r="J111" t="s">
        <v>368</v>
      </c>
      <c r="K111" t="s">
        <v>41</v>
      </c>
    </row>
    <row r="112" spans="1:11" ht="20" customHeight="1">
      <c r="A112" t="s">
        <v>25</v>
      </c>
      <c r="B112" t="s">
        <v>369</v>
      </c>
      <c r="C112">
        <v>175.0200042724609</v>
      </c>
      <c r="D112">
        <v>175.2599945068359</v>
      </c>
      <c r="E112">
        <v>174.0599975585938</v>
      </c>
      <c r="F112">
        <v>174.2299957275391</v>
      </c>
      <c r="G112">
        <v>174.2299957275391</v>
      </c>
      <c r="H112">
        <v>9105500</v>
      </c>
      <c r="I112" t="s">
        <v>370</v>
      </c>
      <c r="J112" t="s">
        <v>371</v>
      </c>
      <c r="K112" t="s">
        <v>41</v>
      </c>
    </row>
    <row r="113" spans="1:11" ht="20" customHeight="1">
      <c r="A113" t="s">
        <v>25</v>
      </c>
      <c r="B113" t="s">
        <v>372</v>
      </c>
      <c r="C113">
        <v>172.4900054931641</v>
      </c>
      <c r="D113">
        <v>172.5299987792969</v>
      </c>
      <c r="E113">
        <v>171.5099945068359</v>
      </c>
      <c r="F113">
        <v>172.1100006103516</v>
      </c>
      <c r="G113">
        <v>172.1100006103516</v>
      </c>
      <c r="H113">
        <v>7221700</v>
      </c>
      <c r="I113" t="s">
        <v>373</v>
      </c>
      <c r="J113" t="s">
        <v>374</v>
      </c>
      <c r="K113" t="s">
        <v>41</v>
      </c>
    </row>
    <row r="114" spans="1:11" ht="20" customHeight="1">
      <c r="A114" t="s">
        <v>25</v>
      </c>
      <c r="B114" t="s">
        <v>375</v>
      </c>
      <c r="C114">
        <v>172.3600006103516</v>
      </c>
      <c r="D114">
        <v>172.5899963378906</v>
      </c>
      <c r="E114">
        <v>171.5</v>
      </c>
      <c r="F114">
        <v>171.8500061035156</v>
      </c>
      <c r="G114">
        <v>171.8500061035156</v>
      </c>
      <c r="H114">
        <v>4658100</v>
      </c>
      <c r="I114" t="s">
        <v>376</v>
      </c>
      <c r="J114" t="s">
        <v>377</v>
      </c>
      <c r="K114" t="s">
        <v>41</v>
      </c>
    </row>
    <row r="115" spans="1:11" ht="20" customHeight="1">
      <c r="A115" t="s">
        <v>25</v>
      </c>
      <c r="B115" t="s">
        <v>378</v>
      </c>
      <c r="C115">
        <v>168.2899932861328</v>
      </c>
      <c r="D115">
        <v>168.3999938964844</v>
      </c>
      <c r="E115">
        <v>167.3399963378906</v>
      </c>
      <c r="F115">
        <v>168.1499938964844</v>
      </c>
      <c r="G115">
        <v>168.1499938964844</v>
      </c>
      <c r="H115">
        <v>13736600</v>
      </c>
      <c r="I115" t="s">
        <v>379</v>
      </c>
      <c r="J115" t="s">
        <v>380</v>
      </c>
      <c r="K115" t="s">
        <v>41</v>
      </c>
    </row>
    <row r="116" spans="1:11" ht="20" customHeight="1">
      <c r="A116" t="s">
        <v>25</v>
      </c>
      <c r="B116" t="s">
        <v>381</v>
      </c>
      <c r="C116">
        <v>168.9900054931641</v>
      </c>
      <c r="D116">
        <v>170.1799926757812</v>
      </c>
      <c r="E116">
        <v>168.6699981689453</v>
      </c>
      <c r="F116">
        <v>169.8099975585938</v>
      </c>
      <c r="G116">
        <v>169.8099975585938</v>
      </c>
      <c r="H116">
        <v>6538500</v>
      </c>
      <c r="I116" t="s">
        <v>382</v>
      </c>
      <c r="J116" t="s">
        <v>383</v>
      </c>
      <c r="K116" t="s">
        <v>41</v>
      </c>
    </row>
    <row r="117" spans="1:11" ht="20" customHeight="1">
      <c r="A117" t="s">
        <v>25</v>
      </c>
      <c r="B117" t="s">
        <v>384</v>
      </c>
      <c r="C117">
        <v>171.9799957275391</v>
      </c>
      <c r="D117">
        <v>172.3999938964844</v>
      </c>
      <c r="E117">
        <v>171.4900054931641</v>
      </c>
      <c r="F117">
        <v>171.5200042724609</v>
      </c>
      <c r="G117">
        <v>171.5200042724609</v>
      </c>
      <c r="H117">
        <v>6887500</v>
      </c>
      <c r="I117" t="s">
        <v>385</v>
      </c>
      <c r="J117" t="s">
        <v>386</v>
      </c>
      <c r="K117" t="s">
        <v>41</v>
      </c>
    </row>
    <row r="118" spans="1:11" ht="20" customHeight="1">
      <c r="A118" t="s">
        <v>25</v>
      </c>
      <c r="B118" t="s">
        <v>387</v>
      </c>
      <c r="C118">
        <v>172.5700073242188</v>
      </c>
      <c r="D118">
        <v>173.0299987792969</v>
      </c>
      <c r="E118">
        <v>171.75</v>
      </c>
      <c r="F118">
        <v>172.0800018310547</v>
      </c>
      <c r="G118">
        <v>172.0800018310547</v>
      </c>
      <c r="H118">
        <v>5131800</v>
      </c>
      <c r="I118" t="s">
        <v>388</v>
      </c>
      <c r="J118" t="s">
        <v>389</v>
      </c>
      <c r="K118" t="s">
        <v>41</v>
      </c>
    </row>
    <row r="119" spans="1:11" ht="20" customHeight="1">
      <c r="A119" t="s">
        <v>25</v>
      </c>
      <c r="B119" t="s">
        <v>390</v>
      </c>
      <c r="C119">
        <v>173.1499938964844</v>
      </c>
      <c r="D119">
        <v>173.2200012207031</v>
      </c>
      <c r="E119">
        <v>172.0099945068359</v>
      </c>
      <c r="F119">
        <v>172.7100067138672</v>
      </c>
      <c r="G119">
        <v>172.7100067138672</v>
      </c>
      <c r="H119">
        <v>6112800</v>
      </c>
      <c r="I119" t="s">
        <v>391</v>
      </c>
      <c r="J119" t="s">
        <v>392</v>
      </c>
      <c r="K119" t="s">
        <v>41</v>
      </c>
    </row>
    <row r="120" spans="1:11" ht="20" customHeight="1">
      <c r="A120" t="s">
        <v>25</v>
      </c>
      <c r="B120" t="s">
        <v>393</v>
      </c>
      <c r="C120">
        <v>172.6999969482422</v>
      </c>
      <c r="D120">
        <v>172.8699951171875</v>
      </c>
      <c r="E120">
        <v>170.7100067138672</v>
      </c>
      <c r="F120">
        <v>171.2100067138672</v>
      </c>
      <c r="G120">
        <v>171.2100067138672</v>
      </c>
      <c r="H120">
        <v>5994500</v>
      </c>
      <c r="I120" t="s">
        <v>394</v>
      </c>
      <c r="J120" t="s">
        <v>395</v>
      </c>
      <c r="K120" t="s">
        <v>41</v>
      </c>
    </row>
    <row r="121" spans="1:11" ht="20" customHeight="1">
      <c r="A121" t="s">
        <v>25</v>
      </c>
      <c r="B121" t="s">
        <v>396</v>
      </c>
      <c r="C121">
        <v>170.2899932861328</v>
      </c>
      <c r="D121">
        <v>171.6499938964844</v>
      </c>
      <c r="E121">
        <v>169.8800048828125</v>
      </c>
      <c r="F121">
        <v>170.6900024414062</v>
      </c>
      <c r="G121">
        <v>170.6900024414062</v>
      </c>
      <c r="H121">
        <v>6018900</v>
      </c>
      <c r="I121" t="s">
        <v>397</v>
      </c>
      <c r="J121" t="s">
        <v>398</v>
      </c>
      <c r="K121" t="s">
        <v>41</v>
      </c>
    </row>
    <row r="122" spans="1:11" ht="20" customHeight="1">
      <c r="A122" t="s">
        <v>25</v>
      </c>
      <c r="B122" t="s">
        <v>399</v>
      </c>
      <c r="C122">
        <v>168.1399993896484</v>
      </c>
      <c r="D122">
        <v>170.0700073242188</v>
      </c>
      <c r="E122">
        <v>167.7299957275391</v>
      </c>
      <c r="F122">
        <v>168.2400054931641</v>
      </c>
      <c r="G122">
        <v>168.2400054931641</v>
      </c>
      <c r="H122">
        <v>14761100</v>
      </c>
      <c r="I122" t="s">
        <v>400</v>
      </c>
      <c r="J122" t="s">
        <v>401</v>
      </c>
      <c r="K122" t="s">
        <v>41</v>
      </c>
    </row>
    <row r="123" spans="1:11" ht="20" customHeight="1">
      <c r="A123" t="s">
        <v>25</v>
      </c>
      <c r="B123" t="s">
        <v>402</v>
      </c>
      <c r="C123">
        <v>166.9199981689453</v>
      </c>
      <c r="D123">
        <v>167.3399963378906</v>
      </c>
      <c r="E123">
        <v>165.8500061035156</v>
      </c>
      <c r="F123">
        <v>166.3300018310547</v>
      </c>
      <c r="G123">
        <v>166.3300018310547</v>
      </c>
      <c r="H123">
        <v>11400700</v>
      </c>
      <c r="I123" t="s">
        <v>403</v>
      </c>
      <c r="J123" t="s">
        <v>404</v>
      </c>
      <c r="K123" t="s">
        <v>41</v>
      </c>
    </row>
    <row r="124" spans="1:11" ht="20" customHeight="1">
      <c r="A124" t="s">
        <v>25</v>
      </c>
      <c r="B124" t="s">
        <v>405</v>
      </c>
      <c r="C124">
        <v>166.9799957275391</v>
      </c>
      <c r="D124">
        <v>167.3000030517578</v>
      </c>
      <c r="E124">
        <v>165.7299957275391</v>
      </c>
      <c r="F124">
        <v>166.3200073242188</v>
      </c>
      <c r="G124">
        <v>166.3200073242188</v>
      </c>
      <c r="H124">
        <v>7498200</v>
      </c>
      <c r="I124" t="s">
        <v>406</v>
      </c>
      <c r="J124" t="s">
        <v>407</v>
      </c>
      <c r="K124" t="s">
        <v>41</v>
      </c>
    </row>
    <row r="125" spans="1:11" ht="20" customHeight="1">
      <c r="A125" t="s">
        <v>25</v>
      </c>
      <c r="B125" t="s">
        <v>408</v>
      </c>
      <c r="C125">
        <v>166.7599945068359</v>
      </c>
      <c r="D125">
        <v>167.9400024414062</v>
      </c>
      <c r="E125">
        <v>166.6000061035156</v>
      </c>
      <c r="F125">
        <v>167.0099945068359</v>
      </c>
      <c r="G125">
        <v>167.0099945068359</v>
      </c>
      <c r="H125">
        <v>8273500</v>
      </c>
      <c r="I125" t="s">
        <v>409</v>
      </c>
      <c r="J125" t="s">
        <v>410</v>
      </c>
      <c r="K125" t="s">
        <v>41</v>
      </c>
    </row>
    <row r="126" spans="1:11" ht="20" customHeight="1">
      <c r="A126" t="s">
        <v>25</v>
      </c>
      <c r="B126" t="s">
        <v>411</v>
      </c>
      <c r="C126">
        <v>168.5399932861328</v>
      </c>
      <c r="D126">
        <v>169.8899993896484</v>
      </c>
      <c r="E126">
        <v>168.3000030517578</v>
      </c>
      <c r="F126">
        <v>169.5099945068359</v>
      </c>
      <c r="G126">
        <v>169.5099945068359</v>
      </c>
      <c r="H126">
        <v>10072000</v>
      </c>
      <c r="I126" t="s">
        <v>412</v>
      </c>
      <c r="J126" t="s">
        <v>413</v>
      </c>
      <c r="K126" t="s">
        <v>41</v>
      </c>
    </row>
    <row r="127" spans="1:11" ht="20" customHeight="1">
      <c r="A127" t="s">
        <v>25</v>
      </c>
      <c r="B127" t="s">
        <v>414</v>
      </c>
      <c r="C127">
        <v>169.4799957275391</v>
      </c>
      <c r="D127">
        <v>169.7400054931641</v>
      </c>
      <c r="E127">
        <v>168.2799987792969</v>
      </c>
      <c r="F127">
        <v>169.1199951171875</v>
      </c>
      <c r="G127">
        <v>169.1199951171875</v>
      </c>
      <c r="H127">
        <v>8616800</v>
      </c>
      <c r="I127" t="s">
        <v>415</v>
      </c>
      <c r="J127" t="s">
        <v>416</v>
      </c>
      <c r="K127" t="s">
        <v>41</v>
      </c>
    </row>
    <row r="128" spans="1:11" ht="20" customHeight="1">
      <c r="A128" t="s">
        <v>25</v>
      </c>
      <c r="B128" t="s">
        <v>417</v>
      </c>
      <c r="C128">
        <v>167.6499938964844</v>
      </c>
      <c r="D128">
        <v>169.1399993896484</v>
      </c>
      <c r="E128">
        <v>167.1499938964844</v>
      </c>
      <c r="F128">
        <v>169</v>
      </c>
      <c r="G128">
        <v>169</v>
      </c>
      <c r="H128">
        <v>8890600</v>
      </c>
      <c r="I128" t="s">
        <v>418</v>
      </c>
      <c r="J128" t="s">
        <v>419</v>
      </c>
      <c r="K128" t="s">
        <v>41</v>
      </c>
    </row>
    <row r="129" spans="1:11" ht="20" customHeight="1">
      <c r="A129" t="s">
        <v>25</v>
      </c>
      <c r="B129" t="s">
        <v>420</v>
      </c>
      <c r="C129">
        <v>166.9199981689453</v>
      </c>
      <c r="D129">
        <v>167.6600036621094</v>
      </c>
      <c r="E129">
        <v>165.4499969482422</v>
      </c>
      <c r="F129">
        <v>165.8200073242188</v>
      </c>
      <c r="G129">
        <v>165.8200073242188</v>
      </c>
      <c r="H129">
        <v>16359400</v>
      </c>
      <c r="I129" t="s">
        <v>421</v>
      </c>
      <c r="J129" t="s">
        <v>422</v>
      </c>
      <c r="K129" t="s">
        <v>41</v>
      </c>
    </row>
    <row r="130" spans="1:11" ht="20" customHeight="1">
      <c r="A130" t="s">
        <v>25</v>
      </c>
      <c r="B130" t="s">
        <v>423</v>
      </c>
      <c r="C130">
        <v>165</v>
      </c>
      <c r="D130">
        <v>165.1000061035156</v>
      </c>
      <c r="E130">
        <v>160.9499969482422</v>
      </c>
      <c r="F130">
        <v>161.8099975585938</v>
      </c>
      <c r="G130">
        <v>161.8099975585938</v>
      </c>
      <c r="H130">
        <v>23730400</v>
      </c>
      <c r="I130" t="s">
        <v>424</v>
      </c>
      <c r="J130" t="s">
        <v>425</v>
      </c>
      <c r="K130" t="s">
        <v>41</v>
      </c>
    </row>
    <row r="131" spans="1:11" ht="20" customHeight="1">
      <c r="A131" t="s">
        <v>25</v>
      </c>
      <c r="B131" t="s">
        <v>426</v>
      </c>
      <c r="C131">
        <v>163.0299987792969</v>
      </c>
      <c r="D131">
        <v>163.3500061035156</v>
      </c>
      <c r="E131">
        <v>161.1600036621094</v>
      </c>
      <c r="F131">
        <v>161.5299987792969</v>
      </c>
      <c r="G131">
        <v>161.5299987792969</v>
      </c>
      <c r="H131">
        <v>13828300</v>
      </c>
      <c r="I131" t="s">
        <v>427</v>
      </c>
      <c r="J131" t="s">
        <v>428</v>
      </c>
      <c r="K131" t="s">
        <v>41</v>
      </c>
    </row>
    <row r="132" spans="1:11" ht="20" customHeight="1">
      <c r="A132" t="s">
        <v>25</v>
      </c>
      <c r="B132" t="s">
        <v>429</v>
      </c>
      <c r="C132">
        <v>161.9299926757812</v>
      </c>
      <c r="D132">
        <v>162.9299926757812</v>
      </c>
      <c r="E132">
        <v>161.2200012207031</v>
      </c>
      <c r="F132">
        <v>162.4100036621094</v>
      </c>
      <c r="G132">
        <v>162.4100036621094</v>
      </c>
      <c r="H132">
        <v>11424600</v>
      </c>
      <c r="I132" t="s">
        <v>430</v>
      </c>
      <c r="J132" t="s">
        <v>431</v>
      </c>
      <c r="K132" t="s">
        <v>41</v>
      </c>
    </row>
    <row r="133" spans="1:11" ht="20" customHeight="1">
      <c r="A133" t="s">
        <v>25</v>
      </c>
      <c r="B133" t="s">
        <v>432</v>
      </c>
      <c r="C133">
        <v>160.6100006103516</v>
      </c>
      <c r="D133">
        <v>161.6900024414062</v>
      </c>
      <c r="E133">
        <v>159.4900054931641</v>
      </c>
      <c r="F133">
        <v>160.6199951171875</v>
      </c>
      <c r="G133">
        <v>160.6199951171875</v>
      </c>
      <c r="H133">
        <v>13059900</v>
      </c>
      <c r="I133" t="s">
        <v>433</v>
      </c>
      <c r="J133" t="s">
        <v>434</v>
      </c>
      <c r="K133" t="s">
        <v>41</v>
      </c>
    </row>
    <row r="134" spans="1:11" ht="20" customHeight="1">
      <c r="A134" t="s">
        <v>25</v>
      </c>
      <c r="B134" t="s">
        <v>435</v>
      </c>
      <c r="C134">
        <v>160.6000061035156</v>
      </c>
      <c r="D134">
        <v>161.4600067138672</v>
      </c>
      <c r="E134">
        <v>158.4299926757812</v>
      </c>
      <c r="F134">
        <v>159.0399932861328</v>
      </c>
      <c r="G134">
        <v>159.0399932861328</v>
      </c>
      <c r="H134">
        <v>13870100</v>
      </c>
      <c r="I134" t="s">
        <v>436</v>
      </c>
      <c r="J134" t="s">
        <v>437</v>
      </c>
      <c r="K134" t="s">
        <v>41</v>
      </c>
    </row>
    <row r="135" spans="1:11" ht="20" customHeight="1">
      <c r="A135" t="s">
        <v>25</v>
      </c>
      <c r="B135" t="s">
        <v>438</v>
      </c>
      <c r="C135">
        <v>159.6600036621094</v>
      </c>
      <c r="D135">
        <v>159.8200073242188</v>
      </c>
      <c r="E135">
        <v>158.5500030517578</v>
      </c>
      <c r="F135">
        <v>159.1399993896484</v>
      </c>
      <c r="G135">
        <v>159.1399993896484</v>
      </c>
      <c r="H135">
        <v>12821600</v>
      </c>
      <c r="I135" t="s">
        <v>439</v>
      </c>
      <c r="J135" t="s">
        <v>440</v>
      </c>
      <c r="K135" t="s">
        <v>41</v>
      </c>
    </row>
    <row r="136" spans="1:11" ht="20" customHeight="1">
      <c r="A136" t="s">
        <v>25</v>
      </c>
      <c r="B136" t="s">
        <v>441</v>
      </c>
      <c r="C136">
        <v>158.5800018310547</v>
      </c>
      <c r="D136">
        <v>158.7400054931641</v>
      </c>
      <c r="E136">
        <v>157.1300048828125</v>
      </c>
      <c r="F136">
        <v>157.4900054931641</v>
      </c>
      <c r="G136">
        <v>157.4900054931641</v>
      </c>
      <c r="H136">
        <v>12134900</v>
      </c>
      <c r="I136" t="s">
        <v>442</v>
      </c>
      <c r="J136" t="s">
        <v>443</v>
      </c>
      <c r="K136" t="s">
        <v>41</v>
      </c>
    </row>
    <row r="137" spans="1:11" ht="20" customHeight="1">
      <c r="A137" t="s">
        <v>25</v>
      </c>
      <c r="B137" t="s">
        <v>444</v>
      </c>
      <c r="C137">
        <v>160.75</v>
      </c>
      <c r="D137">
        <v>161.25</v>
      </c>
      <c r="E137">
        <v>160.4199981689453</v>
      </c>
      <c r="F137">
        <v>160.8399963378906</v>
      </c>
      <c r="G137">
        <v>160.8399963378906</v>
      </c>
      <c r="H137">
        <v>10382600</v>
      </c>
      <c r="I137" t="s">
        <v>445</v>
      </c>
      <c r="J137" t="s">
        <v>446</v>
      </c>
      <c r="K137" t="s">
        <v>41</v>
      </c>
    </row>
    <row r="138" spans="1:11" ht="20" customHeight="1">
      <c r="A138" t="s">
        <v>25</v>
      </c>
      <c r="B138" t="s">
        <v>447</v>
      </c>
      <c r="C138">
        <v>161.0599975585938</v>
      </c>
      <c r="D138">
        <v>161.7799987792969</v>
      </c>
      <c r="E138">
        <v>160.6600036621094</v>
      </c>
      <c r="F138">
        <v>161.6600036621094</v>
      </c>
      <c r="G138">
        <v>161.6600036621094</v>
      </c>
      <c r="H138">
        <v>7962000</v>
      </c>
      <c r="I138" t="s">
        <v>448</v>
      </c>
      <c r="J138" t="s">
        <v>449</v>
      </c>
      <c r="K138" t="s">
        <v>41</v>
      </c>
    </row>
    <row r="139" spans="1:11" ht="20" customHeight="1">
      <c r="A139" t="s">
        <v>25</v>
      </c>
      <c r="B139" t="s">
        <v>450</v>
      </c>
      <c r="C139">
        <v>161.4700012207031</v>
      </c>
      <c r="D139">
        <v>161.9799957275391</v>
      </c>
      <c r="E139">
        <v>161.1199951171875</v>
      </c>
      <c r="F139">
        <v>161.5200042724609</v>
      </c>
      <c r="G139">
        <v>161.5200042724609</v>
      </c>
      <c r="H139">
        <v>6749200</v>
      </c>
      <c r="I139" t="s">
        <v>451</v>
      </c>
      <c r="J139" t="s">
        <v>452</v>
      </c>
      <c r="K139" t="s">
        <v>41</v>
      </c>
    </row>
    <row r="140" spans="1:11" ht="20" customHeight="1">
      <c r="A140" t="s">
        <v>25</v>
      </c>
      <c r="B140" t="s">
        <v>453</v>
      </c>
      <c r="C140">
        <v>159.5399932861328</v>
      </c>
      <c r="D140">
        <v>161.6900024414062</v>
      </c>
      <c r="E140">
        <v>159.3500061035156</v>
      </c>
      <c r="F140">
        <v>161.4900054931641</v>
      </c>
      <c r="G140">
        <v>161.4900054931641</v>
      </c>
      <c r="H140">
        <v>8608500</v>
      </c>
      <c r="I140" t="s">
        <v>454</v>
      </c>
      <c r="J140" t="s">
        <v>455</v>
      </c>
      <c r="K140" t="s">
        <v>41</v>
      </c>
    </row>
    <row r="141" spans="1:11" ht="20" customHeight="1">
      <c r="A141" t="s">
        <v>25</v>
      </c>
      <c r="B141" t="s">
        <v>456</v>
      </c>
      <c r="C141">
        <v>162.3099975585938</v>
      </c>
      <c r="D141">
        <v>162.5500030517578</v>
      </c>
      <c r="E141">
        <v>161.4299926757812</v>
      </c>
      <c r="F141">
        <v>162.1999969482422</v>
      </c>
      <c r="G141">
        <v>162.1999969482422</v>
      </c>
      <c r="H141">
        <v>8104500</v>
      </c>
      <c r="I141" t="s">
        <v>457</v>
      </c>
      <c r="J141" t="s">
        <v>458</v>
      </c>
      <c r="K141" t="s">
        <v>41</v>
      </c>
    </row>
    <row r="142" spans="1:11" ht="20" customHeight="1">
      <c r="A142" t="s">
        <v>25</v>
      </c>
      <c r="B142" t="s">
        <v>459</v>
      </c>
      <c r="C142">
        <v>162.3600006103516</v>
      </c>
      <c r="D142">
        <v>163.1999969482422</v>
      </c>
      <c r="E142">
        <v>161.8099975585938</v>
      </c>
      <c r="F142">
        <v>162.3500061035156</v>
      </c>
      <c r="G142">
        <v>162.3500061035156</v>
      </c>
      <c r="H142">
        <v>7547400</v>
      </c>
      <c r="I142" t="s">
        <v>460</v>
      </c>
      <c r="J142" t="s">
        <v>461</v>
      </c>
      <c r="K142" t="s">
        <v>41</v>
      </c>
    </row>
    <row r="143" spans="1:11" ht="20" customHeight="1">
      <c r="A143" t="s">
        <v>25</v>
      </c>
      <c r="B143" t="s">
        <v>462</v>
      </c>
      <c r="C143">
        <v>162.2700042724609</v>
      </c>
      <c r="D143">
        <v>164.1499938964844</v>
      </c>
      <c r="E143">
        <v>161.4799957275391</v>
      </c>
      <c r="F143">
        <v>163.5099945068359</v>
      </c>
      <c r="G143">
        <v>163.5099945068359</v>
      </c>
      <c r="H143">
        <v>12626700</v>
      </c>
      <c r="I143" t="s">
        <v>463</v>
      </c>
      <c r="J143" t="s">
        <v>464</v>
      </c>
      <c r="K143" t="s">
        <v>41</v>
      </c>
    </row>
    <row r="144" spans="1:11" ht="20" customHeight="1">
      <c r="A144" t="s">
        <v>25</v>
      </c>
      <c r="B144" t="s">
        <v>465</v>
      </c>
      <c r="C144">
        <v>161.1499938964844</v>
      </c>
      <c r="D144">
        <v>162.8200073242188</v>
      </c>
      <c r="E144">
        <v>161.1100006103516</v>
      </c>
      <c r="F144">
        <v>162.5599975585938</v>
      </c>
      <c r="G144">
        <v>162.5599975585938</v>
      </c>
      <c r="H144">
        <v>8711100</v>
      </c>
      <c r="I144" t="s">
        <v>466</v>
      </c>
      <c r="J144" t="s">
        <v>467</v>
      </c>
      <c r="K144" t="s">
        <v>41</v>
      </c>
    </row>
    <row r="145" spans="1:11" ht="20" customHeight="1">
      <c r="A145" t="s">
        <v>25</v>
      </c>
      <c r="B145" t="s">
        <v>468</v>
      </c>
      <c r="C145">
        <v>162.5599975585938</v>
      </c>
      <c r="D145">
        <v>163.4299926757812</v>
      </c>
      <c r="E145">
        <v>162.4299926757812</v>
      </c>
      <c r="F145">
        <v>163.2400054931641</v>
      </c>
      <c r="G145">
        <v>163.2400054931641</v>
      </c>
      <c r="H145">
        <v>6868900</v>
      </c>
      <c r="I145" t="s">
        <v>469</v>
      </c>
      <c r="J145" t="s">
        <v>470</v>
      </c>
      <c r="K145" t="s">
        <v>41</v>
      </c>
    </row>
    <row r="146" spans="1:11" ht="20" customHeight="1">
      <c r="A146" t="s">
        <v>25</v>
      </c>
      <c r="B146" t="s">
        <v>471</v>
      </c>
      <c r="C146">
        <v>162.2700042724609</v>
      </c>
      <c r="D146">
        <v>163.1300048828125</v>
      </c>
      <c r="E146">
        <v>162.1600036621094</v>
      </c>
      <c r="F146">
        <v>163</v>
      </c>
      <c r="G146">
        <v>163</v>
      </c>
      <c r="H146">
        <v>5240000</v>
      </c>
      <c r="I146" t="s">
        <v>472</v>
      </c>
      <c r="J146" t="s">
        <v>473</v>
      </c>
      <c r="K146" t="s">
        <v>41</v>
      </c>
    </row>
    <row r="147" spans="1:11" ht="20" customHeight="1">
      <c r="A147" t="s">
        <v>25</v>
      </c>
      <c r="B147" t="s">
        <v>474</v>
      </c>
      <c r="C147">
        <v>162.4499969482422</v>
      </c>
      <c r="D147">
        <v>162.4900054931641</v>
      </c>
      <c r="E147">
        <v>161.5899963378906</v>
      </c>
      <c r="F147">
        <v>161.8099975585938</v>
      </c>
      <c r="G147">
        <v>161.8099975585938</v>
      </c>
      <c r="H147">
        <v>6048300</v>
      </c>
      <c r="I147" t="s">
        <v>475</v>
      </c>
      <c r="J147" t="s">
        <v>476</v>
      </c>
      <c r="K147" t="s">
        <v>41</v>
      </c>
    </row>
    <row r="148" spans="1:11" ht="20" customHeight="1">
      <c r="A148" t="s">
        <v>25</v>
      </c>
      <c r="B148" t="s">
        <v>477</v>
      </c>
      <c r="C148">
        <v>162.2100067138672</v>
      </c>
      <c r="D148">
        <v>162.8899993896484</v>
      </c>
      <c r="E148">
        <v>161.9400024414062</v>
      </c>
      <c r="F148">
        <v>162.3699951171875</v>
      </c>
      <c r="G148">
        <v>162.3699951171875</v>
      </c>
      <c r="H148">
        <v>6183700</v>
      </c>
      <c r="I148" t="s">
        <v>478</v>
      </c>
      <c r="J148" t="s">
        <v>479</v>
      </c>
      <c r="K148" t="s">
        <v>41</v>
      </c>
    </row>
    <row r="149" spans="1:11" ht="20" customHeight="1">
      <c r="A149" t="s">
        <v>25</v>
      </c>
      <c r="B149" t="s">
        <v>480</v>
      </c>
      <c r="C149">
        <v>163.0599975585938</v>
      </c>
      <c r="D149">
        <v>163.5800018310547</v>
      </c>
      <c r="E149">
        <v>161.3200073242188</v>
      </c>
      <c r="F149">
        <v>161.7799987792969</v>
      </c>
      <c r="G149">
        <v>161.7799987792969</v>
      </c>
      <c r="H149">
        <v>8398600</v>
      </c>
      <c r="I149" t="s">
        <v>481</v>
      </c>
      <c r="J149" t="s">
        <v>482</v>
      </c>
      <c r="K149" t="s">
        <v>41</v>
      </c>
    </row>
    <row r="150" spans="1:11" ht="20" customHeight="1">
      <c r="A150" t="s">
        <v>25</v>
      </c>
      <c r="B150" t="s">
        <v>483</v>
      </c>
      <c r="C150">
        <v>161.7100067138672</v>
      </c>
      <c r="D150">
        <v>162.7299957275391</v>
      </c>
      <c r="E150">
        <v>161.6499938964844</v>
      </c>
      <c r="F150">
        <v>162.2400054931641</v>
      </c>
      <c r="G150">
        <v>162.2400054931641</v>
      </c>
      <c r="H150">
        <v>6153900</v>
      </c>
      <c r="I150" t="s">
        <v>484</v>
      </c>
      <c r="J150" t="s">
        <v>485</v>
      </c>
      <c r="K150" t="s">
        <v>41</v>
      </c>
    </row>
    <row r="151" spans="1:11" ht="20" customHeight="1">
      <c r="A151" t="s">
        <v>25</v>
      </c>
      <c r="B151" t="s">
        <v>486</v>
      </c>
      <c r="C151">
        <v>161.4600067138672</v>
      </c>
      <c r="D151">
        <v>161.5200042724609</v>
      </c>
      <c r="E151">
        <v>159.8300018310547</v>
      </c>
      <c r="F151">
        <v>160.3099975585938</v>
      </c>
      <c r="G151">
        <v>160.3099975585938</v>
      </c>
      <c r="H151">
        <v>8409300</v>
      </c>
      <c r="I151" t="s">
        <v>487</v>
      </c>
      <c r="J151" t="s">
        <v>488</v>
      </c>
      <c r="K151" t="s">
        <v>41</v>
      </c>
    </row>
    <row r="152" spans="1:11" ht="20" customHeight="1">
      <c r="A152" t="s">
        <v>25</v>
      </c>
      <c r="B152" t="s">
        <v>489</v>
      </c>
      <c r="C152">
        <v>157.9400024414062</v>
      </c>
      <c r="D152">
        <v>158.1999969482422</v>
      </c>
      <c r="E152">
        <v>157.5500030517578</v>
      </c>
      <c r="F152">
        <v>157.5700073242188</v>
      </c>
      <c r="G152">
        <v>157.5700073242188</v>
      </c>
      <c r="H152">
        <v>8353200</v>
      </c>
      <c r="I152" t="s">
        <v>490</v>
      </c>
      <c r="J152" t="s">
        <v>491</v>
      </c>
      <c r="K152" t="s">
        <v>41</v>
      </c>
    </row>
    <row r="153" spans="1:11" ht="20" customHeight="1">
      <c r="A153" t="s">
        <v>25</v>
      </c>
      <c r="B153" t="s">
        <v>492</v>
      </c>
      <c r="C153">
        <v>158.0599975585938</v>
      </c>
      <c r="D153">
        <v>160.6799926757812</v>
      </c>
      <c r="E153">
        <v>158.0500030517578</v>
      </c>
      <c r="F153">
        <v>159.9600067138672</v>
      </c>
      <c r="G153">
        <v>159.9600067138672</v>
      </c>
      <c r="H153">
        <v>10623800</v>
      </c>
      <c r="I153" t="s">
        <v>493</v>
      </c>
      <c r="J153" t="s">
        <v>494</v>
      </c>
      <c r="K153" t="s">
        <v>41</v>
      </c>
    </row>
    <row r="154" spans="1:11" ht="20" customHeight="1">
      <c r="A154" t="s">
        <v>25</v>
      </c>
      <c r="B154" t="s">
        <v>495</v>
      </c>
      <c r="C154">
        <v>161.5599975585938</v>
      </c>
      <c r="D154">
        <v>162.1100006103516</v>
      </c>
      <c r="E154">
        <v>161.2799987792969</v>
      </c>
      <c r="F154">
        <v>161.9799957275391</v>
      </c>
      <c r="G154">
        <v>161.9799957275391</v>
      </c>
      <c r="H154">
        <v>7105200</v>
      </c>
      <c r="I154" t="s">
        <v>496</v>
      </c>
      <c r="J154" t="s">
        <v>497</v>
      </c>
      <c r="K154" t="s">
        <v>41</v>
      </c>
    </row>
    <row r="155" spans="1:11" ht="20" customHeight="1">
      <c r="A155" t="s">
        <v>25</v>
      </c>
      <c r="B155" t="s">
        <v>498</v>
      </c>
      <c r="C155">
        <v>161.5200042724609</v>
      </c>
      <c r="D155">
        <v>162.3999938964844</v>
      </c>
      <c r="E155">
        <v>161.3600006103516</v>
      </c>
      <c r="F155">
        <v>161.9199981689453</v>
      </c>
      <c r="G155">
        <v>161.9199981689453</v>
      </c>
      <c r="H155">
        <v>6163800</v>
      </c>
      <c r="I155" t="s">
        <v>499</v>
      </c>
      <c r="J155" t="s">
        <v>500</v>
      </c>
      <c r="K155" t="s">
        <v>41</v>
      </c>
    </row>
    <row r="156" spans="1:11" ht="20" customHeight="1">
      <c r="A156" t="s">
        <v>25</v>
      </c>
      <c r="B156" t="s">
        <v>501</v>
      </c>
      <c r="C156">
        <v>162.7899932861328</v>
      </c>
      <c r="D156">
        <v>163.5299987792969</v>
      </c>
      <c r="E156">
        <v>162.75</v>
      </c>
      <c r="F156">
        <v>163.2200012207031</v>
      </c>
      <c r="G156">
        <v>163.2200012207031</v>
      </c>
      <c r="H156">
        <v>6761200</v>
      </c>
      <c r="I156" t="s">
        <v>502</v>
      </c>
      <c r="J156" t="s">
        <v>503</v>
      </c>
      <c r="K156" t="s">
        <v>41</v>
      </c>
    </row>
    <row r="157" spans="1:11" ht="20" customHeight="1">
      <c r="A157" t="s">
        <v>25</v>
      </c>
      <c r="B157" t="s">
        <v>504</v>
      </c>
      <c r="C157">
        <v>162.8200073242188</v>
      </c>
      <c r="D157">
        <v>163.3099975585938</v>
      </c>
      <c r="E157">
        <v>162.5</v>
      </c>
      <c r="F157">
        <v>162.7599945068359</v>
      </c>
      <c r="G157">
        <v>162.7599945068359</v>
      </c>
      <c r="H157">
        <v>5436000</v>
      </c>
      <c r="I157" t="s">
        <v>505</v>
      </c>
      <c r="J157" t="s">
        <v>506</v>
      </c>
      <c r="K157" t="s">
        <v>41</v>
      </c>
    </row>
    <row r="158" spans="1:11" ht="20" customHeight="1">
      <c r="A158" t="s">
        <v>25</v>
      </c>
      <c r="B158" t="s">
        <v>507</v>
      </c>
      <c r="C158">
        <v>164.1699981689453</v>
      </c>
      <c r="D158">
        <v>164.7700042724609</v>
      </c>
      <c r="E158">
        <v>164.1399993896484</v>
      </c>
      <c r="F158">
        <v>164.5099945068359</v>
      </c>
      <c r="G158">
        <v>164.5099945068359</v>
      </c>
      <c r="H158">
        <v>6574500</v>
      </c>
      <c r="I158" t="s">
        <v>508</v>
      </c>
      <c r="J158" t="s">
        <v>509</v>
      </c>
      <c r="K158" t="s">
        <v>41</v>
      </c>
    </row>
    <row r="159" spans="1:11" ht="20" customHeight="1">
      <c r="A159" t="s">
        <v>25</v>
      </c>
      <c r="B159" t="s">
        <v>510</v>
      </c>
      <c r="C159">
        <v>162.75</v>
      </c>
      <c r="D159">
        <v>163.6600036621094</v>
      </c>
      <c r="E159">
        <v>162.4799957275391</v>
      </c>
      <c r="F159">
        <v>163.2700042724609</v>
      </c>
      <c r="G159">
        <v>163.2700042724609</v>
      </c>
      <c r="H159">
        <v>6657900</v>
      </c>
      <c r="I159" t="s">
        <v>511</v>
      </c>
      <c r="J159" t="s">
        <v>512</v>
      </c>
      <c r="K159" t="s">
        <v>41</v>
      </c>
    </row>
    <row r="160" spans="1:11" ht="20" customHeight="1">
      <c r="A160" t="s">
        <v>25</v>
      </c>
      <c r="B160" t="s">
        <v>513</v>
      </c>
      <c r="C160">
        <v>162.7299957275391</v>
      </c>
      <c r="D160">
        <v>162.8000030517578</v>
      </c>
      <c r="E160">
        <v>161.8099975585938</v>
      </c>
      <c r="F160">
        <v>162.2799987792969</v>
      </c>
      <c r="G160">
        <v>162.2799987792969</v>
      </c>
      <c r="H160">
        <v>4896700</v>
      </c>
      <c r="I160" t="s">
        <v>514</v>
      </c>
      <c r="J160" t="s">
        <v>515</v>
      </c>
      <c r="K160" t="s">
        <v>41</v>
      </c>
    </row>
    <row r="161" spans="1:11" ht="20" customHeight="1">
      <c r="A161" t="s">
        <v>25</v>
      </c>
      <c r="B161" t="s">
        <v>516</v>
      </c>
      <c r="C161">
        <v>163.1799926757812</v>
      </c>
      <c r="D161">
        <v>163.8500061035156</v>
      </c>
      <c r="E161">
        <v>163.0299987792969</v>
      </c>
      <c r="F161">
        <v>163.4299926757812</v>
      </c>
      <c r="G161">
        <v>163.4299926757812</v>
      </c>
      <c r="H161">
        <v>6995900</v>
      </c>
      <c r="I161" t="s">
        <v>517</v>
      </c>
      <c r="J161" t="s">
        <v>518</v>
      </c>
      <c r="K161" t="s">
        <v>41</v>
      </c>
    </row>
    <row r="162" spans="1:11" ht="20" customHeight="1">
      <c r="A162" t="s">
        <v>25</v>
      </c>
      <c r="B162" t="s">
        <v>519</v>
      </c>
      <c r="C162">
        <v>162.7700042724609</v>
      </c>
      <c r="D162">
        <v>163.0500030517578</v>
      </c>
      <c r="E162">
        <v>162.3000030517578</v>
      </c>
      <c r="F162">
        <v>162.7200012207031</v>
      </c>
      <c r="G162">
        <v>162.7200012207031</v>
      </c>
      <c r="H162">
        <v>6312300</v>
      </c>
      <c r="I162" t="s">
        <v>520</v>
      </c>
      <c r="J162" t="s">
        <v>521</v>
      </c>
      <c r="K162" t="s">
        <v>41</v>
      </c>
    </row>
    <row r="163" spans="1:11" ht="20" customHeight="1">
      <c r="A163" t="s">
        <v>25</v>
      </c>
      <c r="B163" t="s">
        <v>522</v>
      </c>
      <c r="C163">
        <v>164.0700073242188</v>
      </c>
      <c r="D163">
        <v>165.7899932861328</v>
      </c>
      <c r="E163">
        <v>164.0299987792969</v>
      </c>
      <c r="F163">
        <v>165.3500061035156</v>
      </c>
      <c r="G163">
        <v>165.3500061035156</v>
      </c>
      <c r="H163">
        <v>8250600</v>
      </c>
      <c r="I163" t="s">
        <v>523</v>
      </c>
      <c r="J163" t="s">
        <v>524</v>
      </c>
      <c r="K163" t="s">
        <v>41</v>
      </c>
    </row>
    <row r="164" spans="1:11" ht="20" customHeight="1">
      <c r="A164" t="s">
        <v>25</v>
      </c>
      <c r="B164" t="s">
        <v>525</v>
      </c>
      <c r="C164">
        <v>166.2400054931641</v>
      </c>
      <c r="D164">
        <v>166.8099975585938</v>
      </c>
      <c r="E164">
        <v>165.9400024414062</v>
      </c>
      <c r="F164">
        <v>166.3500061035156</v>
      </c>
      <c r="G164">
        <v>166.3500061035156</v>
      </c>
      <c r="H164">
        <v>10057600</v>
      </c>
      <c r="I164" t="s">
        <v>526</v>
      </c>
      <c r="J164" t="s">
        <v>527</v>
      </c>
      <c r="K164" t="s">
        <v>41</v>
      </c>
    </row>
    <row r="165" spans="1:11" ht="20" customHeight="1">
      <c r="A165" t="s">
        <v>25</v>
      </c>
      <c r="B165" t="s">
        <v>528</v>
      </c>
      <c r="C165">
        <v>165.9100036621094</v>
      </c>
      <c r="D165">
        <v>166.4400024414062</v>
      </c>
      <c r="E165">
        <v>165.7200012207031</v>
      </c>
      <c r="F165">
        <v>165.8899993896484</v>
      </c>
      <c r="G165">
        <v>165.8899993896484</v>
      </c>
      <c r="H165">
        <v>5721700</v>
      </c>
      <c r="I165" t="s">
        <v>529</v>
      </c>
      <c r="J165" t="s">
        <v>530</v>
      </c>
      <c r="K165" t="s">
        <v>41</v>
      </c>
    </row>
    <row r="166" spans="1:11" ht="20" customHeight="1">
      <c r="A166" t="s">
        <v>25</v>
      </c>
      <c r="B166" t="s">
        <v>531</v>
      </c>
      <c r="C166">
        <v>165.6499938964844</v>
      </c>
      <c r="D166">
        <v>166.8099975585938</v>
      </c>
      <c r="E166">
        <v>165.6199951171875</v>
      </c>
      <c r="F166">
        <v>166.4799957275391</v>
      </c>
      <c r="G166">
        <v>166.4799957275391</v>
      </c>
      <c r="H166">
        <v>6532000</v>
      </c>
      <c r="I166" t="s">
        <v>532</v>
      </c>
      <c r="J166" t="s">
        <v>533</v>
      </c>
      <c r="K166" t="s">
        <v>41</v>
      </c>
    </row>
    <row r="167" spans="1:11" ht="20" customHeight="1">
      <c r="A167" t="s">
        <v>25</v>
      </c>
      <c r="B167" t="s">
        <v>534</v>
      </c>
      <c r="C167">
        <v>167.1799926757812</v>
      </c>
      <c r="D167">
        <v>168.3899993896484</v>
      </c>
      <c r="E167">
        <v>167.1499938964844</v>
      </c>
      <c r="F167">
        <v>168.1300048828125</v>
      </c>
      <c r="G167">
        <v>168.1300048828125</v>
      </c>
      <c r="H167">
        <v>8380200</v>
      </c>
      <c r="I167" t="s">
        <v>535</v>
      </c>
      <c r="J167" t="s">
        <v>536</v>
      </c>
      <c r="K167" t="s">
        <v>41</v>
      </c>
    </row>
    <row r="168" spans="1:11" ht="20" customHeight="1">
      <c r="A168" t="s">
        <v>25</v>
      </c>
      <c r="B168" t="s">
        <v>537</v>
      </c>
      <c r="C168">
        <v>167.1100006103516</v>
      </c>
      <c r="D168">
        <v>167.5299987792969</v>
      </c>
      <c r="E168">
        <v>166.4900054931641</v>
      </c>
      <c r="F168">
        <v>167.0399932861328</v>
      </c>
      <c r="G168">
        <v>167.0399932861328</v>
      </c>
      <c r="H168">
        <v>7680100</v>
      </c>
      <c r="I168" t="s">
        <v>538</v>
      </c>
      <c r="J168" t="s">
        <v>539</v>
      </c>
      <c r="K168" t="s">
        <v>41</v>
      </c>
    </row>
    <row r="169" spans="1:11" ht="20" customHeight="1">
      <c r="A169" t="s">
        <v>25</v>
      </c>
      <c r="B169" t="s">
        <v>540</v>
      </c>
      <c r="C169">
        <v>167.3699951171875</v>
      </c>
      <c r="D169">
        <v>167.5299987792969</v>
      </c>
      <c r="E169">
        <v>165.7799987792969</v>
      </c>
      <c r="F169">
        <v>166.3999938964844</v>
      </c>
      <c r="G169">
        <v>166.3999938964844</v>
      </c>
      <c r="H169">
        <v>7106400</v>
      </c>
      <c r="I169" t="s">
        <v>541</v>
      </c>
      <c r="J169" t="s">
        <v>542</v>
      </c>
      <c r="K169" t="s">
        <v>41</v>
      </c>
    </row>
    <row r="170" spans="1:11" ht="20" customHeight="1">
      <c r="A170" t="s">
        <v>25</v>
      </c>
      <c r="B170" t="s">
        <v>543</v>
      </c>
      <c r="C170">
        <v>166.6300048828125</v>
      </c>
      <c r="D170">
        <v>166.8699951171875</v>
      </c>
      <c r="E170">
        <v>166.0500030517578</v>
      </c>
      <c r="F170">
        <v>166.8399963378906</v>
      </c>
      <c r="G170">
        <v>166.8399963378906</v>
      </c>
      <c r="H170">
        <v>4786600</v>
      </c>
      <c r="I170" t="s">
        <v>544</v>
      </c>
      <c r="J170" t="s">
        <v>545</v>
      </c>
      <c r="K170" t="s">
        <v>41</v>
      </c>
    </row>
    <row r="171" spans="1:11" ht="20" customHeight="1">
      <c r="A171" t="s">
        <v>25</v>
      </c>
      <c r="B171" t="s">
        <v>546</v>
      </c>
      <c r="C171">
        <v>166.9199981689453</v>
      </c>
      <c r="D171">
        <v>167.1499938964844</v>
      </c>
      <c r="E171">
        <v>166.2799987792969</v>
      </c>
      <c r="F171">
        <v>166.4199981689453</v>
      </c>
      <c r="G171">
        <v>166.4199981689453</v>
      </c>
      <c r="H171">
        <v>5363500</v>
      </c>
      <c r="I171" t="s">
        <v>547</v>
      </c>
      <c r="J171" t="s">
        <v>548</v>
      </c>
      <c r="K171" t="s">
        <v>41</v>
      </c>
    </row>
    <row r="172" spans="1:11" ht="20" customHeight="1">
      <c r="A172" t="s">
        <v>25</v>
      </c>
      <c r="B172" t="s">
        <v>549</v>
      </c>
      <c r="C172">
        <v>165.75</v>
      </c>
      <c r="D172">
        <v>166.9600067138672</v>
      </c>
      <c r="E172">
        <v>165.4900054931641</v>
      </c>
      <c r="F172">
        <v>166.9100036621094</v>
      </c>
      <c r="G172">
        <v>166.9100036621094</v>
      </c>
      <c r="H172">
        <v>6932200</v>
      </c>
      <c r="I172" t="s">
        <v>550</v>
      </c>
      <c r="J172" t="s">
        <v>551</v>
      </c>
      <c r="K172" t="s">
        <v>41</v>
      </c>
    </row>
    <row r="173" spans="1:11" ht="20" customHeight="1">
      <c r="A173" t="s">
        <v>25</v>
      </c>
      <c r="B173" t="s">
        <v>552</v>
      </c>
      <c r="C173">
        <v>165.5800018310547</v>
      </c>
      <c r="D173">
        <v>166.2599945068359</v>
      </c>
      <c r="E173">
        <v>164.4700012207031</v>
      </c>
      <c r="F173">
        <v>166.2200012207031</v>
      </c>
      <c r="G173">
        <v>166.2200012207031</v>
      </c>
      <c r="H173">
        <v>9067600</v>
      </c>
      <c r="I173" t="s">
        <v>553</v>
      </c>
      <c r="J173" t="s">
        <v>554</v>
      </c>
      <c r="K173" t="s">
        <v>41</v>
      </c>
    </row>
    <row r="174" spans="1:11" ht="20" customHeight="1">
      <c r="A174" t="s">
        <v>25</v>
      </c>
      <c r="B174" t="s">
        <v>555</v>
      </c>
      <c r="C174">
        <v>165.8600006103516</v>
      </c>
      <c r="D174">
        <v>166</v>
      </c>
      <c r="E174">
        <v>165.2400054931641</v>
      </c>
      <c r="F174">
        <v>165.6600036621094</v>
      </c>
      <c r="G174">
        <v>165.6600036621094</v>
      </c>
      <c r="H174">
        <v>6248700</v>
      </c>
      <c r="I174" t="s">
        <v>556</v>
      </c>
      <c r="J174" t="s">
        <v>557</v>
      </c>
      <c r="K174" t="s">
        <v>41</v>
      </c>
    </row>
    <row r="175" spans="1:11" ht="20" customHeight="1">
      <c r="A175" t="s">
        <v>25</v>
      </c>
      <c r="B175" t="s">
        <v>558</v>
      </c>
      <c r="C175">
        <v>167.6100006103516</v>
      </c>
      <c r="D175">
        <v>168.4299926757812</v>
      </c>
      <c r="E175">
        <v>167.4100036621094</v>
      </c>
      <c r="F175">
        <v>167.8099975585938</v>
      </c>
      <c r="G175">
        <v>167.8099975585938</v>
      </c>
      <c r="H175">
        <v>9014700</v>
      </c>
      <c r="I175" t="s">
        <v>559</v>
      </c>
      <c r="J175" t="s">
        <v>560</v>
      </c>
      <c r="K175" t="s">
        <v>41</v>
      </c>
    </row>
    <row r="176" spans="1:11" ht="20" customHeight="1">
      <c r="A176" t="s">
        <v>25</v>
      </c>
      <c r="B176" t="s">
        <v>561</v>
      </c>
      <c r="C176">
        <v>167.6900024414062</v>
      </c>
      <c r="D176">
        <v>168.5500030517578</v>
      </c>
      <c r="E176">
        <v>165.5</v>
      </c>
      <c r="F176">
        <v>166.5800018310547</v>
      </c>
      <c r="G176">
        <v>166.5800018310547</v>
      </c>
      <c r="H176">
        <v>10267400</v>
      </c>
      <c r="I176" t="s">
        <v>562</v>
      </c>
      <c r="J176" t="s">
        <v>563</v>
      </c>
      <c r="K176" t="s">
        <v>41</v>
      </c>
    </row>
    <row r="177" spans="1:11" ht="20" customHeight="1">
      <c r="A177" t="s">
        <v>25</v>
      </c>
      <c r="B177" t="s">
        <v>564</v>
      </c>
      <c r="C177">
        <v>166.6300048828125</v>
      </c>
      <c r="D177">
        <v>167.3099975585938</v>
      </c>
      <c r="E177">
        <v>166.6100006103516</v>
      </c>
      <c r="F177">
        <v>167.2700042724609</v>
      </c>
      <c r="G177">
        <v>167.2700042724609</v>
      </c>
      <c r="H177">
        <v>5950000</v>
      </c>
      <c r="I177" t="s">
        <v>565</v>
      </c>
      <c r="J177" t="s">
        <v>566</v>
      </c>
      <c r="K177" t="s">
        <v>41</v>
      </c>
    </row>
    <row r="178" spans="1:11" ht="20" customHeight="1">
      <c r="A178" t="s">
        <v>25</v>
      </c>
      <c r="B178" t="s">
        <v>567</v>
      </c>
      <c r="C178">
        <v>167.9499969482422</v>
      </c>
      <c r="D178">
        <v>170.2899932861328</v>
      </c>
      <c r="E178">
        <v>167.9199981689453</v>
      </c>
      <c r="F178">
        <v>170.0599975585938</v>
      </c>
      <c r="G178">
        <v>170.0599975585938</v>
      </c>
      <c r="H178">
        <v>13574100</v>
      </c>
      <c r="I178" t="s">
        <v>568</v>
      </c>
      <c r="J178" t="s">
        <v>569</v>
      </c>
      <c r="K178" t="s">
        <v>41</v>
      </c>
    </row>
    <row r="179" spans="1:11" ht="20" customHeight="1">
      <c r="A179" t="s">
        <v>25</v>
      </c>
      <c r="B179" t="s">
        <v>570</v>
      </c>
      <c r="C179">
        <v>171.5299987792969</v>
      </c>
      <c r="D179">
        <v>172.5500030517578</v>
      </c>
      <c r="E179">
        <v>171</v>
      </c>
      <c r="F179">
        <v>171.5899963378906</v>
      </c>
      <c r="G179">
        <v>171.5899963378906</v>
      </c>
      <c r="H179">
        <v>14748600</v>
      </c>
      <c r="I179" t="s">
        <v>571</v>
      </c>
      <c r="J179" t="s">
        <v>572</v>
      </c>
      <c r="K179" t="s">
        <v>41</v>
      </c>
    </row>
    <row r="180" spans="1:11" ht="20" customHeight="1">
      <c r="A180" t="s">
        <v>25</v>
      </c>
      <c r="B180" t="s">
        <v>573</v>
      </c>
      <c r="C180">
        <v>172.7400054931641</v>
      </c>
      <c r="D180">
        <v>172.8399963378906</v>
      </c>
      <c r="E180">
        <v>171.7799987792969</v>
      </c>
      <c r="F180">
        <v>172.1100006103516</v>
      </c>
      <c r="G180">
        <v>172.1100006103516</v>
      </c>
      <c r="H180">
        <v>8276600</v>
      </c>
      <c r="I180" t="s">
        <v>574</v>
      </c>
      <c r="J180" t="s">
        <v>575</v>
      </c>
      <c r="K180" t="s">
        <v>41</v>
      </c>
    </row>
    <row r="181" spans="1:11" ht="20" customHeight="1">
      <c r="A181" t="s">
        <v>25</v>
      </c>
      <c r="B181" t="s">
        <v>576</v>
      </c>
      <c r="C181">
        <v>170.5599975585938</v>
      </c>
      <c r="D181">
        <v>172.1699981689453</v>
      </c>
      <c r="E181">
        <v>170.2700042724609</v>
      </c>
      <c r="F181">
        <v>172.1399993896484</v>
      </c>
      <c r="G181">
        <v>172.1399993896484</v>
      </c>
      <c r="H181">
        <v>8348200</v>
      </c>
      <c r="I181" t="s">
        <v>577</v>
      </c>
      <c r="J181" t="s">
        <v>578</v>
      </c>
      <c r="K181" t="s">
        <v>41</v>
      </c>
    </row>
    <row r="182" spans="1:11" ht="20" customHeight="1">
      <c r="A182" t="s">
        <v>25</v>
      </c>
      <c r="B182" t="s">
        <v>579</v>
      </c>
      <c r="C182">
        <v>171.4299926757812</v>
      </c>
      <c r="D182">
        <v>171.8399963378906</v>
      </c>
      <c r="E182">
        <v>170.3500061035156</v>
      </c>
      <c r="F182">
        <v>170.4299926757812</v>
      </c>
      <c r="G182">
        <v>170.4299926757812</v>
      </c>
      <c r="H182">
        <v>12666300</v>
      </c>
      <c r="I182" t="s">
        <v>580</v>
      </c>
      <c r="J182" t="s">
        <v>581</v>
      </c>
      <c r="K182" t="s">
        <v>41</v>
      </c>
    </row>
    <row r="183" spans="1:11" ht="20" customHeight="1">
      <c r="A183" t="s">
        <v>25</v>
      </c>
      <c r="B183" t="s">
        <v>582</v>
      </c>
      <c r="C183">
        <v>170.3500061035156</v>
      </c>
      <c r="D183">
        <v>171.2700042724609</v>
      </c>
      <c r="E183">
        <v>170.2299957275391</v>
      </c>
      <c r="F183">
        <v>171.1300048828125</v>
      </c>
      <c r="G183">
        <v>171.1300048828125</v>
      </c>
      <c r="H183">
        <v>8078300</v>
      </c>
      <c r="I183" t="s">
        <v>583</v>
      </c>
      <c r="J183" t="s">
        <v>584</v>
      </c>
      <c r="K183" t="s">
        <v>41</v>
      </c>
    </row>
    <row r="184" spans="1:11" ht="20" customHeight="1">
      <c r="A184" t="s">
        <v>25</v>
      </c>
      <c r="B184" t="s">
        <v>585</v>
      </c>
      <c r="C184">
        <v>172.0500030517578</v>
      </c>
      <c r="D184">
        <v>172.6999969482422</v>
      </c>
      <c r="E184">
        <v>171.8200073242188</v>
      </c>
      <c r="F184">
        <v>172.6900024414062</v>
      </c>
      <c r="G184">
        <v>172.6900024414062</v>
      </c>
      <c r="H184">
        <v>9686800</v>
      </c>
      <c r="I184" t="s">
        <v>586</v>
      </c>
      <c r="J184" t="s">
        <v>587</v>
      </c>
      <c r="K184" t="s">
        <v>41</v>
      </c>
    </row>
    <row r="185" spans="1:11" ht="20" customHeight="1">
      <c r="A185" t="s">
        <v>25</v>
      </c>
      <c r="B185" t="s">
        <v>588</v>
      </c>
      <c r="C185">
        <v>173.3000030517578</v>
      </c>
      <c r="D185">
        <v>175</v>
      </c>
      <c r="E185">
        <v>173.2799987792969</v>
      </c>
      <c r="F185">
        <v>174.6999969482422</v>
      </c>
      <c r="G185">
        <v>174.6999969482422</v>
      </c>
      <c r="H185">
        <v>11956800</v>
      </c>
      <c r="I185" t="s">
        <v>589</v>
      </c>
      <c r="J185" t="s">
        <v>590</v>
      </c>
      <c r="K185" t="s">
        <v>41</v>
      </c>
    </row>
    <row r="186" spans="1:11" ht="20" customHeight="1">
      <c r="A186" t="s">
        <v>25</v>
      </c>
      <c r="B186" t="s">
        <v>591</v>
      </c>
      <c r="C186">
        <v>175.1799926757812</v>
      </c>
      <c r="D186">
        <v>175.2100067138672</v>
      </c>
      <c r="E186">
        <v>174.4600067138672</v>
      </c>
      <c r="F186">
        <v>175.0399932861328</v>
      </c>
      <c r="G186">
        <v>175.0399932861328</v>
      </c>
      <c r="H186">
        <v>7294000</v>
      </c>
      <c r="I186" t="s">
        <v>592</v>
      </c>
      <c r="J186" t="s">
        <v>593</v>
      </c>
      <c r="K186" t="s">
        <v>41</v>
      </c>
    </row>
    <row r="187" spans="1:11" ht="20" customHeight="1">
      <c r="A187" t="s">
        <v>25</v>
      </c>
      <c r="B187" t="s">
        <v>594</v>
      </c>
      <c r="C187">
        <v>175.1399993896484</v>
      </c>
      <c r="D187">
        <v>177</v>
      </c>
      <c r="E187">
        <v>174.3500061035156</v>
      </c>
      <c r="F187">
        <v>175.1600036621094</v>
      </c>
      <c r="G187">
        <v>175.1600036621094</v>
      </c>
      <c r="H187">
        <v>20741100</v>
      </c>
      <c r="I187" t="s">
        <v>595</v>
      </c>
      <c r="J187" t="s">
        <v>596</v>
      </c>
      <c r="K187" t="s">
        <v>41</v>
      </c>
    </row>
    <row r="188" spans="1:11" ht="20" customHeight="1">
      <c r="A188" t="s">
        <v>25</v>
      </c>
      <c r="B188" t="s">
        <v>597</v>
      </c>
      <c r="C188">
        <v>175.3200073242188</v>
      </c>
      <c r="D188">
        <v>176.4600067138672</v>
      </c>
      <c r="E188">
        <v>175.1100006103516</v>
      </c>
      <c r="F188">
        <v>175.9600067138672</v>
      </c>
      <c r="G188">
        <v>175.9600067138672</v>
      </c>
      <c r="H188">
        <v>9802800</v>
      </c>
      <c r="I188" t="s">
        <v>598</v>
      </c>
      <c r="J188" t="s">
        <v>599</v>
      </c>
      <c r="K188" t="s">
        <v>41</v>
      </c>
    </row>
    <row r="189" spans="1:11" ht="20" customHeight="1">
      <c r="A189" t="s">
        <v>25</v>
      </c>
      <c r="B189" t="s">
        <v>600</v>
      </c>
      <c r="C189">
        <v>176.5800018310547</v>
      </c>
      <c r="D189">
        <v>176.8600006103516</v>
      </c>
      <c r="E189">
        <v>175.1499938964844</v>
      </c>
      <c r="F189">
        <v>176.0399932861328</v>
      </c>
      <c r="G189">
        <v>176.0399932861328</v>
      </c>
      <c r="H189">
        <v>7677200</v>
      </c>
      <c r="I189" t="s">
        <v>601</v>
      </c>
      <c r="J189" t="s">
        <v>602</v>
      </c>
      <c r="K189" t="s">
        <v>41</v>
      </c>
    </row>
    <row r="190" spans="1:11" ht="20" customHeight="1">
      <c r="A190" t="s">
        <v>25</v>
      </c>
      <c r="B190" t="s">
        <v>603</v>
      </c>
      <c r="C190">
        <v>176.1499938964844</v>
      </c>
      <c r="D190">
        <v>176.5899963378906</v>
      </c>
      <c r="E190">
        <v>175.8699951171875</v>
      </c>
      <c r="F190">
        <v>176.3500061035156</v>
      </c>
      <c r="G190">
        <v>176.3500061035156</v>
      </c>
      <c r="H190">
        <v>5557300</v>
      </c>
      <c r="I190" t="s">
        <v>604</v>
      </c>
      <c r="J190" t="s">
        <v>605</v>
      </c>
      <c r="K190" t="s">
        <v>41</v>
      </c>
    </row>
    <row r="191" spans="1:11" ht="20" customHeight="1">
      <c r="A191" t="s">
        <v>25</v>
      </c>
      <c r="B191" t="s">
        <v>606</v>
      </c>
      <c r="C191">
        <v>176.1499938964844</v>
      </c>
      <c r="D191">
        <v>177.9499969482422</v>
      </c>
      <c r="E191">
        <v>176.0399932861328</v>
      </c>
      <c r="F191">
        <v>177.9499969482422</v>
      </c>
      <c r="G191">
        <v>177.9499969482422</v>
      </c>
      <c r="H191">
        <v>8986900</v>
      </c>
      <c r="I191" t="s">
        <v>607</v>
      </c>
      <c r="J191" t="s">
        <v>608</v>
      </c>
      <c r="K191" t="s">
        <v>41</v>
      </c>
    </row>
    <row r="192" spans="1:11" ht="20" customHeight="1">
      <c r="A192" t="s">
        <v>25</v>
      </c>
      <c r="B192" t="s">
        <v>609</v>
      </c>
      <c r="C192">
        <v>178.3699951171875</v>
      </c>
      <c r="D192">
        <v>178.6100006103516</v>
      </c>
      <c r="E192">
        <v>177.0399932861328</v>
      </c>
      <c r="F192">
        <v>177.6399993896484</v>
      </c>
      <c r="G192">
        <v>177.6399993896484</v>
      </c>
      <c r="H192">
        <v>8495400</v>
      </c>
      <c r="I192" t="s">
        <v>610</v>
      </c>
      <c r="J192" t="s">
        <v>611</v>
      </c>
      <c r="K192" t="s">
        <v>41</v>
      </c>
    </row>
    <row r="193" spans="1:11" ht="20" customHeight="1">
      <c r="A193" t="s">
        <v>25</v>
      </c>
      <c r="B193" t="s">
        <v>612</v>
      </c>
      <c r="C193">
        <v>177.3899993896484</v>
      </c>
      <c r="D193">
        <v>177.8200073242188</v>
      </c>
      <c r="E193">
        <v>176.8099975585938</v>
      </c>
      <c r="F193">
        <v>177.7100067138672</v>
      </c>
      <c r="G193">
        <v>177.7100067138672</v>
      </c>
      <c r="H193">
        <v>7993000</v>
      </c>
      <c r="I193" t="s">
        <v>613</v>
      </c>
      <c r="J193" t="s">
        <v>614</v>
      </c>
      <c r="K193" t="s">
        <v>41</v>
      </c>
    </row>
    <row r="194" spans="1:11" ht="20" customHeight="1">
      <c r="A194" t="s">
        <v>25</v>
      </c>
      <c r="B194" t="s">
        <v>615</v>
      </c>
      <c r="C194">
        <v>177.4600067138672</v>
      </c>
      <c r="D194">
        <v>178.4299926757812</v>
      </c>
      <c r="E194">
        <v>177.2400054931641</v>
      </c>
      <c r="F194">
        <v>178.3800048828125</v>
      </c>
      <c r="G194">
        <v>178.3800048828125</v>
      </c>
      <c r="H194">
        <v>9967000</v>
      </c>
      <c r="I194" t="s">
        <v>616</v>
      </c>
      <c r="J194" t="s">
        <v>617</v>
      </c>
      <c r="K194" t="s">
        <v>41</v>
      </c>
    </row>
    <row r="195" spans="1:11" ht="20" customHeight="1">
      <c r="A195" t="s">
        <v>25</v>
      </c>
      <c r="B195" t="s">
        <v>618</v>
      </c>
      <c r="C195">
        <v>178.7599945068359</v>
      </c>
      <c r="D195">
        <v>178.8500061035156</v>
      </c>
      <c r="E195">
        <v>177.1900024414062</v>
      </c>
      <c r="F195">
        <v>177.8999938964844</v>
      </c>
      <c r="G195">
        <v>177.8999938964844</v>
      </c>
      <c r="H195">
        <v>9143300</v>
      </c>
      <c r="I195" t="s">
        <v>619</v>
      </c>
      <c r="J195" t="s">
        <v>620</v>
      </c>
      <c r="K195" t="s">
        <v>41</v>
      </c>
    </row>
    <row r="196" spans="1:11" ht="20" customHeight="1">
      <c r="A196" t="s">
        <v>25</v>
      </c>
      <c r="B196" t="s">
        <v>621</v>
      </c>
      <c r="C196">
        <v>178.3399963378906</v>
      </c>
      <c r="D196">
        <v>178.7799987792969</v>
      </c>
      <c r="E196">
        <v>177.9700012207031</v>
      </c>
      <c r="F196">
        <v>178.7700042724609</v>
      </c>
      <c r="G196">
        <v>178.7700042724609</v>
      </c>
      <c r="H196">
        <v>6613100</v>
      </c>
      <c r="I196" t="s">
        <v>622</v>
      </c>
      <c r="J196" t="s">
        <v>623</v>
      </c>
      <c r="K196" t="s">
        <v>41</v>
      </c>
    </row>
    <row r="197" spans="1:11" ht="20" customHeight="1">
      <c r="A197" t="s">
        <v>25</v>
      </c>
      <c r="B197" t="s">
        <v>624</v>
      </c>
      <c r="C197">
        <v>175.8300018310547</v>
      </c>
      <c r="D197">
        <v>175.8300018310547</v>
      </c>
      <c r="E197">
        <v>174.6600036621094</v>
      </c>
      <c r="F197">
        <v>175.2700042724609</v>
      </c>
      <c r="G197">
        <v>175.2700042724609</v>
      </c>
      <c r="H197">
        <v>10153900</v>
      </c>
      <c r="I197" t="s">
        <v>625</v>
      </c>
      <c r="J197" t="s">
        <v>626</v>
      </c>
      <c r="K197" t="s">
        <v>41</v>
      </c>
    </row>
    <row r="198" spans="1:11" ht="20" customHeight="1">
      <c r="A198" t="s">
        <v>25</v>
      </c>
      <c r="B198" t="s">
        <v>627</v>
      </c>
      <c r="C198">
        <v>176.6499938964844</v>
      </c>
      <c r="D198">
        <v>177.5700073242188</v>
      </c>
      <c r="E198">
        <v>176.6100006103516</v>
      </c>
      <c r="F198">
        <v>177.1600036621094</v>
      </c>
      <c r="G198">
        <v>177.1600036621094</v>
      </c>
      <c r="H198">
        <v>8375300</v>
      </c>
      <c r="I198" t="s">
        <v>628</v>
      </c>
      <c r="J198" t="s">
        <v>629</v>
      </c>
      <c r="K198" t="s">
        <v>41</v>
      </c>
    </row>
    <row r="199" spans="1:11" ht="20" customHeight="1">
      <c r="A199" t="s">
        <v>25</v>
      </c>
      <c r="B199" t="s">
        <v>630</v>
      </c>
      <c r="C199">
        <v>176.9600067138672</v>
      </c>
      <c r="D199">
        <v>177.8999938964844</v>
      </c>
      <c r="E199">
        <v>176.6300048828125</v>
      </c>
      <c r="F199">
        <v>177.8699951171875</v>
      </c>
      <c r="G199">
        <v>177.8699951171875</v>
      </c>
      <c r="H199">
        <v>7709100</v>
      </c>
      <c r="I199" t="s">
        <v>631</v>
      </c>
      <c r="J199" t="s">
        <v>632</v>
      </c>
      <c r="K199" t="s">
        <v>41</v>
      </c>
    </row>
    <row r="200" spans="1:11" ht="20" customHeight="1">
      <c r="A200" t="s">
        <v>25</v>
      </c>
      <c r="B200" t="s">
        <v>633</v>
      </c>
      <c r="C200">
        <v>177.2299957275391</v>
      </c>
      <c r="D200">
        <v>177.5399932861328</v>
      </c>
      <c r="E200">
        <v>176.3699951171875</v>
      </c>
      <c r="F200">
        <v>177.3200073242188</v>
      </c>
      <c r="G200">
        <v>177.3200073242188</v>
      </c>
      <c r="H200">
        <v>5905800</v>
      </c>
      <c r="I200" t="s">
        <v>634</v>
      </c>
      <c r="J200" t="s">
        <v>635</v>
      </c>
      <c r="K200" t="s">
        <v>41</v>
      </c>
    </row>
    <row r="201" spans="1:11" ht="20" customHeight="1">
      <c r="A201" t="s">
        <v>25</v>
      </c>
      <c r="B201" t="s">
        <v>636</v>
      </c>
      <c r="C201">
        <v>177.3800048828125</v>
      </c>
      <c r="D201">
        <v>177.8000030517578</v>
      </c>
      <c r="E201">
        <v>176.7799987792969</v>
      </c>
      <c r="F201">
        <v>176.9799957275391</v>
      </c>
      <c r="G201">
        <v>176.9799957275391</v>
      </c>
      <c r="H201">
        <v>6346100</v>
      </c>
      <c r="I201" t="s">
        <v>637</v>
      </c>
      <c r="J201" t="s">
        <v>638</v>
      </c>
      <c r="K201" t="s">
        <v>41</v>
      </c>
    </row>
    <row r="202" spans="1:11" ht="20" customHeight="1">
      <c r="A202" t="s">
        <v>25</v>
      </c>
      <c r="B202" t="s">
        <v>639</v>
      </c>
      <c r="C202">
        <v>176.6999969482422</v>
      </c>
      <c r="D202">
        <v>177.8500061035156</v>
      </c>
      <c r="E202">
        <v>176.4799957275391</v>
      </c>
      <c r="F202">
        <v>177.7400054931641</v>
      </c>
      <c r="G202">
        <v>177.7400054931641</v>
      </c>
      <c r="H202">
        <v>9896600</v>
      </c>
      <c r="I202" t="s">
        <v>640</v>
      </c>
      <c r="J202" t="s">
        <v>641</v>
      </c>
      <c r="K202" t="s">
        <v>41</v>
      </c>
    </row>
    <row r="203" spans="1:11" ht="20" customHeight="1">
      <c r="A203" t="s">
        <v>25</v>
      </c>
      <c r="B203" t="s">
        <v>642</v>
      </c>
      <c r="C203">
        <v>176.3300018310547</v>
      </c>
      <c r="D203">
        <v>176.5700073242188</v>
      </c>
      <c r="E203">
        <v>175.4799957275391</v>
      </c>
      <c r="F203">
        <v>175.7400054931641</v>
      </c>
      <c r="G203">
        <v>175.7400054931641</v>
      </c>
      <c r="H203">
        <v>7836900</v>
      </c>
      <c r="I203" t="s">
        <v>643</v>
      </c>
      <c r="J203" t="s">
        <v>644</v>
      </c>
      <c r="K203" t="s">
        <v>41</v>
      </c>
    </row>
    <row r="204" spans="1:11" ht="20" customHeight="1">
      <c r="A204" t="s">
        <v>25</v>
      </c>
      <c r="B204" t="s">
        <v>645</v>
      </c>
      <c r="C204">
        <v>173.1600036621094</v>
      </c>
      <c r="D204">
        <v>175.0599975585938</v>
      </c>
      <c r="E204">
        <v>172.9499969482422</v>
      </c>
      <c r="F204">
        <v>174.7100067138672</v>
      </c>
      <c r="G204">
        <v>174.7100067138672</v>
      </c>
      <c r="H204">
        <v>7733600</v>
      </c>
      <c r="I204" t="s">
        <v>646</v>
      </c>
      <c r="J204" t="s">
        <v>647</v>
      </c>
      <c r="K204" t="s">
        <v>41</v>
      </c>
    </row>
    <row r="205" spans="1:11" ht="20" customHeight="1">
      <c r="A205" t="s">
        <v>25</v>
      </c>
      <c r="B205" t="s">
        <v>648</v>
      </c>
      <c r="C205">
        <v>174.7799987792969</v>
      </c>
      <c r="D205">
        <v>174.9199981689453</v>
      </c>
      <c r="E205">
        <v>173.3399963378906</v>
      </c>
      <c r="F205">
        <v>174.0500030517578</v>
      </c>
      <c r="G205">
        <v>174.0500030517578</v>
      </c>
      <c r="H205">
        <v>7550200</v>
      </c>
      <c r="I205" t="s">
        <v>649</v>
      </c>
      <c r="J205" t="s">
        <v>650</v>
      </c>
      <c r="K205" t="s">
        <v>41</v>
      </c>
    </row>
    <row r="206" spans="1:11" ht="20" customHeight="1">
      <c r="A206" t="s">
        <v>25</v>
      </c>
      <c r="B206" t="s">
        <v>651</v>
      </c>
      <c r="C206">
        <v>173.9100036621094</v>
      </c>
      <c r="D206">
        <v>174.4700012207031</v>
      </c>
      <c r="E206">
        <v>171.0299987792969</v>
      </c>
      <c r="F206">
        <v>171.1100006103516</v>
      </c>
      <c r="G206">
        <v>171.1100006103516</v>
      </c>
      <c r="H206">
        <v>16919700</v>
      </c>
      <c r="I206" t="s">
        <v>652</v>
      </c>
      <c r="J206" t="s">
        <v>653</v>
      </c>
      <c r="K206" t="s">
        <v>41</v>
      </c>
    </row>
    <row r="207" spans="1:11" ht="20" customHeight="1">
      <c r="A207" t="s">
        <v>25</v>
      </c>
      <c r="B207" t="s">
        <v>654</v>
      </c>
      <c r="C207">
        <v>167.0200042724609</v>
      </c>
      <c r="D207">
        <v>167.6199951171875</v>
      </c>
      <c r="E207">
        <v>165.4400024414062</v>
      </c>
      <c r="F207">
        <v>165.8500061035156</v>
      </c>
      <c r="G207">
        <v>165.8500061035156</v>
      </c>
      <c r="H207">
        <v>27232200</v>
      </c>
      <c r="I207" t="s">
        <v>655</v>
      </c>
      <c r="J207" t="s">
        <v>656</v>
      </c>
      <c r="K207" t="s">
        <v>41</v>
      </c>
    </row>
    <row r="208" spans="1:11" ht="20" customHeight="1">
      <c r="A208" t="s">
        <v>25</v>
      </c>
      <c r="B208" t="s">
        <v>657</v>
      </c>
      <c r="C208">
        <v>166.1399993896484</v>
      </c>
      <c r="D208">
        <v>166.7200012207031</v>
      </c>
      <c r="E208">
        <v>164.8699951171875</v>
      </c>
      <c r="F208">
        <v>164.9299926757812</v>
      </c>
      <c r="G208">
        <v>164.9299926757812</v>
      </c>
      <c r="H208">
        <v>15744300</v>
      </c>
      <c r="I208" t="s">
        <v>658</v>
      </c>
      <c r="J208" t="s">
        <v>659</v>
      </c>
      <c r="K208" t="s">
        <v>41</v>
      </c>
    </row>
    <row r="209" spans="1:11" ht="20" customHeight="1">
      <c r="A209" t="s">
        <v>25</v>
      </c>
      <c r="B209" t="s">
        <v>660</v>
      </c>
      <c r="C209">
        <v>166.5200042724609</v>
      </c>
      <c r="D209">
        <v>167.2200012207031</v>
      </c>
      <c r="E209">
        <v>166</v>
      </c>
      <c r="F209">
        <v>166.9499969482422</v>
      </c>
      <c r="G209">
        <v>166.9499969482422</v>
      </c>
      <c r="H209">
        <v>8371000</v>
      </c>
      <c r="I209" t="s">
        <v>661</v>
      </c>
      <c r="J209" t="s">
        <v>662</v>
      </c>
      <c r="K209" t="s">
        <v>41</v>
      </c>
    </row>
    <row r="210" spans="1:11" ht="20" customHeight="1">
      <c r="A210" t="s">
        <v>25</v>
      </c>
      <c r="B210" t="s">
        <v>663</v>
      </c>
      <c r="C210">
        <v>166.3500061035156</v>
      </c>
      <c r="D210">
        <v>166.9199981689453</v>
      </c>
      <c r="E210">
        <v>166.0099945068359</v>
      </c>
      <c r="F210">
        <v>166.25</v>
      </c>
      <c r="G210">
        <v>166.25</v>
      </c>
      <c r="H210">
        <v>7223900</v>
      </c>
      <c r="I210" t="s">
        <v>664</v>
      </c>
      <c r="J210" t="s">
        <v>665</v>
      </c>
      <c r="K210" t="s">
        <v>41</v>
      </c>
    </row>
    <row r="211" spans="1:11" ht="20" customHeight="1">
      <c r="A211" t="s">
        <v>25</v>
      </c>
      <c r="B211" t="s">
        <v>666</v>
      </c>
      <c r="C211">
        <v>166.9700012207031</v>
      </c>
      <c r="D211">
        <v>168.0299987792969</v>
      </c>
      <c r="E211">
        <v>165.9700012207031</v>
      </c>
      <c r="F211">
        <v>166.1399993896484</v>
      </c>
      <c r="G211">
        <v>166.1399993896484</v>
      </c>
      <c r="H211">
        <v>8474300</v>
      </c>
      <c r="I211" t="s">
        <v>667</v>
      </c>
      <c r="J211" t="s">
        <v>668</v>
      </c>
      <c r="K211" t="s">
        <v>41</v>
      </c>
    </row>
    <row r="212" spans="1:11" ht="20" customHeight="1">
      <c r="A212" t="s">
        <v>25</v>
      </c>
      <c r="B212" t="s">
        <v>669</v>
      </c>
      <c r="C212">
        <v>167</v>
      </c>
      <c r="D212">
        <v>167.2299957275391</v>
      </c>
      <c r="E212">
        <v>166.0099945068359</v>
      </c>
      <c r="F212">
        <v>166.0399932861328</v>
      </c>
      <c r="G212">
        <v>166.0399932861328</v>
      </c>
      <c r="H212">
        <v>6903400</v>
      </c>
      <c r="I212" t="s">
        <v>670</v>
      </c>
      <c r="J212" t="s">
        <v>671</v>
      </c>
      <c r="K212" t="s">
        <v>41</v>
      </c>
    </row>
    <row r="213" spans="1:11" ht="20" customHeight="1">
      <c r="A213" t="s">
        <v>25</v>
      </c>
      <c r="B213" t="s">
        <v>672</v>
      </c>
      <c r="C213">
        <v>167.4499969482422</v>
      </c>
      <c r="D213">
        <v>167.5299987792969</v>
      </c>
      <c r="E213">
        <v>166.2899932861328</v>
      </c>
      <c r="F213">
        <v>166.5899963378906</v>
      </c>
      <c r="G213">
        <v>166.5899963378906</v>
      </c>
      <c r="H213">
        <v>7473700</v>
      </c>
      <c r="I213" t="s">
        <v>673</v>
      </c>
      <c r="J213" t="s">
        <v>674</v>
      </c>
      <c r="K213" t="s">
        <v>41</v>
      </c>
    </row>
    <row r="214" spans="1:11" ht="20" customHeight="1">
      <c r="A214" t="s">
        <v>25</v>
      </c>
      <c r="B214" t="s">
        <v>675</v>
      </c>
      <c r="C214">
        <v>166.6799926757812</v>
      </c>
      <c r="D214">
        <v>166.9100036621094</v>
      </c>
      <c r="E214">
        <v>166.3600006103516</v>
      </c>
      <c r="F214">
        <v>166.5800018310547</v>
      </c>
      <c r="G214">
        <v>166.5800018310547</v>
      </c>
      <c r="H214">
        <v>6508900</v>
      </c>
      <c r="I214" t="s">
        <v>676</v>
      </c>
      <c r="J214" t="s">
        <v>677</v>
      </c>
      <c r="K214" t="s">
        <v>41</v>
      </c>
    </row>
    <row r="215" spans="1:11" ht="20" customHeight="1">
      <c r="A215" t="s">
        <v>25</v>
      </c>
      <c r="B215" t="s">
        <v>678</v>
      </c>
      <c r="C215">
        <v>164.3399963378906</v>
      </c>
      <c r="D215">
        <v>165.2799987792969</v>
      </c>
      <c r="E215">
        <v>164.0099945068359</v>
      </c>
      <c r="F215">
        <v>164.8300018310547</v>
      </c>
      <c r="G215">
        <v>164.8300018310547</v>
      </c>
      <c r="H215">
        <v>7451400</v>
      </c>
      <c r="I215" t="s">
        <v>679</v>
      </c>
      <c r="J215" t="s">
        <v>680</v>
      </c>
      <c r="K215" t="s">
        <v>41</v>
      </c>
    </row>
    <row r="216" spans="1:11" ht="20" customHeight="1">
      <c r="A216" t="s">
        <v>25</v>
      </c>
      <c r="B216" t="s">
        <v>681</v>
      </c>
      <c r="C216">
        <v>164.5700073242188</v>
      </c>
      <c r="D216">
        <v>166.1000061035156</v>
      </c>
      <c r="E216">
        <v>164.2899932861328</v>
      </c>
      <c r="F216">
        <v>165.6300048828125</v>
      </c>
      <c r="G216">
        <v>165.6300048828125</v>
      </c>
      <c r="H216">
        <v>7955800</v>
      </c>
      <c r="I216" t="s">
        <v>682</v>
      </c>
      <c r="J216" t="s">
        <v>683</v>
      </c>
      <c r="K216" t="s">
        <v>41</v>
      </c>
    </row>
    <row r="217" spans="1:11" ht="20" customHeight="1">
      <c r="A217" t="s">
        <v>25</v>
      </c>
      <c r="B217" t="s">
        <v>684</v>
      </c>
      <c r="C217">
        <v>166.6499938964844</v>
      </c>
      <c r="D217">
        <v>166.8800048828125</v>
      </c>
      <c r="E217">
        <v>165.5</v>
      </c>
      <c r="F217">
        <v>166.1999969482422</v>
      </c>
      <c r="G217">
        <v>166.1999969482422</v>
      </c>
      <c r="H217">
        <v>7430500</v>
      </c>
      <c r="I217" t="s">
        <v>685</v>
      </c>
      <c r="J217" t="s">
        <v>686</v>
      </c>
      <c r="K217" t="s">
        <v>41</v>
      </c>
    </row>
    <row r="218" spans="1:11" ht="20" customHeight="1">
      <c r="A218" t="s">
        <v>25</v>
      </c>
      <c r="B218" t="s">
        <v>687</v>
      </c>
      <c r="C218">
        <v>167.3500061035156</v>
      </c>
      <c r="D218">
        <v>167.7200012207031</v>
      </c>
      <c r="E218">
        <v>166.3999938964844</v>
      </c>
      <c r="F218">
        <v>167.2899932861328</v>
      </c>
      <c r="G218">
        <v>167.2899932861328</v>
      </c>
      <c r="H218">
        <v>7873600</v>
      </c>
      <c r="I218" t="s">
        <v>688</v>
      </c>
      <c r="J218" t="s">
        <v>689</v>
      </c>
      <c r="K218" t="s">
        <v>41</v>
      </c>
    </row>
    <row r="219" spans="1:11" ht="20" customHeight="1">
      <c r="A219" t="s">
        <v>25</v>
      </c>
      <c r="B219" t="s">
        <v>690</v>
      </c>
      <c r="C219">
        <v>169.2700042724609</v>
      </c>
      <c r="D219">
        <v>169.6499938964844</v>
      </c>
      <c r="E219">
        <v>167.5399932861328</v>
      </c>
      <c r="F219">
        <v>168.1199951171875</v>
      </c>
      <c r="G219">
        <v>168.1199951171875</v>
      </c>
      <c r="H219">
        <v>7932100</v>
      </c>
      <c r="I219" t="s">
        <v>691</v>
      </c>
      <c r="J219" t="s">
        <v>692</v>
      </c>
      <c r="K219" t="s">
        <v>41</v>
      </c>
    </row>
    <row r="220" spans="1:11" ht="20" customHeight="1">
      <c r="A220" t="s">
        <v>25</v>
      </c>
      <c r="B220" t="s">
        <v>693</v>
      </c>
      <c r="C220">
        <v>168.7200012207031</v>
      </c>
      <c r="D220">
        <v>169.2299957275391</v>
      </c>
      <c r="E220">
        <v>168.1900024414062</v>
      </c>
      <c r="F220">
        <v>168.7599945068359</v>
      </c>
      <c r="G220">
        <v>168.7599945068359</v>
      </c>
      <c r="H220">
        <v>7108900</v>
      </c>
      <c r="I220" t="s">
        <v>694</v>
      </c>
      <c r="J220" t="s">
        <v>695</v>
      </c>
      <c r="K220" t="s">
        <v>41</v>
      </c>
    </row>
    <row r="221" spans="1:11" ht="20" customHeight="1">
      <c r="A221" t="s">
        <v>25</v>
      </c>
      <c r="B221" t="s">
        <v>696</v>
      </c>
      <c r="C221">
        <v>169.8200073242188</v>
      </c>
      <c r="D221">
        <v>169.8600006103516</v>
      </c>
      <c r="E221">
        <v>167.9100036621094</v>
      </c>
      <c r="F221">
        <v>168.6499938964844</v>
      </c>
      <c r="G221">
        <v>168.6499938964844</v>
      </c>
      <c r="H221">
        <v>7244300</v>
      </c>
      <c r="I221" t="s">
        <v>697</v>
      </c>
      <c r="J221" t="s">
        <v>698</v>
      </c>
      <c r="K221" t="s">
        <v>41</v>
      </c>
    </row>
    <row r="222" spans="1:11" ht="20" customHeight="1">
      <c r="A222" t="s">
        <v>25</v>
      </c>
      <c r="B222" t="s">
        <v>699</v>
      </c>
      <c r="C222">
        <v>168.8399963378906</v>
      </c>
      <c r="D222">
        <v>169.6199951171875</v>
      </c>
      <c r="E222">
        <v>168.6600036621094</v>
      </c>
      <c r="F222">
        <v>169.2100067138672</v>
      </c>
      <c r="G222">
        <v>169.2100067138672</v>
      </c>
      <c r="H222">
        <v>4997400</v>
      </c>
      <c r="I222" t="s">
        <v>700</v>
      </c>
      <c r="J222" t="s">
        <v>701</v>
      </c>
      <c r="K222" t="s">
        <v>41</v>
      </c>
    </row>
    <row r="223" spans="1:11" ht="20" customHeight="1">
      <c r="A223" t="s">
        <v>25</v>
      </c>
      <c r="B223" t="s">
        <v>702</v>
      </c>
      <c r="C223">
        <v>168.6999969482422</v>
      </c>
      <c r="D223">
        <v>169.1600036621094</v>
      </c>
      <c r="E223">
        <v>167.6399993896484</v>
      </c>
      <c r="F223">
        <v>169</v>
      </c>
      <c r="G223">
        <v>169</v>
      </c>
      <c r="H223">
        <v>7315400</v>
      </c>
      <c r="I223" t="s">
        <v>703</v>
      </c>
      <c r="J223" t="s">
        <v>704</v>
      </c>
      <c r="K223" t="s">
        <v>41</v>
      </c>
    </row>
    <row r="224" spans="1:11" ht="20" customHeight="1">
      <c r="A224" t="s">
        <v>25</v>
      </c>
      <c r="B224" t="s">
        <v>705</v>
      </c>
      <c r="C224">
        <v>169.5099945068359</v>
      </c>
      <c r="D224">
        <v>169.8999938964844</v>
      </c>
      <c r="E224">
        <v>168.9299926757812</v>
      </c>
      <c r="F224">
        <v>169.2200012207031</v>
      </c>
      <c r="G224">
        <v>169.2200012207031</v>
      </c>
      <c r="H224">
        <v>7040300</v>
      </c>
      <c r="I224" t="s">
        <v>706</v>
      </c>
      <c r="J224" t="s">
        <v>707</v>
      </c>
      <c r="K224" t="s">
        <v>41</v>
      </c>
    </row>
    <row r="225" spans="1:11" ht="20" customHeight="1">
      <c r="A225" t="s">
        <v>25</v>
      </c>
      <c r="B225" t="s">
        <v>708</v>
      </c>
      <c r="C225">
        <v>170.9100036621094</v>
      </c>
      <c r="D225">
        <v>171.0399932861328</v>
      </c>
      <c r="E225">
        <v>170.2799987792969</v>
      </c>
      <c r="F225">
        <v>171.0399932861328</v>
      </c>
      <c r="G225">
        <v>171.0399932861328</v>
      </c>
      <c r="H225">
        <v>8830300</v>
      </c>
      <c r="I225" t="s">
        <v>709</v>
      </c>
      <c r="J225" t="s">
        <v>710</v>
      </c>
      <c r="K225" t="s">
        <v>41</v>
      </c>
    </row>
    <row r="226" spans="1:11" ht="20" customHeight="1">
      <c r="A226" t="s">
        <v>25</v>
      </c>
      <c r="B226" t="s">
        <v>711</v>
      </c>
      <c r="C226">
        <v>170.8899993896484</v>
      </c>
      <c r="D226">
        <v>171.3000030517578</v>
      </c>
      <c r="E226">
        <v>170.3399963378906</v>
      </c>
      <c r="F226">
        <v>171.0700073242188</v>
      </c>
      <c r="G226">
        <v>171.0700073242188</v>
      </c>
      <c r="H226">
        <v>6520100</v>
      </c>
      <c r="I226" t="s">
        <v>712</v>
      </c>
      <c r="J226" t="s">
        <v>713</v>
      </c>
      <c r="K226" t="s">
        <v>41</v>
      </c>
    </row>
    <row r="227" spans="1:11" ht="20" customHeight="1">
      <c r="A227" t="s">
        <v>25</v>
      </c>
      <c r="B227" t="s">
        <v>714</v>
      </c>
      <c r="C227">
        <v>170.6499938964844</v>
      </c>
      <c r="D227">
        <v>170.9499969482422</v>
      </c>
      <c r="E227">
        <v>169.2799987792969</v>
      </c>
      <c r="F227">
        <v>169.4100036621094</v>
      </c>
      <c r="G227">
        <v>169.4100036621094</v>
      </c>
      <c r="H227">
        <v>9460300</v>
      </c>
      <c r="I227" t="s">
        <v>715</v>
      </c>
      <c r="J227" t="s">
        <v>716</v>
      </c>
      <c r="K227" t="s">
        <v>41</v>
      </c>
    </row>
    <row r="228" spans="1:11" ht="20" customHeight="1">
      <c r="A228" t="s">
        <v>25</v>
      </c>
      <c r="B228" t="s">
        <v>717</v>
      </c>
      <c r="C228">
        <v>169.5099945068359</v>
      </c>
      <c r="D228">
        <v>169.9100036621094</v>
      </c>
      <c r="E228">
        <v>168.8899993896484</v>
      </c>
      <c r="F228">
        <v>169.6100006103516</v>
      </c>
      <c r="G228">
        <v>169.6100006103516</v>
      </c>
      <c r="H228">
        <v>6707400</v>
      </c>
      <c r="I228" t="s">
        <v>718</v>
      </c>
      <c r="J228" t="s">
        <v>719</v>
      </c>
      <c r="K228" t="s">
        <v>41</v>
      </c>
    </row>
    <row r="229" spans="1:11" ht="20" customHeight="1">
      <c r="A229" t="s">
        <v>25</v>
      </c>
      <c r="B229" t="s">
        <v>720</v>
      </c>
      <c r="C229">
        <v>170.5099945068359</v>
      </c>
      <c r="D229">
        <v>170.8000030517578</v>
      </c>
      <c r="E229">
        <v>168.9199981689453</v>
      </c>
      <c r="F229">
        <v>169.3899993896484</v>
      </c>
      <c r="G229">
        <v>169.3899993896484</v>
      </c>
      <c r="H229">
        <v>6540100</v>
      </c>
      <c r="I229" t="s">
        <v>721</v>
      </c>
      <c r="J229" t="s">
        <v>722</v>
      </c>
      <c r="K229" t="s">
        <v>41</v>
      </c>
    </row>
    <row r="230" spans="1:11" ht="20" customHeight="1">
      <c r="A230" t="s">
        <v>25</v>
      </c>
      <c r="B230" t="s">
        <v>723</v>
      </c>
      <c r="C230">
        <v>168.3300018310547</v>
      </c>
      <c r="D230">
        <v>169</v>
      </c>
      <c r="E230">
        <v>168.1399993896484</v>
      </c>
      <c r="F230">
        <v>168.7599945068359</v>
      </c>
      <c r="G230">
        <v>168.7599945068359</v>
      </c>
      <c r="H230">
        <v>4622600</v>
      </c>
      <c r="I230" t="s">
        <v>724</v>
      </c>
      <c r="J230" t="s">
        <v>725</v>
      </c>
      <c r="K230" t="s">
        <v>41</v>
      </c>
    </row>
    <row r="231" spans="1:11" ht="20" customHeight="1">
      <c r="A231" t="s">
        <v>25</v>
      </c>
      <c r="B231" t="s">
        <v>726</v>
      </c>
      <c r="C231">
        <v>168.4900054931641</v>
      </c>
      <c r="D231">
        <v>169.1900024414062</v>
      </c>
      <c r="E231">
        <v>168.0599975585938</v>
      </c>
      <c r="F231">
        <v>169.0899963378906</v>
      </c>
      <c r="G231">
        <v>169.0899963378906</v>
      </c>
      <c r="H231">
        <v>4793600</v>
      </c>
      <c r="I231" t="s">
        <v>727</v>
      </c>
      <c r="J231" t="s">
        <v>728</v>
      </c>
      <c r="K231" t="s">
        <v>41</v>
      </c>
    </row>
    <row r="232" spans="1:11" ht="20" customHeight="1">
      <c r="A232" t="s">
        <v>25</v>
      </c>
      <c r="B232" t="s">
        <v>729</v>
      </c>
      <c r="C232">
        <v>168.5</v>
      </c>
      <c r="D232">
        <v>168.8800048828125</v>
      </c>
      <c r="E232">
        <v>167.9499969482422</v>
      </c>
      <c r="F232">
        <v>168.5599975585938</v>
      </c>
      <c r="G232">
        <v>168.5599975585938</v>
      </c>
      <c r="H232">
        <v>5831500</v>
      </c>
      <c r="I232" t="s">
        <v>730</v>
      </c>
      <c r="J232" t="s">
        <v>731</v>
      </c>
      <c r="K232" t="s">
        <v>41</v>
      </c>
    </row>
    <row r="233" spans="1:11" ht="20" customHeight="1">
      <c r="A233" t="s">
        <v>25</v>
      </c>
      <c r="B233" t="s">
        <v>732</v>
      </c>
      <c r="C233">
        <v>168.5800018310547</v>
      </c>
      <c r="D233">
        <v>168.8600006103516</v>
      </c>
      <c r="E233">
        <v>168.0800018310547</v>
      </c>
      <c r="F233">
        <v>168.1600036621094</v>
      </c>
      <c r="G233">
        <v>168.1600036621094</v>
      </c>
      <c r="H233">
        <v>5229800</v>
      </c>
      <c r="I233" t="s">
        <v>733</v>
      </c>
      <c r="J233" t="s">
        <v>734</v>
      </c>
      <c r="K233" t="s">
        <v>41</v>
      </c>
    </row>
    <row r="234" spans="1:11" ht="20" customHeight="1">
      <c r="A234" t="s">
        <v>25</v>
      </c>
      <c r="B234" t="s">
        <v>735</v>
      </c>
      <c r="C234">
        <v>168.7299957275391</v>
      </c>
      <c r="D234">
        <v>168.9100036621094</v>
      </c>
      <c r="E234">
        <v>167.9299926757812</v>
      </c>
      <c r="F234">
        <v>168.4400024414062</v>
      </c>
      <c r="G234">
        <v>168.4400024414062</v>
      </c>
      <c r="H234">
        <v>6300200</v>
      </c>
      <c r="I234" t="s">
        <v>736</v>
      </c>
      <c r="J234" t="s">
        <v>737</v>
      </c>
      <c r="K234" t="s">
        <v>41</v>
      </c>
    </row>
    <row r="235" spans="1:11" ht="20" customHeight="1">
      <c r="A235" t="s">
        <v>25</v>
      </c>
      <c r="B235" t="s">
        <v>738</v>
      </c>
      <c r="C235">
        <v>168.2599945068359</v>
      </c>
      <c r="D235">
        <v>169.3800048828125</v>
      </c>
      <c r="E235">
        <v>167.7200012207031</v>
      </c>
      <c r="F235">
        <v>169.2899932861328</v>
      </c>
      <c r="G235">
        <v>169.2899932861328</v>
      </c>
      <c r="H235">
        <v>7905800</v>
      </c>
      <c r="I235" t="s">
        <v>739</v>
      </c>
      <c r="J235" t="s">
        <v>740</v>
      </c>
      <c r="K235" t="s">
        <v>41</v>
      </c>
    </row>
    <row r="236" spans="1:11" ht="20" customHeight="1">
      <c r="A236" t="s">
        <v>25</v>
      </c>
      <c r="B236" t="s">
        <v>741</v>
      </c>
      <c r="C236">
        <v>170.6999969482422</v>
      </c>
      <c r="D236">
        <v>171.5200042724609</v>
      </c>
      <c r="E236">
        <v>170.6699981689453</v>
      </c>
      <c r="F236">
        <v>171.1699981689453</v>
      </c>
      <c r="G236">
        <v>171.1699981689453</v>
      </c>
      <c r="H236">
        <v>8119600</v>
      </c>
      <c r="I236" t="s">
        <v>742</v>
      </c>
      <c r="J236" t="s">
        <v>743</v>
      </c>
      <c r="K236" t="s">
        <v>41</v>
      </c>
    </row>
    <row r="237" spans="1:11" ht="20" customHeight="1">
      <c r="A237" t="s">
        <v>25</v>
      </c>
      <c r="B237" t="s">
        <v>744</v>
      </c>
      <c r="C237">
        <v>170.7200012207031</v>
      </c>
      <c r="D237">
        <v>170.9900054931641</v>
      </c>
      <c r="E237">
        <v>169.3800048828125</v>
      </c>
      <c r="F237">
        <v>169.8200073242188</v>
      </c>
      <c r="G237">
        <v>169.8200073242188</v>
      </c>
      <c r="H237">
        <v>7391700</v>
      </c>
      <c r="I237" t="s">
        <v>745</v>
      </c>
      <c r="J237" t="s">
        <v>746</v>
      </c>
      <c r="K237" t="s">
        <v>41</v>
      </c>
    </row>
    <row r="238" spans="1:11" ht="20" customHeight="1">
      <c r="A238" t="s">
        <v>25</v>
      </c>
      <c r="B238" t="s">
        <v>747</v>
      </c>
      <c r="C238">
        <v>169.3000030517578</v>
      </c>
      <c r="D238">
        <v>170.25</v>
      </c>
      <c r="E238">
        <v>169.1000061035156</v>
      </c>
      <c r="F238">
        <v>169.6100006103516</v>
      </c>
      <c r="G238">
        <v>169.6100006103516</v>
      </c>
      <c r="H238">
        <v>10783200</v>
      </c>
      <c r="I238" t="s">
        <v>748</v>
      </c>
      <c r="J238" t="s">
        <v>749</v>
      </c>
      <c r="K238" t="s">
        <v>41</v>
      </c>
    </row>
    <row r="239" spans="1:11" ht="20" customHeight="1">
      <c r="A239" t="s">
        <v>25</v>
      </c>
      <c r="B239" t="s">
        <v>750</v>
      </c>
      <c r="C239">
        <v>169.4199981689453</v>
      </c>
      <c r="D239">
        <v>169.8300018310547</v>
      </c>
      <c r="E239">
        <v>169.2100067138672</v>
      </c>
      <c r="F239">
        <v>169.4900054931641</v>
      </c>
      <c r="G239">
        <v>169.4900054931641</v>
      </c>
      <c r="H239">
        <v>5402300</v>
      </c>
      <c r="I239" t="s">
        <v>751</v>
      </c>
      <c r="J239" t="s">
        <v>752</v>
      </c>
      <c r="K239" t="s">
        <v>41</v>
      </c>
    </row>
    <row r="240" spans="1:11" ht="20" customHeight="1">
      <c r="A240" t="s">
        <v>25</v>
      </c>
      <c r="B240" t="s">
        <v>753</v>
      </c>
      <c r="C240">
        <v>171.2799987792969</v>
      </c>
      <c r="D240">
        <v>171.3999938964844</v>
      </c>
      <c r="E240">
        <v>168.9900054931641</v>
      </c>
      <c r="F240">
        <v>169.5299987792969</v>
      </c>
      <c r="G240">
        <v>169.5299987792969</v>
      </c>
      <c r="H240">
        <v>9796300</v>
      </c>
      <c r="I240" t="s">
        <v>754</v>
      </c>
      <c r="J240" t="s">
        <v>755</v>
      </c>
      <c r="K240" t="s">
        <v>41</v>
      </c>
    </row>
    <row r="241" spans="1:11" ht="20" customHeight="1">
      <c r="A241" t="s">
        <v>25</v>
      </c>
      <c r="B241" t="s">
        <v>756</v>
      </c>
      <c r="C241">
        <v>169.3699951171875</v>
      </c>
      <c r="D241">
        <v>169.4400024414062</v>
      </c>
      <c r="E241">
        <v>168.1999969482422</v>
      </c>
      <c r="F241">
        <v>168.8600006103516</v>
      </c>
      <c r="G241">
        <v>168.8600006103516</v>
      </c>
      <c r="H241">
        <v>8015000</v>
      </c>
      <c r="I241" t="s">
        <v>757</v>
      </c>
      <c r="J241" t="s">
        <v>758</v>
      </c>
      <c r="K241" t="s">
        <v>41</v>
      </c>
    </row>
    <row r="242" spans="1:11" ht="20" customHeight="1">
      <c r="A242" t="s">
        <v>25</v>
      </c>
      <c r="B242" t="s">
        <v>759</v>
      </c>
      <c r="C242">
        <v>165.8399963378906</v>
      </c>
      <c r="D242">
        <v>165.9299926757812</v>
      </c>
      <c r="E242">
        <v>164.5500030517578</v>
      </c>
      <c r="F242">
        <v>164.6399993896484</v>
      </c>
      <c r="G242">
        <v>164.6399993896484</v>
      </c>
      <c r="H242">
        <v>13547600</v>
      </c>
      <c r="I242" t="s">
        <v>760</v>
      </c>
      <c r="J242" t="s">
        <v>761</v>
      </c>
      <c r="K242" t="s">
        <v>41</v>
      </c>
    </row>
    <row r="243" spans="1:11" ht="20" customHeight="1">
      <c r="A243" t="s">
        <v>25</v>
      </c>
      <c r="B243" t="s">
        <v>762</v>
      </c>
      <c r="C243">
        <v>163.0099945068359</v>
      </c>
      <c r="D243">
        <v>163.2899932861328</v>
      </c>
      <c r="E243">
        <v>161.2599945068359</v>
      </c>
      <c r="F243">
        <v>161.7200012207031</v>
      </c>
      <c r="G243">
        <v>161.7200012207031</v>
      </c>
      <c r="H243">
        <v>11547000</v>
      </c>
      <c r="I243" t="s">
        <v>763</v>
      </c>
      <c r="J243" t="s">
        <v>764</v>
      </c>
      <c r="K243" t="s">
        <v>41</v>
      </c>
    </row>
    <row r="244" spans="1:11" ht="20" customHeight="1">
      <c r="A244" t="s">
        <v>25</v>
      </c>
      <c r="B244" t="s">
        <v>765</v>
      </c>
      <c r="C244">
        <v>161.3899993896484</v>
      </c>
      <c r="D244">
        <v>162.1100006103516</v>
      </c>
      <c r="E244">
        <v>160.6799926757812</v>
      </c>
      <c r="F244">
        <v>161.7700042724609</v>
      </c>
      <c r="G244">
        <v>161.7700042724609</v>
      </c>
      <c r="H244">
        <v>6870800</v>
      </c>
      <c r="I244" t="s">
        <v>766</v>
      </c>
      <c r="J244" t="s">
        <v>767</v>
      </c>
      <c r="K244" t="s">
        <v>41</v>
      </c>
    </row>
    <row r="245" spans="1:11" ht="20" customHeight="1">
      <c r="A245" t="s">
        <v>25</v>
      </c>
      <c r="B245" t="s">
        <v>768</v>
      </c>
      <c r="C245">
        <v>163.1499938964844</v>
      </c>
      <c r="D245">
        <v>164.1699981689453</v>
      </c>
      <c r="E245">
        <v>162.6799926757812</v>
      </c>
      <c r="F245">
        <v>164</v>
      </c>
      <c r="G245">
        <v>164</v>
      </c>
      <c r="H245">
        <v>7382400</v>
      </c>
      <c r="I245" t="s">
        <v>769</v>
      </c>
      <c r="J245" t="s">
        <v>770</v>
      </c>
      <c r="K245" t="s">
        <v>41</v>
      </c>
    </row>
    <row r="246" spans="1:11" ht="20" customHeight="1">
      <c r="A246" t="s">
        <v>25</v>
      </c>
      <c r="B246" t="s">
        <v>771</v>
      </c>
      <c r="C246">
        <v>163.6499938964844</v>
      </c>
      <c r="D246">
        <v>164.1000061035156</v>
      </c>
      <c r="E246">
        <v>162.9299926757812</v>
      </c>
      <c r="F246">
        <v>164.0399932861328</v>
      </c>
      <c r="G246">
        <v>164.0399932861328</v>
      </c>
      <c r="H246">
        <v>5211700</v>
      </c>
      <c r="I246" t="s">
        <v>772</v>
      </c>
      <c r="J246" t="s">
        <v>773</v>
      </c>
      <c r="K246" t="s">
        <v>41</v>
      </c>
    </row>
    <row r="247" spans="1:11" ht="20" customHeight="1">
      <c r="A247" t="s">
        <v>25</v>
      </c>
      <c r="B247" t="s">
        <v>774</v>
      </c>
      <c r="C247">
        <v>165.0200042724609</v>
      </c>
      <c r="D247">
        <v>166.4600067138672</v>
      </c>
      <c r="E247">
        <v>164.8899993896484</v>
      </c>
      <c r="F247">
        <v>166.3899993896484</v>
      </c>
      <c r="G247">
        <v>166.3899993896484</v>
      </c>
      <c r="H247">
        <v>7466900</v>
      </c>
      <c r="I247" t="s">
        <v>775</v>
      </c>
      <c r="J247" t="s">
        <v>776</v>
      </c>
      <c r="K247" t="s">
        <v>41</v>
      </c>
    </row>
    <row r="248" spans="1:11" ht="20" customHeight="1">
      <c r="A248" t="s">
        <v>25</v>
      </c>
      <c r="B248" t="s">
        <v>777</v>
      </c>
      <c r="C248">
        <v>166.7299957275391</v>
      </c>
      <c r="D248">
        <v>167.3899993896484</v>
      </c>
      <c r="E248">
        <v>166.5899963378906</v>
      </c>
      <c r="F248">
        <v>167.2200012207031</v>
      </c>
      <c r="G248">
        <v>167.2200012207031</v>
      </c>
      <c r="H248">
        <v>7776500</v>
      </c>
      <c r="I248" t="s">
        <v>778</v>
      </c>
      <c r="J248" t="s">
        <v>779</v>
      </c>
      <c r="K248" t="s">
        <v>41</v>
      </c>
    </row>
    <row r="249" spans="1:11" ht="20" customHeight="1">
      <c r="A249" t="s">
        <v>25</v>
      </c>
      <c r="B249" t="s">
        <v>780</v>
      </c>
      <c r="C249">
        <v>167.2899932861328</v>
      </c>
      <c r="D249">
        <v>167.7299957275391</v>
      </c>
      <c r="E249">
        <v>166.5599975585938</v>
      </c>
      <c r="F249">
        <v>166.9700012207031</v>
      </c>
      <c r="G249">
        <v>166.9700012207031</v>
      </c>
      <c r="H249">
        <v>7107000</v>
      </c>
      <c r="I249" t="s">
        <v>781</v>
      </c>
      <c r="J249" t="s">
        <v>782</v>
      </c>
      <c r="K249" t="s">
        <v>41</v>
      </c>
    </row>
    <row r="250" spans="1:11" ht="20" customHeight="1">
      <c r="A250" t="s">
        <v>25</v>
      </c>
      <c r="B250" t="s">
        <v>783</v>
      </c>
      <c r="C250">
        <v>167.2400054931641</v>
      </c>
      <c r="D250">
        <v>167.5099945068359</v>
      </c>
      <c r="E250">
        <v>166.2599945068359</v>
      </c>
      <c r="F250">
        <v>167.1000061035156</v>
      </c>
      <c r="G250">
        <v>167.1000061035156</v>
      </c>
      <c r="H250">
        <v>7697900</v>
      </c>
      <c r="I250" t="s">
        <v>784</v>
      </c>
      <c r="J250" t="s">
        <v>785</v>
      </c>
      <c r="K250" t="s">
        <v>41</v>
      </c>
    </row>
    <row r="251" spans="1:11" ht="20" customHeight="1">
      <c r="A251" t="s">
        <v>25</v>
      </c>
      <c r="B251" t="s">
        <v>786</v>
      </c>
      <c r="C251">
        <v>167.2400054931641</v>
      </c>
      <c r="D251">
        <v>167.2899932861328</v>
      </c>
      <c r="E251">
        <v>166.1600036621094</v>
      </c>
      <c r="F251">
        <v>166.6100006103516</v>
      </c>
      <c r="G251">
        <v>166.6100006103516</v>
      </c>
      <c r="H251">
        <v>6934300</v>
      </c>
      <c r="I251" t="s">
        <v>787</v>
      </c>
      <c r="J251" t="s">
        <v>788</v>
      </c>
      <c r="K251" t="s">
        <v>41</v>
      </c>
    </row>
    <row r="252" spans="1:11" ht="20" customHeight="1">
      <c r="A252" t="s">
        <v>25</v>
      </c>
      <c r="B252" t="s">
        <v>789</v>
      </c>
      <c r="C252">
        <v>166.8000030517578</v>
      </c>
      <c r="D252">
        <v>167.1399993896484</v>
      </c>
      <c r="E252">
        <v>166.3600006103516</v>
      </c>
      <c r="F252">
        <v>166.6999969482422</v>
      </c>
      <c r="G252">
        <v>166.6999969482422</v>
      </c>
      <c r="H252">
        <v>7154000</v>
      </c>
      <c r="I252" t="s">
        <v>790</v>
      </c>
      <c r="J252" t="s">
        <v>791</v>
      </c>
      <c r="K252" t="s">
        <v>41</v>
      </c>
    </row>
    <row r="253" spans="1:11" ht="20" customHeight="1">
      <c r="A253" t="s">
        <v>25</v>
      </c>
      <c r="B253" t="s">
        <v>792</v>
      </c>
      <c r="C253">
        <v>168.8200073242188</v>
      </c>
      <c r="D253">
        <v>168.9100036621094</v>
      </c>
      <c r="E253">
        <v>167.9600067138672</v>
      </c>
      <c r="F253">
        <v>168.7299957275391</v>
      </c>
      <c r="G253">
        <v>168.7299957275391</v>
      </c>
      <c r="H253">
        <v>8190500</v>
      </c>
      <c r="I253" t="s">
        <v>793</v>
      </c>
      <c r="J253" t="s">
        <v>794</v>
      </c>
      <c r="K253" t="s">
        <v>41</v>
      </c>
    </row>
    <row r="254" spans="1:11" ht="20" customHeight="1">
      <c r="A254" t="s">
        <v>25</v>
      </c>
      <c r="B254" t="s">
        <v>795</v>
      </c>
      <c r="C254">
        <v>169.0399932861328</v>
      </c>
      <c r="D254">
        <v>169.2700042724609</v>
      </c>
      <c r="E254">
        <v>168.5200042724609</v>
      </c>
      <c r="F254">
        <v>168.6499938964844</v>
      </c>
      <c r="G254">
        <v>168.6499938964844</v>
      </c>
      <c r="H254">
        <v>4519200</v>
      </c>
      <c r="I254" t="s">
        <v>796</v>
      </c>
      <c r="J254" t="s">
        <v>797</v>
      </c>
      <c r="K254" t="s">
        <v>41</v>
      </c>
    </row>
    <row r="255" spans="1:11" ht="20" customHeight="1">
      <c r="A255" t="s">
        <v>25</v>
      </c>
      <c r="B255" t="s">
        <v>798</v>
      </c>
      <c r="C255">
        <v>167.8800048828125</v>
      </c>
      <c r="D255">
        <v>167.9199981689453</v>
      </c>
      <c r="E255">
        <v>166.7400054931641</v>
      </c>
      <c r="F255">
        <v>167.4799957275391</v>
      </c>
      <c r="G255">
        <v>167.4799957275391</v>
      </c>
      <c r="H255">
        <v>5588800</v>
      </c>
      <c r="I255" t="s">
        <v>799</v>
      </c>
      <c r="J255" t="s">
        <v>800</v>
      </c>
      <c r="K255" t="s">
        <v>41</v>
      </c>
    </row>
    <row r="256" spans="1:11" ht="20" customHeight="1">
      <c r="A256" t="s">
        <v>25</v>
      </c>
      <c r="B256" t="s">
        <v>801</v>
      </c>
      <c r="C256">
        <v>167.2100067138672</v>
      </c>
      <c r="D256">
        <v>168.2100067138672</v>
      </c>
      <c r="E256">
        <v>166.8300018310547</v>
      </c>
      <c r="F256">
        <v>167.6699981689453</v>
      </c>
      <c r="G256">
        <v>167.6699981689453</v>
      </c>
      <c r="H256">
        <v>4371900</v>
      </c>
      <c r="I256" t="s">
        <v>802</v>
      </c>
      <c r="J256" t="s">
        <v>803</v>
      </c>
      <c r="K256" t="s">
        <v>41</v>
      </c>
    </row>
    <row r="257" spans="1:11" ht="20" customHeight="1">
      <c r="A257" t="s">
        <v>25</v>
      </c>
      <c r="B257" t="s">
        <v>804</v>
      </c>
      <c r="C257">
        <v>167.5800018310547</v>
      </c>
      <c r="D257">
        <v>170.1900024414062</v>
      </c>
      <c r="E257">
        <v>166.8699951171875</v>
      </c>
      <c r="F257">
        <v>170.1900024414062</v>
      </c>
      <c r="G257">
        <v>170.1900024414062</v>
      </c>
      <c r="H257">
        <v>10036400</v>
      </c>
      <c r="I257" t="s">
        <v>805</v>
      </c>
      <c r="J257" t="s">
        <v>806</v>
      </c>
      <c r="K257" t="s">
        <v>41</v>
      </c>
    </row>
    <row r="258" spans="1:11" ht="20" customHeight="1">
      <c r="A258" t="s">
        <v>25</v>
      </c>
      <c r="B258" t="s">
        <v>807</v>
      </c>
      <c r="C258">
        <v>169.6600036621094</v>
      </c>
      <c r="D258">
        <v>169.8399963378906</v>
      </c>
      <c r="E258">
        <v>169.0899963378906</v>
      </c>
      <c r="F258">
        <v>169.3500061035156</v>
      </c>
      <c r="G258">
        <v>169.3500061035156</v>
      </c>
      <c r="H258">
        <v>3768600</v>
      </c>
      <c r="I258" t="s">
        <v>808</v>
      </c>
      <c r="J258" t="s">
        <v>809</v>
      </c>
      <c r="K258" t="s">
        <v>41</v>
      </c>
    </row>
    <row r="259" spans="1:11" ht="20" customHeight="1">
      <c r="A259" t="s">
        <v>25</v>
      </c>
      <c r="B259" t="s">
        <v>810</v>
      </c>
      <c r="C259">
        <v>169.2299957275391</v>
      </c>
      <c r="D259">
        <v>169.9199981689453</v>
      </c>
      <c r="E259">
        <v>168.75</v>
      </c>
      <c r="F259">
        <v>169.6900024414062</v>
      </c>
      <c r="G259">
        <v>169.6900024414062</v>
      </c>
      <c r="H259">
        <v>6336000</v>
      </c>
      <c r="I259" t="s">
        <v>811</v>
      </c>
      <c r="J259" t="s">
        <v>812</v>
      </c>
      <c r="K259" t="s">
        <v>41</v>
      </c>
    </row>
    <row r="260" spans="1:11" ht="20" customHeight="1">
      <c r="A260" t="s">
        <v>25</v>
      </c>
      <c r="B260" t="s">
        <v>813</v>
      </c>
      <c r="C260">
        <v>169.9400024414062</v>
      </c>
      <c r="D260">
        <v>170</v>
      </c>
      <c r="E260">
        <v>169.1600036621094</v>
      </c>
      <c r="F260">
        <v>169.6999969482422</v>
      </c>
      <c r="G260">
        <v>169.6999969482422</v>
      </c>
      <c r="H260">
        <v>4764900</v>
      </c>
      <c r="I260" t="s">
        <v>814</v>
      </c>
      <c r="J260" t="s">
        <v>815</v>
      </c>
      <c r="K260" t="s">
        <v>41</v>
      </c>
    </row>
    <row r="261" spans="1:11" ht="20" customHeight="1">
      <c r="A261" t="s">
        <v>25</v>
      </c>
      <c r="B261" t="s">
        <v>816</v>
      </c>
      <c r="C261">
        <v>169.5</v>
      </c>
      <c r="D261">
        <v>169.6300048828125</v>
      </c>
      <c r="E261">
        <v>168.8200073242188</v>
      </c>
      <c r="F261">
        <v>169.25</v>
      </c>
      <c r="G261">
        <v>169.25</v>
      </c>
      <c r="H261">
        <v>4599800</v>
      </c>
      <c r="I261" t="s">
        <v>817</v>
      </c>
      <c r="J261" t="s">
        <v>818</v>
      </c>
      <c r="K261" t="s">
        <v>41</v>
      </c>
    </row>
    <row r="262" spans="1:11" ht="20" customHeight="1">
      <c r="A262" t="s">
        <v>25</v>
      </c>
      <c r="B262" t="s">
        <v>819</v>
      </c>
      <c r="C262">
        <v>170.5899963378906</v>
      </c>
      <c r="D262">
        <v>171.5500030517578</v>
      </c>
      <c r="E262">
        <v>170.1499938964844</v>
      </c>
      <c r="F262">
        <v>171.0599975585938</v>
      </c>
      <c r="G262">
        <v>171.0599975585938</v>
      </c>
      <c r="H262">
        <v>8353300</v>
      </c>
      <c r="I262" t="s">
        <v>820</v>
      </c>
      <c r="J262" t="s">
        <v>821</v>
      </c>
      <c r="K262" t="s">
        <v>41</v>
      </c>
    </row>
    <row r="263" spans="1:11" ht="20" customHeight="1">
      <c r="A263" t="s">
        <v>25</v>
      </c>
      <c r="B263" t="s">
        <v>822</v>
      </c>
      <c r="C263">
        <v>169.5599975585938</v>
      </c>
      <c r="D263">
        <v>169.7799987792969</v>
      </c>
      <c r="E263">
        <v>167.6300048828125</v>
      </c>
      <c r="F263">
        <v>167.7100067138672</v>
      </c>
      <c r="G263">
        <v>167.7100067138672</v>
      </c>
      <c r="H263">
        <v>10004600</v>
      </c>
      <c r="I263" t="s">
        <v>823</v>
      </c>
      <c r="J263" t="s">
        <v>824</v>
      </c>
      <c r="K263" t="s">
        <v>41</v>
      </c>
    </row>
    <row r="264" spans="1:11" ht="20" customHeight="1">
      <c r="A264" t="s">
        <v>25</v>
      </c>
      <c r="B264" t="s">
        <v>825</v>
      </c>
      <c r="C264">
        <v>168.0200042724609</v>
      </c>
      <c r="D264">
        <v>168.0800018310547</v>
      </c>
      <c r="E264">
        <v>166.6999969482422</v>
      </c>
      <c r="F264">
        <v>167.2899932861328</v>
      </c>
      <c r="G264">
        <v>167.2899932861328</v>
      </c>
      <c r="H264">
        <v>6576000</v>
      </c>
      <c r="I264" t="s">
        <v>826</v>
      </c>
      <c r="J264" t="s">
        <v>827</v>
      </c>
      <c r="K264" t="s">
        <v>41</v>
      </c>
    </row>
    <row r="265" spans="1:11" ht="20" customHeight="1">
      <c r="A265" t="s">
        <v>25</v>
      </c>
      <c r="B265" t="s">
        <v>828</v>
      </c>
      <c r="C265">
        <v>168.1699981689453</v>
      </c>
      <c r="D265">
        <v>168.2799987792969</v>
      </c>
      <c r="E265">
        <v>166.8300018310547</v>
      </c>
      <c r="F265">
        <v>168.0299987792969</v>
      </c>
      <c r="G265">
        <v>168.0299987792969</v>
      </c>
      <c r="H265">
        <v>6641400</v>
      </c>
      <c r="I265" t="s">
        <v>829</v>
      </c>
      <c r="J265" t="s">
        <v>830</v>
      </c>
      <c r="K265" t="s">
        <v>41</v>
      </c>
    </row>
    <row r="266" spans="1:11" ht="20" customHeight="1">
      <c r="A266" t="s">
        <v>25</v>
      </c>
      <c r="B266" t="s">
        <v>831</v>
      </c>
      <c r="C266">
        <v>167.8099975585938</v>
      </c>
      <c r="D266">
        <v>168.0800018310547</v>
      </c>
      <c r="E266">
        <v>167.1499938964844</v>
      </c>
      <c r="F266">
        <v>167.1799926757812</v>
      </c>
      <c r="G266">
        <v>167.1799926757812</v>
      </c>
      <c r="H266">
        <v>7426300</v>
      </c>
      <c r="I266" t="s">
        <v>832</v>
      </c>
      <c r="J266" t="s">
        <v>833</v>
      </c>
      <c r="K266" t="s">
        <v>41</v>
      </c>
    </row>
    <row r="267" spans="1:11" ht="20" customHeight="1">
      <c r="A267" t="s">
        <v>25</v>
      </c>
      <c r="B267" t="s">
        <v>834</v>
      </c>
      <c r="C267">
        <v>167.4499969482422</v>
      </c>
      <c r="D267">
        <v>168.2200012207031</v>
      </c>
      <c r="E267">
        <v>167.3999938964844</v>
      </c>
      <c r="F267">
        <v>167.7400054931641</v>
      </c>
      <c r="G267">
        <v>167.7400054931641</v>
      </c>
      <c r="H267">
        <v>5474300</v>
      </c>
      <c r="I267" t="s">
        <v>835</v>
      </c>
      <c r="J267" t="s">
        <v>836</v>
      </c>
      <c r="K267" t="s">
        <v>41</v>
      </c>
    </row>
    <row r="268" spans="1:11" ht="20" customHeight="1">
      <c r="A268" t="s">
        <v>25</v>
      </c>
      <c r="B268" t="s">
        <v>837</v>
      </c>
      <c r="C268">
        <v>168.2200012207031</v>
      </c>
      <c r="D268">
        <v>169.1600036621094</v>
      </c>
      <c r="E268">
        <v>167.4799957275391</v>
      </c>
      <c r="F268">
        <v>168.8200073242188</v>
      </c>
      <c r="G268">
        <v>168.8200073242188</v>
      </c>
      <c r="H268">
        <v>7922900</v>
      </c>
      <c r="I268" t="s">
        <v>838</v>
      </c>
      <c r="J268" t="s">
        <v>839</v>
      </c>
      <c r="K268" t="s">
        <v>41</v>
      </c>
    </row>
    <row r="269" spans="1:11" ht="20" customHeight="1">
      <c r="A269" t="s">
        <v>25</v>
      </c>
      <c r="B269" t="s">
        <v>840</v>
      </c>
      <c r="C269">
        <v>168.1300048828125</v>
      </c>
      <c r="D269">
        <v>168.3600006103516</v>
      </c>
      <c r="E269">
        <v>167.4499969482422</v>
      </c>
      <c r="F269">
        <v>167.8300018310547</v>
      </c>
      <c r="G269">
        <v>167.8300018310547</v>
      </c>
      <c r="H269">
        <v>5624900</v>
      </c>
      <c r="I269" t="s">
        <v>841</v>
      </c>
      <c r="J269" t="s">
        <v>842</v>
      </c>
      <c r="K269" t="s">
        <v>41</v>
      </c>
    </row>
    <row r="270" spans="1:11" ht="20" customHeight="1">
      <c r="A270" t="s">
        <v>25</v>
      </c>
      <c r="B270" t="s">
        <v>843</v>
      </c>
      <c r="C270">
        <v>164.3800048828125</v>
      </c>
      <c r="D270">
        <v>164.4400024414062</v>
      </c>
      <c r="E270">
        <v>163.2299957275391</v>
      </c>
      <c r="F270">
        <v>164.0299987792969</v>
      </c>
      <c r="G270">
        <v>164.0299987792969</v>
      </c>
      <c r="H270">
        <v>11780400</v>
      </c>
      <c r="I270" t="s">
        <v>844</v>
      </c>
      <c r="J270" t="s">
        <v>845</v>
      </c>
      <c r="K270" t="s">
        <v>41</v>
      </c>
    </row>
    <row r="271" spans="1:11" ht="20" customHeight="1">
      <c r="A271" t="s">
        <v>25</v>
      </c>
      <c r="B271" t="s">
        <v>846</v>
      </c>
      <c r="C271">
        <v>163.8600006103516</v>
      </c>
      <c r="D271">
        <v>164.3200073242188</v>
      </c>
      <c r="E271">
        <v>163.3999938964844</v>
      </c>
      <c r="F271">
        <v>163.7700042724609</v>
      </c>
      <c r="G271">
        <v>163.7700042724609</v>
      </c>
      <c r="H271">
        <v>8369700</v>
      </c>
      <c r="I271" t="s">
        <v>847</v>
      </c>
      <c r="J271" t="s">
        <v>848</v>
      </c>
      <c r="K271" t="s">
        <v>41</v>
      </c>
    </row>
    <row r="272" spans="1:11" ht="20" customHeight="1">
      <c r="A272" t="s">
        <v>25</v>
      </c>
      <c r="B272" t="s">
        <v>849</v>
      </c>
      <c r="C272">
        <v>164.2899932861328</v>
      </c>
      <c r="D272">
        <v>165.2799987792969</v>
      </c>
      <c r="E272">
        <v>164.0700073242188</v>
      </c>
      <c r="F272">
        <v>164.9400024414062</v>
      </c>
      <c r="G272">
        <v>164.9400024414062</v>
      </c>
      <c r="H272">
        <v>7566600</v>
      </c>
      <c r="I272" t="s">
        <v>850</v>
      </c>
      <c r="J272" t="s">
        <v>851</v>
      </c>
      <c r="K272" t="s">
        <v>41</v>
      </c>
    </row>
    <row r="273" spans="1:11" ht="20" customHeight="1">
      <c r="A273" t="s">
        <v>25</v>
      </c>
      <c r="B273" t="s">
        <v>852</v>
      </c>
      <c r="C273">
        <v>165.8099975585938</v>
      </c>
      <c r="D273">
        <v>166.6300048828125</v>
      </c>
      <c r="E273">
        <v>165.4900054931641</v>
      </c>
      <c r="F273">
        <v>166.0399932861328</v>
      </c>
      <c r="G273">
        <v>166.0399932861328</v>
      </c>
      <c r="H273">
        <v>7181500</v>
      </c>
      <c r="I273" t="s">
        <v>853</v>
      </c>
      <c r="J273" t="s">
        <v>854</v>
      </c>
      <c r="K273" t="s">
        <v>41</v>
      </c>
    </row>
    <row r="274" spans="1:11" ht="20" customHeight="1">
      <c r="A274" t="s">
        <v>25</v>
      </c>
      <c r="B274" t="s">
        <v>855</v>
      </c>
      <c r="C274">
        <v>165.8899993896484</v>
      </c>
      <c r="D274">
        <v>167.1499938964844</v>
      </c>
      <c r="E274">
        <v>165.0299987792969</v>
      </c>
      <c r="F274">
        <v>165.4199981689453</v>
      </c>
      <c r="G274">
        <v>165.4199981689453</v>
      </c>
      <c r="H274">
        <v>9777800</v>
      </c>
      <c r="I274" t="s">
        <v>856</v>
      </c>
      <c r="J274" t="s">
        <v>857</v>
      </c>
      <c r="K274" t="s">
        <v>41</v>
      </c>
    </row>
    <row r="275" spans="1:11" ht="20" customHeight="1">
      <c r="A275" t="s">
        <v>25</v>
      </c>
      <c r="B275" t="s">
        <v>858</v>
      </c>
      <c r="C275">
        <v>164.1000061035156</v>
      </c>
      <c r="D275">
        <v>164.1999969482422</v>
      </c>
      <c r="E275">
        <v>163.2700042724609</v>
      </c>
      <c r="F275">
        <v>163.5099945068359</v>
      </c>
      <c r="G275">
        <v>163.5099945068359</v>
      </c>
      <c r="H275">
        <v>8451900</v>
      </c>
      <c r="I275" t="s">
        <v>859</v>
      </c>
      <c r="J275" t="s">
        <v>860</v>
      </c>
      <c r="K275" t="s">
        <v>41</v>
      </c>
    </row>
    <row r="276" spans="1:11" ht="20" customHeight="1">
      <c r="A276" t="s">
        <v>25</v>
      </c>
      <c r="B276" t="s">
        <v>861</v>
      </c>
      <c r="C276">
        <v>163</v>
      </c>
      <c r="D276">
        <v>164</v>
      </c>
      <c r="E276">
        <v>162.7400054931641</v>
      </c>
      <c r="F276">
        <v>163.3000030517578</v>
      </c>
      <c r="G276">
        <v>163.3000030517578</v>
      </c>
      <c r="H276">
        <v>6937500</v>
      </c>
      <c r="I276" t="s">
        <v>862</v>
      </c>
      <c r="J276" t="s">
        <v>863</v>
      </c>
      <c r="K276" t="s">
        <v>41</v>
      </c>
    </row>
    <row r="277" spans="1:11" ht="20" customHeight="1">
      <c r="A277" t="s">
        <v>25</v>
      </c>
      <c r="B277" t="s">
        <v>864</v>
      </c>
      <c r="C277">
        <v>163.8500061035156</v>
      </c>
      <c r="D277">
        <v>164.3600006103516</v>
      </c>
      <c r="E277">
        <v>163.5099945068359</v>
      </c>
      <c r="F277">
        <v>163.6399993896484</v>
      </c>
      <c r="G277">
        <v>163.6399993896484</v>
      </c>
      <c r="H277">
        <v>4943000</v>
      </c>
      <c r="I277" t="s">
        <v>865</v>
      </c>
      <c r="J277" t="s">
        <v>866</v>
      </c>
      <c r="K277" t="s">
        <v>41</v>
      </c>
    </row>
    <row r="278" spans="1:11" ht="20" customHeight="1">
      <c r="A278" t="s">
        <v>25</v>
      </c>
      <c r="B278" t="s">
        <v>867</v>
      </c>
      <c r="C278">
        <v>162.7299957275391</v>
      </c>
      <c r="D278">
        <v>162.8200073242188</v>
      </c>
      <c r="E278">
        <v>161.7299957275391</v>
      </c>
      <c r="F278">
        <v>162.0500030517578</v>
      </c>
      <c r="G278">
        <v>162.0500030517578</v>
      </c>
      <c r="H278">
        <v>9282800</v>
      </c>
      <c r="I278" t="s">
        <v>868</v>
      </c>
      <c r="J278" t="s">
        <v>869</v>
      </c>
      <c r="K278" t="s">
        <v>41</v>
      </c>
    </row>
    <row r="279" spans="1:11" ht="20" customHeight="1">
      <c r="A279" t="s">
        <v>25</v>
      </c>
      <c r="B279" t="s">
        <v>870</v>
      </c>
      <c r="C279">
        <v>162.3500061035156</v>
      </c>
      <c r="D279">
        <v>162.7400054931641</v>
      </c>
      <c r="E279">
        <v>160.9700012207031</v>
      </c>
      <c r="F279">
        <v>161.3200073242188</v>
      </c>
      <c r="G279">
        <v>161.3200073242188</v>
      </c>
      <c r="H279">
        <v>8360700</v>
      </c>
      <c r="I279" t="s">
        <v>871</v>
      </c>
      <c r="J279" t="s">
        <v>872</v>
      </c>
      <c r="K279" t="s">
        <v>41</v>
      </c>
    </row>
    <row r="280" spans="1:11" ht="20" customHeight="1">
      <c r="A280" t="s">
        <v>25</v>
      </c>
      <c r="B280" t="s">
        <v>873</v>
      </c>
      <c r="C280">
        <v>162.6600036621094</v>
      </c>
      <c r="D280">
        <v>164.9499969482422</v>
      </c>
      <c r="E280">
        <v>162.3399963378906</v>
      </c>
      <c r="F280">
        <v>164.2200012207031</v>
      </c>
      <c r="G280">
        <v>164.2200012207031</v>
      </c>
      <c r="H280">
        <v>10572900</v>
      </c>
      <c r="I280" t="s">
        <v>874</v>
      </c>
      <c r="J280" t="s">
        <v>875</v>
      </c>
      <c r="K280" t="s">
        <v>41</v>
      </c>
    </row>
    <row r="281" spans="1:11" ht="20" customHeight="1">
      <c r="A281" t="s">
        <v>25</v>
      </c>
      <c r="B281" t="s">
        <v>876</v>
      </c>
      <c r="C281">
        <v>164.2700042724609</v>
      </c>
      <c r="D281">
        <v>164.9600067138672</v>
      </c>
      <c r="E281">
        <v>163.8899993896484</v>
      </c>
      <c r="F281">
        <v>164.5899963378906</v>
      </c>
      <c r="G281">
        <v>164.5899963378906</v>
      </c>
      <c r="H281">
        <v>6654700</v>
      </c>
      <c r="I281" t="s">
        <v>877</v>
      </c>
      <c r="J281" t="s">
        <v>878</v>
      </c>
      <c r="K281" t="s">
        <v>41</v>
      </c>
    </row>
    <row r="282" spans="1:11" ht="20" customHeight="1">
      <c r="A282" t="s">
        <v>25</v>
      </c>
      <c r="B282" t="s">
        <v>879</v>
      </c>
      <c r="C282">
        <v>163.6900024414062</v>
      </c>
      <c r="D282">
        <v>165.5399932861328</v>
      </c>
      <c r="E282">
        <v>163.4700012207031</v>
      </c>
      <c r="F282">
        <v>165.3600006103516</v>
      </c>
      <c r="G282">
        <v>165.3600006103516</v>
      </c>
      <c r="H282">
        <v>7651700</v>
      </c>
      <c r="I282" t="s">
        <v>880</v>
      </c>
      <c r="J282" t="s">
        <v>881</v>
      </c>
      <c r="K282" t="s">
        <v>41</v>
      </c>
    </row>
    <row r="283" spans="1:11" ht="20" customHeight="1">
      <c r="A283" t="s">
        <v>25</v>
      </c>
      <c r="B283" t="s">
        <v>882</v>
      </c>
      <c r="C283">
        <v>163.9400024414062</v>
      </c>
      <c r="D283">
        <v>164.8500061035156</v>
      </c>
      <c r="E283">
        <v>163.4900054931641</v>
      </c>
      <c r="F283">
        <v>164.5899963378906</v>
      </c>
      <c r="G283">
        <v>164.5899963378906</v>
      </c>
      <c r="H283">
        <v>5617300</v>
      </c>
      <c r="I283" t="s">
        <v>883</v>
      </c>
      <c r="J283" t="s">
        <v>884</v>
      </c>
      <c r="K283" t="s">
        <v>41</v>
      </c>
    </row>
    <row r="284" spans="1:11" ht="20" customHeight="1">
      <c r="A284" t="s">
        <v>25</v>
      </c>
      <c r="B284" t="s">
        <v>885</v>
      </c>
      <c r="C284">
        <v>164.2299957275391</v>
      </c>
      <c r="D284">
        <v>165.0599975585938</v>
      </c>
      <c r="E284">
        <v>164.1499938964844</v>
      </c>
      <c r="F284">
        <v>165.0299987792969</v>
      </c>
      <c r="G284">
        <v>165.0299987792969</v>
      </c>
      <c r="H284">
        <v>6067200</v>
      </c>
      <c r="I284" t="s">
        <v>886</v>
      </c>
      <c r="J284" t="s">
        <v>887</v>
      </c>
      <c r="K284" t="s">
        <v>41</v>
      </c>
    </row>
    <row r="285" spans="1:11" ht="20" customHeight="1">
      <c r="A285" t="s">
        <v>25</v>
      </c>
      <c r="B285" t="s">
        <v>888</v>
      </c>
      <c r="C285">
        <v>164.0200042724609</v>
      </c>
      <c r="D285">
        <v>164.8500061035156</v>
      </c>
      <c r="E285">
        <v>163.9600067138672</v>
      </c>
      <c r="F285">
        <v>164.1600036621094</v>
      </c>
      <c r="G285">
        <v>164.1600036621094</v>
      </c>
      <c r="H285">
        <v>4791500</v>
      </c>
      <c r="I285" t="s">
        <v>889</v>
      </c>
      <c r="J285" t="s">
        <v>890</v>
      </c>
      <c r="K285" t="s">
        <v>41</v>
      </c>
    </row>
    <row r="286" spans="1:11" ht="20" customHeight="1">
      <c r="A286" t="s">
        <v>25</v>
      </c>
      <c r="B286" t="s">
        <v>891</v>
      </c>
      <c r="C286">
        <v>166.3200073242188</v>
      </c>
      <c r="D286">
        <v>166.4199981689453</v>
      </c>
      <c r="E286">
        <v>164.1399993896484</v>
      </c>
      <c r="F286">
        <v>164.2299957275391</v>
      </c>
      <c r="G286">
        <v>164.2299957275391</v>
      </c>
      <c r="H286">
        <v>8536100</v>
      </c>
      <c r="I286" t="s">
        <v>892</v>
      </c>
      <c r="J286" t="s">
        <v>893</v>
      </c>
      <c r="K286" t="s">
        <v>41</v>
      </c>
    </row>
    <row r="287" spans="1:11" ht="20" customHeight="1">
      <c r="A287" t="s">
        <v>25</v>
      </c>
      <c r="B287" t="s">
        <v>894</v>
      </c>
      <c r="C287">
        <v>164.0399932861328</v>
      </c>
      <c r="D287">
        <v>164.5800018310547</v>
      </c>
      <c r="E287">
        <v>163.9100036621094</v>
      </c>
      <c r="F287">
        <v>163.9199981689453</v>
      </c>
      <c r="G287">
        <v>163.9199981689453</v>
      </c>
      <c r="H287">
        <v>3820100</v>
      </c>
      <c r="I287" t="s">
        <v>895</v>
      </c>
      <c r="J287" t="s">
        <v>896</v>
      </c>
      <c r="K287" t="s">
        <v>41</v>
      </c>
    </row>
    <row r="288" spans="1:11" ht="20" customHeight="1">
      <c r="A288" t="s">
        <v>25</v>
      </c>
      <c r="B288" t="s">
        <v>897</v>
      </c>
      <c r="C288">
        <v>164.5700073242188</v>
      </c>
      <c r="D288">
        <v>165.4400024414062</v>
      </c>
      <c r="E288">
        <v>164.3099975585938</v>
      </c>
      <c r="F288">
        <v>164.6600036621094</v>
      </c>
      <c r="G288">
        <v>164.6600036621094</v>
      </c>
      <c r="H288">
        <v>5453000</v>
      </c>
      <c r="I288" t="s">
        <v>898</v>
      </c>
      <c r="J288" t="s">
        <v>899</v>
      </c>
      <c r="K288" t="s">
        <v>41</v>
      </c>
    </row>
    <row r="289" spans="1:11" ht="20" customHeight="1">
      <c r="A289" t="s">
        <v>25</v>
      </c>
      <c r="B289" t="s">
        <v>900</v>
      </c>
      <c r="C289">
        <v>165.2799987792969</v>
      </c>
      <c r="D289">
        <v>167.9199981689453</v>
      </c>
      <c r="E289">
        <v>165.2799987792969</v>
      </c>
      <c r="F289">
        <v>167.5899963378906</v>
      </c>
      <c r="G289">
        <v>167.5899963378906</v>
      </c>
      <c r="H289">
        <v>11113800</v>
      </c>
      <c r="I289" t="s">
        <v>901</v>
      </c>
      <c r="J289" t="s">
        <v>902</v>
      </c>
      <c r="K289" t="s">
        <v>41</v>
      </c>
    </row>
    <row r="290" spans="1:11" ht="20" customHeight="1">
      <c r="A290" t="s">
        <v>25</v>
      </c>
      <c r="B290" t="s">
        <v>903</v>
      </c>
      <c r="C290">
        <v>168.1900024414062</v>
      </c>
      <c r="D290">
        <v>168.2200012207031</v>
      </c>
      <c r="E290">
        <v>167.7100067138672</v>
      </c>
      <c r="F290">
        <v>168</v>
      </c>
      <c r="G290">
        <v>168</v>
      </c>
      <c r="H290">
        <v>5081400</v>
      </c>
      <c r="I290" t="s">
        <v>904</v>
      </c>
      <c r="J290" t="s">
        <v>905</v>
      </c>
      <c r="K290" t="s">
        <v>41</v>
      </c>
    </row>
    <row r="291" spans="1:11" ht="20" customHeight="1">
      <c r="A291" t="s">
        <v>25</v>
      </c>
      <c r="B291" t="s">
        <v>906</v>
      </c>
      <c r="C291">
        <v>165.3899993896484</v>
      </c>
      <c r="D291">
        <v>166.0899963378906</v>
      </c>
      <c r="E291">
        <v>165.1000061035156</v>
      </c>
      <c r="F291">
        <v>165.3300018310547</v>
      </c>
      <c r="G291">
        <v>165.3300018310547</v>
      </c>
      <c r="H291">
        <v>8699200</v>
      </c>
      <c r="I291" t="s">
        <v>907</v>
      </c>
      <c r="J291" t="s">
        <v>908</v>
      </c>
      <c r="K291" t="s">
        <v>41</v>
      </c>
    </row>
    <row r="292" spans="1:11" ht="20" customHeight="1">
      <c r="A292" t="s">
        <v>25</v>
      </c>
      <c r="B292" t="s">
        <v>909</v>
      </c>
      <c r="C292">
        <v>165.4199981689453</v>
      </c>
      <c r="D292">
        <v>165.5899963378906</v>
      </c>
      <c r="E292">
        <v>164.8099975585938</v>
      </c>
      <c r="F292">
        <v>164.9199981689453</v>
      </c>
      <c r="G292">
        <v>164.9199981689453</v>
      </c>
      <c r="H292">
        <v>4029600</v>
      </c>
      <c r="I292" t="s">
        <v>910</v>
      </c>
      <c r="J292" t="s">
        <v>911</v>
      </c>
      <c r="K292" t="s">
        <v>41</v>
      </c>
    </row>
    <row r="293" spans="1:11" ht="20" customHeight="1">
      <c r="A293" t="s">
        <v>25</v>
      </c>
      <c r="B293" t="s">
        <v>912</v>
      </c>
      <c r="C293">
        <v>166.5</v>
      </c>
      <c r="D293">
        <v>166.5</v>
      </c>
      <c r="E293">
        <v>165.1999969482422</v>
      </c>
      <c r="F293">
        <v>165.4499969482422</v>
      </c>
      <c r="G293">
        <v>165.4499969482422</v>
      </c>
      <c r="H293">
        <v>6588500</v>
      </c>
      <c r="I293" t="s">
        <v>913</v>
      </c>
      <c r="J293" t="s">
        <v>914</v>
      </c>
      <c r="K293" t="s">
        <v>41</v>
      </c>
    </row>
    <row r="294" spans="1:11" ht="20" customHeight="1">
      <c r="A294" t="s">
        <v>25</v>
      </c>
      <c r="B294" t="s">
        <v>915</v>
      </c>
      <c r="C294">
        <v>166.2100067138672</v>
      </c>
      <c r="D294">
        <v>167.1100006103516</v>
      </c>
      <c r="E294">
        <v>165.9299926757812</v>
      </c>
      <c r="F294">
        <v>166.8999938964844</v>
      </c>
      <c r="G294">
        <v>166.8999938964844</v>
      </c>
      <c r="H294">
        <v>5022000</v>
      </c>
      <c r="I294" t="s">
        <v>916</v>
      </c>
      <c r="J294" t="s">
        <v>917</v>
      </c>
      <c r="K294" t="s">
        <v>41</v>
      </c>
    </row>
    <row r="295" spans="1:11" ht="20" customHeight="1">
      <c r="A295" t="s">
        <v>25</v>
      </c>
      <c r="B295" t="s">
        <v>918</v>
      </c>
      <c r="C295">
        <v>166.6999969482422</v>
      </c>
      <c r="D295">
        <v>166.9400024414062</v>
      </c>
      <c r="E295">
        <v>166.2400054931641</v>
      </c>
      <c r="F295">
        <v>166.75</v>
      </c>
      <c r="G295">
        <v>166.75</v>
      </c>
      <c r="H295">
        <v>4412400</v>
      </c>
      <c r="I295" t="s">
        <v>919</v>
      </c>
      <c r="J295" t="s">
        <v>920</v>
      </c>
      <c r="K295" t="s">
        <v>41</v>
      </c>
    </row>
    <row r="296" spans="1:11" ht="20" customHeight="1">
      <c r="A296" t="s">
        <v>25</v>
      </c>
      <c r="B296" t="s">
        <v>921</v>
      </c>
      <c r="C296">
        <v>168.6699981689453</v>
      </c>
      <c r="D296">
        <v>169.5399932861328</v>
      </c>
      <c r="E296">
        <v>166.6699981689453</v>
      </c>
      <c r="F296">
        <v>167.7700042724609</v>
      </c>
      <c r="G296">
        <v>167.7700042724609</v>
      </c>
      <c r="H296">
        <v>10703900</v>
      </c>
      <c r="I296" t="s">
        <v>922</v>
      </c>
      <c r="J296" t="s">
        <v>923</v>
      </c>
      <c r="K296" t="s">
        <v>41</v>
      </c>
    </row>
    <row r="297" spans="1:11" ht="20" customHeight="1">
      <c r="A297" t="s">
        <v>25</v>
      </c>
      <c r="B297" t="s">
        <v>924</v>
      </c>
      <c r="C297">
        <v>168.6600036621094</v>
      </c>
      <c r="D297">
        <v>169.2100067138672</v>
      </c>
      <c r="E297">
        <v>168.5299987792969</v>
      </c>
      <c r="F297">
        <v>168.9299926757812</v>
      </c>
      <c r="G297">
        <v>168.9299926757812</v>
      </c>
      <c r="H297">
        <v>4881300</v>
      </c>
      <c r="I297" t="s">
        <v>925</v>
      </c>
      <c r="J297" t="s">
        <v>926</v>
      </c>
      <c r="K297" t="s">
        <v>41</v>
      </c>
    </row>
    <row r="298" spans="1:11" ht="20" customHeight="1">
      <c r="A298" t="s">
        <v>25</v>
      </c>
      <c r="B298" t="s">
        <v>927</v>
      </c>
      <c r="C298">
        <v>167.8800048828125</v>
      </c>
      <c r="D298">
        <v>167.9100036621094</v>
      </c>
      <c r="E298">
        <v>166.6300048828125</v>
      </c>
      <c r="F298">
        <v>167.6799926757812</v>
      </c>
      <c r="G298">
        <v>167.6799926757812</v>
      </c>
      <c r="H298">
        <v>6658900</v>
      </c>
      <c r="I298" t="s">
        <v>928</v>
      </c>
      <c r="J298" t="s">
        <v>929</v>
      </c>
      <c r="K298" t="s">
        <v>41</v>
      </c>
    </row>
    <row r="299" spans="1:11" ht="20" customHeight="1">
      <c r="A299" t="s">
        <v>25</v>
      </c>
      <c r="B299" t="s">
        <v>930</v>
      </c>
      <c r="C299">
        <v>167.7299957275391</v>
      </c>
      <c r="D299">
        <v>168.1999969482422</v>
      </c>
      <c r="E299">
        <v>166.8600006103516</v>
      </c>
      <c r="F299">
        <v>168.1199951171875</v>
      </c>
      <c r="G299">
        <v>168.1199951171875</v>
      </c>
      <c r="H299">
        <v>5823100</v>
      </c>
      <c r="I299" t="s">
        <v>931</v>
      </c>
      <c r="J299" t="s">
        <v>932</v>
      </c>
      <c r="K299" t="s">
        <v>41</v>
      </c>
    </row>
    <row r="300" spans="1:11" ht="20" customHeight="1">
      <c r="A300" t="s">
        <v>25</v>
      </c>
      <c r="B300" t="s">
        <v>933</v>
      </c>
      <c r="C300">
        <v>168.9799957275391</v>
      </c>
      <c r="D300">
        <v>169.25</v>
      </c>
      <c r="E300">
        <v>167.5299987792969</v>
      </c>
      <c r="F300">
        <v>168.0800018310547</v>
      </c>
      <c r="G300">
        <v>168.0800018310547</v>
      </c>
      <c r="H300">
        <v>7000700</v>
      </c>
      <c r="I300" t="s">
        <v>934</v>
      </c>
      <c r="J300" t="s">
        <v>935</v>
      </c>
      <c r="K300" t="s">
        <v>41</v>
      </c>
    </row>
    <row r="301" spans="1:11" ht="20" customHeight="1">
      <c r="A301" t="s">
        <v>25</v>
      </c>
      <c r="B301" t="s">
        <v>936</v>
      </c>
      <c r="C301">
        <v>166.2899932861328</v>
      </c>
      <c r="D301">
        <v>166.7299957275391</v>
      </c>
      <c r="E301">
        <v>165.6399993896484</v>
      </c>
      <c r="F301">
        <v>166.6499938964844</v>
      </c>
      <c r="G301">
        <v>166.6499938964844</v>
      </c>
      <c r="H301">
        <v>7531900</v>
      </c>
      <c r="I301" t="s">
        <v>937</v>
      </c>
      <c r="J301" t="s">
        <v>938</v>
      </c>
      <c r="K301" t="s">
        <v>41</v>
      </c>
    </row>
    <row r="302" spans="1:11" ht="20" customHeight="1">
      <c r="A302" t="s">
        <v>25</v>
      </c>
      <c r="B302" t="s">
        <v>939</v>
      </c>
      <c r="C302">
        <v>167.3800048828125</v>
      </c>
      <c r="D302">
        <v>167.8399963378906</v>
      </c>
      <c r="E302">
        <v>166.9100036621094</v>
      </c>
      <c r="F302">
        <v>167.5200042724609</v>
      </c>
      <c r="G302">
        <v>167.5200042724609</v>
      </c>
      <c r="H302">
        <v>4975600</v>
      </c>
      <c r="I302" t="s">
        <v>940</v>
      </c>
      <c r="J302" t="s">
        <v>941</v>
      </c>
      <c r="K302" t="s">
        <v>41</v>
      </c>
    </row>
    <row r="303" spans="1:11" ht="20" customHeight="1">
      <c r="A303" t="s">
        <v>25</v>
      </c>
      <c r="B303" t="s">
        <v>942</v>
      </c>
      <c r="C303">
        <v>167.4299926757812</v>
      </c>
      <c r="D303">
        <v>167.6300048828125</v>
      </c>
      <c r="E303">
        <v>166.9600067138672</v>
      </c>
      <c r="F303">
        <v>167.1600036621094</v>
      </c>
      <c r="G303">
        <v>167.1600036621094</v>
      </c>
      <c r="H303">
        <v>3760700</v>
      </c>
      <c r="I303" t="s">
        <v>943</v>
      </c>
      <c r="J303" t="s">
        <v>944</v>
      </c>
      <c r="K303" t="s">
        <v>41</v>
      </c>
    </row>
    <row r="304" spans="1:11" ht="20" customHeight="1">
      <c r="A304" t="s">
        <v>25</v>
      </c>
      <c r="B304" t="s">
        <v>945</v>
      </c>
      <c r="C304">
        <v>165.3399963378906</v>
      </c>
      <c r="D304">
        <v>165.9499969482422</v>
      </c>
      <c r="E304">
        <v>164.3800048828125</v>
      </c>
      <c r="F304">
        <v>165.7700042724609</v>
      </c>
      <c r="G304">
        <v>165.7700042724609</v>
      </c>
      <c r="H304">
        <v>9055200</v>
      </c>
      <c r="I304" t="s">
        <v>946</v>
      </c>
      <c r="J304" t="s">
        <v>947</v>
      </c>
      <c r="K304" t="s">
        <v>41</v>
      </c>
    </row>
    <row r="305" spans="1:11" ht="20" customHeight="1">
      <c r="A305" t="s">
        <v>25</v>
      </c>
      <c r="B305" t="s">
        <v>948</v>
      </c>
      <c r="C305">
        <v>167.5099945068359</v>
      </c>
      <c r="D305">
        <v>168.1399993896484</v>
      </c>
      <c r="E305">
        <v>167.3699951171875</v>
      </c>
      <c r="F305">
        <v>167.6499938964844</v>
      </c>
      <c r="G305">
        <v>167.6499938964844</v>
      </c>
      <c r="H305">
        <v>6656100</v>
      </c>
      <c r="I305" t="s">
        <v>949</v>
      </c>
      <c r="J305" t="s">
        <v>950</v>
      </c>
      <c r="K305" t="s">
        <v>41</v>
      </c>
    </row>
    <row r="306" spans="1:11" ht="20" customHeight="1">
      <c r="A306" t="s">
        <v>25</v>
      </c>
      <c r="B306" t="s">
        <v>951</v>
      </c>
      <c r="C306">
        <v>168.4199981689453</v>
      </c>
      <c r="D306">
        <v>169.9400024414062</v>
      </c>
      <c r="E306">
        <v>167.8500061035156</v>
      </c>
      <c r="F306">
        <v>169.8399963378906</v>
      </c>
      <c r="G306">
        <v>169.8399963378906</v>
      </c>
      <c r="H306">
        <v>9368900</v>
      </c>
      <c r="I306" t="s">
        <v>952</v>
      </c>
      <c r="J306" t="s">
        <v>953</v>
      </c>
      <c r="K306" t="s">
        <v>41</v>
      </c>
    </row>
    <row r="307" spans="1:11" ht="20" customHeight="1">
      <c r="A307" t="s">
        <v>25</v>
      </c>
      <c r="B307" t="s">
        <v>954</v>
      </c>
      <c r="C307">
        <v>170.4299926757812</v>
      </c>
      <c r="D307">
        <v>170.6999969482422</v>
      </c>
      <c r="E307">
        <v>170.0599975585938</v>
      </c>
      <c r="F307">
        <v>170.4499969482422</v>
      </c>
      <c r="G307">
        <v>170.4499969482422</v>
      </c>
      <c r="H307">
        <v>4966100</v>
      </c>
      <c r="I307" t="s">
        <v>955</v>
      </c>
      <c r="J307" t="s">
        <v>956</v>
      </c>
      <c r="K307" t="s">
        <v>41</v>
      </c>
    </row>
    <row r="308" spans="1:11" ht="20" customHeight="1">
      <c r="A308" t="s">
        <v>25</v>
      </c>
      <c r="B308" t="s">
        <v>957</v>
      </c>
      <c r="C308">
        <v>170.7299957275391</v>
      </c>
      <c r="D308">
        <v>171.3099975585938</v>
      </c>
      <c r="E308">
        <v>170.1199951171875</v>
      </c>
      <c r="F308">
        <v>171.2899932861328</v>
      </c>
      <c r="G308">
        <v>171.2899932861328</v>
      </c>
      <c r="H308">
        <v>5781200</v>
      </c>
      <c r="I308" t="s">
        <v>958</v>
      </c>
      <c r="J308" t="s">
        <v>959</v>
      </c>
      <c r="K308" t="s">
        <v>41</v>
      </c>
    </row>
    <row r="309" spans="1:11" ht="20" customHeight="1">
      <c r="A309" t="s">
        <v>25</v>
      </c>
      <c r="B309" t="s">
        <v>960</v>
      </c>
      <c r="C309">
        <v>173.6699981689453</v>
      </c>
      <c r="D309">
        <v>174.6499938964844</v>
      </c>
      <c r="E309">
        <v>172.1100006103516</v>
      </c>
      <c r="F309">
        <v>173.1499938964844</v>
      </c>
      <c r="G309">
        <v>173.1499938964844</v>
      </c>
      <c r="H309">
        <v>11461800</v>
      </c>
      <c r="I309" t="s">
        <v>961</v>
      </c>
      <c r="J309" t="s">
        <v>962</v>
      </c>
      <c r="K309" t="s">
        <v>41</v>
      </c>
    </row>
    <row r="310" spans="1:11" ht="20" customHeight="1">
      <c r="A310" t="s">
        <v>25</v>
      </c>
      <c r="B310" t="s">
        <v>963</v>
      </c>
      <c r="C310">
        <v>173.9799957275391</v>
      </c>
      <c r="D310">
        <v>174.2700042724609</v>
      </c>
      <c r="E310">
        <v>173.7400054931641</v>
      </c>
      <c r="F310">
        <v>174.1199951171875</v>
      </c>
      <c r="G310">
        <v>174.1199951171875</v>
      </c>
      <c r="H310">
        <v>5959600</v>
      </c>
      <c r="I310" t="s">
        <v>964</v>
      </c>
      <c r="J310" t="s">
        <v>965</v>
      </c>
      <c r="K310" t="s">
        <v>41</v>
      </c>
    </row>
    <row r="311" spans="1:11" ht="20" customHeight="1">
      <c r="A311" t="s">
        <v>25</v>
      </c>
      <c r="B311" t="s">
        <v>966</v>
      </c>
      <c r="C311">
        <v>173.5099945068359</v>
      </c>
      <c r="D311">
        <v>174.6699981689453</v>
      </c>
      <c r="E311">
        <v>173.3999938964844</v>
      </c>
      <c r="F311">
        <v>174.4499969482422</v>
      </c>
      <c r="G311">
        <v>174.4499969482422</v>
      </c>
      <c r="H311">
        <v>7894800</v>
      </c>
      <c r="I311" t="s">
        <v>967</v>
      </c>
      <c r="J311" t="s">
        <v>968</v>
      </c>
      <c r="K311" t="s">
        <v>41</v>
      </c>
    </row>
    <row r="312" spans="1:11" ht="20" customHeight="1">
      <c r="A312" t="s">
        <v>25</v>
      </c>
      <c r="B312" t="s">
        <v>969</v>
      </c>
      <c r="C312">
        <v>174.1000061035156</v>
      </c>
      <c r="D312">
        <v>174.5899963378906</v>
      </c>
      <c r="E312">
        <v>173.6900024414062</v>
      </c>
      <c r="F312">
        <v>174.1799926757812</v>
      </c>
      <c r="G312">
        <v>174.1799926757812</v>
      </c>
      <c r="H312">
        <v>5630800</v>
      </c>
      <c r="I312" t="s">
        <v>970</v>
      </c>
      <c r="J312" t="s">
        <v>971</v>
      </c>
      <c r="K312" t="s">
        <v>41</v>
      </c>
    </row>
    <row r="313" spans="1:11" ht="20" customHeight="1">
      <c r="A313" t="s">
        <v>25</v>
      </c>
      <c r="B313" t="s">
        <v>972</v>
      </c>
      <c r="C313">
        <v>173.9700012207031</v>
      </c>
      <c r="D313">
        <v>174.4799957275391</v>
      </c>
      <c r="E313">
        <v>172.8600006103516</v>
      </c>
      <c r="F313">
        <v>172.9199981689453</v>
      </c>
      <c r="G313">
        <v>172.9199981689453</v>
      </c>
      <c r="H313">
        <v>8667300</v>
      </c>
      <c r="I313" t="s">
        <v>973</v>
      </c>
      <c r="J313" t="s">
        <v>974</v>
      </c>
      <c r="K313" t="s">
        <v>41</v>
      </c>
    </row>
    <row r="314" spans="1:11" ht="20" customHeight="1">
      <c r="A314" t="s">
        <v>25</v>
      </c>
      <c r="B314" t="s">
        <v>975</v>
      </c>
      <c r="C314">
        <v>174.2400054931641</v>
      </c>
      <c r="D314">
        <v>174.6100006103516</v>
      </c>
      <c r="E314">
        <v>173.8899993896484</v>
      </c>
      <c r="F314">
        <v>174.5</v>
      </c>
      <c r="G314">
        <v>174.5</v>
      </c>
      <c r="H314">
        <v>6523100</v>
      </c>
      <c r="I314" t="s">
        <v>976</v>
      </c>
      <c r="J314" t="s">
        <v>977</v>
      </c>
      <c r="K314" t="s">
        <v>41</v>
      </c>
    </row>
    <row r="315" spans="1:11" ht="20" customHeight="1">
      <c r="A315" t="s">
        <v>25</v>
      </c>
      <c r="B315" t="s">
        <v>978</v>
      </c>
      <c r="C315">
        <v>173.9600067138672</v>
      </c>
      <c r="D315">
        <v>174.3600006103516</v>
      </c>
      <c r="E315">
        <v>173.5299987792969</v>
      </c>
      <c r="F315">
        <v>173.9400024414062</v>
      </c>
      <c r="G315">
        <v>173.9400024414062</v>
      </c>
      <c r="H315">
        <v>6252000</v>
      </c>
      <c r="I315" t="s">
        <v>979</v>
      </c>
      <c r="J315" t="s">
        <v>980</v>
      </c>
      <c r="K315" t="s">
        <v>41</v>
      </c>
    </row>
    <row r="316" spans="1:11" ht="20" customHeight="1">
      <c r="A316" t="s">
        <v>25</v>
      </c>
      <c r="B316" t="s">
        <v>981</v>
      </c>
      <c r="C316">
        <v>173.6900024414062</v>
      </c>
      <c r="D316">
        <v>174.1000061035156</v>
      </c>
      <c r="E316">
        <v>172.2400054931641</v>
      </c>
      <c r="F316">
        <v>172.6100006103516</v>
      </c>
      <c r="G316">
        <v>172.6100006103516</v>
      </c>
      <c r="H316">
        <v>8785600</v>
      </c>
      <c r="I316" t="s">
        <v>982</v>
      </c>
      <c r="J316" t="s">
        <v>983</v>
      </c>
      <c r="K316" t="s">
        <v>41</v>
      </c>
    </row>
    <row r="317" spans="1:11" ht="20" customHeight="1">
      <c r="A317" t="s">
        <v>25</v>
      </c>
      <c r="B317" t="s">
        <v>984</v>
      </c>
      <c r="C317">
        <v>169.8999938964844</v>
      </c>
      <c r="D317">
        <v>170.4400024414062</v>
      </c>
      <c r="E317">
        <v>168.4199981689453</v>
      </c>
      <c r="F317">
        <v>168.7400054931641</v>
      </c>
      <c r="G317">
        <v>168.7400054931641</v>
      </c>
      <c r="H317">
        <v>13091900</v>
      </c>
      <c r="I317" t="s">
        <v>985</v>
      </c>
      <c r="J317" t="s">
        <v>986</v>
      </c>
      <c r="K317" t="s">
        <v>41</v>
      </c>
    </row>
    <row r="318" spans="1:11" ht="20" customHeight="1">
      <c r="A318" t="s">
        <v>25</v>
      </c>
      <c r="B318" t="s">
        <v>987</v>
      </c>
      <c r="C318">
        <v>167.2799987792969</v>
      </c>
      <c r="D318">
        <v>167.6000061035156</v>
      </c>
      <c r="E318">
        <v>166.5299987792969</v>
      </c>
      <c r="F318">
        <v>167.2799987792969</v>
      </c>
      <c r="G318">
        <v>167.2799987792969</v>
      </c>
      <c r="H318">
        <v>8047800</v>
      </c>
      <c r="I318" t="s">
        <v>988</v>
      </c>
      <c r="J318" t="s">
        <v>989</v>
      </c>
      <c r="K318" t="s">
        <v>41</v>
      </c>
    </row>
    <row r="319" spans="1:11" ht="20" customHeight="1">
      <c r="A319" t="s">
        <v>25</v>
      </c>
      <c r="B319" t="s">
        <v>990</v>
      </c>
      <c r="C319">
        <v>166.5800018310547</v>
      </c>
      <c r="D319">
        <v>167.4400024414062</v>
      </c>
      <c r="E319">
        <v>166.3200073242188</v>
      </c>
      <c r="F319">
        <v>167.1199951171875</v>
      </c>
      <c r="G319">
        <v>167.1199951171875</v>
      </c>
      <c r="H319">
        <v>5359500</v>
      </c>
      <c r="I319" t="s">
        <v>991</v>
      </c>
      <c r="J319" t="s">
        <v>992</v>
      </c>
      <c r="K319" t="s">
        <v>41</v>
      </c>
    </row>
    <row r="320" spans="1:11" ht="20" customHeight="1">
      <c r="A320" t="s">
        <v>25</v>
      </c>
      <c r="B320" t="s">
        <v>993</v>
      </c>
      <c r="C320">
        <v>168.6000061035156</v>
      </c>
      <c r="D320">
        <v>168.6399993896484</v>
      </c>
      <c r="E320">
        <v>166.3699951171875</v>
      </c>
      <c r="F320">
        <v>166.8500061035156</v>
      </c>
      <c r="G320">
        <v>166.8500061035156</v>
      </c>
      <c r="H320">
        <v>9605200</v>
      </c>
      <c r="I320" t="s">
        <v>994</v>
      </c>
      <c r="J320" t="s">
        <v>995</v>
      </c>
      <c r="K320" t="s">
        <v>41</v>
      </c>
    </row>
    <row r="321" spans="1:11" ht="20" customHeight="1">
      <c r="A321" t="s">
        <v>25</v>
      </c>
      <c r="B321" t="s">
        <v>996</v>
      </c>
      <c r="C321">
        <v>166.8399963378906</v>
      </c>
      <c r="D321">
        <v>167.2599945068359</v>
      </c>
      <c r="E321">
        <v>166.3800048828125</v>
      </c>
      <c r="F321">
        <v>166.6199951171875</v>
      </c>
      <c r="G321">
        <v>166.6199951171875</v>
      </c>
      <c r="H321">
        <v>7394900</v>
      </c>
      <c r="I321" t="s">
        <v>997</v>
      </c>
      <c r="J321" t="s">
        <v>998</v>
      </c>
      <c r="K321" t="s">
        <v>41</v>
      </c>
    </row>
    <row r="322" spans="1:11" ht="20" customHeight="1">
      <c r="A322" t="s">
        <v>25</v>
      </c>
      <c r="B322" t="s">
        <v>999</v>
      </c>
      <c r="C322">
        <v>167.7700042724609</v>
      </c>
      <c r="D322">
        <v>169.0099945068359</v>
      </c>
      <c r="E322">
        <v>165.3699951171875</v>
      </c>
      <c r="F322">
        <v>165.5</v>
      </c>
      <c r="G322">
        <v>165.5</v>
      </c>
      <c r="H322">
        <v>12925300</v>
      </c>
      <c r="I322" t="s">
        <v>1000</v>
      </c>
      <c r="J322" t="s">
        <v>1001</v>
      </c>
      <c r="K322" t="s">
        <v>41</v>
      </c>
    </row>
    <row r="323" spans="1:11" ht="20" customHeight="1">
      <c r="A323" t="s">
        <v>25</v>
      </c>
      <c r="B323" t="s">
        <v>1002</v>
      </c>
      <c r="C323">
        <v>166.8399963378906</v>
      </c>
      <c r="D323">
        <v>167.4700012207031</v>
      </c>
      <c r="E323">
        <v>166.0599975585938</v>
      </c>
      <c r="F323">
        <v>166.1600036621094</v>
      </c>
      <c r="G323">
        <v>166.1600036621094</v>
      </c>
      <c r="H323">
        <v>7808600</v>
      </c>
      <c r="I323" t="s">
        <v>1003</v>
      </c>
      <c r="J323" t="s">
        <v>1004</v>
      </c>
      <c r="K323" t="s">
        <v>41</v>
      </c>
    </row>
    <row r="324" spans="1:11" ht="20" customHeight="1">
      <c r="A324" t="s">
        <v>25</v>
      </c>
      <c r="B324" t="s">
        <v>1005</v>
      </c>
      <c r="C324">
        <v>165.8899993896484</v>
      </c>
      <c r="D324">
        <v>165.9400024414062</v>
      </c>
      <c r="E324">
        <v>164.6300048828125</v>
      </c>
      <c r="F324">
        <v>165.2400054931641</v>
      </c>
      <c r="G324">
        <v>165.2400054931641</v>
      </c>
      <c r="H324">
        <v>9604100</v>
      </c>
      <c r="I324" t="s">
        <v>1006</v>
      </c>
      <c r="J324" t="s">
        <v>1007</v>
      </c>
      <c r="K324" t="s">
        <v>41</v>
      </c>
    </row>
    <row r="325" spans="1:11" ht="20" customHeight="1">
      <c r="A325" t="s">
        <v>25</v>
      </c>
      <c r="B325" t="s">
        <v>1008</v>
      </c>
      <c r="C325">
        <v>165.4900054931641</v>
      </c>
      <c r="D325">
        <v>166.9299926757812</v>
      </c>
      <c r="E325">
        <v>165</v>
      </c>
      <c r="F325">
        <v>166.6300048828125</v>
      </c>
      <c r="G325">
        <v>166.6300048828125</v>
      </c>
      <c r="H325">
        <v>9507900</v>
      </c>
      <c r="I325" t="s">
        <v>1009</v>
      </c>
      <c r="J325" t="s">
        <v>1010</v>
      </c>
      <c r="K325" t="s">
        <v>41</v>
      </c>
    </row>
    <row r="326" spans="1:11" ht="20" customHeight="1">
      <c r="A326" t="s">
        <v>25</v>
      </c>
      <c r="B326" t="s">
        <v>1011</v>
      </c>
      <c r="C326">
        <v>166.1399993896484</v>
      </c>
      <c r="D326">
        <v>166.8000030517578</v>
      </c>
      <c r="E326">
        <v>165.9299926757812</v>
      </c>
      <c r="F326">
        <v>166.2200012207031</v>
      </c>
      <c r="G326">
        <v>166.2200012207031</v>
      </c>
      <c r="H326">
        <v>4813600</v>
      </c>
      <c r="I326" t="s">
        <v>1012</v>
      </c>
      <c r="J326" t="s">
        <v>1013</v>
      </c>
      <c r="K326" t="s">
        <v>41</v>
      </c>
    </row>
    <row r="327" spans="1:11" ht="20" customHeight="1">
      <c r="A327" t="s">
        <v>25</v>
      </c>
      <c r="B327" t="s">
        <v>1014</v>
      </c>
      <c r="C327">
        <v>166.1999969482422</v>
      </c>
      <c r="D327">
        <v>167.0800018310547</v>
      </c>
      <c r="E327">
        <v>166.1799926757812</v>
      </c>
      <c r="F327">
        <v>166.8099975585938</v>
      </c>
      <c r="G327">
        <v>166.8099975585938</v>
      </c>
      <c r="H327">
        <v>4900700</v>
      </c>
      <c r="I327" t="s">
        <v>1015</v>
      </c>
      <c r="J327" t="s">
        <v>1016</v>
      </c>
      <c r="K327" t="s">
        <v>41</v>
      </c>
    </row>
    <row r="328" spans="1:11" ht="20" customHeight="1">
      <c r="A328" t="s">
        <v>25</v>
      </c>
      <c r="B328" t="s">
        <v>1017</v>
      </c>
      <c r="C328">
        <v>166.5099945068359</v>
      </c>
      <c r="D328">
        <v>166.9600067138672</v>
      </c>
      <c r="E328">
        <v>166.2799987792969</v>
      </c>
      <c r="F328">
        <v>166.8999938964844</v>
      </c>
      <c r="G328">
        <v>166.8999938964844</v>
      </c>
      <c r="H328">
        <v>4288900</v>
      </c>
      <c r="I328" t="s">
        <v>1018</v>
      </c>
      <c r="J328" t="s">
        <v>1019</v>
      </c>
      <c r="K328" t="s">
        <v>41</v>
      </c>
    </row>
    <row r="329" spans="1:11" ht="20" customHeight="1">
      <c r="A329" t="s">
        <v>25</v>
      </c>
      <c r="B329" t="s">
        <v>1020</v>
      </c>
      <c r="C329">
        <v>166.5399932861328</v>
      </c>
      <c r="D329">
        <v>166.5800018310547</v>
      </c>
      <c r="E329">
        <v>165.6499938964844</v>
      </c>
      <c r="F329">
        <v>165.8800048828125</v>
      </c>
      <c r="G329">
        <v>165.8800048828125</v>
      </c>
      <c r="H329">
        <v>4913800</v>
      </c>
      <c r="I329" t="s">
        <v>1021</v>
      </c>
      <c r="J329" t="s">
        <v>1022</v>
      </c>
      <c r="K329" t="s">
        <v>41</v>
      </c>
    </row>
    <row r="330" spans="1:11" ht="20" customHeight="1">
      <c r="A330" t="s">
        <v>25</v>
      </c>
      <c r="B330" t="s">
        <v>1023</v>
      </c>
      <c r="C330">
        <v>166.7200012207031</v>
      </c>
      <c r="D330">
        <v>166.9199981689453</v>
      </c>
      <c r="E330">
        <v>166.1799926757812</v>
      </c>
      <c r="F330">
        <v>166.5800018310547</v>
      </c>
      <c r="G330">
        <v>166.5800018310547</v>
      </c>
      <c r="H330">
        <v>6450600</v>
      </c>
      <c r="I330" t="s">
        <v>1024</v>
      </c>
      <c r="J330" t="s">
        <v>1025</v>
      </c>
      <c r="K330" t="s">
        <v>41</v>
      </c>
    </row>
    <row r="331" spans="1:11" ht="20" customHeight="1">
      <c r="A331" t="s">
        <v>25</v>
      </c>
      <c r="B331" t="s">
        <v>1026</v>
      </c>
      <c r="C331">
        <v>166.8999938964844</v>
      </c>
      <c r="D331">
        <v>167.2599945068359</v>
      </c>
      <c r="E331">
        <v>166.6699981689453</v>
      </c>
      <c r="F331">
        <v>167</v>
      </c>
      <c r="G331">
        <v>167</v>
      </c>
      <c r="H331">
        <v>6610700</v>
      </c>
      <c r="I331" t="s">
        <v>1027</v>
      </c>
      <c r="J331" t="s">
        <v>1028</v>
      </c>
      <c r="K331" t="s">
        <v>41</v>
      </c>
    </row>
    <row r="332" spans="1:11" ht="20" customHeight="1">
      <c r="A332" t="s">
        <v>25</v>
      </c>
      <c r="B332" t="s">
        <v>1029</v>
      </c>
      <c r="C332">
        <v>165.3399963378906</v>
      </c>
      <c r="D332">
        <v>166.1399993896484</v>
      </c>
      <c r="E332">
        <v>165.1600036621094</v>
      </c>
      <c r="F332">
        <v>165.4400024414062</v>
      </c>
      <c r="G332">
        <v>165.4400024414062</v>
      </c>
      <c r="H332">
        <v>8637900</v>
      </c>
      <c r="I332" t="s">
        <v>1030</v>
      </c>
      <c r="J332" t="s">
        <v>1031</v>
      </c>
      <c r="K332" t="s">
        <v>41</v>
      </c>
    </row>
    <row r="333" spans="1:11" ht="20" customHeight="1">
      <c r="A333" t="s">
        <v>25</v>
      </c>
      <c r="B333" t="s">
        <v>1032</v>
      </c>
      <c r="C333">
        <v>165.2700042724609</v>
      </c>
      <c r="D333">
        <v>166.3999938964844</v>
      </c>
      <c r="E333">
        <v>163.8000030517578</v>
      </c>
      <c r="F333">
        <v>166.1499938964844</v>
      </c>
      <c r="G333">
        <v>166.1499938964844</v>
      </c>
      <c r="H333">
        <v>14231200</v>
      </c>
      <c r="I333" t="s">
        <v>1033</v>
      </c>
      <c r="J333" t="s">
        <v>1034</v>
      </c>
      <c r="K333" t="s">
        <v>41</v>
      </c>
    </row>
    <row r="334" spans="1:11" ht="20" customHeight="1">
      <c r="A334" t="s">
        <v>25</v>
      </c>
      <c r="B334" t="s">
        <v>1035</v>
      </c>
      <c r="C334">
        <v>167.0099945068359</v>
      </c>
      <c r="D334">
        <v>168.1799926757812</v>
      </c>
      <c r="E334">
        <v>166.9400024414062</v>
      </c>
      <c r="F334">
        <v>168.1600036621094</v>
      </c>
      <c r="G334">
        <v>168.1600036621094</v>
      </c>
      <c r="H334">
        <v>11186200</v>
      </c>
      <c r="I334" t="s">
        <v>1036</v>
      </c>
      <c r="J334" t="s">
        <v>1037</v>
      </c>
      <c r="K334" t="s">
        <v>41</v>
      </c>
    </row>
    <row r="335" spans="1:11" ht="20" customHeight="1">
      <c r="A335" t="s">
        <v>25</v>
      </c>
      <c r="B335" t="s">
        <v>1038</v>
      </c>
      <c r="C335">
        <v>168.7299957275391</v>
      </c>
      <c r="D335">
        <v>169.1300048828125</v>
      </c>
      <c r="E335">
        <v>167.7799987792969</v>
      </c>
      <c r="F335">
        <v>167.8000030517578</v>
      </c>
      <c r="G335">
        <v>167.8000030517578</v>
      </c>
      <c r="H335">
        <v>9856900</v>
      </c>
      <c r="I335" t="s">
        <v>1039</v>
      </c>
      <c r="J335" t="s">
        <v>1040</v>
      </c>
      <c r="K335" t="s">
        <v>41</v>
      </c>
    </row>
    <row r="336" spans="1:11" ht="20" customHeight="1">
      <c r="A336" t="s">
        <v>25</v>
      </c>
      <c r="B336" t="s">
        <v>1041</v>
      </c>
      <c r="C336">
        <v>167.8800048828125</v>
      </c>
      <c r="D336">
        <v>168</v>
      </c>
      <c r="E336">
        <v>167.0599975585938</v>
      </c>
      <c r="F336">
        <v>167.0899963378906</v>
      </c>
      <c r="G336">
        <v>167.0899963378906</v>
      </c>
      <c r="H336">
        <v>6973000</v>
      </c>
      <c r="I336" t="s">
        <v>1042</v>
      </c>
      <c r="J336" t="s">
        <v>1043</v>
      </c>
      <c r="K336" t="s">
        <v>41</v>
      </c>
    </row>
    <row r="337" spans="1:11" ht="20" customHeight="1">
      <c r="A337" t="s">
        <v>25</v>
      </c>
      <c r="B337" t="s">
        <v>1044</v>
      </c>
      <c r="C337">
        <v>167.6900024414062</v>
      </c>
      <c r="D337">
        <v>167.7799987792969</v>
      </c>
      <c r="E337">
        <v>166.7400054931641</v>
      </c>
      <c r="F337">
        <v>167.0200042724609</v>
      </c>
      <c r="G337">
        <v>167.0200042724609</v>
      </c>
      <c r="H337">
        <v>4548500</v>
      </c>
      <c r="I337" t="s">
        <v>1045</v>
      </c>
      <c r="J337" t="s">
        <v>1046</v>
      </c>
      <c r="K337" t="s">
        <v>41</v>
      </c>
    </row>
    <row r="338" spans="1:11" ht="20" customHeight="1">
      <c r="A338" t="s">
        <v>25</v>
      </c>
      <c r="B338" t="s">
        <v>1047</v>
      </c>
      <c r="C338">
        <v>167.5800018310547</v>
      </c>
      <c r="D338">
        <v>168.6399993896484</v>
      </c>
      <c r="E338">
        <v>167.1100006103516</v>
      </c>
      <c r="F338">
        <v>168.5899963378906</v>
      </c>
      <c r="G338">
        <v>168.5899963378906</v>
      </c>
      <c r="H338">
        <v>4672900</v>
      </c>
      <c r="I338" t="s">
        <v>1048</v>
      </c>
      <c r="J338" t="s">
        <v>1049</v>
      </c>
      <c r="K338" t="s">
        <v>41</v>
      </c>
    </row>
    <row r="339" spans="1:11" ht="20" customHeight="1">
      <c r="A339" t="s">
        <v>25</v>
      </c>
      <c r="B339" t="s">
        <v>1050</v>
      </c>
      <c r="C339">
        <v>168.6900024414062</v>
      </c>
      <c r="D339">
        <v>169.1600036621094</v>
      </c>
      <c r="E339">
        <v>168.0099945068359</v>
      </c>
      <c r="F339">
        <v>168.9700012207031</v>
      </c>
      <c r="G339">
        <v>168.9700012207031</v>
      </c>
      <c r="H339">
        <v>4551100</v>
      </c>
      <c r="I339" t="s">
        <v>1051</v>
      </c>
      <c r="J339" t="s">
        <v>1052</v>
      </c>
      <c r="K339" t="s">
        <v>41</v>
      </c>
    </row>
    <row r="340" spans="1:11" ht="20" customHeight="1">
      <c r="A340" t="s">
        <v>25</v>
      </c>
      <c r="B340" t="s">
        <v>1053</v>
      </c>
      <c r="C340">
        <v>168.9600067138672</v>
      </c>
      <c r="D340">
        <v>169.4199981689453</v>
      </c>
      <c r="E340">
        <v>168.7799987792969</v>
      </c>
      <c r="F340">
        <v>169.3699951171875</v>
      </c>
      <c r="G340">
        <v>169.3699951171875</v>
      </c>
      <c r="H340">
        <v>4760300</v>
      </c>
      <c r="I340" t="s">
        <v>1054</v>
      </c>
      <c r="J340" t="s">
        <v>1055</v>
      </c>
      <c r="K340" t="s">
        <v>41</v>
      </c>
    </row>
    <row r="341" spans="1:11" ht="20" customHeight="1">
      <c r="A341" t="s">
        <v>25</v>
      </c>
      <c r="B341" t="s">
        <v>1056</v>
      </c>
      <c r="C341">
        <v>169.3300018310547</v>
      </c>
      <c r="D341">
        <v>169.6499938964844</v>
      </c>
      <c r="E341">
        <v>168.6199951171875</v>
      </c>
      <c r="F341">
        <v>168.6399993896484</v>
      </c>
      <c r="G341">
        <v>168.6399993896484</v>
      </c>
      <c r="H341">
        <v>4541900</v>
      </c>
      <c r="I341" t="s">
        <v>1057</v>
      </c>
      <c r="J341" t="s">
        <v>1058</v>
      </c>
      <c r="K341" t="s">
        <v>41</v>
      </c>
    </row>
    <row r="342" spans="1:11" ht="20" customHeight="1">
      <c r="A342" t="s">
        <v>25</v>
      </c>
      <c r="B342" t="s">
        <v>1059</v>
      </c>
      <c r="C342">
        <v>167.3600006103516</v>
      </c>
      <c r="D342">
        <v>168.6900024414062</v>
      </c>
      <c r="E342">
        <v>167.2799987792969</v>
      </c>
      <c r="F342">
        <v>168.5899963378906</v>
      </c>
      <c r="G342">
        <v>168.5899963378906</v>
      </c>
      <c r="H342">
        <v>5889700</v>
      </c>
      <c r="I342" t="s">
        <v>1060</v>
      </c>
      <c r="J342" t="s">
        <v>1061</v>
      </c>
      <c r="K342" t="s">
        <v>41</v>
      </c>
    </row>
    <row r="343" spans="1:11" ht="20" customHeight="1">
      <c r="A343" t="s">
        <v>25</v>
      </c>
      <c r="B343" t="s">
        <v>1062</v>
      </c>
      <c r="C343">
        <v>168.4299926757812</v>
      </c>
      <c r="D343">
        <v>169.8099975585938</v>
      </c>
      <c r="E343">
        <v>168.3699951171875</v>
      </c>
      <c r="F343">
        <v>169.8000030517578</v>
      </c>
      <c r="G343">
        <v>169.8000030517578</v>
      </c>
      <c r="H343">
        <v>5426300</v>
      </c>
      <c r="I343" t="s">
        <v>1063</v>
      </c>
      <c r="J343" t="s">
        <v>1064</v>
      </c>
      <c r="K343" t="s">
        <v>41</v>
      </c>
    </row>
    <row r="344" spans="1:11" ht="20" customHeight="1">
      <c r="A344" t="s">
        <v>25</v>
      </c>
      <c r="B344" t="s">
        <v>1065</v>
      </c>
      <c r="C344">
        <v>170.5299987792969</v>
      </c>
      <c r="D344">
        <v>171.0399932861328</v>
      </c>
      <c r="E344">
        <v>170.0399932861328</v>
      </c>
      <c r="F344">
        <v>170.9600067138672</v>
      </c>
      <c r="G344">
        <v>170.9600067138672</v>
      </c>
      <c r="H344">
        <v>7039300</v>
      </c>
      <c r="I344" t="s">
        <v>1066</v>
      </c>
      <c r="J344" t="s">
        <v>1067</v>
      </c>
      <c r="K344" t="s">
        <v>41</v>
      </c>
    </row>
    <row r="345" spans="1:11" ht="20" customHeight="1">
      <c r="A345" t="s">
        <v>25</v>
      </c>
      <c r="B345" t="s">
        <v>1068</v>
      </c>
      <c r="C345">
        <v>168.8600006103516</v>
      </c>
      <c r="D345">
        <v>169.0099945068359</v>
      </c>
      <c r="E345">
        <v>168</v>
      </c>
      <c r="F345">
        <v>168.3300018310547</v>
      </c>
      <c r="G345">
        <v>168.3300018310547</v>
      </c>
      <c r="H345">
        <v>9014400</v>
      </c>
      <c r="I345" t="s">
        <v>1069</v>
      </c>
      <c r="J345" t="s">
        <v>1070</v>
      </c>
      <c r="K345" t="s">
        <v>41</v>
      </c>
    </row>
    <row r="346" spans="1:11" ht="20" customHeight="1">
      <c r="A346" t="s">
        <v>25</v>
      </c>
      <c r="B346" t="s">
        <v>1071</v>
      </c>
      <c r="C346">
        <v>168.8999938964844</v>
      </c>
      <c r="D346">
        <v>169.7200012207031</v>
      </c>
      <c r="E346">
        <v>168.7299957275391</v>
      </c>
      <c r="F346">
        <v>169.5700073242188</v>
      </c>
      <c r="G346">
        <v>169.5700073242188</v>
      </c>
      <c r="H346">
        <v>6965600</v>
      </c>
      <c r="I346" t="s">
        <v>1072</v>
      </c>
      <c r="J346" t="s">
        <v>1073</v>
      </c>
      <c r="K346" t="s">
        <v>41</v>
      </c>
    </row>
    <row r="347" spans="1:11" ht="20" customHeight="1">
      <c r="A347" t="s">
        <v>25</v>
      </c>
      <c r="B347" t="s">
        <v>1074</v>
      </c>
      <c r="C347">
        <v>170.6199951171875</v>
      </c>
      <c r="D347">
        <v>170.9299926757812</v>
      </c>
      <c r="E347">
        <v>168.8999938964844</v>
      </c>
      <c r="F347">
        <v>169.0599975585938</v>
      </c>
      <c r="G347">
        <v>169.0599975585938</v>
      </c>
      <c r="H347">
        <v>8715600</v>
      </c>
      <c r="I347" t="s">
        <v>1075</v>
      </c>
      <c r="J347" t="s">
        <v>1076</v>
      </c>
      <c r="K347" t="s">
        <v>41</v>
      </c>
    </row>
    <row r="348" spans="1:11" ht="20" customHeight="1">
      <c r="A348" t="s">
        <v>25</v>
      </c>
      <c r="B348" t="s">
        <v>1077</v>
      </c>
      <c r="C348">
        <v>167.1600036621094</v>
      </c>
      <c r="D348">
        <v>167.75</v>
      </c>
      <c r="E348">
        <v>166.8600006103516</v>
      </c>
      <c r="F348">
        <v>166.9900054931641</v>
      </c>
      <c r="G348">
        <v>166.9900054931641</v>
      </c>
      <c r="H348">
        <v>10902700</v>
      </c>
      <c r="I348" t="s">
        <v>1078</v>
      </c>
      <c r="J348" t="s">
        <v>1079</v>
      </c>
      <c r="K348" t="s">
        <v>41</v>
      </c>
    </row>
    <row r="349" spans="1:11" ht="20" customHeight="1">
      <c r="A349" t="s">
        <v>25</v>
      </c>
      <c r="B349" t="s">
        <v>1080</v>
      </c>
      <c r="C349">
        <v>167.3699951171875</v>
      </c>
      <c r="D349">
        <v>168.0099945068359</v>
      </c>
      <c r="E349">
        <v>166.8600006103516</v>
      </c>
      <c r="F349">
        <v>167.75</v>
      </c>
      <c r="G349">
        <v>167.75</v>
      </c>
      <c r="H349">
        <v>8191900</v>
      </c>
      <c r="I349" t="s">
        <v>1081</v>
      </c>
      <c r="J349" t="s">
        <v>1082</v>
      </c>
      <c r="K349" t="s">
        <v>41</v>
      </c>
    </row>
    <row r="350" spans="1:11" ht="20" customHeight="1">
      <c r="A350" t="s">
        <v>25</v>
      </c>
      <c r="B350" t="s">
        <v>1083</v>
      </c>
      <c r="C350">
        <v>167.3600006103516</v>
      </c>
      <c r="D350">
        <v>168.3000030517578</v>
      </c>
      <c r="E350">
        <v>167.3099975585938</v>
      </c>
      <c r="F350">
        <v>168.2599945068359</v>
      </c>
      <c r="G350">
        <v>168.2599945068359</v>
      </c>
      <c r="H350">
        <v>7026500</v>
      </c>
      <c r="I350" t="s">
        <v>1084</v>
      </c>
      <c r="J350" t="s">
        <v>1085</v>
      </c>
      <c r="K350" t="s">
        <v>41</v>
      </c>
    </row>
    <row r="351" spans="1:11" ht="20" customHeight="1">
      <c r="A351" t="s">
        <v>25</v>
      </c>
      <c r="B351" t="s">
        <v>1086</v>
      </c>
      <c r="C351">
        <v>168.4400024414062</v>
      </c>
      <c r="D351">
        <v>170.3099975585938</v>
      </c>
      <c r="E351">
        <v>168.3699951171875</v>
      </c>
      <c r="F351">
        <v>170.2899932861328</v>
      </c>
      <c r="G351">
        <v>170.2899932861328</v>
      </c>
      <c r="H351">
        <v>8369000</v>
      </c>
      <c r="I351" t="s">
        <v>1087</v>
      </c>
      <c r="J351" t="s">
        <v>1088</v>
      </c>
      <c r="K351" t="s">
        <v>41</v>
      </c>
    </row>
    <row r="352" spans="1:11" ht="20" customHeight="1">
      <c r="A352" t="s">
        <v>25</v>
      </c>
      <c r="B352" t="s">
        <v>1089</v>
      </c>
      <c r="C352">
        <v>170.1900024414062</v>
      </c>
      <c r="D352">
        <v>170.75</v>
      </c>
      <c r="E352">
        <v>170.0099945068359</v>
      </c>
      <c r="F352">
        <v>170.7400054931641</v>
      </c>
      <c r="G352">
        <v>170.7400054931641</v>
      </c>
      <c r="H352">
        <v>6280700</v>
      </c>
      <c r="I352" t="s">
        <v>1090</v>
      </c>
      <c r="J352" t="s">
        <v>1091</v>
      </c>
      <c r="K352" t="s">
        <v>41</v>
      </c>
    </row>
    <row r="353" spans="1:11" ht="20" customHeight="1">
      <c r="A353" t="s">
        <v>25</v>
      </c>
      <c r="B353" t="s">
        <v>1092</v>
      </c>
      <c r="C353">
        <v>170.0899963378906</v>
      </c>
      <c r="D353">
        <v>170.2200012207031</v>
      </c>
      <c r="E353">
        <v>169.2700042724609</v>
      </c>
      <c r="F353">
        <v>170.1600036621094</v>
      </c>
      <c r="G353">
        <v>170.1600036621094</v>
      </c>
      <c r="H353">
        <v>7034200</v>
      </c>
      <c r="I353" t="s">
        <v>1093</v>
      </c>
      <c r="J353" t="s">
        <v>1094</v>
      </c>
      <c r="K353" t="s">
        <v>41</v>
      </c>
    </row>
    <row r="354" spans="1:11" ht="20" customHeight="1">
      <c r="A354" t="s">
        <v>25</v>
      </c>
      <c r="B354" t="s">
        <v>1095</v>
      </c>
      <c r="C354">
        <v>170.2200012207031</v>
      </c>
      <c r="D354">
        <v>170.5599975585938</v>
      </c>
      <c r="E354">
        <v>169.4799957275391</v>
      </c>
      <c r="F354">
        <v>169.6699981689453</v>
      </c>
      <c r="G354">
        <v>169.6699981689453</v>
      </c>
      <c r="H354">
        <v>7865900</v>
      </c>
      <c r="I354" t="s">
        <v>1096</v>
      </c>
      <c r="J354" t="s">
        <v>1097</v>
      </c>
      <c r="K354" t="s">
        <v>41</v>
      </c>
    </row>
    <row r="355" spans="1:11" ht="20" customHeight="1">
      <c r="A355" t="s">
        <v>25</v>
      </c>
      <c r="B355" t="s">
        <v>1098</v>
      </c>
      <c r="C355">
        <v>169.6399993896484</v>
      </c>
      <c r="D355">
        <v>170.0099945068359</v>
      </c>
      <c r="E355">
        <v>169.0899963378906</v>
      </c>
      <c r="F355">
        <v>169.3899993896484</v>
      </c>
      <c r="G355">
        <v>169.3899993896484</v>
      </c>
      <c r="H355">
        <v>9322800</v>
      </c>
      <c r="I355" t="s">
        <v>1099</v>
      </c>
      <c r="J355" t="s">
        <v>1100</v>
      </c>
      <c r="K355" t="s">
        <v>41</v>
      </c>
    </row>
    <row r="356" spans="1:11" ht="20" customHeight="1">
      <c r="A356" t="s">
        <v>25</v>
      </c>
      <c r="B356" t="s">
        <v>1101</v>
      </c>
      <c r="C356">
        <v>170.3899993896484</v>
      </c>
      <c r="D356">
        <v>172.1900024414062</v>
      </c>
      <c r="E356">
        <v>170.1999969482422</v>
      </c>
      <c r="F356">
        <v>172.0800018310547</v>
      </c>
      <c r="G356">
        <v>172.0800018310547</v>
      </c>
      <c r="H356">
        <v>15784500</v>
      </c>
      <c r="I356" t="s">
        <v>1102</v>
      </c>
      <c r="J356" t="s">
        <v>1103</v>
      </c>
      <c r="K356" t="s">
        <v>41</v>
      </c>
    </row>
    <row r="357" spans="1:11" ht="20" customHeight="1">
      <c r="A357" t="s">
        <v>25</v>
      </c>
      <c r="B357" t="s">
        <v>1104</v>
      </c>
      <c r="C357">
        <v>172.3099975585938</v>
      </c>
      <c r="D357">
        <v>172.6000061035156</v>
      </c>
      <c r="E357">
        <v>171.5899963378906</v>
      </c>
      <c r="F357">
        <v>171.6499938964844</v>
      </c>
      <c r="G357">
        <v>171.6499938964844</v>
      </c>
      <c r="H357">
        <v>9570500</v>
      </c>
      <c r="I357" t="s">
        <v>1105</v>
      </c>
      <c r="J357" t="s">
        <v>1106</v>
      </c>
      <c r="K357" t="s">
        <v>41</v>
      </c>
    </row>
    <row r="358" spans="1:11" ht="20" customHeight="1">
      <c r="A358" t="s">
        <v>25</v>
      </c>
      <c r="B358" t="s">
        <v>1107</v>
      </c>
      <c r="C358">
        <v>172.0399932861328</v>
      </c>
      <c r="D358">
        <v>172.1199951171875</v>
      </c>
      <c r="E358">
        <v>170.7400054931641</v>
      </c>
      <c r="F358">
        <v>171.0899963378906</v>
      </c>
      <c r="G358">
        <v>171.0899963378906</v>
      </c>
      <c r="H358">
        <v>10982500</v>
      </c>
      <c r="I358" t="s">
        <v>1108</v>
      </c>
      <c r="J358" t="s">
        <v>1109</v>
      </c>
      <c r="K358" t="s">
        <v>41</v>
      </c>
    </row>
    <row r="359" spans="1:11" ht="20" customHeight="1">
      <c r="A359" t="s">
        <v>25</v>
      </c>
      <c r="B359" t="s">
        <v>1110</v>
      </c>
      <c r="C359">
        <v>171.7799987792969</v>
      </c>
      <c r="D359">
        <v>172.1399993896484</v>
      </c>
      <c r="E359">
        <v>170.8500061035156</v>
      </c>
      <c r="F359">
        <v>172.0299987792969</v>
      </c>
      <c r="G359">
        <v>172.0299987792969</v>
      </c>
      <c r="H359">
        <v>15727700</v>
      </c>
      <c r="I359" t="s">
        <v>1111</v>
      </c>
      <c r="J359" t="s">
        <v>1112</v>
      </c>
      <c r="K359" t="s">
        <v>41</v>
      </c>
    </row>
    <row r="360" spans="1:11" ht="20" customHeight="1">
      <c r="A360" t="s">
        <v>25</v>
      </c>
      <c r="B360" t="s">
        <v>1113</v>
      </c>
      <c r="C360">
        <v>171.9499969482422</v>
      </c>
      <c r="D360">
        <v>173.1499938964844</v>
      </c>
      <c r="E360">
        <v>171.7799987792969</v>
      </c>
      <c r="F360">
        <v>172.5800018310547</v>
      </c>
      <c r="G360">
        <v>172.5800018310547</v>
      </c>
      <c r="H360">
        <v>17382100</v>
      </c>
      <c r="I360" t="s">
        <v>1114</v>
      </c>
      <c r="J360" t="s">
        <v>1115</v>
      </c>
      <c r="K360" t="s">
        <v>41</v>
      </c>
    </row>
    <row r="361" spans="1:11" ht="20" customHeight="1">
      <c r="A361" t="s">
        <v>25</v>
      </c>
      <c r="B361" t="s">
        <v>1116</v>
      </c>
      <c r="C361">
        <v>171.3899993896484</v>
      </c>
      <c r="D361">
        <v>171.7299957275391</v>
      </c>
      <c r="E361">
        <v>169.4799957275391</v>
      </c>
      <c r="F361">
        <v>169.7899932861328</v>
      </c>
      <c r="G361">
        <v>169.7899932861328</v>
      </c>
      <c r="H361">
        <v>17799400</v>
      </c>
      <c r="I361" t="s">
        <v>1117</v>
      </c>
      <c r="J361" t="s">
        <v>1118</v>
      </c>
      <c r="K361" t="s">
        <v>41</v>
      </c>
    </row>
    <row r="362" spans="1:11" ht="20" customHeight="1">
      <c r="A362" t="s">
        <v>25</v>
      </c>
      <c r="B362" t="s">
        <v>1119</v>
      </c>
      <c r="C362">
        <v>168.0200042724609</v>
      </c>
      <c r="D362">
        <v>169.0899963378906</v>
      </c>
      <c r="E362">
        <v>167.3300018310547</v>
      </c>
      <c r="F362">
        <v>167.6000061035156</v>
      </c>
      <c r="G362">
        <v>167.6000061035156</v>
      </c>
      <c r="H362">
        <v>15867300</v>
      </c>
      <c r="I362" t="s">
        <v>1120</v>
      </c>
      <c r="J362" t="s">
        <v>1121</v>
      </c>
      <c r="K362" t="s">
        <v>41</v>
      </c>
    </row>
    <row r="363" spans="1:11" ht="20" customHeight="1">
      <c r="A363" t="s">
        <v>25</v>
      </c>
      <c r="B363" t="s">
        <v>1122</v>
      </c>
      <c r="C363">
        <v>166.5599975585938</v>
      </c>
      <c r="D363">
        <v>167.4600067138672</v>
      </c>
      <c r="E363">
        <v>166.3699951171875</v>
      </c>
      <c r="F363">
        <v>167.1000061035156</v>
      </c>
      <c r="G363">
        <v>167.1000061035156</v>
      </c>
      <c r="H363">
        <v>9782500</v>
      </c>
      <c r="I363" t="s">
        <v>1123</v>
      </c>
      <c r="J363" t="s">
        <v>1124</v>
      </c>
      <c r="K363" t="s">
        <v>41</v>
      </c>
    </row>
    <row r="364" spans="1:11" ht="20" customHeight="1">
      <c r="A364" t="s">
        <v>25</v>
      </c>
      <c r="B364" t="s">
        <v>1125</v>
      </c>
      <c r="C364">
        <v>167.7899932861328</v>
      </c>
      <c r="D364">
        <v>168.1399993896484</v>
      </c>
      <c r="E364">
        <v>167.4600067138672</v>
      </c>
      <c r="F364">
        <v>168.0899963378906</v>
      </c>
      <c r="G364">
        <v>168.0899963378906</v>
      </c>
      <c r="H364">
        <v>8539300</v>
      </c>
      <c r="I364" t="s">
        <v>1126</v>
      </c>
      <c r="J364" t="s">
        <v>1127</v>
      </c>
      <c r="K364" t="s">
        <v>41</v>
      </c>
    </row>
    <row r="365" spans="1:11" ht="20" customHeight="1">
      <c r="A365" t="s">
        <v>25</v>
      </c>
      <c r="B365" t="s">
        <v>1128</v>
      </c>
      <c r="C365">
        <v>168.5700073242188</v>
      </c>
      <c r="D365">
        <v>168.8500061035156</v>
      </c>
      <c r="E365">
        <v>167.8699951171875</v>
      </c>
      <c r="F365">
        <v>168.2299957275391</v>
      </c>
      <c r="G365">
        <v>168.2299957275391</v>
      </c>
      <c r="H365">
        <v>9763900</v>
      </c>
      <c r="I365" t="s">
        <v>1129</v>
      </c>
      <c r="J365" t="s">
        <v>1130</v>
      </c>
      <c r="K365" t="s">
        <v>41</v>
      </c>
    </row>
    <row r="366" spans="1:11" ht="20" customHeight="1">
      <c r="A366" t="s">
        <v>25</v>
      </c>
      <c r="B366" t="s">
        <v>1131</v>
      </c>
      <c r="C366">
        <v>168.3399963378906</v>
      </c>
      <c r="D366">
        <v>169.1199951171875</v>
      </c>
      <c r="E366">
        <v>168.1600036621094</v>
      </c>
      <c r="F366">
        <v>168.8399963378906</v>
      </c>
      <c r="G366">
        <v>168.8399963378906</v>
      </c>
      <c r="H366">
        <v>9085300</v>
      </c>
      <c r="I366" t="s">
        <v>1132</v>
      </c>
      <c r="J366" t="s">
        <v>1133</v>
      </c>
      <c r="K366" t="s">
        <v>41</v>
      </c>
    </row>
    <row r="367" spans="1:11" ht="20" customHeight="1">
      <c r="A367" t="s">
        <v>25</v>
      </c>
      <c r="B367" t="s">
        <v>1134</v>
      </c>
      <c r="C367">
        <v>168.3099975585938</v>
      </c>
      <c r="D367">
        <v>168.8200073242188</v>
      </c>
      <c r="E367">
        <v>167.0299987792969</v>
      </c>
      <c r="F367">
        <v>168.6000061035156</v>
      </c>
      <c r="G367">
        <v>168.6000061035156</v>
      </c>
      <c r="H367">
        <v>10650800</v>
      </c>
      <c r="I367" t="s">
        <v>1135</v>
      </c>
      <c r="J367" t="s">
        <v>1136</v>
      </c>
      <c r="K367" t="s">
        <v>41</v>
      </c>
    </row>
    <row r="368" spans="1:11" ht="20" customHeight="1">
      <c r="A368" t="s">
        <v>25</v>
      </c>
      <c r="B368" t="s">
        <v>1137</v>
      </c>
      <c r="C368">
        <v>168.0399932861328</v>
      </c>
      <c r="D368">
        <v>169.1000061035156</v>
      </c>
      <c r="E368">
        <v>167.9900054931641</v>
      </c>
      <c r="F368">
        <v>168.8600006103516</v>
      </c>
      <c r="G368">
        <v>168.8600006103516</v>
      </c>
      <c r="H368">
        <v>9619600</v>
      </c>
      <c r="I368" t="s">
        <v>1138</v>
      </c>
      <c r="J368" t="s">
        <v>1139</v>
      </c>
      <c r="K368" t="s">
        <v>41</v>
      </c>
    </row>
    <row r="369" spans="1:11" ht="20" customHeight="1">
      <c r="A369" t="s">
        <v>25</v>
      </c>
      <c r="B369" t="s">
        <v>1140</v>
      </c>
      <c r="C369">
        <v>169.4499969482422</v>
      </c>
      <c r="D369">
        <v>170.3000030517578</v>
      </c>
      <c r="E369">
        <v>169.1900024414062</v>
      </c>
      <c r="F369">
        <v>170.1100006103516</v>
      </c>
      <c r="G369">
        <v>170.1100006103516</v>
      </c>
      <c r="H369">
        <v>7796900</v>
      </c>
      <c r="I369" t="s">
        <v>1141</v>
      </c>
      <c r="J369" t="s">
        <v>1142</v>
      </c>
      <c r="K369" t="s">
        <v>41</v>
      </c>
    </row>
    <row r="370" spans="1:11" ht="20" customHeight="1">
      <c r="A370" t="s">
        <v>25</v>
      </c>
      <c r="B370" t="s">
        <v>1143</v>
      </c>
      <c r="C370">
        <v>170.1000061035156</v>
      </c>
      <c r="D370">
        <v>170.7799987792969</v>
      </c>
      <c r="E370">
        <v>169.9499969482422</v>
      </c>
      <c r="F370">
        <v>170.6300048828125</v>
      </c>
      <c r="G370">
        <v>170.6300048828125</v>
      </c>
      <c r="H370">
        <v>5802000</v>
      </c>
      <c r="I370" t="s">
        <v>1144</v>
      </c>
      <c r="J370" t="s">
        <v>1145</v>
      </c>
      <c r="K370" t="s">
        <v>41</v>
      </c>
    </row>
    <row r="371" spans="1:11" ht="20" customHeight="1">
      <c r="A371" t="s">
        <v>25</v>
      </c>
      <c r="B371" t="s">
        <v>1146</v>
      </c>
      <c r="C371">
        <v>170.6799926757812</v>
      </c>
      <c r="D371">
        <v>171.4199981689453</v>
      </c>
      <c r="E371">
        <v>170.5500030517578</v>
      </c>
      <c r="F371">
        <v>171.2100067138672</v>
      </c>
      <c r="G371">
        <v>171.2100067138672</v>
      </c>
      <c r="H371">
        <v>8002800</v>
      </c>
      <c r="I371" t="s">
        <v>1147</v>
      </c>
      <c r="J371" t="s">
        <v>1148</v>
      </c>
      <c r="K371" t="s">
        <v>41</v>
      </c>
    </row>
    <row r="372" spans="1:11" ht="20" customHeight="1">
      <c r="A372" t="s">
        <v>25</v>
      </c>
      <c r="B372" t="s">
        <v>1149</v>
      </c>
      <c r="C372">
        <v>170.5200042724609</v>
      </c>
      <c r="D372">
        <v>171.9900054931641</v>
      </c>
      <c r="E372">
        <v>170.4600067138672</v>
      </c>
      <c r="F372">
        <v>170.5599975585938</v>
      </c>
      <c r="G372">
        <v>170.5599975585938</v>
      </c>
      <c r="H372">
        <v>10693500</v>
      </c>
      <c r="I372" t="s">
        <v>1150</v>
      </c>
      <c r="J372" t="s">
        <v>1151</v>
      </c>
      <c r="K372" t="s">
        <v>41</v>
      </c>
    </row>
    <row r="373" spans="1:11" ht="20" customHeight="1">
      <c r="A373" t="s">
        <v>25</v>
      </c>
      <c r="B373" t="s">
        <v>1152</v>
      </c>
      <c r="C373">
        <v>170.75</v>
      </c>
      <c r="D373">
        <v>174.1999969482422</v>
      </c>
      <c r="E373">
        <v>170.7100067138672</v>
      </c>
      <c r="F373">
        <v>173.8099975585938</v>
      </c>
      <c r="G373">
        <v>173.8099975585938</v>
      </c>
      <c r="H373">
        <v>25741500</v>
      </c>
      <c r="I373" t="s">
        <v>1153</v>
      </c>
      <c r="J373" t="s">
        <v>1154</v>
      </c>
      <c r="K373" t="s">
        <v>41</v>
      </c>
    </row>
    <row r="374" spans="1:11" ht="20" customHeight="1">
      <c r="A374" t="s">
        <v>25</v>
      </c>
      <c r="B374" t="s">
        <v>1155</v>
      </c>
      <c r="C374">
        <v>173.7799987792969</v>
      </c>
      <c r="D374">
        <v>175</v>
      </c>
      <c r="E374">
        <v>173.6799926757812</v>
      </c>
      <c r="F374">
        <v>174.7400054931641</v>
      </c>
      <c r="G374">
        <v>174.7400054931641</v>
      </c>
      <c r="H374">
        <v>13650700</v>
      </c>
      <c r="I374" t="s">
        <v>1156</v>
      </c>
      <c r="J374" t="s">
        <v>1157</v>
      </c>
      <c r="K374" t="s">
        <v>41</v>
      </c>
    </row>
    <row r="375" spans="1:11" ht="20" customHeight="1">
      <c r="A375" t="s">
        <v>25</v>
      </c>
      <c r="B375" t="s">
        <v>1158</v>
      </c>
      <c r="C375">
        <v>173.1000061035156</v>
      </c>
      <c r="D375">
        <v>173.3399963378906</v>
      </c>
      <c r="E375">
        <v>172.3899993896484</v>
      </c>
      <c r="F375">
        <v>173.0800018310547</v>
      </c>
      <c r="G375">
        <v>173.0800018310547</v>
      </c>
      <c r="H375">
        <v>12603600</v>
      </c>
      <c r="I375" t="s">
        <v>1159</v>
      </c>
      <c r="J375" t="s">
        <v>1160</v>
      </c>
      <c r="K375" t="s">
        <v>41</v>
      </c>
    </row>
    <row r="376" spans="1:11" ht="20" customHeight="1">
      <c r="A376" t="s">
        <v>25</v>
      </c>
      <c r="B376" t="s">
        <v>1161</v>
      </c>
      <c r="C376">
        <v>173.4900054931641</v>
      </c>
      <c r="D376">
        <v>174.8600006103516</v>
      </c>
      <c r="E376">
        <v>173.4799957275391</v>
      </c>
      <c r="F376">
        <v>174.8600006103516</v>
      </c>
      <c r="G376">
        <v>174.8600006103516</v>
      </c>
      <c r="H376">
        <v>12772100</v>
      </c>
      <c r="I376" t="s">
        <v>1162</v>
      </c>
      <c r="J376" t="s">
        <v>1163</v>
      </c>
      <c r="K376" t="s">
        <v>41</v>
      </c>
    </row>
    <row r="377" spans="1:11" ht="20" customHeight="1">
      <c r="A377" t="s">
        <v>25</v>
      </c>
      <c r="B377" t="s">
        <v>1164</v>
      </c>
      <c r="C377">
        <v>176.6999969482422</v>
      </c>
      <c r="D377">
        <v>177.5299987792969</v>
      </c>
      <c r="E377">
        <v>176.3899993896484</v>
      </c>
      <c r="F377">
        <v>177.25</v>
      </c>
      <c r="G377">
        <v>177.25</v>
      </c>
      <c r="H377">
        <v>18612500</v>
      </c>
      <c r="I377" t="s">
        <v>1165</v>
      </c>
      <c r="J377" t="s">
        <v>1166</v>
      </c>
      <c r="K377" t="s">
        <v>41</v>
      </c>
    </row>
    <row r="378" spans="1:11" ht="20" customHeight="1">
      <c r="A378" t="s">
        <v>25</v>
      </c>
      <c r="B378" t="s">
        <v>1167</v>
      </c>
      <c r="C378">
        <v>177.0700073242188</v>
      </c>
      <c r="D378">
        <v>177.25</v>
      </c>
      <c r="E378">
        <v>176.5099945068359</v>
      </c>
      <c r="F378">
        <v>177.1199951171875</v>
      </c>
      <c r="G378">
        <v>177.1199951171875</v>
      </c>
      <c r="H378">
        <v>12760700</v>
      </c>
      <c r="I378" t="s">
        <v>1168</v>
      </c>
      <c r="J378" t="s">
        <v>1169</v>
      </c>
      <c r="K378" t="s">
        <v>41</v>
      </c>
    </row>
    <row r="379" spans="1:11" ht="20" customHeight="1">
      <c r="A379" t="s">
        <v>25</v>
      </c>
      <c r="B379" t="s">
        <v>1170</v>
      </c>
      <c r="C379">
        <v>177.6699981689453</v>
      </c>
      <c r="D379">
        <v>178.0700073242188</v>
      </c>
      <c r="E379">
        <v>176.8200073242188</v>
      </c>
      <c r="F379">
        <v>177.4900054931641</v>
      </c>
      <c r="G379">
        <v>177.4900054931641</v>
      </c>
      <c r="H379">
        <v>14960500</v>
      </c>
      <c r="I379" t="s">
        <v>1171</v>
      </c>
      <c r="J379" t="s">
        <v>1172</v>
      </c>
      <c r="K379" t="s">
        <v>41</v>
      </c>
    </row>
    <row r="380" spans="1:11" ht="20" customHeight="1">
      <c r="A380" t="s">
        <v>25</v>
      </c>
      <c r="B380" t="s">
        <v>1173</v>
      </c>
      <c r="C380">
        <v>177.3899993896484</v>
      </c>
      <c r="D380">
        <v>178.3899993896484</v>
      </c>
      <c r="E380">
        <v>177.3600006103516</v>
      </c>
      <c r="F380">
        <v>178.2899932861328</v>
      </c>
      <c r="G380">
        <v>178.2899932861328</v>
      </c>
      <c r="H380">
        <v>11772200</v>
      </c>
      <c r="I380" t="s">
        <v>1174</v>
      </c>
      <c r="J380" t="s">
        <v>1175</v>
      </c>
      <c r="K380" t="s">
        <v>41</v>
      </c>
    </row>
    <row r="381" spans="1:11" ht="20" customHeight="1">
      <c r="A381" t="s">
        <v>25</v>
      </c>
      <c r="B381" t="s">
        <v>1176</v>
      </c>
      <c r="C381">
        <v>182.5899963378906</v>
      </c>
      <c r="D381">
        <v>182.6000061035156</v>
      </c>
      <c r="E381">
        <v>175.2700042724609</v>
      </c>
      <c r="F381">
        <v>177.1399993896484</v>
      </c>
      <c r="G381">
        <v>177.1399993896484</v>
      </c>
      <c r="H381">
        <v>32726000</v>
      </c>
      <c r="I381" t="s">
        <v>1177</v>
      </c>
      <c r="J381" t="s">
        <v>1178</v>
      </c>
      <c r="K381" t="s">
        <v>41</v>
      </c>
    </row>
    <row r="382" spans="1:11" ht="20" customHeight="1">
      <c r="A382" t="s">
        <v>25</v>
      </c>
      <c r="B382" t="s">
        <v>1179</v>
      </c>
      <c r="C382">
        <v>176.4199981689453</v>
      </c>
      <c r="D382">
        <v>176.7899932861328</v>
      </c>
      <c r="E382">
        <v>175.7899932861328</v>
      </c>
      <c r="F382">
        <v>176.5500030517578</v>
      </c>
      <c r="G382">
        <v>176.5500030517578</v>
      </c>
      <c r="H382">
        <v>11530900</v>
      </c>
      <c r="I382" t="s">
        <v>1180</v>
      </c>
      <c r="J382" t="s">
        <v>1181</v>
      </c>
      <c r="K382" t="s">
        <v>41</v>
      </c>
    </row>
    <row r="383" spans="1:11" ht="20" customHeight="1">
      <c r="A383" t="s">
        <v>25</v>
      </c>
      <c r="B383" t="s">
        <v>1182</v>
      </c>
      <c r="C383">
        <v>178.8600006103516</v>
      </c>
      <c r="D383">
        <v>178.9900054931641</v>
      </c>
      <c r="E383">
        <v>176.5</v>
      </c>
      <c r="F383">
        <v>178.3800048828125</v>
      </c>
      <c r="G383">
        <v>178.3800048828125</v>
      </c>
      <c r="H383">
        <v>16055800</v>
      </c>
      <c r="I383" t="s">
        <v>1183</v>
      </c>
      <c r="J383" t="s">
        <v>1184</v>
      </c>
      <c r="K383" t="s">
        <v>41</v>
      </c>
    </row>
    <row r="384" spans="1:11" ht="20" customHeight="1">
      <c r="A384" t="s">
        <v>25</v>
      </c>
      <c r="B384" t="s">
        <v>1185</v>
      </c>
      <c r="C384">
        <v>179.0500030517578</v>
      </c>
      <c r="D384">
        <v>181.7599945068359</v>
      </c>
      <c r="E384">
        <v>179.0299987792969</v>
      </c>
      <c r="F384">
        <v>181.6199951171875</v>
      </c>
      <c r="G384">
        <v>181.6199951171875</v>
      </c>
      <c r="H384">
        <v>21942100</v>
      </c>
      <c r="I384" t="s">
        <v>1186</v>
      </c>
      <c r="J384" t="s">
        <v>1187</v>
      </c>
      <c r="K384" t="s">
        <v>41</v>
      </c>
    </row>
    <row r="385" spans="1:11" ht="20" customHeight="1">
      <c r="A385" t="s">
        <v>25</v>
      </c>
      <c r="B385" t="s">
        <v>1188</v>
      </c>
      <c r="C385">
        <v>180.1300048828125</v>
      </c>
      <c r="D385">
        <v>180.7100067138672</v>
      </c>
      <c r="E385">
        <v>178.7899932861328</v>
      </c>
      <c r="F385">
        <v>179.7299957275391</v>
      </c>
      <c r="G385">
        <v>179.7299957275391</v>
      </c>
      <c r="H385">
        <v>19727200</v>
      </c>
      <c r="I385" t="s">
        <v>1189</v>
      </c>
      <c r="J385" t="s">
        <v>1190</v>
      </c>
      <c r="K385" t="s">
        <v>41</v>
      </c>
    </row>
    <row r="386" spans="1:11" ht="20" customHeight="1">
      <c r="A386" t="s">
        <v>25</v>
      </c>
      <c r="B386" t="s">
        <v>1191</v>
      </c>
      <c r="C386">
        <v>179.9600067138672</v>
      </c>
      <c r="D386">
        <v>181.3000030517578</v>
      </c>
      <c r="E386">
        <v>179.5</v>
      </c>
      <c r="F386">
        <v>180.8000030517578</v>
      </c>
      <c r="G386">
        <v>180.8000030517578</v>
      </c>
      <c r="H386">
        <v>15164400</v>
      </c>
      <c r="I386" t="s">
        <v>1192</v>
      </c>
      <c r="J386" t="s">
        <v>1193</v>
      </c>
      <c r="K386" t="s">
        <v>41</v>
      </c>
    </row>
    <row r="387" spans="1:11" ht="20" customHeight="1">
      <c r="A387" t="s">
        <v>25</v>
      </c>
      <c r="B387" t="s">
        <v>1194</v>
      </c>
      <c r="C387">
        <v>182.1100006103516</v>
      </c>
      <c r="D387">
        <v>183.9799957275391</v>
      </c>
      <c r="E387">
        <v>181.3600006103516</v>
      </c>
      <c r="F387">
        <v>183.6799926757812</v>
      </c>
      <c r="G387">
        <v>183.6799926757812</v>
      </c>
      <c r="H387">
        <v>22390100</v>
      </c>
      <c r="I387" t="s">
        <v>1195</v>
      </c>
      <c r="J387" t="s">
        <v>1196</v>
      </c>
      <c r="K387" t="s">
        <v>41</v>
      </c>
    </row>
    <row r="388" spans="1:11" ht="20" customHeight="1">
      <c r="A388" t="s">
        <v>25</v>
      </c>
      <c r="B388" t="s">
        <v>1197</v>
      </c>
      <c r="C388">
        <v>184.4499969482422</v>
      </c>
      <c r="D388">
        <v>186.6399993896484</v>
      </c>
      <c r="E388">
        <v>184.2200012207031</v>
      </c>
      <c r="F388">
        <v>186.4100036621094</v>
      </c>
      <c r="G388">
        <v>186.4100036621094</v>
      </c>
      <c r="H388">
        <v>27951800</v>
      </c>
      <c r="I388" t="s">
        <v>1198</v>
      </c>
      <c r="J388" t="s">
        <v>1199</v>
      </c>
      <c r="K388" t="s">
        <v>41</v>
      </c>
    </row>
    <row r="389" spans="1:11" ht="20" customHeight="1">
      <c r="A389" t="s">
        <v>25</v>
      </c>
      <c r="B389" t="s">
        <v>1200</v>
      </c>
      <c r="C389">
        <v>188.3500061035156</v>
      </c>
      <c r="D389">
        <v>193.3000030517578</v>
      </c>
      <c r="E389">
        <v>188.2599945068359</v>
      </c>
      <c r="F389">
        <v>191.5099945068359</v>
      </c>
      <c r="G389">
        <v>191.5099945068359</v>
      </c>
      <c r="H389">
        <v>47347700</v>
      </c>
      <c r="I389" t="s">
        <v>1201</v>
      </c>
      <c r="J389" t="s">
        <v>1202</v>
      </c>
      <c r="K389" t="s">
        <v>41</v>
      </c>
    </row>
    <row r="390" spans="1:11" ht="20" customHeight="1">
      <c r="A390" t="s">
        <v>25</v>
      </c>
      <c r="B390" t="s">
        <v>1203</v>
      </c>
      <c r="C390">
        <v>186.0399932861328</v>
      </c>
      <c r="D390">
        <v>187.2299957275391</v>
      </c>
      <c r="E390">
        <v>184.7599945068359</v>
      </c>
      <c r="F390">
        <v>185.8200073242188</v>
      </c>
      <c r="G390">
        <v>185.8200073242188</v>
      </c>
      <c r="H390">
        <v>26839700</v>
      </c>
      <c r="I390" t="s">
        <v>1204</v>
      </c>
      <c r="J390" t="s">
        <v>1205</v>
      </c>
      <c r="K390" t="s">
        <v>41</v>
      </c>
    </row>
    <row r="391" spans="1:11" ht="20" customHeight="1">
      <c r="A391" t="s">
        <v>25</v>
      </c>
      <c r="B391" t="s">
        <v>1206</v>
      </c>
      <c r="C391">
        <v>186.8800048828125</v>
      </c>
      <c r="D391">
        <v>187.3800048828125</v>
      </c>
      <c r="E391">
        <v>184.9900054931641</v>
      </c>
      <c r="F391">
        <v>186.3999938964844</v>
      </c>
      <c r="G391">
        <v>186.3999938964844</v>
      </c>
      <c r="H391">
        <v>18455200</v>
      </c>
      <c r="I391" t="s">
        <v>1207</v>
      </c>
      <c r="J391" t="s">
        <v>1208</v>
      </c>
      <c r="K391" t="s">
        <v>41</v>
      </c>
    </row>
    <row r="392" spans="1:11" ht="20" customHeight="1">
      <c r="A392" t="s">
        <v>25</v>
      </c>
      <c r="B392" t="s">
        <v>1209</v>
      </c>
      <c r="C392">
        <v>183.7400054931641</v>
      </c>
      <c r="D392">
        <v>185.7799987792969</v>
      </c>
      <c r="E392">
        <v>183.4400024414062</v>
      </c>
      <c r="F392">
        <v>185.0899963378906</v>
      </c>
      <c r="G392">
        <v>185.0899963378906</v>
      </c>
      <c r="H392">
        <v>14824700</v>
      </c>
      <c r="I392" t="s">
        <v>1210</v>
      </c>
      <c r="J392" t="s">
        <v>1211</v>
      </c>
      <c r="K392" t="s">
        <v>41</v>
      </c>
    </row>
    <row r="393" spans="1:11" ht="20" customHeight="1">
      <c r="A393" t="s">
        <v>25</v>
      </c>
      <c r="B393" t="s">
        <v>1212</v>
      </c>
      <c r="C393">
        <v>183.0299987792969</v>
      </c>
      <c r="D393">
        <v>183.2899932861328</v>
      </c>
      <c r="E393">
        <v>181.9499969482422</v>
      </c>
      <c r="F393">
        <v>182.3000030517578</v>
      </c>
      <c r="G393">
        <v>182.3000030517578</v>
      </c>
      <c r="H393">
        <v>13186400</v>
      </c>
      <c r="I393" t="s">
        <v>1213</v>
      </c>
      <c r="J393" t="s">
        <v>1214</v>
      </c>
      <c r="K393" t="s">
        <v>41</v>
      </c>
    </row>
    <row r="394" spans="1:11" ht="20" customHeight="1">
      <c r="A394" t="s">
        <v>25</v>
      </c>
      <c r="B394" t="s">
        <v>1215</v>
      </c>
      <c r="C394">
        <v>179.1000061035156</v>
      </c>
      <c r="D394">
        <v>180.2700042724609</v>
      </c>
      <c r="E394">
        <v>178.0099945068359</v>
      </c>
      <c r="F394">
        <v>178.8899993896484</v>
      </c>
      <c r="G394">
        <v>178.8899993896484</v>
      </c>
      <c r="H394">
        <v>16962300</v>
      </c>
      <c r="I394" t="s">
        <v>1216</v>
      </c>
      <c r="J394" t="s">
        <v>1217</v>
      </c>
      <c r="K394" t="s">
        <v>41</v>
      </c>
    </row>
    <row r="395" spans="1:11" ht="20" customHeight="1">
      <c r="A395" t="s">
        <v>25</v>
      </c>
      <c r="B395" t="s">
        <v>1218</v>
      </c>
      <c r="C395">
        <v>179.1300048828125</v>
      </c>
      <c r="D395">
        <v>180.1199951171875</v>
      </c>
      <c r="E395">
        <v>176.8699951171875</v>
      </c>
      <c r="F395">
        <v>180.0099945068359</v>
      </c>
      <c r="G395">
        <v>180.0099945068359</v>
      </c>
      <c r="H395">
        <v>17548100</v>
      </c>
      <c r="I395" t="s">
        <v>1219</v>
      </c>
      <c r="J395" t="s">
        <v>1220</v>
      </c>
      <c r="K395" t="s">
        <v>41</v>
      </c>
    </row>
    <row r="396" spans="1:11" ht="20" customHeight="1">
      <c r="A396" t="s">
        <v>25</v>
      </c>
      <c r="B396" t="s">
        <v>1221</v>
      </c>
      <c r="C396">
        <v>181.1600036621094</v>
      </c>
      <c r="D396">
        <v>182.0299987792969</v>
      </c>
      <c r="E396">
        <v>180.6499938964844</v>
      </c>
      <c r="F396">
        <v>180.8899993896484</v>
      </c>
      <c r="G396">
        <v>180.8899993896484</v>
      </c>
      <c r="H396">
        <v>10954100</v>
      </c>
      <c r="I396" t="s">
        <v>1222</v>
      </c>
      <c r="J396" t="s">
        <v>1223</v>
      </c>
      <c r="K396" t="s">
        <v>41</v>
      </c>
    </row>
    <row r="397" spans="1:11" ht="20" customHeight="1">
      <c r="A397" t="s">
        <v>25</v>
      </c>
      <c r="B397" t="s">
        <v>1224</v>
      </c>
      <c r="C397">
        <v>179.9299926757812</v>
      </c>
      <c r="D397">
        <v>180.9299926757812</v>
      </c>
      <c r="E397">
        <v>179.0399932861328</v>
      </c>
      <c r="F397">
        <v>179.3000030517578</v>
      </c>
      <c r="G397">
        <v>179.3000030517578</v>
      </c>
      <c r="H397">
        <v>13996500</v>
      </c>
      <c r="I397" t="s">
        <v>1225</v>
      </c>
      <c r="J397" t="s">
        <v>1226</v>
      </c>
      <c r="K397" t="s">
        <v>41</v>
      </c>
    </row>
    <row r="398" spans="1:11" ht="20" customHeight="1">
      <c r="A398" t="s">
        <v>25</v>
      </c>
      <c r="B398" t="s">
        <v>1227</v>
      </c>
      <c r="C398">
        <v>179.3300018310547</v>
      </c>
      <c r="D398">
        <v>181.2899932861328</v>
      </c>
      <c r="E398">
        <v>179.3200073242188</v>
      </c>
      <c r="F398">
        <v>180.6699981689453</v>
      </c>
      <c r="G398">
        <v>180.6699981689453</v>
      </c>
      <c r="H398">
        <v>10582200</v>
      </c>
      <c r="I398" t="s">
        <v>1228</v>
      </c>
      <c r="J398" t="s">
        <v>1229</v>
      </c>
      <c r="K398" t="s">
        <v>41</v>
      </c>
    </row>
    <row r="399" spans="1:11" ht="20" customHeight="1">
      <c r="A399" t="s">
        <v>25</v>
      </c>
      <c r="B399" t="s">
        <v>1230</v>
      </c>
      <c r="C399">
        <v>179.6000061035156</v>
      </c>
      <c r="D399">
        <v>179.7100067138672</v>
      </c>
      <c r="E399">
        <v>178.3200073242188</v>
      </c>
      <c r="F399">
        <v>179.3600006103516</v>
      </c>
      <c r="G399">
        <v>179.3600006103516</v>
      </c>
      <c r="H399">
        <v>9621800</v>
      </c>
      <c r="I399" t="s">
        <v>1231</v>
      </c>
      <c r="J399" t="s">
        <v>1232</v>
      </c>
      <c r="K399" t="s">
        <v>41</v>
      </c>
    </row>
    <row r="400" spans="1:11" ht="20" customHeight="1">
      <c r="A400" t="s">
        <v>25</v>
      </c>
      <c r="B400" t="s">
        <v>1233</v>
      </c>
      <c r="C400">
        <v>180.2899932861328</v>
      </c>
      <c r="D400">
        <v>181.8899993896484</v>
      </c>
      <c r="E400">
        <v>179.7599945068359</v>
      </c>
      <c r="F400">
        <v>181.8099975585938</v>
      </c>
      <c r="G400">
        <v>181.8099975585938</v>
      </c>
      <c r="H400">
        <v>12557300</v>
      </c>
      <c r="I400" t="s">
        <v>1234</v>
      </c>
      <c r="J400" t="s">
        <v>1235</v>
      </c>
      <c r="K400" t="s">
        <v>41</v>
      </c>
    </row>
    <row r="401" spans="1:11" ht="20" customHeight="1">
      <c r="A401" t="s">
        <v>25</v>
      </c>
      <c r="B401" t="s">
        <v>1236</v>
      </c>
      <c r="C401">
        <v>182.3500061035156</v>
      </c>
      <c r="D401">
        <v>183.5099945068359</v>
      </c>
      <c r="E401">
        <v>181.7700042724609</v>
      </c>
      <c r="F401">
        <v>183.1300048828125</v>
      </c>
      <c r="G401">
        <v>183.1300048828125</v>
      </c>
      <c r="H401">
        <v>10970100</v>
      </c>
      <c r="I401" t="s">
        <v>1237</v>
      </c>
      <c r="J401" t="s">
        <v>1238</v>
      </c>
      <c r="K401" t="s">
        <v>41</v>
      </c>
    </row>
    <row r="402" spans="1:11" ht="20" customHeight="1">
      <c r="A402" t="s">
        <v>25</v>
      </c>
      <c r="B402" t="s">
        <v>1239</v>
      </c>
      <c r="C402">
        <v>181.8099975585938</v>
      </c>
      <c r="D402">
        <v>183.1300048828125</v>
      </c>
      <c r="E402">
        <v>181.3500061035156</v>
      </c>
      <c r="F402">
        <v>182.3800048828125</v>
      </c>
      <c r="G402">
        <v>182.3800048828125</v>
      </c>
      <c r="H402">
        <v>7911100</v>
      </c>
      <c r="I402" t="s">
        <v>1240</v>
      </c>
      <c r="J402" t="s">
        <v>1241</v>
      </c>
      <c r="K402" t="s">
        <v>41</v>
      </c>
    </row>
    <row r="403" spans="1:11" ht="20" customHeight="1">
      <c r="A403" t="s">
        <v>25</v>
      </c>
      <c r="B403" t="s">
        <v>1242</v>
      </c>
      <c r="C403">
        <v>180.3800048828125</v>
      </c>
      <c r="D403">
        <v>181.3300018310547</v>
      </c>
      <c r="E403">
        <v>178.8500061035156</v>
      </c>
      <c r="F403">
        <v>179.0599975585938</v>
      </c>
      <c r="G403">
        <v>179.0599975585938</v>
      </c>
      <c r="H403">
        <v>9489700</v>
      </c>
      <c r="I403" t="s">
        <v>1243</v>
      </c>
      <c r="J403" t="s">
        <v>1244</v>
      </c>
      <c r="K403" t="s">
        <v>41</v>
      </c>
    </row>
    <row r="404" spans="1:11" ht="20" customHeight="1">
      <c r="A404" t="s">
        <v>25</v>
      </c>
      <c r="B404" t="s">
        <v>1245</v>
      </c>
      <c r="C404">
        <v>177.0200042724609</v>
      </c>
      <c r="D404">
        <v>179.3300018310547</v>
      </c>
      <c r="E404">
        <v>176.6900024414062</v>
      </c>
      <c r="F404">
        <v>179.1399993896484</v>
      </c>
      <c r="G404">
        <v>179.1399993896484</v>
      </c>
      <c r="H404">
        <v>10458900</v>
      </c>
      <c r="I404" t="s">
        <v>1246</v>
      </c>
      <c r="J404" t="s">
        <v>1247</v>
      </c>
      <c r="K404" t="s">
        <v>41</v>
      </c>
    </row>
    <row r="405" spans="1:11" ht="20" customHeight="1">
      <c r="A405" t="s">
        <v>25</v>
      </c>
      <c r="B405" t="s">
        <v>1248</v>
      </c>
      <c r="C405">
        <v>179.7599945068359</v>
      </c>
      <c r="D405">
        <v>180.9199981689453</v>
      </c>
      <c r="E405">
        <v>179.6799926757812</v>
      </c>
      <c r="F405">
        <v>180.5800018310547</v>
      </c>
      <c r="G405">
        <v>180.5800018310547</v>
      </c>
      <c r="H405">
        <v>8361300</v>
      </c>
      <c r="I405" t="s">
        <v>1249</v>
      </c>
      <c r="J405" t="s">
        <v>1250</v>
      </c>
      <c r="K405" t="s">
        <v>41</v>
      </c>
    </row>
    <row r="406" spans="1:11" ht="20" customHeight="1">
      <c r="A406" t="s">
        <v>25</v>
      </c>
      <c r="B406" t="s">
        <v>1251</v>
      </c>
      <c r="C406">
        <v>180.9100036621094</v>
      </c>
      <c r="D406">
        <v>181.9600067138672</v>
      </c>
      <c r="E406">
        <v>180.5599975585938</v>
      </c>
      <c r="F406">
        <v>180.6499938964844</v>
      </c>
      <c r="G406">
        <v>180.6499938964844</v>
      </c>
      <c r="H406">
        <v>9844400</v>
      </c>
      <c r="I406" t="s">
        <v>1252</v>
      </c>
      <c r="J406" t="s">
        <v>1253</v>
      </c>
      <c r="K406" t="s">
        <v>41</v>
      </c>
    </row>
    <row r="407" spans="1:11" ht="20" customHeight="1">
      <c r="A407" t="s">
        <v>25</v>
      </c>
      <c r="B407" t="s">
        <v>1254</v>
      </c>
      <c r="C407">
        <v>179.5500030517578</v>
      </c>
      <c r="D407">
        <v>180.4600067138672</v>
      </c>
      <c r="E407">
        <v>178.9799957275391</v>
      </c>
      <c r="F407">
        <v>179.5</v>
      </c>
      <c r="G407">
        <v>179.5</v>
      </c>
      <c r="H407">
        <v>13034400</v>
      </c>
      <c r="I407" t="s">
        <v>1255</v>
      </c>
      <c r="J407" t="s">
        <v>1256</v>
      </c>
      <c r="K407" t="s">
        <v>41</v>
      </c>
    </row>
    <row r="408" spans="1:11" ht="20" customHeight="1">
      <c r="A408" t="s">
        <v>25</v>
      </c>
      <c r="B408" t="s">
        <v>1257</v>
      </c>
      <c r="C408">
        <v>180.2400054931641</v>
      </c>
      <c r="D408">
        <v>180.8099975585938</v>
      </c>
      <c r="E408">
        <v>179.5800018310547</v>
      </c>
      <c r="F408">
        <v>180.3699951171875</v>
      </c>
      <c r="G408">
        <v>180.3699951171875</v>
      </c>
      <c r="H408">
        <v>7063100</v>
      </c>
      <c r="I408" t="s">
        <v>1258</v>
      </c>
      <c r="J408" t="s">
        <v>1259</v>
      </c>
      <c r="K408" t="s">
        <v>41</v>
      </c>
    </row>
    <row r="409" spans="1:11" ht="20" customHeight="1">
      <c r="A409" t="s">
        <v>25</v>
      </c>
      <c r="B409" t="s">
        <v>1260</v>
      </c>
      <c r="C409">
        <v>180.9100036621094</v>
      </c>
      <c r="D409">
        <v>181.4900054931641</v>
      </c>
      <c r="E409">
        <v>178.9299926757812</v>
      </c>
      <c r="F409">
        <v>179.2400054931641</v>
      </c>
      <c r="G409">
        <v>179.2400054931641</v>
      </c>
      <c r="H409">
        <v>10828500</v>
      </c>
      <c r="I409" t="s">
        <v>1261</v>
      </c>
      <c r="J409" t="s">
        <v>1262</v>
      </c>
      <c r="K409" t="s">
        <v>41</v>
      </c>
    </row>
    <row r="410" spans="1:11" ht="20" customHeight="1">
      <c r="A410" t="s">
        <v>25</v>
      </c>
      <c r="B410" t="s">
        <v>1263</v>
      </c>
      <c r="C410">
        <v>179.7799987792969</v>
      </c>
      <c r="D410">
        <v>180.3099975585938</v>
      </c>
      <c r="E410">
        <v>178.6999969482422</v>
      </c>
      <c r="F410">
        <v>179.6600036621094</v>
      </c>
      <c r="G410">
        <v>179.6600036621094</v>
      </c>
      <c r="H410">
        <v>8942100</v>
      </c>
      <c r="I410" t="s">
        <v>1264</v>
      </c>
      <c r="J410" t="s">
        <v>1265</v>
      </c>
      <c r="K410" t="s">
        <v>41</v>
      </c>
    </row>
    <row r="411" spans="1:11" ht="20" customHeight="1">
      <c r="A411" t="s">
        <v>25</v>
      </c>
      <c r="B411" t="s">
        <v>1266</v>
      </c>
      <c r="C411">
        <v>179.8699951171875</v>
      </c>
      <c r="D411">
        <v>180.8800048828125</v>
      </c>
      <c r="E411">
        <v>179.8000030517578</v>
      </c>
      <c r="F411">
        <v>180.3399963378906</v>
      </c>
      <c r="G411">
        <v>180.3399963378906</v>
      </c>
      <c r="H411">
        <v>10140600</v>
      </c>
      <c r="I411" t="s">
        <v>1267</v>
      </c>
      <c r="J411" t="s">
        <v>1268</v>
      </c>
      <c r="K411" t="s">
        <v>41</v>
      </c>
    </row>
    <row r="412" spans="1:11" ht="20" customHeight="1">
      <c r="A412" t="s">
        <v>25</v>
      </c>
      <c r="B412" t="s">
        <v>1269</v>
      </c>
      <c r="C412">
        <v>180.5200042724609</v>
      </c>
      <c r="D412">
        <v>181.8200073242188</v>
      </c>
      <c r="E412">
        <v>180.5200042724609</v>
      </c>
      <c r="F412">
        <v>181.4700012207031</v>
      </c>
      <c r="G412">
        <v>181.4700012207031</v>
      </c>
      <c r="H412">
        <v>10655700</v>
      </c>
      <c r="I412" t="s">
        <v>1270</v>
      </c>
      <c r="J412" t="s">
        <v>1271</v>
      </c>
      <c r="K412" t="s">
        <v>41</v>
      </c>
    </row>
    <row r="413" spans="1:11" ht="20" customHeight="1">
      <c r="A413" t="s">
        <v>25</v>
      </c>
      <c r="B413" t="s">
        <v>1272</v>
      </c>
      <c r="C413">
        <v>183.1699981689453</v>
      </c>
      <c r="D413">
        <v>183.3300018310547</v>
      </c>
      <c r="E413">
        <v>181.1100006103516</v>
      </c>
      <c r="F413">
        <v>182.3699951171875</v>
      </c>
      <c r="G413">
        <v>182.3699951171875</v>
      </c>
      <c r="H413">
        <v>10071300</v>
      </c>
      <c r="I413" t="s">
        <v>1273</v>
      </c>
      <c r="J413" t="s">
        <v>1274</v>
      </c>
      <c r="K413" t="s">
        <v>41</v>
      </c>
    </row>
    <row r="414" spans="1:11" ht="20" customHeight="1">
      <c r="A414" t="s">
        <v>25</v>
      </c>
      <c r="B414" t="s">
        <v>1275</v>
      </c>
      <c r="C414">
        <v>184.0399932861328</v>
      </c>
      <c r="D414">
        <v>184.6399993896484</v>
      </c>
      <c r="E414">
        <v>182.9600067138672</v>
      </c>
      <c r="F414">
        <v>183.7700042724609</v>
      </c>
      <c r="G414">
        <v>183.7700042724609</v>
      </c>
      <c r="H414">
        <v>12024600</v>
      </c>
      <c r="I414" t="s">
        <v>1276</v>
      </c>
      <c r="J414" t="s">
        <v>1277</v>
      </c>
      <c r="K414" t="s">
        <v>41</v>
      </c>
    </row>
    <row r="415" spans="1:11" ht="20" customHeight="1">
      <c r="A415" t="s">
        <v>25</v>
      </c>
      <c r="B415" t="s">
        <v>1278</v>
      </c>
      <c r="C415">
        <v>184.5</v>
      </c>
      <c r="D415">
        <v>184.9400024414062</v>
      </c>
      <c r="E415">
        <v>184.1300048828125</v>
      </c>
      <c r="F415">
        <v>184.6499938964844</v>
      </c>
      <c r="G415">
        <v>184.6499938964844</v>
      </c>
      <c r="H415">
        <v>8651600</v>
      </c>
      <c r="I415" t="s">
        <v>1279</v>
      </c>
      <c r="J415" t="s">
        <v>1280</v>
      </c>
      <c r="K415" t="s">
        <v>41</v>
      </c>
    </row>
    <row r="416" spans="1:11" ht="20" customHeight="1">
      <c r="A416" t="s">
        <v>25</v>
      </c>
      <c r="B416" t="s">
        <v>1281</v>
      </c>
      <c r="C416">
        <v>184.2799987792969</v>
      </c>
      <c r="D416">
        <v>184.4100036621094</v>
      </c>
      <c r="E416">
        <v>182.8800048828125</v>
      </c>
      <c r="F416">
        <v>184.0399932861328</v>
      </c>
      <c r="G416">
        <v>184.0399932861328</v>
      </c>
      <c r="H416">
        <v>11567200</v>
      </c>
      <c r="I416" t="s">
        <v>1282</v>
      </c>
      <c r="J416" t="s">
        <v>1283</v>
      </c>
      <c r="K416" t="s">
        <v>41</v>
      </c>
    </row>
    <row r="417" spans="1:11" ht="20" customHeight="1">
      <c r="A417" t="s">
        <v>25</v>
      </c>
      <c r="B417" t="s">
        <v>1284</v>
      </c>
      <c r="C417">
        <v>185.9499969482422</v>
      </c>
      <c r="D417">
        <v>186.1000061035156</v>
      </c>
      <c r="E417">
        <v>184.3899993896484</v>
      </c>
      <c r="F417">
        <v>184.6100006103516</v>
      </c>
      <c r="G417">
        <v>184.6100006103516</v>
      </c>
      <c r="H417">
        <v>8886700</v>
      </c>
      <c r="I417" t="s">
        <v>1285</v>
      </c>
      <c r="J417" t="s">
        <v>1286</v>
      </c>
      <c r="K417" t="s">
        <v>41</v>
      </c>
    </row>
    <row r="418" spans="1:11" ht="20" customHeight="1">
      <c r="A418" t="s">
        <v>25</v>
      </c>
      <c r="B418" t="s">
        <v>1287</v>
      </c>
      <c r="C418">
        <v>183.1900024414062</v>
      </c>
      <c r="D418">
        <v>183.6499938964844</v>
      </c>
      <c r="E418">
        <v>181.3300018310547</v>
      </c>
      <c r="F418">
        <v>181.8200073242188</v>
      </c>
      <c r="G418">
        <v>181.8200073242188</v>
      </c>
      <c r="H418">
        <v>12585600</v>
      </c>
      <c r="I418" t="s">
        <v>1288</v>
      </c>
      <c r="J418" t="s">
        <v>1289</v>
      </c>
      <c r="K418" t="s">
        <v>41</v>
      </c>
    </row>
    <row r="419" spans="1:11" ht="20" customHeight="1">
      <c r="A419" t="s">
        <v>25</v>
      </c>
      <c r="B419" t="s">
        <v>1290</v>
      </c>
      <c r="C419">
        <v>181.5899963378906</v>
      </c>
      <c r="D419">
        <v>182.7200012207031</v>
      </c>
      <c r="E419">
        <v>181.3500061035156</v>
      </c>
      <c r="F419">
        <v>182.7100067138672</v>
      </c>
      <c r="G419">
        <v>182.7100067138672</v>
      </c>
      <c r="H419">
        <v>7038600</v>
      </c>
      <c r="I419" t="s">
        <v>1291</v>
      </c>
      <c r="J419" t="s">
        <v>1292</v>
      </c>
      <c r="K419" t="s">
        <v>41</v>
      </c>
    </row>
    <row r="420" spans="1:11" ht="20" customHeight="1">
      <c r="A420" t="s">
        <v>25</v>
      </c>
      <c r="B420" t="s">
        <v>1293</v>
      </c>
      <c r="C420">
        <v>181.7700042724609</v>
      </c>
      <c r="D420">
        <v>182.3200073242188</v>
      </c>
      <c r="E420">
        <v>180.7799987792969</v>
      </c>
      <c r="F420">
        <v>182.0599975585938</v>
      </c>
      <c r="G420">
        <v>182.0599975585938</v>
      </c>
      <c r="H420">
        <v>9639800</v>
      </c>
      <c r="I420" t="s">
        <v>1294</v>
      </c>
      <c r="J420" t="s">
        <v>1295</v>
      </c>
      <c r="K420" t="s">
        <v>41</v>
      </c>
    </row>
    <row r="421" spans="1:11" ht="20" customHeight="1">
      <c r="A421" t="s">
        <v>25</v>
      </c>
      <c r="B421" t="s">
        <v>1296</v>
      </c>
      <c r="C421">
        <v>180.7200012207031</v>
      </c>
      <c r="D421">
        <v>181.6100006103516</v>
      </c>
      <c r="E421">
        <v>179.7400054931641</v>
      </c>
      <c r="F421">
        <v>180.2899932861328</v>
      </c>
      <c r="G421">
        <v>180.2899932861328</v>
      </c>
      <c r="H421">
        <v>9147000</v>
      </c>
      <c r="I421" t="s">
        <v>1297</v>
      </c>
      <c r="J421" t="s">
        <v>1298</v>
      </c>
      <c r="K421" t="s">
        <v>41</v>
      </c>
    </row>
    <row r="422" spans="1:11" ht="20" customHeight="1">
      <c r="A422" t="s">
        <v>25</v>
      </c>
      <c r="B422" t="s">
        <v>1299</v>
      </c>
      <c r="C422">
        <v>177.1699981689453</v>
      </c>
      <c r="D422">
        <v>177.5099945068359</v>
      </c>
      <c r="E422">
        <v>176.4799957275391</v>
      </c>
      <c r="F422">
        <v>177.0500030517578</v>
      </c>
      <c r="G422">
        <v>177.0500030517578</v>
      </c>
      <c r="H422">
        <v>13073700</v>
      </c>
      <c r="I422" t="s">
        <v>1300</v>
      </c>
      <c r="J422" t="s">
        <v>1301</v>
      </c>
      <c r="K422" t="s">
        <v>41</v>
      </c>
    </row>
    <row r="423" spans="1:11" ht="20" customHeight="1">
      <c r="A423" t="s">
        <v>25</v>
      </c>
      <c r="B423" t="s">
        <v>1302</v>
      </c>
      <c r="C423">
        <v>177.9499969482422</v>
      </c>
      <c r="D423">
        <v>178.3000030517578</v>
      </c>
      <c r="E423">
        <v>176.9199981689453</v>
      </c>
      <c r="F423">
        <v>177.3200073242188</v>
      </c>
      <c r="G423">
        <v>177.3200073242188</v>
      </c>
      <c r="H423">
        <v>9042400</v>
      </c>
      <c r="I423" t="s">
        <v>1303</v>
      </c>
      <c r="J423" t="s">
        <v>1304</v>
      </c>
      <c r="K423" t="s">
        <v>41</v>
      </c>
    </row>
    <row r="424" spans="1:11" ht="20" customHeight="1">
      <c r="A424" t="s">
        <v>25</v>
      </c>
      <c r="B424" t="s">
        <v>1305</v>
      </c>
      <c r="C424">
        <v>176.4600067138672</v>
      </c>
      <c r="D424">
        <v>176.6399993896484</v>
      </c>
      <c r="E424">
        <v>175.5</v>
      </c>
      <c r="F424">
        <v>175.9799957275391</v>
      </c>
      <c r="G424">
        <v>175.9799957275391</v>
      </c>
      <c r="H424">
        <v>8854700</v>
      </c>
      <c r="I424" t="s">
        <v>1306</v>
      </c>
      <c r="J424" t="s">
        <v>1307</v>
      </c>
      <c r="K424" t="s">
        <v>41</v>
      </c>
    </row>
    <row r="425" spans="1:11" ht="20" customHeight="1">
      <c r="A425" t="s">
        <v>25</v>
      </c>
      <c r="B425" t="s">
        <v>1308</v>
      </c>
      <c r="C425">
        <v>175.9199981689453</v>
      </c>
      <c r="D425">
        <v>176.9700012207031</v>
      </c>
      <c r="E425">
        <v>175.6900024414062</v>
      </c>
      <c r="F425">
        <v>176.9299926757812</v>
      </c>
      <c r="G425">
        <v>176.9299926757812</v>
      </c>
      <c r="H425">
        <v>6381100</v>
      </c>
      <c r="I425" t="s">
        <v>1309</v>
      </c>
      <c r="J425" t="s">
        <v>1310</v>
      </c>
      <c r="K425" t="s">
        <v>41</v>
      </c>
    </row>
    <row r="426" spans="1:11" ht="20" customHeight="1">
      <c r="A426" t="s">
        <v>25</v>
      </c>
      <c r="B426" t="s">
        <v>1311</v>
      </c>
      <c r="C426">
        <v>178.0700073242188</v>
      </c>
      <c r="D426">
        <v>178.6199951171875</v>
      </c>
      <c r="E426">
        <v>176.7100067138672</v>
      </c>
      <c r="F426">
        <v>176.9100036621094</v>
      </c>
      <c r="G426">
        <v>176.9100036621094</v>
      </c>
      <c r="H426">
        <v>7719700</v>
      </c>
      <c r="I426" t="s">
        <v>1312</v>
      </c>
      <c r="J426" t="s">
        <v>1313</v>
      </c>
      <c r="K426" t="s">
        <v>41</v>
      </c>
    </row>
    <row r="427" spans="1:11" ht="20" customHeight="1">
      <c r="A427" t="s">
        <v>25</v>
      </c>
      <c r="B427" t="s">
        <v>1314</v>
      </c>
      <c r="C427">
        <v>173.6100006103516</v>
      </c>
      <c r="D427">
        <v>174.6499938964844</v>
      </c>
      <c r="E427">
        <v>172.9799957275391</v>
      </c>
      <c r="F427">
        <v>173.6300048828125</v>
      </c>
      <c r="G427">
        <v>173.6300048828125</v>
      </c>
      <c r="H427">
        <v>14318600</v>
      </c>
      <c r="I427" t="s">
        <v>1315</v>
      </c>
      <c r="J427" t="s">
        <v>1316</v>
      </c>
      <c r="K427" t="s">
        <v>41</v>
      </c>
    </row>
    <row r="428" spans="1:11" ht="20" customHeight="1">
      <c r="A428" t="s">
        <v>25</v>
      </c>
      <c r="B428" t="s">
        <v>1317</v>
      </c>
      <c r="C428">
        <v>173.8899993896484</v>
      </c>
      <c r="D428">
        <v>175.2100067138672</v>
      </c>
      <c r="E428">
        <v>173.8500061035156</v>
      </c>
      <c r="F428">
        <v>174.0899963378906</v>
      </c>
      <c r="G428">
        <v>174.0899963378906</v>
      </c>
      <c r="H428">
        <v>7214300</v>
      </c>
      <c r="I428" t="s">
        <v>1318</v>
      </c>
      <c r="J428" t="s">
        <v>1319</v>
      </c>
      <c r="K428" t="s">
        <v>41</v>
      </c>
    </row>
    <row r="429" spans="1:11" ht="20" customHeight="1">
      <c r="A429" t="s">
        <v>25</v>
      </c>
      <c r="B429" t="s">
        <v>1320</v>
      </c>
      <c r="C429">
        <v>174.3200073242188</v>
      </c>
      <c r="D429">
        <v>176.3500061035156</v>
      </c>
      <c r="E429">
        <v>173.6699981689453</v>
      </c>
      <c r="F429">
        <v>175.8000030517578</v>
      </c>
      <c r="G429">
        <v>175.8000030517578</v>
      </c>
      <c r="H429">
        <v>10491700</v>
      </c>
      <c r="I429" t="s">
        <v>1321</v>
      </c>
      <c r="J429" t="s">
        <v>1322</v>
      </c>
      <c r="K429" t="s">
        <v>41</v>
      </c>
    </row>
    <row r="430" spans="1:11" ht="20" customHeight="1">
      <c r="A430" t="s">
        <v>25</v>
      </c>
      <c r="B430" t="s">
        <v>1323</v>
      </c>
      <c r="C430">
        <v>177.5599975585938</v>
      </c>
      <c r="D430">
        <v>177.6100006103516</v>
      </c>
      <c r="E430">
        <v>174.6600036621094</v>
      </c>
      <c r="F430">
        <v>175.1300048828125</v>
      </c>
      <c r="G430">
        <v>175.1300048828125</v>
      </c>
      <c r="H430">
        <v>12794200</v>
      </c>
      <c r="I430" t="s">
        <v>1324</v>
      </c>
      <c r="J430" t="s">
        <v>1325</v>
      </c>
      <c r="K430" t="s">
        <v>41</v>
      </c>
    </row>
    <row r="431" spans="1:11" ht="20" customHeight="1">
      <c r="A431" t="s">
        <v>25</v>
      </c>
      <c r="B431" t="s">
        <v>1326</v>
      </c>
      <c r="C431">
        <v>175.3899993896484</v>
      </c>
      <c r="D431">
        <v>176.5599975585938</v>
      </c>
      <c r="E431">
        <v>174.8600006103516</v>
      </c>
      <c r="F431">
        <v>175.4199981689453</v>
      </c>
      <c r="G431">
        <v>175.4199981689453</v>
      </c>
      <c r="H431">
        <v>7643300</v>
      </c>
      <c r="I431" t="s">
        <v>1327</v>
      </c>
      <c r="J431" t="s">
        <v>1328</v>
      </c>
      <c r="K431" t="s">
        <v>41</v>
      </c>
    </row>
    <row r="432" spans="1:11" ht="20" customHeight="1">
      <c r="A432" t="s">
        <v>25</v>
      </c>
      <c r="B432" t="s">
        <v>1329</v>
      </c>
      <c r="C432">
        <v>174.2700042724609</v>
      </c>
      <c r="D432">
        <v>174.2700042724609</v>
      </c>
      <c r="E432">
        <v>172.7899932861328</v>
      </c>
      <c r="F432">
        <v>172.8800048828125</v>
      </c>
      <c r="G432">
        <v>172.8800048828125</v>
      </c>
      <c r="H432">
        <v>10742400</v>
      </c>
      <c r="I432" t="s">
        <v>1330</v>
      </c>
      <c r="J432" t="s">
        <v>1331</v>
      </c>
      <c r="K432" t="s">
        <v>41</v>
      </c>
    </row>
    <row r="433" spans="1:11" ht="20" customHeight="1">
      <c r="A433" t="s">
        <v>25</v>
      </c>
      <c r="B433" t="s">
        <v>1332</v>
      </c>
      <c r="C433">
        <v>173.8000030517578</v>
      </c>
      <c r="D433">
        <v>173.9600067138672</v>
      </c>
      <c r="E433">
        <v>171.1999969482422</v>
      </c>
      <c r="F433">
        <v>171.4199981689453</v>
      </c>
      <c r="G433">
        <v>171.4199981689453</v>
      </c>
      <c r="H433">
        <v>11010400</v>
      </c>
      <c r="I433" t="s">
        <v>1333</v>
      </c>
      <c r="J433" t="s">
        <v>1334</v>
      </c>
      <c r="K433" t="s">
        <v>41</v>
      </c>
    </row>
    <row r="434" spans="1:11" ht="20" customHeight="1">
      <c r="A434" t="s">
        <v>25</v>
      </c>
      <c r="B434" t="s">
        <v>1335</v>
      </c>
      <c r="C434">
        <v>172.5099945068359</v>
      </c>
      <c r="D434">
        <v>173.3200073242188</v>
      </c>
      <c r="E434">
        <v>172.1999969482422</v>
      </c>
      <c r="F434">
        <v>172.8200073242188</v>
      </c>
      <c r="G434">
        <v>172.8200073242188</v>
      </c>
      <c r="H434">
        <v>9179600</v>
      </c>
      <c r="I434" t="s">
        <v>1336</v>
      </c>
      <c r="J434" t="s">
        <v>1337</v>
      </c>
      <c r="K434" t="s">
        <v>41</v>
      </c>
    </row>
    <row r="435" spans="1:11" ht="20" customHeight="1">
      <c r="A435" t="s">
        <v>25</v>
      </c>
      <c r="B435" t="s">
        <v>1338</v>
      </c>
      <c r="C435">
        <v>172.0700073242188</v>
      </c>
      <c r="D435">
        <v>172.3999938964844</v>
      </c>
      <c r="E435">
        <v>169.8999938964844</v>
      </c>
      <c r="F435">
        <v>170.1699981689453</v>
      </c>
      <c r="G435">
        <v>170.1699981689453</v>
      </c>
      <c r="H435">
        <v>11626800</v>
      </c>
      <c r="I435" t="s">
        <v>1339</v>
      </c>
      <c r="J435" t="s">
        <v>1340</v>
      </c>
      <c r="K435" t="s">
        <v>41</v>
      </c>
    </row>
    <row r="436" spans="1:11" ht="20" customHeight="1">
      <c r="A436" t="s">
        <v>25</v>
      </c>
      <c r="B436" t="s">
        <v>1341</v>
      </c>
      <c r="C436">
        <v>168.3099975585938</v>
      </c>
      <c r="D436">
        <v>169.6199951171875</v>
      </c>
      <c r="E436">
        <v>168.0099945068359</v>
      </c>
      <c r="F436">
        <v>168.7899932861328</v>
      </c>
      <c r="G436">
        <v>168.7899932861328</v>
      </c>
      <c r="H436">
        <v>13031100</v>
      </c>
      <c r="I436" t="s">
        <v>1342</v>
      </c>
      <c r="J436" t="s">
        <v>1343</v>
      </c>
      <c r="K436" t="s">
        <v>41</v>
      </c>
    </row>
    <row r="437" spans="1:11" ht="20" customHeight="1">
      <c r="A437" t="s">
        <v>25</v>
      </c>
      <c r="B437" t="s">
        <v>1344</v>
      </c>
      <c r="C437">
        <v>168.4299926757812</v>
      </c>
      <c r="D437">
        <v>170.4299926757812</v>
      </c>
      <c r="E437">
        <v>168.3399963378906</v>
      </c>
      <c r="F437">
        <v>170.3999938964844</v>
      </c>
      <c r="G437">
        <v>170.3999938964844</v>
      </c>
      <c r="H437">
        <v>7319300</v>
      </c>
      <c r="I437" t="s">
        <v>1345</v>
      </c>
      <c r="J437" t="s">
        <v>1346</v>
      </c>
      <c r="K437" t="s">
        <v>41</v>
      </c>
    </row>
    <row r="438" spans="1:11" ht="20" customHeight="1">
      <c r="A438" t="s">
        <v>25</v>
      </c>
      <c r="B438" t="s">
        <v>1347</v>
      </c>
      <c r="C438">
        <v>170.4400024414062</v>
      </c>
      <c r="D438">
        <v>170.5299987792969</v>
      </c>
      <c r="E438">
        <v>169.1399993896484</v>
      </c>
      <c r="F438">
        <v>169.3300018310547</v>
      </c>
      <c r="G438">
        <v>169.3300018310547</v>
      </c>
      <c r="H438">
        <v>6441100</v>
      </c>
      <c r="I438" t="s">
        <v>1348</v>
      </c>
      <c r="J438" t="s">
        <v>1349</v>
      </c>
      <c r="K438" t="s">
        <v>41</v>
      </c>
    </row>
    <row r="439" spans="1:11" ht="20" customHeight="1">
      <c r="A439" t="s">
        <v>25</v>
      </c>
      <c r="B439" t="s">
        <v>1350</v>
      </c>
      <c r="C439">
        <v>169.0099945068359</v>
      </c>
      <c r="D439">
        <v>170.2100067138672</v>
      </c>
      <c r="E439">
        <v>168.8099975585938</v>
      </c>
      <c r="F439">
        <v>169.4199981689453</v>
      </c>
      <c r="G439">
        <v>169.4199981689453</v>
      </c>
      <c r="H439">
        <v>7472900</v>
      </c>
      <c r="I439" t="s">
        <v>1351</v>
      </c>
      <c r="J439" t="s">
        <v>1352</v>
      </c>
      <c r="K439" t="s">
        <v>41</v>
      </c>
    </row>
    <row r="440" spans="1:11" ht="20" customHeight="1">
      <c r="A440" t="s">
        <v>25</v>
      </c>
      <c r="B440" t="s">
        <v>1353</v>
      </c>
      <c r="C440">
        <v>171.5500030517578</v>
      </c>
      <c r="D440">
        <v>172.5200042724609</v>
      </c>
      <c r="E440">
        <v>170.8899993896484</v>
      </c>
      <c r="F440">
        <v>171.9100036621094</v>
      </c>
      <c r="G440">
        <v>171.9100036621094</v>
      </c>
      <c r="H440">
        <v>10580300</v>
      </c>
      <c r="I440" t="s">
        <v>1354</v>
      </c>
      <c r="J440" t="s">
        <v>1355</v>
      </c>
      <c r="K440" t="s">
        <v>41</v>
      </c>
    </row>
    <row r="441" spans="1:11" ht="20" customHeight="1">
      <c r="A441" t="s">
        <v>25</v>
      </c>
      <c r="B441" t="s">
        <v>1356</v>
      </c>
      <c r="C441">
        <v>171.7100067138672</v>
      </c>
      <c r="D441">
        <v>172.2400054931641</v>
      </c>
      <c r="E441">
        <v>170.8899993896484</v>
      </c>
      <c r="F441">
        <v>172.0299987792969</v>
      </c>
      <c r="G441">
        <v>172.0299987792969</v>
      </c>
      <c r="H441">
        <v>6578100</v>
      </c>
      <c r="I441" t="s">
        <v>1357</v>
      </c>
      <c r="J441" t="s">
        <v>1358</v>
      </c>
      <c r="K441" t="s">
        <v>41</v>
      </c>
    </row>
    <row r="442" spans="1:11" ht="20" customHeight="1">
      <c r="A442" t="s">
        <v>25</v>
      </c>
      <c r="B442" t="s">
        <v>1359</v>
      </c>
      <c r="C442">
        <v>173.1300048828125</v>
      </c>
      <c r="D442">
        <v>173.3800048828125</v>
      </c>
      <c r="E442">
        <v>172.2799987792969</v>
      </c>
      <c r="F442">
        <v>172.8300018310547</v>
      </c>
      <c r="G442">
        <v>172.8300018310547</v>
      </c>
      <c r="H442">
        <v>5518500</v>
      </c>
      <c r="I442" t="s">
        <v>1360</v>
      </c>
      <c r="J442" t="s">
        <v>1361</v>
      </c>
      <c r="K442" t="s">
        <v>41</v>
      </c>
    </row>
    <row r="443" spans="1:11" ht="20" customHeight="1">
      <c r="A443" t="s">
        <v>25</v>
      </c>
      <c r="B443" t="s">
        <v>1362</v>
      </c>
      <c r="C443">
        <v>173.4700012207031</v>
      </c>
      <c r="D443">
        <v>174.4100036621094</v>
      </c>
      <c r="E443">
        <v>173.3500061035156</v>
      </c>
      <c r="F443">
        <v>174.1300048828125</v>
      </c>
      <c r="G443">
        <v>174.1300048828125</v>
      </c>
      <c r="H443">
        <v>6794000</v>
      </c>
      <c r="I443" t="s">
        <v>1363</v>
      </c>
      <c r="J443" t="s">
        <v>1364</v>
      </c>
      <c r="K443" t="s">
        <v>41</v>
      </c>
    </row>
    <row r="444" spans="1:11" ht="20" customHeight="1">
      <c r="A444" t="s">
        <v>25</v>
      </c>
      <c r="B444" t="s">
        <v>1365</v>
      </c>
      <c r="C444">
        <v>172.7899932861328</v>
      </c>
      <c r="D444">
        <v>173.1600036621094</v>
      </c>
      <c r="E444">
        <v>171.7299957275391</v>
      </c>
      <c r="F444">
        <v>173.0800018310547</v>
      </c>
      <c r="G444">
        <v>173.0800018310547</v>
      </c>
      <c r="H444">
        <v>4595900</v>
      </c>
      <c r="I444" t="s">
        <v>1366</v>
      </c>
      <c r="J444" t="s">
        <v>1367</v>
      </c>
      <c r="K444" t="s">
        <v>41</v>
      </c>
    </row>
    <row r="445" spans="1:11" ht="20" customHeight="1">
      <c r="A445" t="s">
        <v>25</v>
      </c>
      <c r="B445" t="s">
        <v>1368</v>
      </c>
      <c r="C445">
        <v>172.1300048828125</v>
      </c>
      <c r="D445">
        <v>172.9299926757812</v>
      </c>
      <c r="E445">
        <v>171.7599945068359</v>
      </c>
      <c r="F445">
        <v>172.7599945068359</v>
      </c>
      <c r="G445">
        <v>172.7599945068359</v>
      </c>
      <c r="H445">
        <v>6467000</v>
      </c>
      <c r="I445" t="s">
        <v>1369</v>
      </c>
      <c r="J445" t="s">
        <v>1370</v>
      </c>
      <c r="K445" t="s">
        <v>41</v>
      </c>
    </row>
    <row r="446" spans="1:11" ht="20" customHeight="1">
      <c r="A446" t="s">
        <v>25</v>
      </c>
      <c r="B446" t="s">
        <v>1371</v>
      </c>
      <c r="C446">
        <v>173.4900054931641</v>
      </c>
      <c r="D446">
        <v>173.5200042724609</v>
      </c>
      <c r="E446">
        <v>172.6399993896484</v>
      </c>
      <c r="F446">
        <v>172.8500061035156</v>
      </c>
      <c r="G446">
        <v>172.8500061035156</v>
      </c>
      <c r="H446">
        <v>3847900</v>
      </c>
      <c r="I446" t="s">
        <v>1372</v>
      </c>
      <c r="J446" t="s">
        <v>1373</v>
      </c>
      <c r="K446" t="s">
        <v>41</v>
      </c>
    </row>
    <row r="447" spans="1:11" ht="20" customHeight="1">
      <c r="A447" t="s">
        <v>25</v>
      </c>
      <c r="B447" t="s">
        <v>1374</v>
      </c>
      <c r="C447">
        <v>172.7100067138672</v>
      </c>
      <c r="D447">
        <v>173.0700073242188</v>
      </c>
      <c r="E447">
        <v>171.0800018310547</v>
      </c>
      <c r="F447">
        <v>171.1399993896484</v>
      </c>
      <c r="G447">
        <v>171.1399993896484</v>
      </c>
      <c r="H447">
        <v>6244000</v>
      </c>
      <c r="I447" t="s">
        <v>1375</v>
      </c>
      <c r="J447" t="s">
        <v>1376</v>
      </c>
      <c r="K447" t="s">
        <v>41</v>
      </c>
    </row>
    <row r="448" spans="1:11" ht="20" customHeight="1">
      <c r="A448" t="s">
        <v>25</v>
      </c>
      <c r="B448" t="s">
        <v>1377</v>
      </c>
      <c r="C448">
        <v>172.2100067138672</v>
      </c>
      <c r="D448">
        <v>172.5299987792969</v>
      </c>
      <c r="E448">
        <v>171.3899993896484</v>
      </c>
      <c r="F448">
        <v>172.2299957275391</v>
      </c>
      <c r="G448">
        <v>172.2299957275391</v>
      </c>
      <c r="H448">
        <v>6946500</v>
      </c>
      <c r="I448" t="s">
        <v>1378</v>
      </c>
      <c r="J448" t="s">
        <v>1379</v>
      </c>
      <c r="K448" t="s">
        <v>41</v>
      </c>
    </row>
    <row r="449" spans="1:11" ht="20" customHeight="1">
      <c r="A449" t="s">
        <v>25</v>
      </c>
      <c r="B449" t="s">
        <v>1380</v>
      </c>
      <c r="C449">
        <v>173.6600036621094</v>
      </c>
      <c r="D449">
        <v>174.4499969482422</v>
      </c>
      <c r="E449">
        <v>173.4900054931641</v>
      </c>
      <c r="F449">
        <v>174.3500061035156</v>
      </c>
      <c r="G449">
        <v>174.3500061035156</v>
      </c>
      <c r="H449">
        <v>5623100</v>
      </c>
      <c r="I449" t="s">
        <v>1381</v>
      </c>
      <c r="J449" t="s">
        <v>1382</v>
      </c>
      <c r="K449" t="s">
        <v>41</v>
      </c>
    </row>
    <row r="450" spans="1:11" ht="20" customHeight="1">
      <c r="A450" t="s">
        <v>25</v>
      </c>
      <c r="B450" t="s">
        <v>1383</v>
      </c>
      <c r="C450">
        <v>173.5299987792969</v>
      </c>
      <c r="D450">
        <v>173.9700012207031</v>
      </c>
      <c r="E450">
        <v>172.25</v>
      </c>
      <c r="F450">
        <v>172.5800018310547</v>
      </c>
      <c r="G450">
        <v>172.5800018310547</v>
      </c>
      <c r="H450">
        <v>5519400</v>
      </c>
      <c r="I450" t="s">
        <v>1384</v>
      </c>
      <c r="J450" t="s">
        <v>1385</v>
      </c>
      <c r="K450" t="s">
        <v>41</v>
      </c>
    </row>
    <row r="451" spans="1:11" ht="20" customHeight="1">
      <c r="A451" t="s">
        <v>25</v>
      </c>
      <c r="B451" t="s">
        <v>1386</v>
      </c>
      <c r="C451">
        <v>172.8099975585938</v>
      </c>
      <c r="D451">
        <v>172.8899993896484</v>
      </c>
      <c r="E451">
        <v>171.6499938964844</v>
      </c>
      <c r="F451">
        <v>171.8200073242188</v>
      </c>
      <c r="G451">
        <v>171.8200073242188</v>
      </c>
      <c r="H451">
        <v>3766000</v>
      </c>
      <c r="I451" t="s">
        <v>1387</v>
      </c>
      <c r="J451" t="s">
        <v>1388</v>
      </c>
      <c r="K451" t="s">
        <v>41</v>
      </c>
    </row>
    <row r="452" spans="1:11" ht="20" customHeight="1">
      <c r="A452" t="s">
        <v>25</v>
      </c>
      <c r="B452" t="s">
        <v>1389</v>
      </c>
      <c r="C452">
        <v>172.1100006103516</v>
      </c>
      <c r="D452">
        <v>173.0500030517578</v>
      </c>
      <c r="E452">
        <v>171.9900054931641</v>
      </c>
      <c r="F452">
        <v>172.9400024414062</v>
      </c>
      <c r="G452">
        <v>172.9400024414062</v>
      </c>
      <c r="H452">
        <v>3860000</v>
      </c>
      <c r="I452" t="s">
        <v>1390</v>
      </c>
      <c r="J452" t="s">
        <v>1391</v>
      </c>
      <c r="K452" t="s">
        <v>41</v>
      </c>
    </row>
    <row r="453" spans="1:11" ht="20" customHeight="1">
      <c r="A453" t="s">
        <v>25</v>
      </c>
      <c r="B453" t="s">
        <v>1392</v>
      </c>
      <c r="C453">
        <v>172.8899993896484</v>
      </c>
      <c r="D453">
        <v>173.4499969482422</v>
      </c>
      <c r="E453">
        <v>172.6699981689453</v>
      </c>
      <c r="F453">
        <v>172.7799987792969</v>
      </c>
      <c r="G453">
        <v>172.7799987792969</v>
      </c>
      <c r="H453">
        <v>5140800</v>
      </c>
      <c r="I453" t="s">
        <v>1393</v>
      </c>
      <c r="J453" t="s">
        <v>1394</v>
      </c>
      <c r="K453" t="s">
        <v>41</v>
      </c>
    </row>
    <row r="454" spans="1:11" ht="20" customHeight="1">
      <c r="A454" t="s">
        <v>25</v>
      </c>
      <c r="B454" t="s">
        <v>1395</v>
      </c>
      <c r="C454">
        <v>172.4499969482422</v>
      </c>
      <c r="D454">
        <v>172.5899963378906</v>
      </c>
      <c r="E454">
        <v>171.5800018310547</v>
      </c>
      <c r="F454">
        <v>172.2299957275391</v>
      </c>
      <c r="G454">
        <v>172.2299957275391</v>
      </c>
      <c r="H454">
        <v>4701100</v>
      </c>
      <c r="I454" t="s">
        <v>1396</v>
      </c>
      <c r="J454" t="s">
        <v>1397</v>
      </c>
      <c r="K454" t="s">
        <v>41</v>
      </c>
    </row>
    <row r="455" spans="1:11" ht="20" customHeight="1">
      <c r="A455" t="s">
        <v>25</v>
      </c>
      <c r="B455" t="s">
        <v>1398</v>
      </c>
      <c r="C455">
        <v>170.8899993896484</v>
      </c>
      <c r="D455">
        <v>174.9400024414062</v>
      </c>
      <c r="E455">
        <v>170.4600067138672</v>
      </c>
      <c r="F455">
        <v>174.5399932861328</v>
      </c>
      <c r="G455">
        <v>174.5399932861328</v>
      </c>
      <c r="H455">
        <v>16856100</v>
      </c>
      <c r="I455" t="s">
        <v>1399</v>
      </c>
      <c r="J455" t="s">
        <v>1400</v>
      </c>
      <c r="K455" t="s">
        <v>41</v>
      </c>
    </row>
    <row r="456" spans="1:11" ht="20" customHeight="1">
      <c r="A456" t="s">
        <v>25</v>
      </c>
      <c r="B456" t="s">
        <v>1401</v>
      </c>
      <c r="C456">
        <v>171.1799926757812</v>
      </c>
      <c r="D456">
        <v>171.3399963378906</v>
      </c>
      <c r="E456">
        <v>169.6100006103516</v>
      </c>
      <c r="F456">
        <v>169.9299926757812</v>
      </c>
      <c r="G456">
        <v>169.9299926757812</v>
      </c>
      <c r="H456">
        <v>13265200</v>
      </c>
      <c r="I456" t="s">
        <v>1402</v>
      </c>
      <c r="J456" t="s">
        <v>1403</v>
      </c>
      <c r="K456" t="s">
        <v>41</v>
      </c>
    </row>
    <row r="457" spans="1:11" ht="20" customHeight="1">
      <c r="A457" t="s">
        <v>25</v>
      </c>
      <c r="B457" t="s">
        <v>1404</v>
      </c>
      <c r="C457">
        <v>169.6100006103516</v>
      </c>
      <c r="D457">
        <v>169.7299957275391</v>
      </c>
      <c r="E457">
        <v>168.3000030517578</v>
      </c>
      <c r="F457">
        <v>168.5700073242188</v>
      </c>
      <c r="G457">
        <v>168.5700073242188</v>
      </c>
      <c r="H457">
        <v>7347900</v>
      </c>
      <c r="I457" t="s">
        <v>1405</v>
      </c>
      <c r="J457" t="s">
        <v>1406</v>
      </c>
      <c r="K457" t="s">
        <v>41</v>
      </c>
    </row>
    <row r="458" spans="1:11" ht="20" customHeight="1">
      <c r="A458" t="s">
        <v>25</v>
      </c>
      <c r="B458" t="s">
        <v>1407</v>
      </c>
      <c r="C458">
        <v>170.3999938964844</v>
      </c>
      <c r="D458">
        <v>171.8399963378906</v>
      </c>
      <c r="E458">
        <v>169.0800018310547</v>
      </c>
      <c r="F458">
        <v>170.7700042724609</v>
      </c>
      <c r="G458">
        <v>170.7700042724609</v>
      </c>
      <c r="H458">
        <v>9000300</v>
      </c>
      <c r="I458" t="s">
        <v>1408</v>
      </c>
      <c r="J458" t="s">
        <v>1409</v>
      </c>
      <c r="K458" t="s">
        <v>41</v>
      </c>
    </row>
    <row r="459" spans="1:11" ht="20" customHeight="1">
      <c r="A459" t="s">
        <v>25</v>
      </c>
      <c r="B459" t="s">
        <v>1410</v>
      </c>
      <c r="C459">
        <v>170.5599975585938</v>
      </c>
      <c r="D459">
        <v>172.7700042724609</v>
      </c>
      <c r="E459">
        <v>170.1699981689453</v>
      </c>
      <c r="F459">
        <v>172.6900024414062</v>
      </c>
      <c r="G459">
        <v>172.6900024414062</v>
      </c>
      <c r="H459">
        <v>8823600</v>
      </c>
      <c r="I459" t="s">
        <v>1411</v>
      </c>
      <c r="J459" t="s">
        <v>1412</v>
      </c>
      <c r="K459" t="s">
        <v>41</v>
      </c>
    </row>
    <row r="460" spans="1:11" ht="20" customHeight="1">
      <c r="A460" t="s">
        <v>25</v>
      </c>
      <c r="B460" t="s">
        <v>1413</v>
      </c>
      <c r="C460">
        <v>172.1499938964844</v>
      </c>
      <c r="D460">
        <v>172.3000030517578</v>
      </c>
      <c r="E460">
        <v>170.9700012207031</v>
      </c>
      <c r="F460">
        <v>171.2700042724609</v>
      </c>
      <c r="G460">
        <v>171.2700042724609</v>
      </c>
      <c r="H460">
        <v>7407200</v>
      </c>
      <c r="I460" t="s">
        <v>1414</v>
      </c>
      <c r="J460" t="s">
        <v>1415</v>
      </c>
      <c r="K460" t="s">
        <v>41</v>
      </c>
    </row>
    <row r="461" spans="1:11" ht="20" customHeight="1">
      <c r="A461" t="s">
        <v>25</v>
      </c>
      <c r="B461" t="s">
        <v>1416</v>
      </c>
      <c r="C461">
        <v>171.0599975585938</v>
      </c>
      <c r="D461">
        <v>171.9100036621094</v>
      </c>
      <c r="E461">
        <v>170.4700012207031</v>
      </c>
      <c r="F461">
        <v>170.6300048828125</v>
      </c>
      <c r="G461">
        <v>170.6300048828125</v>
      </c>
      <c r="H461">
        <v>5608500</v>
      </c>
      <c r="I461" t="s">
        <v>1417</v>
      </c>
      <c r="J461" t="s">
        <v>1418</v>
      </c>
      <c r="K461" t="s">
        <v>41</v>
      </c>
    </row>
    <row r="462" spans="1:11" ht="20" customHeight="1">
      <c r="A462" t="s">
        <v>25</v>
      </c>
      <c r="B462" t="s">
        <v>1419</v>
      </c>
      <c r="C462">
        <v>171.6100006103516</v>
      </c>
      <c r="D462">
        <v>172.3000030517578</v>
      </c>
      <c r="E462">
        <v>171.1000061035156</v>
      </c>
      <c r="F462">
        <v>171.3099975585938</v>
      </c>
      <c r="G462">
        <v>171.3099975585938</v>
      </c>
      <c r="H462">
        <v>6558700</v>
      </c>
      <c r="I462" t="s">
        <v>1420</v>
      </c>
      <c r="J462" t="s">
        <v>1421</v>
      </c>
      <c r="K462" t="s">
        <v>41</v>
      </c>
    </row>
    <row r="463" spans="1:11" ht="20" customHeight="1">
      <c r="A463" t="s">
        <v>25</v>
      </c>
      <c r="B463" t="s">
        <v>1422</v>
      </c>
      <c r="C463">
        <v>171.3899993896484</v>
      </c>
      <c r="D463">
        <v>172.1300048828125</v>
      </c>
      <c r="E463">
        <v>169.8999938964844</v>
      </c>
      <c r="F463">
        <v>170.2599945068359</v>
      </c>
      <c r="G463">
        <v>170.2599945068359</v>
      </c>
      <c r="H463">
        <v>6535300</v>
      </c>
      <c r="I463" t="s">
        <v>1423</v>
      </c>
      <c r="J463" t="s">
        <v>1424</v>
      </c>
      <c r="K463" t="s">
        <v>41</v>
      </c>
    </row>
    <row r="464" spans="1:11" ht="20" customHeight="1">
      <c r="A464" t="s">
        <v>25</v>
      </c>
      <c r="B464" t="s">
        <v>1425</v>
      </c>
      <c r="C464">
        <v>170.2400054931641</v>
      </c>
      <c r="D464">
        <v>170.7400054931641</v>
      </c>
      <c r="E464">
        <v>169.8500061035156</v>
      </c>
      <c r="F464">
        <v>170.0899963378906</v>
      </c>
      <c r="G464">
        <v>170.0899963378906</v>
      </c>
      <c r="H464">
        <v>6143100</v>
      </c>
      <c r="I464" t="s">
        <v>1426</v>
      </c>
      <c r="J464" t="s">
        <v>1427</v>
      </c>
      <c r="K464" t="s">
        <v>41</v>
      </c>
    </row>
    <row r="465" spans="1:11" ht="20" customHeight="1">
      <c r="A465" t="s">
        <v>25</v>
      </c>
      <c r="B465" t="s">
        <v>1428</v>
      </c>
      <c r="C465">
        <v>170.6000061035156</v>
      </c>
      <c r="D465">
        <v>170.6699981689453</v>
      </c>
      <c r="E465">
        <v>169.75</v>
      </c>
      <c r="F465">
        <v>169.8999938964844</v>
      </c>
      <c r="G465">
        <v>169.8999938964844</v>
      </c>
      <c r="H465">
        <v>5719700</v>
      </c>
      <c r="I465" t="s">
        <v>1429</v>
      </c>
      <c r="J465" t="s">
        <v>1430</v>
      </c>
      <c r="K465" t="s">
        <v>41</v>
      </c>
    </row>
    <row r="466" spans="1:11" ht="20" customHeight="1">
      <c r="A466" t="s">
        <v>25</v>
      </c>
      <c r="B466" t="s">
        <v>1431</v>
      </c>
      <c r="C466">
        <v>170.0700073242188</v>
      </c>
      <c r="D466">
        <v>170.2100067138672</v>
      </c>
      <c r="E466">
        <v>169.5099945068359</v>
      </c>
      <c r="F466">
        <v>169.6199951171875</v>
      </c>
      <c r="G466">
        <v>169.6199951171875</v>
      </c>
      <c r="H466">
        <v>2982700</v>
      </c>
      <c r="I466" t="s">
        <v>1432</v>
      </c>
      <c r="J466" t="s">
        <v>1433</v>
      </c>
      <c r="K466" t="s">
        <v>41</v>
      </c>
    </row>
    <row r="467" spans="1:11" ht="20" customHeight="1">
      <c r="A467" t="s">
        <v>25</v>
      </c>
      <c r="B467" t="s">
        <v>1434</v>
      </c>
      <c r="C467">
        <v>170.5800018310547</v>
      </c>
      <c r="D467">
        <v>170.6999969482422</v>
      </c>
      <c r="E467">
        <v>169.1699981689453</v>
      </c>
      <c r="F467">
        <v>169.4900054931641</v>
      </c>
      <c r="G467">
        <v>169.4900054931641</v>
      </c>
      <c r="H467">
        <v>4785600</v>
      </c>
      <c r="I467" t="s">
        <v>1435</v>
      </c>
      <c r="J467" t="s">
        <v>1436</v>
      </c>
      <c r="K467" t="s">
        <v>41</v>
      </c>
    </row>
    <row r="468" spans="1:11" ht="20" customHeight="1">
      <c r="A468" t="s">
        <v>25</v>
      </c>
      <c r="B468" t="s">
        <v>1437</v>
      </c>
      <c r="C468">
        <v>169.5099945068359</v>
      </c>
      <c r="D468">
        <v>169.9600067138672</v>
      </c>
      <c r="E468">
        <v>168.2400054931641</v>
      </c>
      <c r="F468">
        <v>168.4600067138672</v>
      </c>
      <c r="G468">
        <v>168.4600067138672</v>
      </c>
      <c r="H468">
        <v>9144400</v>
      </c>
      <c r="I468" t="s">
        <v>1438</v>
      </c>
      <c r="J468" t="s">
        <v>1439</v>
      </c>
      <c r="K468" t="s">
        <v>41</v>
      </c>
    </row>
    <row r="469" spans="1:11" ht="20" customHeight="1">
      <c r="A469" t="s">
        <v>25</v>
      </c>
      <c r="B469" t="s">
        <v>1440</v>
      </c>
      <c r="C469">
        <v>167.1399993896484</v>
      </c>
      <c r="D469">
        <v>168.6799926757812</v>
      </c>
      <c r="E469">
        <v>166.9600067138672</v>
      </c>
      <c r="F469">
        <v>168.3200073242188</v>
      </c>
      <c r="G469">
        <v>168.3200073242188</v>
      </c>
      <c r="H469">
        <v>11380300</v>
      </c>
      <c r="I469" t="s">
        <v>1441</v>
      </c>
      <c r="J469" t="s">
        <v>1442</v>
      </c>
      <c r="K469" t="s">
        <v>41</v>
      </c>
    </row>
    <row r="470" spans="1:11" ht="20" customHeight="1">
      <c r="A470" t="s">
        <v>25</v>
      </c>
      <c r="B470" t="s">
        <v>1443</v>
      </c>
      <c r="C470">
        <v>167.1799926757812</v>
      </c>
      <c r="D470">
        <v>167.3300018310547</v>
      </c>
      <c r="E470">
        <v>164.4100036621094</v>
      </c>
      <c r="F470">
        <v>164.75</v>
      </c>
      <c r="G470">
        <v>164.75</v>
      </c>
      <c r="H470">
        <v>14035400</v>
      </c>
      <c r="I470" t="s">
        <v>1444</v>
      </c>
      <c r="J470" t="s">
        <v>1445</v>
      </c>
      <c r="K470" t="s">
        <v>41</v>
      </c>
    </row>
    <row r="471" spans="1:11" ht="20" customHeight="1">
      <c r="A471" t="s">
        <v>25</v>
      </c>
      <c r="B471" t="s">
        <v>1446</v>
      </c>
      <c r="C471">
        <v>164.3200073242188</v>
      </c>
      <c r="D471">
        <v>164.5700073242188</v>
      </c>
      <c r="E471">
        <v>161.4700012207031</v>
      </c>
      <c r="F471">
        <v>162.1399993896484</v>
      </c>
      <c r="G471">
        <v>162.1399993896484</v>
      </c>
      <c r="H471">
        <v>11861100</v>
      </c>
      <c r="I471" t="s">
        <v>1447</v>
      </c>
      <c r="J471" t="s">
        <v>1448</v>
      </c>
      <c r="K471" t="s">
        <v>41</v>
      </c>
    </row>
    <row r="472" spans="1:11" ht="20" customHeight="1">
      <c r="A472" t="s">
        <v>25</v>
      </c>
      <c r="B472" t="s">
        <v>1449</v>
      </c>
      <c r="C472">
        <v>162.4299926757812</v>
      </c>
      <c r="D472">
        <v>163.0399932861328</v>
      </c>
      <c r="E472">
        <v>162.0599975585938</v>
      </c>
      <c r="F472">
        <v>162.2299957275391</v>
      </c>
      <c r="G472">
        <v>162.2299957275391</v>
      </c>
      <c r="H472">
        <v>4588400</v>
      </c>
      <c r="I472" t="s">
        <v>1450</v>
      </c>
      <c r="J472" t="s">
        <v>1451</v>
      </c>
      <c r="K472" t="s">
        <v>41</v>
      </c>
    </row>
    <row r="473" spans="1:11" ht="20" customHeight="1">
      <c r="A473" t="s">
        <v>25</v>
      </c>
      <c r="B473" t="s">
        <v>1452</v>
      </c>
      <c r="C473">
        <v>162.3500061035156</v>
      </c>
      <c r="D473">
        <v>163.3800048828125</v>
      </c>
      <c r="E473">
        <v>161.8399963378906</v>
      </c>
      <c r="F473">
        <v>162.3000030517578</v>
      </c>
      <c r="G473">
        <v>162.3000030517578</v>
      </c>
      <c r="H473">
        <v>4584100</v>
      </c>
      <c r="I473" t="s">
        <v>1453</v>
      </c>
      <c r="J473" t="s">
        <v>1454</v>
      </c>
      <c r="K473" t="s">
        <v>41</v>
      </c>
    </row>
    <row r="474" spans="1:11" ht="20" customHeight="1">
      <c r="A474" t="s">
        <v>25</v>
      </c>
      <c r="B474" t="s">
        <v>1455</v>
      </c>
      <c r="C474">
        <v>161.9299926757812</v>
      </c>
      <c r="D474">
        <v>162.4400024414062</v>
      </c>
      <c r="E474">
        <v>161.3800048828125</v>
      </c>
      <c r="F474">
        <v>161.4299926757812</v>
      </c>
      <c r="G474">
        <v>161.4299926757812</v>
      </c>
      <c r="H474">
        <v>4321700</v>
      </c>
      <c r="I474" t="s">
        <v>1456</v>
      </c>
      <c r="J474" t="s">
        <v>1457</v>
      </c>
      <c r="K474" t="s">
        <v>41</v>
      </c>
    </row>
    <row r="475" spans="1:11" ht="20" customHeight="1">
      <c r="A475" t="s">
        <v>25</v>
      </c>
      <c r="B475" t="s">
        <v>1458</v>
      </c>
      <c r="C475">
        <v>161.2200012207031</v>
      </c>
      <c r="D475">
        <v>161.6199951171875</v>
      </c>
      <c r="E475">
        <v>160.7200012207031</v>
      </c>
      <c r="F475">
        <v>160.8300018310547</v>
      </c>
      <c r="G475">
        <v>160.8300018310547</v>
      </c>
      <c r="H475">
        <v>5375100</v>
      </c>
      <c r="I475" t="s">
        <v>1459</v>
      </c>
      <c r="J475" t="s">
        <v>1460</v>
      </c>
      <c r="K475" t="s">
        <v>41</v>
      </c>
    </row>
    <row r="476" spans="1:11" ht="20" customHeight="1">
      <c r="A476" t="s">
        <v>25</v>
      </c>
      <c r="B476" t="s">
        <v>1461</v>
      </c>
      <c r="C476">
        <v>160.1000061035156</v>
      </c>
      <c r="D476">
        <v>162.7100067138672</v>
      </c>
      <c r="E476">
        <v>160.0599975585938</v>
      </c>
      <c r="F476">
        <v>161.6000061035156</v>
      </c>
      <c r="G476">
        <v>161.6000061035156</v>
      </c>
      <c r="H476">
        <v>8456600</v>
      </c>
      <c r="I476" t="s">
        <v>1462</v>
      </c>
      <c r="J476" t="s">
        <v>1463</v>
      </c>
      <c r="K476" t="s">
        <v>41</v>
      </c>
    </row>
    <row r="477" spans="1:11" ht="20" customHeight="1">
      <c r="A477" t="s">
        <v>25</v>
      </c>
      <c r="B477" t="s">
        <v>1464</v>
      </c>
      <c r="C477">
        <v>159.0200042724609</v>
      </c>
      <c r="D477">
        <v>159.8300018310547</v>
      </c>
      <c r="E477">
        <v>158.2200012207031</v>
      </c>
      <c r="F477">
        <v>159.3300018310547</v>
      </c>
      <c r="G477">
        <v>159.3300018310547</v>
      </c>
      <c r="H477">
        <v>12213600</v>
      </c>
      <c r="I477" t="s">
        <v>1465</v>
      </c>
      <c r="J477" t="s">
        <v>1466</v>
      </c>
      <c r="K477" t="s">
        <v>41</v>
      </c>
    </row>
    <row r="478" spans="1:11" ht="20" customHeight="1">
      <c r="A478" t="s">
        <v>25</v>
      </c>
      <c r="B478" t="s">
        <v>1467</v>
      </c>
      <c r="C478">
        <v>159.0099945068359</v>
      </c>
      <c r="D478">
        <v>159.25</v>
      </c>
      <c r="E478">
        <v>158.3500061035156</v>
      </c>
      <c r="F478">
        <v>159.0099945068359</v>
      </c>
      <c r="G478">
        <v>159.0099945068359</v>
      </c>
      <c r="H478">
        <v>6783800</v>
      </c>
      <c r="I478" t="s">
        <v>1468</v>
      </c>
      <c r="J478" t="s">
        <v>1469</v>
      </c>
      <c r="K478" t="s">
        <v>41</v>
      </c>
    </row>
    <row r="479" spans="1:11" ht="20" customHeight="1">
      <c r="A479" t="s">
        <v>25</v>
      </c>
      <c r="B479" t="s">
        <v>1470</v>
      </c>
      <c r="C479">
        <v>160.0800018310547</v>
      </c>
      <c r="D479">
        <v>160.4299926757812</v>
      </c>
      <c r="E479">
        <v>159.0500030517578</v>
      </c>
      <c r="F479">
        <v>159.1600036621094</v>
      </c>
      <c r="G479">
        <v>159.1600036621094</v>
      </c>
      <c r="H479">
        <v>5791800</v>
      </c>
      <c r="I479" t="s">
        <v>1471</v>
      </c>
      <c r="J479" t="s">
        <v>1472</v>
      </c>
      <c r="K479" t="s">
        <v>41</v>
      </c>
    </row>
    <row r="480" spans="1:11" ht="20" customHeight="1">
      <c r="A480" t="s">
        <v>25</v>
      </c>
      <c r="B480" t="s">
        <v>1473</v>
      </c>
      <c r="C480">
        <v>159.4700012207031</v>
      </c>
      <c r="D480">
        <v>159.8699951171875</v>
      </c>
      <c r="E480">
        <v>159.3300018310547</v>
      </c>
      <c r="F480">
        <v>159.5399932861328</v>
      </c>
      <c r="G480">
        <v>159.5399932861328</v>
      </c>
      <c r="H480">
        <v>3796200</v>
      </c>
      <c r="I480" t="s">
        <v>1474</v>
      </c>
      <c r="J480" t="s">
        <v>1475</v>
      </c>
      <c r="K480" t="s">
        <v>41</v>
      </c>
    </row>
    <row r="481" spans="1:11" ht="20" customHeight="1">
      <c r="A481" t="s">
        <v>25</v>
      </c>
      <c r="B481" t="s">
        <v>1476</v>
      </c>
      <c r="C481">
        <v>159.7100067138672</v>
      </c>
      <c r="D481">
        <v>159.8200073242188</v>
      </c>
      <c r="E481">
        <v>158.0299987792969</v>
      </c>
      <c r="F481">
        <v>158.0399932861328</v>
      </c>
      <c r="G481">
        <v>158.0399932861328</v>
      </c>
      <c r="H481">
        <v>4795800</v>
      </c>
      <c r="I481" t="s">
        <v>1477</v>
      </c>
      <c r="J481" t="s">
        <v>1478</v>
      </c>
      <c r="K481" t="s">
        <v>41</v>
      </c>
    </row>
    <row r="482" spans="1:11" ht="20" customHeight="1">
      <c r="A482" t="s">
        <v>25</v>
      </c>
      <c r="B482" t="s">
        <v>1479</v>
      </c>
      <c r="C482">
        <v>158.3099975585938</v>
      </c>
      <c r="D482">
        <v>160.3099975585938</v>
      </c>
      <c r="E482">
        <v>158.2700042724609</v>
      </c>
      <c r="F482">
        <v>160.2700042724609</v>
      </c>
      <c r="G482">
        <v>160.2700042724609</v>
      </c>
      <c r="H482">
        <v>5863300</v>
      </c>
      <c r="I482" t="s">
        <v>1480</v>
      </c>
      <c r="J482" t="s">
        <v>1481</v>
      </c>
      <c r="K482" t="s">
        <v>41</v>
      </c>
    </row>
    <row r="483" spans="1:11" ht="20" customHeight="1">
      <c r="A483" t="s">
        <v>25</v>
      </c>
      <c r="B483" t="s">
        <v>1482</v>
      </c>
      <c r="C483">
        <v>160.5500030517578</v>
      </c>
      <c r="D483">
        <v>162.1300048828125</v>
      </c>
      <c r="E483">
        <v>160.3500061035156</v>
      </c>
      <c r="F483">
        <v>160.6699981689453</v>
      </c>
      <c r="G483">
        <v>160.6699981689453</v>
      </c>
      <c r="H483">
        <v>5733800</v>
      </c>
      <c r="I483" t="s">
        <v>1483</v>
      </c>
      <c r="J483" t="s">
        <v>1484</v>
      </c>
      <c r="K483" t="s">
        <v>41</v>
      </c>
    </row>
    <row r="484" spans="1:11" ht="20" customHeight="1">
      <c r="A484" t="s">
        <v>25</v>
      </c>
      <c r="B484" t="s">
        <v>1485</v>
      </c>
      <c r="C484">
        <v>160.6399993896484</v>
      </c>
      <c r="D484">
        <v>160.6999969482422</v>
      </c>
      <c r="E484">
        <v>159.8099975585938</v>
      </c>
      <c r="F484">
        <v>160.2299957275391</v>
      </c>
      <c r="G484">
        <v>160.2299957275391</v>
      </c>
      <c r="H484">
        <v>3713400</v>
      </c>
      <c r="I484" t="s">
        <v>1486</v>
      </c>
      <c r="J484" t="s">
        <v>1487</v>
      </c>
      <c r="K484" t="s">
        <v>41</v>
      </c>
    </row>
    <row r="485" spans="1:11" ht="20" customHeight="1">
      <c r="A485" t="s">
        <v>25</v>
      </c>
      <c r="B485" t="s">
        <v>1488</v>
      </c>
      <c r="C485">
        <v>160.2299957275391</v>
      </c>
      <c r="D485">
        <v>160.5</v>
      </c>
      <c r="E485">
        <v>159.7899932861328</v>
      </c>
      <c r="F485">
        <v>160.0399932861328</v>
      </c>
      <c r="G485">
        <v>160.0399932861328</v>
      </c>
      <c r="H485">
        <v>2672800</v>
      </c>
      <c r="I485" t="s">
        <v>1489</v>
      </c>
      <c r="J485" t="s">
        <v>1490</v>
      </c>
      <c r="K485" t="s">
        <v>41</v>
      </c>
    </row>
    <row r="486" spans="1:11" ht="20" customHeight="1">
      <c r="A486" t="s">
        <v>25</v>
      </c>
      <c r="B486" t="s">
        <v>1491</v>
      </c>
      <c r="C486">
        <v>160.0200042724609</v>
      </c>
      <c r="D486">
        <v>162.2100067138672</v>
      </c>
      <c r="E486">
        <v>159.5099945068359</v>
      </c>
      <c r="F486">
        <v>161.6699981689453</v>
      </c>
      <c r="G486">
        <v>161.6699981689453</v>
      </c>
      <c r="H486">
        <v>5766100</v>
      </c>
      <c r="I486" t="s">
        <v>1492</v>
      </c>
      <c r="J486" t="s">
        <v>1493</v>
      </c>
      <c r="K486" t="s">
        <v>41</v>
      </c>
    </row>
    <row r="487" spans="1:11" ht="20" customHeight="1">
      <c r="A487" t="s">
        <v>25</v>
      </c>
      <c r="B487" t="s">
        <v>1494</v>
      </c>
      <c r="C487">
        <v>163.3099975585938</v>
      </c>
      <c r="D487">
        <v>163.7599945068359</v>
      </c>
      <c r="E487">
        <v>162.8800048828125</v>
      </c>
      <c r="F487">
        <v>163.6399993896484</v>
      </c>
      <c r="G487">
        <v>163.6399993896484</v>
      </c>
      <c r="H487">
        <v>5606400</v>
      </c>
      <c r="I487" t="s">
        <v>1495</v>
      </c>
      <c r="J487" t="s">
        <v>1496</v>
      </c>
      <c r="K487" t="s">
        <v>41</v>
      </c>
    </row>
    <row r="488" spans="1:11" ht="20" customHeight="1">
      <c r="A488" t="s">
        <v>25</v>
      </c>
      <c r="B488" t="s">
        <v>1497</v>
      </c>
      <c r="C488">
        <v>163.8899993896484</v>
      </c>
      <c r="D488">
        <v>164.6900024414062</v>
      </c>
      <c r="E488">
        <v>163.2799987792969</v>
      </c>
      <c r="F488">
        <v>164.1000061035156</v>
      </c>
      <c r="G488">
        <v>164.1000061035156</v>
      </c>
      <c r="H488">
        <v>7537300</v>
      </c>
      <c r="I488" t="s">
        <v>1498</v>
      </c>
      <c r="J488" t="s">
        <v>1499</v>
      </c>
      <c r="K488" t="s">
        <v>41</v>
      </c>
    </row>
    <row r="489" spans="1:11" ht="20" customHeight="1">
      <c r="A489" t="s">
        <v>25</v>
      </c>
      <c r="B489" t="s">
        <v>1500</v>
      </c>
      <c r="C489">
        <v>164.9799957275391</v>
      </c>
      <c r="D489">
        <v>165.4100036621094</v>
      </c>
      <c r="E489">
        <v>164.4100036621094</v>
      </c>
      <c r="F489">
        <v>165.0299987792969</v>
      </c>
      <c r="G489">
        <v>165.0299987792969</v>
      </c>
      <c r="H489">
        <v>4666900</v>
      </c>
      <c r="I489" t="s">
        <v>1501</v>
      </c>
      <c r="J489" t="s">
        <v>1502</v>
      </c>
      <c r="K489" t="s">
        <v>41</v>
      </c>
    </row>
    <row r="490" spans="1:11" ht="20" customHeight="1">
      <c r="A490" t="s">
        <v>25</v>
      </c>
      <c r="B490" t="s">
        <v>1503</v>
      </c>
      <c r="C490">
        <v>165.6600036621094</v>
      </c>
      <c r="D490">
        <v>166.4600067138672</v>
      </c>
      <c r="E490">
        <v>164.0200042724609</v>
      </c>
      <c r="F490">
        <v>164.0500030517578</v>
      </c>
      <c r="G490">
        <v>164.0500030517578</v>
      </c>
      <c r="H490">
        <v>5725400</v>
      </c>
      <c r="I490" t="s">
        <v>1504</v>
      </c>
      <c r="J490" t="s">
        <v>1505</v>
      </c>
      <c r="K490" t="s">
        <v>41</v>
      </c>
    </row>
    <row r="491" spans="1:11" ht="20" customHeight="1">
      <c r="A491" t="s">
        <v>25</v>
      </c>
      <c r="B491" t="s">
        <v>1506</v>
      </c>
      <c r="C491">
        <v>164.7700042724609</v>
      </c>
      <c r="D491">
        <v>164.9100036621094</v>
      </c>
      <c r="E491">
        <v>163.4799957275391</v>
      </c>
      <c r="F491">
        <v>164.4499969482422</v>
      </c>
      <c r="G491">
        <v>164.4499969482422</v>
      </c>
      <c r="H491">
        <v>4417800</v>
      </c>
      <c r="I491" t="s">
        <v>1507</v>
      </c>
      <c r="J491" t="s">
        <v>1508</v>
      </c>
      <c r="K491" t="s">
        <v>41</v>
      </c>
    </row>
    <row r="492" spans="1:11" ht="20" customHeight="1">
      <c r="A492" t="s">
        <v>25</v>
      </c>
      <c r="B492" t="s">
        <v>1509</v>
      </c>
      <c r="C492">
        <v>165.5299987792969</v>
      </c>
      <c r="D492">
        <v>167.3099975585938</v>
      </c>
      <c r="E492">
        <v>165.3399963378906</v>
      </c>
      <c r="F492">
        <v>167.1699981689453</v>
      </c>
      <c r="G492">
        <v>167.1699981689453</v>
      </c>
      <c r="H492">
        <v>5502000</v>
      </c>
      <c r="I492" t="s">
        <v>1510</v>
      </c>
      <c r="J492" t="s">
        <v>1511</v>
      </c>
      <c r="K492" t="s">
        <v>41</v>
      </c>
    </row>
    <row r="493" spans="1:11" ht="20" customHeight="1">
      <c r="A493" t="s">
        <v>25</v>
      </c>
      <c r="B493" t="s">
        <v>1512</v>
      </c>
      <c r="C493">
        <v>164.9900054931641</v>
      </c>
      <c r="D493">
        <v>165.8399963378906</v>
      </c>
      <c r="E493">
        <v>164.8699951171875</v>
      </c>
      <c r="F493">
        <v>165.2899932861328</v>
      </c>
      <c r="G493">
        <v>165.2899932861328</v>
      </c>
      <c r="H493">
        <v>6023300</v>
      </c>
      <c r="I493" t="s">
        <v>1513</v>
      </c>
      <c r="J493" t="s">
        <v>1514</v>
      </c>
      <c r="K493" t="s">
        <v>41</v>
      </c>
    </row>
    <row r="494" spans="1:11" ht="20" customHeight="1">
      <c r="A494" t="s">
        <v>25</v>
      </c>
      <c r="B494" t="s">
        <v>1515</v>
      </c>
      <c r="C494">
        <v>166.0299987792969</v>
      </c>
      <c r="D494">
        <v>166.8099975585938</v>
      </c>
      <c r="E494">
        <v>165.9299926757812</v>
      </c>
      <c r="F494">
        <v>166.6900024414062</v>
      </c>
      <c r="G494">
        <v>166.6900024414062</v>
      </c>
      <c r="H494">
        <v>3456300</v>
      </c>
      <c r="I494" t="s">
        <v>1516</v>
      </c>
      <c r="J494" t="s">
        <v>1517</v>
      </c>
      <c r="K494" t="s">
        <v>41</v>
      </c>
    </row>
    <row r="495" spans="1:11" ht="20" customHeight="1">
      <c r="A495" t="s">
        <v>25</v>
      </c>
      <c r="B495" t="s">
        <v>1518</v>
      </c>
      <c r="C495">
        <v>167.4799957275391</v>
      </c>
      <c r="D495">
        <v>167.8000030517578</v>
      </c>
      <c r="E495">
        <v>166.8200073242188</v>
      </c>
      <c r="F495">
        <v>167.1999969482422</v>
      </c>
      <c r="G495">
        <v>167.1999969482422</v>
      </c>
      <c r="H495">
        <v>3205500</v>
      </c>
      <c r="I495" t="s">
        <v>1519</v>
      </c>
      <c r="J495" t="s">
        <v>1520</v>
      </c>
      <c r="K495" t="s">
        <v>41</v>
      </c>
    </row>
    <row r="496" spans="1:11" ht="20" customHeight="1">
      <c r="A496" t="s">
        <v>25</v>
      </c>
      <c r="B496" t="s">
        <v>1521</v>
      </c>
      <c r="C496">
        <v>167.3899993896484</v>
      </c>
      <c r="D496">
        <v>167.9799957275391</v>
      </c>
      <c r="E496">
        <v>166.6199951171875</v>
      </c>
      <c r="F496">
        <v>166.7799987792969</v>
      </c>
      <c r="G496">
        <v>166.7799987792969</v>
      </c>
      <c r="H496">
        <v>4077300</v>
      </c>
      <c r="I496" t="s">
        <v>1522</v>
      </c>
      <c r="J496" t="s">
        <v>1523</v>
      </c>
      <c r="K496" t="s">
        <v>41</v>
      </c>
    </row>
    <row r="497" spans="1:11" ht="20" customHeight="1">
      <c r="A497" t="s">
        <v>25</v>
      </c>
      <c r="B497" t="s">
        <v>1524</v>
      </c>
      <c r="C497">
        <v>167.1600036621094</v>
      </c>
      <c r="D497">
        <v>167.6600036621094</v>
      </c>
      <c r="E497">
        <v>166.3099975585938</v>
      </c>
      <c r="F497">
        <v>166.3399963378906</v>
      </c>
      <c r="G497">
        <v>166.3399963378906</v>
      </c>
      <c r="H497">
        <v>4446000</v>
      </c>
      <c r="I497" t="s">
        <v>1525</v>
      </c>
      <c r="J497" t="s">
        <v>1526</v>
      </c>
      <c r="K497" t="s">
        <v>41</v>
      </c>
    </row>
    <row r="498" spans="1:11" ht="20" customHeight="1">
      <c r="A498" t="s">
        <v>25</v>
      </c>
      <c r="B498" t="s">
        <v>1527</v>
      </c>
      <c r="C498">
        <v>167.1699981689453</v>
      </c>
      <c r="D498">
        <v>167.9400024414062</v>
      </c>
      <c r="E498">
        <v>166.8300018310547</v>
      </c>
      <c r="F498">
        <v>167.8699951171875</v>
      </c>
      <c r="G498">
        <v>167.8699951171875</v>
      </c>
      <c r="H498">
        <v>5151700</v>
      </c>
      <c r="I498" t="s">
        <v>1528</v>
      </c>
      <c r="J498" t="s">
        <v>1529</v>
      </c>
      <c r="K498" t="s">
        <v>41</v>
      </c>
    </row>
    <row r="499" spans="1:11" ht="20" customHeight="1">
      <c r="A499" t="s">
        <v>25</v>
      </c>
      <c r="B499" t="s">
        <v>1530</v>
      </c>
      <c r="C499">
        <v>165.9900054931641</v>
      </c>
      <c r="D499">
        <v>166.25</v>
      </c>
      <c r="E499">
        <v>165.4400024414062</v>
      </c>
      <c r="F499">
        <v>165.7100067138672</v>
      </c>
      <c r="G499">
        <v>165.7100067138672</v>
      </c>
      <c r="H499">
        <v>5236100</v>
      </c>
      <c r="I499" t="s">
        <v>1531</v>
      </c>
      <c r="J499" t="s">
        <v>1532</v>
      </c>
      <c r="K499" t="s">
        <v>41</v>
      </c>
    </row>
    <row r="500" spans="1:11" ht="20" customHeight="1">
      <c r="A500" t="s">
        <v>25</v>
      </c>
      <c r="B500" t="s">
        <v>1533</v>
      </c>
      <c r="C500">
        <v>165.3099975585938</v>
      </c>
      <c r="D500">
        <v>165.7200012207031</v>
      </c>
      <c r="E500">
        <v>165.1799926757812</v>
      </c>
      <c r="F500">
        <v>165.4199981689453</v>
      </c>
      <c r="G500">
        <v>165.4199981689453</v>
      </c>
      <c r="H500">
        <v>4291500</v>
      </c>
      <c r="I500" t="s">
        <v>1534</v>
      </c>
      <c r="J500" t="s">
        <v>1535</v>
      </c>
      <c r="K500" t="s">
        <v>41</v>
      </c>
    </row>
    <row r="501" spans="1:11" ht="20" customHeight="1">
      <c r="A501" t="s">
        <v>25</v>
      </c>
      <c r="B501" t="s">
        <v>1536</v>
      </c>
      <c r="C501">
        <v>165.2100067138672</v>
      </c>
      <c r="D501">
        <v>165.2299957275391</v>
      </c>
      <c r="E501">
        <v>163.9499969482422</v>
      </c>
      <c r="F501">
        <v>164.3500061035156</v>
      </c>
      <c r="G501">
        <v>164.3500061035156</v>
      </c>
      <c r="H501">
        <v>5569100</v>
      </c>
      <c r="I501" t="s">
        <v>1537</v>
      </c>
      <c r="J501" t="s">
        <v>1538</v>
      </c>
      <c r="K501" t="s">
        <v>41</v>
      </c>
    </row>
    <row r="502" spans="1:11" ht="20" customHeight="1">
      <c r="A502" t="s">
        <v>25</v>
      </c>
      <c r="B502" t="s">
        <v>1539</v>
      </c>
      <c r="C502">
        <v>164.6000061035156</v>
      </c>
      <c r="D502">
        <v>164.9100036621094</v>
      </c>
      <c r="E502">
        <v>163.5399932861328</v>
      </c>
      <c r="F502">
        <v>163.9199981689453</v>
      </c>
      <c r="G502">
        <v>163.9199981689453</v>
      </c>
      <c r="H502">
        <v>3646100</v>
      </c>
      <c r="I502" t="s">
        <v>1540</v>
      </c>
      <c r="J502" t="s">
        <v>1541</v>
      </c>
      <c r="K502" t="s">
        <v>41</v>
      </c>
    </row>
    <row r="503" spans="1:11" ht="20" customHeight="1">
      <c r="A503" t="s">
        <v>25</v>
      </c>
      <c r="B503" t="s">
        <v>1542</v>
      </c>
      <c r="C503">
        <v>163.6499938964844</v>
      </c>
      <c r="D503">
        <v>163.7400054931641</v>
      </c>
      <c r="E503">
        <v>162.6199951171875</v>
      </c>
      <c r="F503">
        <v>162.7200012207031</v>
      </c>
      <c r="G503">
        <v>162.7200012207031</v>
      </c>
      <c r="H503">
        <v>8173000</v>
      </c>
      <c r="I503" t="s">
        <v>1543</v>
      </c>
      <c r="J503" t="s">
        <v>1544</v>
      </c>
      <c r="K503" t="s">
        <v>41</v>
      </c>
    </row>
    <row r="504" spans="1:11" ht="20" customHeight="1">
      <c r="A504" t="s">
        <v>25</v>
      </c>
      <c r="B504" t="s">
        <v>1545</v>
      </c>
      <c r="C504">
        <v>161.6600036621094</v>
      </c>
      <c r="D504">
        <v>162.1199951171875</v>
      </c>
      <c r="E504">
        <v>161.3600006103516</v>
      </c>
      <c r="F504">
        <v>161.6399993896484</v>
      </c>
      <c r="G504">
        <v>161.6399993896484</v>
      </c>
      <c r="H504">
        <v>4458100</v>
      </c>
      <c r="I504" t="s">
        <v>1546</v>
      </c>
      <c r="J504" t="s">
        <v>1547</v>
      </c>
      <c r="K504" t="s">
        <v>41</v>
      </c>
    </row>
    <row r="505" spans="1:11" ht="20" customHeight="1">
      <c r="A505" t="s">
        <v>25</v>
      </c>
      <c r="B505" t="s">
        <v>1548</v>
      </c>
      <c r="C505">
        <v>161.9600067138672</v>
      </c>
      <c r="D505">
        <v>163.4299926757812</v>
      </c>
      <c r="E505">
        <v>161.9100036621094</v>
      </c>
      <c r="F505">
        <v>162.7700042724609</v>
      </c>
      <c r="G505">
        <v>162.7700042724609</v>
      </c>
      <c r="H505">
        <v>4425100</v>
      </c>
      <c r="I505" t="s">
        <v>1549</v>
      </c>
      <c r="J505" t="s">
        <v>1550</v>
      </c>
      <c r="K505" t="s">
        <v>41</v>
      </c>
    </row>
    <row r="506" spans="1:11" ht="20" customHeight="1">
      <c r="A506" t="s">
        <v>25</v>
      </c>
      <c r="B506" t="s">
        <v>1551</v>
      </c>
      <c r="C506">
        <v>162.4400024414062</v>
      </c>
      <c r="D506">
        <v>163.6100006103516</v>
      </c>
      <c r="E506">
        <v>162.3699951171875</v>
      </c>
      <c r="F506">
        <v>163.25</v>
      </c>
      <c r="G506">
        <v>163.25</v>
      </c>
      <c r="H506">
        <v>3202400</v>
      </c>
      <c r="I506" t="s">
        <v>1552</v>
      </c>
      <c r="J506" t="s">
        <v>1553</v>
      </c>
      <c r="K506" t="s">
        <v>41</v>
      </c>
    </row>
    <row r="507" spans="1:11" ht="20" customHeight="1">
      <c r="A507" t="s">
        <v>25</v>
      </c>
      <c r="B507" t="s">
        <v>1554</v>
      </c>
      <c r="C507">
        <v>163.9700012207031</v>
      </c>
      <c r="D507">
        <v>163.9900054931641</v>
      </c>
      <c r="E507">
        <v>163.2400054931641</v>
      </c>
      <c r="F507">
        <v>163.75</v>
      </c>
      <c r="G507">
        <v>163.75</v>
      </c>
      <c r="H507">
        <v>2857500</v>
      </c>
      <c r="I507" t="s">
        <v>1555</v>
      </c>
      <c r="J507" t="s">
        <v>1556</v>
      </c>
      <c r="K507" t="s">
        <v>41</v>
      </c>
    </row>
    <row r="508" spans="1:11" ht="20" customHeight="1">
      <c r="A508" t="s">
        <v>25</v>
      </c>
      <c r="B508" t="s">
        <v>1557</v>
      </c>
      <c r="C508">
        <v>163.1199951171875</v>
      </c>
      <c r="D508">
        <v>163.6100006103516</v>
      </c>
      <c r="E508">
        <v>161.5500030517578</v>
      </c>
      <c r="F508">
        <v>161.7599945068359</v>
      </c>
      <c r="G508">
        <v>161.7599945068359</v>
      </c>
      <c r="H508">
        <v>6689300</v>
      </c>
      <c r="I508" t="s">
        <v>1558</v>
      </c>
      <c r="J508" t="s">
        <v>1559</v>
      </c>
      <c r="K508" t="s">
        <v>41</v>
      </c>
    </row>
    <row r="509" spans="1:11" ht="20" customHeight="1">
      <c r="A509" t="s">
        <v>25</v>
      </c>
      <c r="B509" t="s">
        <v>1560</v>
      </c>
      <c r="C509">
        <v>161.8800048828125</v>
      </c>
      <c r="D509">
        <v>162.6199951171875</v>
      </c>
      <c r="E509">
        <v>161.6999969482422</v>
      </c>
      <c r="F509">
        <v>161.8600006103516</v>
      </c>
      <c r="G509">
        <v>161.8600006103516</v>
      </c>
      <c r="H509">
        <v>4702300</v>
      </c>
      <c r="I509" t="s">
        <v>1561</v>
      </c>
      <c r="J509" t="s">
        <v>1562</v>
      </c>
      <c r="K509" t="s">
        <v>41</v>
      </c>
    </row>
    <row r="510" spans="1:11" ht="20" customHeight="1">
      <c r="A510" t="s">
        <v>25</v>
      </c>
      <c r="B510" t="s">
        <v>1563</v>
      </c>
      <c r="C510">
        <v>161.2700042724609</v>
      </c>
      <c r="D510">
        <v>161.4299926757812</v>
      </c>
      <c r="E510">
        <v>160.3399963378906</v>
      </c>
      <c r="F510">
        <v>160.5099945068359</v>
      </c>
      <c r="G510">
        <v>160.5099945068359</v>
      </c>
      <c r="H510">
        <v>4856600</v>
      </c>
      <c r="I510" t="s">
        <v>1564</v>
      </c>
      <c r="J510" t="s">
        <v>1565</v>
      </c>
      <c r="K510" t="s">
        <v>41</v>
      </c>
    </row>
    <row r="511" spans="1:11" ht="20" customHeight="1">
      <c r="A511" t="s">
        <v>25</v>
      </c>
      <c r="B511" t="s">
        <v>1566</v>
      </c>
      <c r="C511">
        <v>159.5</v>
      </c>
      <c r="D511">
        <v>160.5700073242188</v>
      </c>
      <c r="E511">
        <v>159.2599945068359</v>
      </c>
      <c r="F511">
        <v>159.2700042724609</v>
      </c>
      <c r="G511">
        <v>159.2700042724609</v>
      </c>
      <c r="H511">
        <v>5438600</v>
      </c>
      <c r="I511" t="s">
        <v>1567</v>
      </c>
      <c r="J511" t="s">
        <v>1568</v>
      </c>
      <c r="K511" t="s">
        <v>41</v>
      </c>
    </row>
    <row r="512" spans="1:11" ht="20" customHeight="1">
      <c r="A512" t="s">
        <v>25</v>
      </c>
      <c r="B512" t="s">
        <v>1569</v>
      </c>
      <c r="C512">
        <v>158.1699981689453</v>
      </c>
      <c r="D512">
        <v>158.3899993896484</v>
      </c>
      <c r="E512">
        <v>157.3200073242188</v>
      </c>
      <c r="F512">
        <v>157.8699951171875</v>
      </c>
      <c r="G512">
        <v>157.8699951171875</v>
      </c>
      <c r="H512">
        <v>7390800</v>
      </c>
      <c r="I512" t="s">
        <v>1570</v>
      </c>
      <c r="J512" t="s">
        <v>1571</v>
      </c>
      <c r="K512" t="s">
        <v>41</v>
      </c>
    </row>
    <row r="513" spans="1:11" ht="20" customHeight="1">
      <c r="A513" t="s">
        <v>25</v>
      </c>
      <c r="B513" t="s">
        <v>1572</v>
      </c>
      <c r="C513">
        <v>159.3500061035156</v>
      </c>
      <c r="D513">
        <v>160.0599975585938</v>
      </c>
      <c r="E513">
        <v>159.1399993896484</v>
      </c>
      <c r="F513">
        <v>159.2599945068359</v>
      </c>
      <c r="G513">
        <v>159.2599945068359</v>
      </c>
      <c r="H513">
        <v>5196900</v>
      </c>
      <c r="I513" t="s">
        <v>1573</v>
      </c>
      <c r="J513" t="s">
        <v>1574</v>
      </c>
      <c r="K513" t="s">
        <v>41</v>
      </c>
    </row>
    <row r="514" spans="1:11" ht="20" customHeight="1">
      <c r="A514" t="s">
        <v>25</v>
      </c>
      <c r="B514" t="s">
        <v>1575</v>
      </c>
      <c r="C514">
        <v>159.1699981689453</v>
      </c>
      <c r="D514">
        <v>159.4600067138672</v>
      </c>
      <c r="E514">
        <v>158.3200073242188</v>
      </c>
      <c r="F514">
        <v>158.3300018310547</v>
      </c>
      <c r="G514">
        <v>158.3300018310547</v>
      </c>
      <c r="H514">
        <v>4863800</v>
      </c>
      <c r="I514" t="s">
        <v>1576</v>
      </c>
      <c r="J514" t="s">
        <v>1577</v>
      </c>
      <c r="K514" t="s">
        <v>41</v>
      </c>
    </row>
    <row r="515" spans="1:11" ht="20" customHeight="1">
      <c r="A515" t="s">
        <v>25</v>
      </c>
      <c r="B515" t="s">
        <v>1578</v>
      </c>
      <c r="C515">
        <v>158.1499938964844</v>
      </c>
      <c r="D515">
        <v>160.1499938964844</v>
      </c>
      <c r="E515">
        <v>158.0800018310547</v>
      </c>
      <c r="F515">
        <v>159.9400024414062</v>
      </c>
      <c r="G515">
        <v>159.9400024414062</v>
      </c>
      <c r="H515">
        <v>3981400</v>
      </c>
      <c r="I515" t="s">
        <v>1579</v>
      </c>
      <c r="J515" t="s">
        <v>1580</v>
      </c>
      <c r="K515" t="s">
        <v>41</v>
      </c>
    </row>
    <row r="516" spans="1:11" ht="20" customHeight="1">
      <c r="A516" t="s">
        <v>25</v>
      </c>
      <c r="B516" t="s">
        <v>1581</v>
      </c>
      <c r="C516">
        <v>159.5399932861328</v>
      </c>
      <c r="D516">
        <v>159.8600006103516</v>
      </c>
      <c r="E516">
        <v>158.7100067138672</v>
      </c>
      <c r="F516">
        <v>158.9799957275391</v>
      </c>
      <c r="G516">
        <v>158.9799957275391</v>
      </c>
      <c r="H516">
        <v>4607100</v>
      </c>
      <c r="I516" t="s">
        <v>1582</v>
      </c>
      <c r="J516" t="s">
        <v>1583</v>
      </c>
      <c r="K516" t="s">
        <v>41</v>
      </c>
    </row>
    <row r="517" spans="1:11" ht="20" customHeight="1">
      <c r="A517" t="s">
        <v>25</v>
      </c>
      <c r="B517" t="s">
        <v>1584</v>
      </c>
      <c r="C517">
        <v>159.7200012207031</v>
      </c>
      <c r="D517">
        <v>160.2400054931641</v>
      </c>
      <c r="E517">
        <v>159.4100036621094</v>
      </c>
      <c r="F517">
        <v>159.8200073242188</v>
      </c>
      <c r="G517">
        <v>159.8200073242188</v>
      </c>
      <c r="H517">
        <v>3927800</v>
      </c>
      <c r="I517" t="s">
        <v>1585</v>
      </c>
      <c r="J517" t="s">
        <v>1586</v>
      </c>
      <c r="K517" t="s">
        <v>41</v>
      </c>
    </row>
    <row r="518" spans="1:11" ht="20" customHeight="1">
      <c r="A518" t="s">
        <v>25</v>
      </c>
      <c r="B518" t="s">
        <v>1587</v>
      </c>
      <c r="C518">
        <v>161.0399932861328</v>
      </c>
      <c r="D518">
        <v>161.6199951171875</v>
      </c>
      <c r="E518">
        <v>160.5500030517578</v>
      </c>
      <c r="F518">
        <v>160.6300048828125</v>
      </c>
      <c r="G518">
        <v>160.6300048828125</v>
      </c>
      <c r="H518">
        <v>4537500</v>
      </c>
      <c r="I518" t="s">
        <v>1588</v>
      </c>
      <c r="J518" t="s">
        <v>1589</v>
      </c>
      <c r="K518" t="s">
        <v>41</v>
      </c>
    </row>
    <row r="519" spans="1:11" ht="20" customHeight="1">
      <c r="A519" t="s">
        <v>25</v>
      </c>
      <c r="B519" t="s">
        <v>1590</v>
      </c>
      <c r="C519">
        <v>158.4700012207031</v>
      </c>
      <c r="D519">
        <v>159.2700042724609</v>
      </c>
      <c r="E519">
        <v>158.3899993896484</v>
      </c>
      <c r="F519">
        <v>158.5399932861328</v>
      </c>
      <c r="G519">
        <v>158.5399932861328</v>
      </c>
      <c r="H519">
        <v>6526400</v>
      </c>
      <c r="I519" t="s">
        <v>1591</v>
      </c>
      <c r="J519" t="s">
        <v>1592</v>
      </c>
      <c r="K519" t="s">
        <v>41</v>
      </c>
    </row>
    <row r="520" spans="1:11" ht="20" customHeight="1">
      <c r="A520" t="s">
        <v>25</v>
      </c>
      <c r="B520" t="s">
        <v>1593</v>
      </c>
      <c r="C520">
        <v>158.6799926757812</v>
      </c>
      <c r="D520">
        <v>158.9799957275391</v>
      </c>
      <c r="E520">
        <v>157.7299957275391</v>
      </c>
      <c r="F520">
        <v>157.9299926757812</v>
      </c>
      <c r="G520">
        <v>157.9299926757812</v>
      </c>
      <c r="H520">
        <v>6091100</v>
      </c>
      <c r="I520" t="s">
        <v>1594</v>
      </c>
      <c r="J520" t="s">
        <v>1595</v>
      </c>
      <c r="K520" t="s">
        <v>41</v>
      </c>
    </row>
    <row r="521" spans="1:11" ht="20" customHeight="1">
      <c r="A521" t="s">
        <v>25</v>
      </c>
      <c r="B521" t="s">
        <v>1596</v>
      </c>
      <c r="C521">
        <v>156.7599945068359</v>
      </c>
      <c r="D521">
        <v>157.4900054931641</v>
      </c>
      <c r="E521">
        <v>154.6199951171875</v>
      </c>
      <c r="F521">
        <v>154.9799957275391</v>
      </c>
      <c r="G521">
        <v>154.9799957275391</v>
      </c>
      <c r="H521">
        <v>13181200</v>
      </c>
      <c r="I521" t="s">
        <v>1597</v>
      </c>
      <c r="J521" t="s">
        <v>1598</v>
      </c>
      <c r="K521" t="s">
        <v>41</v>
      </c>
    </row>
    <row r="522" spans="1:11" ht="20" customHeight="1">
      <c r="A522" t="s">
        <v>25</v>
      </c>
      <c r="B522" t="s">
        <v>1599</v>
      </c>
      <c r="C522">
        <v>154.6600036621094</v>
      </c>
      <c r="D522">
        <v>156.5599975585938</v>
      </c>
      <c r="E522">
        <v>154.3399963378906</v>
      </c>
      <c r="F522">
        <v>155.8399963378906</v>
      </c>
      <c r="G522">
        <v>155.8399963378906</v>
      </c>
      <c r="H522">
        <v>7141200</v>
      </c>
      <c r="I522" t="s">
        <v>1600</v>
      </c>
      <c r="J522" t="s">
        <v>1601</v>
      </c>
      <c r="K522" t="s">
        <v>41</v>
      </c>
    </row>
    <row r="523" spans="1:11" ht="20" customHeight="1">
      <c r="A523" t="s">
        <v>25</v>
      </c>
      <c r="B523" t="s">
        <v>1602</v>
      </c>
      <c r="C523">
        <v>154.8699951171875</v>
      </c>
      <c r="D523">
        <v>156.0399932861328</v>
      </c>
      <c r="E523">
        <v>154.8200073242188</v>
      </c>
      <c r="F523">
        <v>155.9600067138672</v>
      </c>
      <c r="G523">
        <v>155.9600067138672</v>
      </c>
      <c r="H523">
        <v>5582800</v>
      </c>
      <c r="I523" t="s">
        <v>1603</v>
      </c>
      <c r="J523" t="s">
        <v>1604</v>
      </c>
      <c r="K523" t="s">
        <v>41</v>
      </c>
    </row>
    <row r="524" spans="1:11" ht="20" customHeight="1">
      <c r="A524" t="s">
        <v>25</v>
      </c>
      <c r="B524" t="s">
        <v>1605</v>
      </c>
      <c r="C524">
        <v>155.0299987792969</v>
      </c>
      <c r="D524">
        <v>155.2299957275391</v>
      </c>
      <c r="E524">
        <v>154.5899963378906</v>
      </c>
      <c r="F524">
        <v>155.0700073242188</v>
      </c>
      <c r="G524">
        <v>155.0700073242188</v>
      </c>
      <c r="H524">
        <v>5943700</v>
      </c>
      <c r="I524" t="s">
        <v>1606</v>
      </c>
      <c r="J524" t="s">
        <v>1607</v>
      </c>
      <c r="K524" t="s">
        <v>41</v>
      </c>
    </row>
    <row r="525" spans="1:11" ht="20" customHeight="1">
      <c r="A525" t="s">
        <v>25</v>
      </c>
      <c r="B525" t="s">
        <v>1608</v>
      </c>
      <c r="C525">
        <v>155.9700012207031</v>
      </c>
      <c r="D525">
        <v>157.25</v>
      </c>
      <c r="E525">
        <v>154.0099945068359</v>
      </c>
      <c r="F525">
        <v>155.7899932861328</v>
      </c>
      <c r="G525">
        <v>155.7899932861328</v>
      </c>
      <c r="H525">
        <v>7816100</v>
      </c>
      <c r="I525" t="s">
        <v>1609</v>
      </c>
      <c r="J525" t="s">
        <v>1610</v>
      </c>
      <c r="K525" t="s">
        <v>41</v>
      </c>
    </row>
    <row r="526" spans="1:11" ht="20" customHeight="1">
      <c r="A526" t="s">
        <v>25</v>
      </c>
      <c r="B526" t="s">
        <v>1611</v>
      </c>
      <c r="C526">
        <v>156.2599945068359</v>
      </c>
      <c r="D526">
        <v>156.4799957275391</v>
      </c>
      <c r="E526">
        <v>155.3099975585938</v>
      </c>
      <c r="F526">
        <v>155.6999969482422</v>
      </c>
      <c r="G526">
        <v>155.6999969482422</v>
      </c>
      <c r="H526">
        <v>5975200</v>
      </c>
      <c r="I526" t="s">
        <v>1612</v>
      </c>
      <c r="J526" t="s">
        <v>1613</v>
      </c>
      <c r="K526" t="s">
        <v>41</v>
      </c>
    </row>
    <row r="527" spans="1:11" ht="20" customHeight="1">
      <c r="A527" t="s">
        <v>25</v>
      </c>
      <c r="B527" t="s">
        <v>1614</v>
      </c>
      <c r="C527">
        <v>153.8999938964844</v>
      </c>
      <c r="D527">
        <v>154</v>
      </c>
      <c r="E527">
        <v>152.6399993896484</v>
      </c>
      <c r="F527">
        <v>153.0099945068359</v>
      </c>
      <c r="G527">
        <v>153.0099945068359</v>
      </c>
      <c r="H527">
        <v>9598000</v>
      </c>
      <c r="I527" t="s">
        <v>1615</v>
      </c>
      <c r="J527" t="s">
        <v>1616</v>
      </c>
      <c r="K527" t="s">
        <v>41</v>
      </c>
    </row>
    <row r="528" spans="1:11" ht="20" customHeight="1">
      <c r="A528" t="s">
        <v>25</v>
      </c>
      <c r="B528" t="s">
        <v>1617</v>
      </c>
      <c r="C528">
        <v>153.2200012207031</v>
      </c>
      <c r="D528">
        <v>153.5099945068359</v>
      </c>
      <c r="E528">
        <v>151.0299987792969</v>
      </c>
      <c r="F528">
        <v>151.2299957275391</v>
      </c>
      <c r="G528">
        <v>151.2299957275391</v>
      </c>
      <c r="H528">
        <v>8240500</v>
      </c>
      <c r="I528" t="s">
        <v>1618</v>
      </c>
      <c r="J528" t="s">
        <v>1619</v>
      </c>
      <c r="K528" t="s">
        <v>41</v>
      </c>
    </row>
    <row r="529" spans="1:11" ht="20" customHeight="1">
      <c r="A529" t="s">
        <v>25</v>
      </c>
      <c r="B529" t="s">
        <v>1620</v>
      </c>
      <c r="C529">
        <v>152.25</v>
      </c>
      <c r="D529">
        <v>152.7299957275391</v>
      </c>
      <c r="E529">
        <v>151.5</v>
      </c>
      <c r="F529">
        <v>151.5399932861328</v>
      </c>
      <c r="G529">
        <v>151.5399932861328</v>
      </c>
      <c r="H529">
        <v>7151300</v>
      </c>
      <c r="I529" t="s">
        <v>1621</v>
      </c>
      <c r="J529" t="s">
        <v>1622</v>
      </c>
      <c r="K529" t="s">
        <v>41</v>
      </c>
    </row>
    <row r="530" spans="1:11" ht="20" customHeight="1">
      <c r="A530" t="s">
        <v>25</v>
      </c>
      <c r="B530" t="s">
        <v>1623</v>
      </c>
      <c r="C530">
        <v>153.1999969482422</v>
      </c>
      <c r="D530">
        <v>154.8800048828125</v>
      </c>
      <c r="E530">
        <v>152.9299926757812</v>
      </c>
      <c r="F530">
        <v>154.6900024414062</v>
      </c>
      <c r="G530">
        <v>154.6900024414062</v>
      </c>
      <c r="H530">
        <v>8977200</v>
      </c>
      <c r="I530" t="s">
        <v>1624</v>
      </c>
      <c r="J530" t="s">
        <v>1625</v>
      </c>
      <c r="K530" t="s">
        <v>41</v>
      </c>
    </row>
    <row r="531" spans="1:11" ht="20" customHeight="1">
      <c r="A531" t="s">
        <v>25</v>
      </c>
      <c r="B531" t="s">
        <v>1626</v>
      </c>
      <c r="C531">
        <v>154.1399993896484</v>
      </c>
      <c r="D531">
        <v>155.0299987792969</v>
      </c>
      <c r="E531">
        <v>153.1600036621094</v>
      </c>
      <c r="F531">
        <v>154.6600036621094</v>
      </c>
      <c r="G531">
        <v>154.6600036621094</v>
      </c>
      <c r="H531">
        <v>6317000</v>
      </c>
      <c r="I531" t="s">
        <v>1627</v>
      </c>
      <c r="J531" t="s">
        <v>1628</v>
      </c>
      <c r="K531" t="s">
        <v>41</v>
      </c>
    </row>
    <row r="532" spans="1:11" ht="20" customHeight="1">
      <c r="A532" t="s">
        <v>25</v>
      </c>
      <c r="B532" t="s">
        <v>1629</v>
      </c>
      <c r="C532">
        <v>154.9400024414062</v>
      </c>
      <c r="D532">
        <v>156.0399932861328</v>
      </c>
      <c r="E532">
        <v>154.5700073242188</v>
      </c>
      <c r="F532">
        <v>154.6699981689453</v>
      </c>
      <c r="G532">
        <v>154.6699981689453</v>
      </c>
      <c r="H532">
        <v>6832400</v>
      </c>
      <c r="I532" t="s">
        <v>1630</v>
      </c>
      <c r="J532" t="s">
        <v>1631</v>
      </c>
      <c r="K532" t="s">
        <v>41</v>
      </c>
    </row>
    <row r="533" spans="1:11" ht="20" customHeight="1">
      <c r="A533" t="s">
        <v>25</v>
      </c>
      <c r="B533" t="s">
        <v>1632</v>
      </c>
      <c r="C533">
        <v>155.4400024414062</v>
      </c>
      <c r="D533">
        <v>158.4799957275391</v>
      </c>
      <c r="E533">
        <v>155.2299957275391</v>
      </c>
      <c r="F533">
        <v>158.4299926757812</v>
      </c>
      <c r="G533">
        <v>158.4299926757812</v>
      </c>
      <c r="H533">
        <v>10362200</v>
      </c>
      <c r="I533" t="s">
        <v>1633</v>
      </c>
      <c r="J533" t="s">
        <v>1634</v>
      </c>
      <c r="K533" t="s">
        <v>41</v>
      </c>
    </row>
    <row r="534" spans="1:11" ht="20" customHeight="1">
      <c r="A534" t="s">
        <v>25</v>
      </c>
      <c r="B534" t="s">
        <v>1635</v>
      </c>
      <c r="C534">
        <v>159.1799926757812</v>
      </c>
      <c r="D534">
        <v>161.0800018310547</v>
      </c>
      <c r="E534">
        <v>158.9199981689453</v>
      </c>
      <c r="F534">
        <v>160.6999969482422</v>
      </c>
      <c r="G534">
        <v>160.6999969482422</v>
      </c>
      <c r="H534">
        <v>8024500</v>
      </c>
      <c r="I534" t="s">
        <v>1636</v>
      </c>
      <c r="J534" t="s">
        <v>1637</v>
      </c>
      <c r="K534" t="s">
        <v>41</v>
      </c>
    </row>
    <row r="535" spans="1:11" ht="20" customHeight="1">
      <c r="A535" t="s">
        <v>25</v>
      </c>
      <c r="B535" t="s">
        <v>1638</v>
      </c>
      <c r="C535">
        <v>159.3200073242188</v>
      </c>
      <c r="D535">
        <v>160.0800018310547</v>
      </c>
      <c r="E535">
        <v>158.3800048828125</v>
      </c>
      <c r="F535">
        <v>159.8099975585938</v>
      </c>
      <c r="G535">
        <v>159.8099975585938</v>
      </c>
      <c r="H535">
        <v>5296300</v>
      </c>
      <c r="I535" t="s">
        <v>1639</v>
      </c>
      <c r="J535" t="s">
        <v>1640</v>
      </c>
      <c r="K535" t="s">
        <v>41</v>
      </c>
    </row>
    <row r="536" spans="1:11" ht="20" customHeight="1">
      <c r="A536" t="s">
        <v>25</v>
      </c>
      <c r="B536" t="s">
        <v>1641</v>
      </c>
      <c r="C536">
        <v>159.4100036621094</v>
      </c>
      <c r="D536">
        <v>159.9400024414062</v>
      </c>
      <c r="E536">
        <v>158.9499969482422</v>
      </c>
      <c r="F536">
        <v>159.6300048828125</v>
      </c>
      <c r="G536">
        <v>159.6300048828125</v>
      </c>
      <c r="H536">
        <v>5712600</v>
      </c>
      <c r="I536" t="s">
        <v>1642</v>
      </c>
      <c r="J536" t="s">
        <v>1643</v>
      </c>
      <c r="K536" t="s">
        <v>41</v>
      </c>
    </row>
    <row r="537" spans="1:11" ht="20" customHeight="1">
      <c r="A537" t="s">
        <v>25</v>
      </c>
      <c r="B537" t="s">
        <v>1644</v>
      </c>
      <c r="C537">
        <v>158.4600067138672</v>
      </c>
      <c r="D537">
        <v>158.9799957275391</v>
      </c>
      <c r="E537">
        <v>157.6799926757812</v>
      </c>
      <c r="F537">
        <v>157.8800048828125</v>
      </c>
      <c r="G537">
        <v>157.8800048828125</v>
      </c>
      <c r="H537">
        <v>5030000</v>
      </c>
      <c r="I537" t="s">
        <v>1645</v>
      </c>
      <c r="J537" t="s">
        <v>1646</v>
      </c>
      <c r="K537" t="s">
        <v>41</v>
      </c>
    </row>
    <row r="538" spans="1:11" ht="20" customHeight="1">
      <c r="A538" t="s">
        <v>25</v>
      </c>
      <c r="B538" t="s">
        <v>1647</v>
      </c>
      <c r="C538">
        <v>155.9400024414062</v>
      </c>
      <c r="D538">
        <v>156.3500061035156</v>
      </c>
      <c r="E538">
        <v>155.1199951171875</v>
      </c>
      <c r="F538">
        <v>155.4799957275391</v>
      </c>
      <c r="G538">
        <v>155.4799957275391</v>
      </c>
      <c r="H538">
        <v>6110800</v>
      </c>
      <c r="I538" t="s">
        <v>1648</v>
      </c>
      <c r="J538" t="s">
        <v>1649</v>
      </c>
      <c r="K538" t="s">
        <v>41</v>
      </c>
    </row>
    <row r="539" spans="1:11" ht="20" customHeight="1">
      <c r="A539" t="s">
        <v>25</v>
      </c>
      <c r="B539" t="s">
        <v>1650</v>
      </c>
      <c r="C539">
        <v>155.4900054931641</v>
      </c>
      <c r="D539">
        <v>156.8099975585938</v>
      </c>
      <c r="E539">
        <v>154.9199981689453</v>
      </c>
      <c r="F539">
        <v>155.1600036621094</v>
      </c>
      <c r="G539">
        <v>155.1600036621094</v>
      </c>
      <c r="H539">
        <v>5306700</v>
      </c>
      <c r="I539" t="s">
        <v>1651</v>
      </c>
      <c r="J539" t="s">
        <v>1652</v>
      </c>
      <c r="K539" t="s">
        <v>41</v>
      </c>
    </row>
    <row r="540" spans="1:11" ht="20" customHeight="1">
      <c r="A540" t="s">
        <v>25</v>
      </c>
      <c r="B540" t="s">
        <v>1653</v>
      </c>
      <c r="C540">
        <v>155.5099945068359</v>
      </c>
      <c r="D540">
        <v>156.2899932861328</v>
      </c>
      <c r="E540">
        <v>155.2599945068359</v>
      </c>
      <c r="F540">
        <v>155.9900054931641</v>
      </c>
      <c r="G540">
        <v>155.9900054931641</v>
      </c>
      <c r="H540">
        <v>3998500</v>
      </c>
      <c r="I540" t="s">
        <v>1654</v>
      </c>
      <c r="J540" t="s">
        <v>1655</v>
      </c>
      <c r="K540" t="s">
        <v>41</v>
      </c>
    </row>
    <row r="541" spans="1:11" ht="20" customHeight="1">
      <c r="A541" t="s">
        <v>25</v>
      </c>
      <c r="B541" t="s">
        <v>1656</v>
      </c>
      <c r="C541">
        <v>153.4799957275391</v>
      </c>
      <c r="D541">
        <v>155.7299957275391</v>
      </c>
      <c r="E541">
        <v>152.9199981689453</v>
      </c>
      <c r="F541">
        <v>154.9100036621094</v>
      </c>
      <c r="G541">
        <v>154.9100036621094</v>
      </c>
      <c r="H541">
        <v>7083800</v>
      </c>
      <c r="I541" t="s">
        <v>1657</v>
      </c>
      <c r="J541" t="s">
        <v>1658</v>
      </c>
      <c r="K541" t="s">
        <v>41</v>
      </c>
    </row>
    <row r="542" spans="1:11" ht="20" customHeight="1">
      <c r="A542" t="s">
        <v>25</v>
      </c>
      <c r="B542" t="s">
        <v>1659</v>
      </c>
      <c r="C542">
        <v>154.0200042724609</v>
      </c>
      <c r="D542">
        <v>154.1999969482422</v>
      </c>
      <c r="E542">
        <v>152.7200012207031</v>
      </c>
      <c r="F542">
        <v>152.9799957275391</v>
      </c>
      <c r="G542">
        <v>152.9799957275391</v>
      </c>
      <c r="H542">
        <v>5471900</v>
      </c>
      <c r="I542" t="s">
        <v>1660</v>
      </c>
      <c r="J542" t="s">
        <v>1661</v>
      </c>
      <c r="K542" t="s">
        <v>41</v>
      </c>
    </row>
    <row r="543" spans="1:11" ht="20" customHeight="1">
      <c r="A543" t="s">
        <v>25</v>
      </c>
      <c r="B543" t="s">
        <v>1662</v>
      </c>
      <c r="C543">
        <v>154.9199981689453</v>
      </c>
      <c r="D543">
        <v>155.3300018310547</v>
      </c>
      <c r="E543">
        <v>153.3200073242188</v>
      </c>
      <c r="F543">
        <v>153.4199981689453</v>
      </c>
      <c r="G543">
        <v>153.4199981689453</v>
      </c>
      <c r="H543">
        <v>4348000</v>
      </c>
      <c r="I543" t="s">
        <v>1663</v>
      </c>
      <c r="J543" t="s">
        <v>1664</v>
      </c>
      <c r="K543" t="s">
        <v>41</v>
      </c>
    </row>
    <row r="544" spans="1:11" ht="20" customHeight="1">
      <c r="A544" t="s">
        <v>25</v>
      </c>
      <c r="B544" t="s">
        <v>1665</v>
      </c>
      <c r="C544">
        <v>154.0800018310547</v>
      </c>
      <c r="D544">
        <v>154.2400054931641</v>
      </c>
      <c r="E544">
        <v>153.2400054931641</v>
      </c>
      <c r="F544">
        <v>153.75</v>
      </c>
      <c r="G544">
        <v>153.75</v>
      </c>
      <c r="H544">
        <v>4528400</v>
      </c>
      <c r="I544" t="s">
        <v>1666</v>
      </c>
      <c r="J544" t="s">
        <v>1667</v>
      </c>
      <c r="K544" t="s">
        <v>41</v>
      </c>
    </row>
    <row r="545" spans="1:11" ht="20" customHeight="1">
      <c r="A545" t="s">
        <v>25</v>
      </c>
      <c r="B545" t="s">
        <v>1668</v>
      </c>
      <c r="C545">
        <v>152.0899963378906</v>
      </c>
      <c r="D545">
        <v>152.4900054931641</v>
      </c>
      <c r="E545">
        <v>151.5399932861328</v>
      </c>
      <c r="F545">
        <v>151.6900024414062</v>
      </c>
      <c r="G545">
        <v>151.6900024414062</v>
      </c>
      <c r="H545">
        <v>8257100</v>
      </c>
      <c r="I545" t="s">
        <v>1669</v>
      </c>
      <c r="J545" t="s">
        <v>1670</v>
      </c>
      <c r="K545" t="s">
        <v>41</v>
      </c>
    </row>
    <row r="546" spans="1:11" ht="20" customHeight="1">
      <c r="A546" t="s">
        <v>25</v>
      </c>
      <c r="B546" t="s">
        <v>1671</v>
      </c>
      <c r="C546">
        <v>151.9199981689453</v>
      </c>
      <c r="D546">
        <v>153.2299957275391</v>
      </c>
      <c r="E546">
        <v>151.2700042724609</v>
      </c>
      <c r="F546">
        <v>151.4499969482422</v>
      </c>
      <c r="G546">
        <v>151.4499969482422</v>
      </c>
      <c r="H546">
        <v>5019800</v>
      </c>
      <c r="I546" t="s">
        <v>1672</v>
      </c>
      <c r="J546" t="s">
        <v>1673</v>
      </c>
      <c r="K546" t="s">
        <v>41</v>
      </c>
    </row>
    <row r="547" spans="1:11" ht="20" customHeight="1">
      <c r="A547" t="s">
        <v>25</v>
      </c>
      <c r="B547" t="s">
        <v>1674</v>
      </c>
      <c r="C547">
        <v>151.9799957275391</v>
      </c>
      <c r="D547">
        <v>154.3099975585938</v>
      </c>
      <c r="E547">
        <v>151.8300018310547</v>
      </c>
      <c r="F547">
        <v>154.1499938964844</v>
      </c>
      <c r="G547">
        <v>154.1499938964844</v>
      </c>
      <c r="H547">
        <v>6898400</v>
      </c>
      <c r="I547" t="s">
        <v>1675</v>
      </c>
      <c r="J547" t="s">
        <v>1676</v>
      </c>
      <c r="K547" t="s">
        <v>41</v>
      </c>
    </row>
    <row r="548" spans="1:11" ht="20" customHeight="1">
      <c r="A548" t="s">
        <v>25</v>
      </c>
      <c r="B548" t="s">
        <v>1677</v>
      </c>
      <c r="C548">
        <v>153.4499969482422</v>
      </c>
      <c r="D548">
        <v>154.0599975585938</v>
      </c>
      <c r="E548">
        <v>153.0599975585938</v>
      </c>
      <c r="F548">
        <v>153.6499938964844</v>
      </c>
      <c r="G548">
        <v>153.6499938964844</v>
      </c>
      <c r="H548">
        <v>4673300</v>
      </c>
      <c r="I548" t="s">
        <v>1678</v>
      </c>
      <c r="J548" t="s">
        <v>1679</v>
      </c>
      <c r="K548" t="s">
        <v>41</v>
      </c>
    </row>
    <row r="549" spans="1:11" ht="20" customHeight="1">
      <c r="A549" t="s">
        <v>25</v>
      </c>
      <c r="B549" t="s">
        <v>1680</v>
      </c>
      <c r="C549">
        <v>153.9600067138672</v>
      </c>
      <c r="D549">
        <v>154.7899932861328</v>
      </c>
      <c r="E549">
        <v>153.8300018310547</v>
      </c>
      <c r="F549">
        <v>154</v>
      </c>
      <c r="G549">
        <v>154</v>
      </c>
      <c r="H549">
        <v>3434100</v>
      </c>
      <c r="I549" t="s">
        <v>1681</v>
      </c>
      <c r="J549" t="s">
        <v>1682</v>
      </c>
      <c r="K549" t="s">
        <v>41</v>
      </c>
    </row>
    <row r="550" spans="1:11" ht="20" customHeight="1">
      <c r="A550" t="s">
        <v>25</v>
      </c>
      <c r="B550" t="s">
        <v>1683</v>
      </c>
      <c r="C550">
        <v>154.7799987792969</v>
      </c>
      <c r="D550">
        <v>155.7299957275391</v>
      </c>
      <c r="E550">
        <v>154.7799987792969</v>
      </c>
      <c r="F550">
        <v>154.9799957275391</v>
      </c>
      <c r="G550">
        <v>154.9799957275391</v>
      </c>
      <c r="H550">
        <v>4448200</v>
      </c>
      <c r="I550" t="s">
        <v>1684</v>
      </c>
      <c r="J550" t="s">
        <v>1685</v>
      </c>
      <c r="K550" t="s">
        <v>41</v>
      </c>
    </row>
    <row r="551" spans="1:11" ht="20" customHeight="1">
      <c r="A551" t="s">
        <v>25</v>
      </c>
      <c r="B551" t="s">
        <v>1686</v>
      </c>
      <c r="C551">
        <v>154.7100067138672</v>
      </c>
      <c r="D551">
        <v>155.0899963378906</v>
      </c>
      <c r="E551">
        <v>154.2200012207031</v>
      </c>
      <c r="F551">
        <v>154.7400054931641</v>
      </c>
      <c r="G551">
        <v>154.7400054931641</v>
      </c>
      <c r="H551">
        <v>3654900</v>
      </c>
      <c r="I551" t="s">
        <v>1687</v>
      </c>
      <c r="J551" t="s">
        <v>1688</v>
      </c>
      <c r="K551" t="s">
        <v>41</v>
      </c>
    </row>
    <row r="552" spans="1:11" ht="20" customHeight="1">
      <c r="A552" t="s">
        <v>25</v>
      </c>
      <c r="B552" t="s">
        <v>1689</v>
      </c>
      <c r="C552">
        <v>152.9600067138672</v>
      </c>
      <c r="D552">
        <v>153.5399932861328</v>
      </c>
      <c r="E552">
        <v>152.5</v>
      </c>
      <c r="F552">
        <v>153.1600036621094</v>
      </c>
      <c r="G552">
        <v>153.1600036621094</v>
      </c>
      <c r="H552">
        <v>4645400</v>
      </c>
      <c r="I552" t="s">
        <v>1690</v>
      </c>
      <c r="J552" t="s">
        <v>1691</v>
      </c>
      <c r="K552" t="s">
        <v>41</v>
      </c>
    </row>
    <row r="553" spans="1:11" ht="20" customHeight="1">
      <c r="A553" t="s">
        <v>25</v>
      </c>
      <c r="B553" t="s">
        <v>1692</v>
      </c>
      <c r="C553">
        <v>152.1600036621094</v>
      </c>
      <c r="D553">
        <v>152.8699951171875</v>
      </c>
      <c r="E553">
        <v>151.8899993896484</v>
      </c>
      <c r="F553">
        <v>151.9100036621094</v>
      </c>
      <c r="G553">
        <v>151.9100036621094</v>
      </c>
      <c r="H553">
        <v>6097800</v>
      </c>
      <c r="I553" t="s">
        <v>1693</v>
      </c>
      <c r="J553" t="s">
        <v>1694</v>
      </c>
      <c r="K553" t="s">
        <v>41</v>
      </c>
    </row>
    <row r="554" spans="1:11" ht="20" customHeight="1">
      <c r="A554" t="s">
        <v>25</v>
      </c>
      <c r="B554" t="s">
        <v>1695</v>
      </c>
      <c r="C554">
        <v>153.8200073242188</v>
      </c>
      <c r="D554">
        <v>153.9799957275391</v>
      </c>
      <c r="E554">
        <v>152.8699951171875</v>
      </c>
      <c r="F554">
        <v>153.4600067138672</v>
      </c>
      <c r="G554">
        <v>153.4600067138672</v>
      </c>
      <c r="H554">
        <v>4603600</v>
      </c>
      <c r="I554" t="s">
        <v>1696</v>
      </c>
      <c r="J554" t="s">
        <v>1697</v>
      </c>
      <c r="K554" t="s">
        <v>41</v>
      </c>
    </row>
    <row r="555" spans="1:11" ht="20" customHeight="1">
      <c r="A555" t="s">
        <v>25</v>
      </c>
      <c r="B555" t="s">
        <v>1698</v>
      </c>
      <c r="C555">
        <v>154.1600036621094</v>
      </c>
      <c r="D555">
        <v>155.4199981689453</v>
      </c>
      <c r="E555">
        <v>152.2599945068359</v>
      </c>
      <c r="F555">
        <v>152.3899993896484</v>
      </c>
      <c r="G555">
        <v>152.3899993896484</v>
      </c>
      <c r="H555">
        <v>7210900</v>
      </c>
      <c r="I555" t="s">
        <v>1699</v>
      </c>
      <c r="J555" t="s">
        <v>1700</v>
      </c>
      <c r="K555" t="s">
        <v>41</v>
      </c>
    </row>
    <row r="556" spans="1:11" ht="20" customHeight="1">
      <c r="A556" t="s">
        <v>25</v>
      </c>
      <c r="B556" t="s">
        <v>1701</v>
      </c>
      <c r="C556">
        <v>150.6999969482422</v>
      </c>
      <c r="D556">
        <v>151.9600067138672</v>
      </c>
      <c r="E556">
        <v>150.5700073242188</v>
      </c>
      <c r="F556">
        <v>151.8099975585938</v>
      </c>
      <c r="G556">
        <v>151.8099975585938</v>
      </c>
      <c r="H556">
        <v>5378800</v>
      </c>
      <c r="I556" t="s">
        <v>1702</v>
      </c>
      <c r="J556" t="s">
        <v>1703</v>
      </c>
      <c r="K556" t="s">
        <v>41</v>
      </c>
    </row>
    <row r="557" spans="1:11" ht="20" customHeight="1">
      <c r="A557" t="s">
        <v>25</v>
      </c>
      <c r="B557" t="s">
        <v>1704</v>
      </c>
      <c r="C557">
        <v>154.9499969482422</v>
      </c>
      <c r="D557">
        <v>156.6000061035156</v>
      </c>
      <c r="E557">
        <v>154.6600036621094</v>
      </c>
      <c r="F557">
        <v>156.4700012207031</v>
      </c>
      <c r="G557">
        <v>156.4700012207031</v>
      </c>
      <c r="H557">
        <v>7692000</v>
      </c>
      <c r="I557" t="s">
        <v>1705</v>
      </c>
      <c r="J557" t="s">
        <v>1706</v>
      </c>
      <c r="K557" t="s">
        <v>41</v>
      </c>
    </row>
    <row r="558" spans="1:11" ht="20" customHeight="1">
      <c r="A558" t="s">
        <v>25</v>
      </c>
      <c r="B558" t="s">
        <v>1707</v>
      </c>
      <c r="C558">
        <v>156.2200012207031</v>
      </c>
      <c r="D558">
        <v>156.5700073242188</v>
      </c>
      <c r="E558">
        <v>155.8099975585938</v>
      </c>
      <c r="F558">
        <v>155.8500061035156</v>
      </c>
      <c r="G558">
        <v>155.8500061035156</v>
      </c>
      <c r="H558">
        <v>4425700</v>
      </c>
      <c r="I558" t="s">
        <v>1708</v>
      </c>
      <c r="J558" t="s">
        <v>1709</v>
      </c>
      <c r="K558" t="s">
        <v>41</v>
      </c>
    </row>
    <row r="559" spans="1:11" ht="20" customHeight="1">
      <c r="A559" t="s">
        <v>25</v>
      </c>
      <c r="B559" t="s">
        <v>1710</v>
      </c>
      <c r="C559">
        <v>155.9900054931641</v>
      </c>
      <c r="D559">
        <v>159.8699951171875</v>
      </c>
      <c r="E559">
        <v>155.9799957275391</v>
      </c>
      <c r="F559">
        <v>159.4499969482422</v>
      </c>
      <c r="G559">
        <v>159.4499969482422</v>
      </c>
      <c r="H559">
        <v>11299600</v>
      </c>
      <c r="I559" t="s">
        <v>1711</v>
      </c>
      <c r="J559" t="s">
        <v>1712</v>
      </c>
      <c r="K559" t="s">
        <v>41</v>
      </c>
    </row>
    <row r="560" spans="1:11" ht="20" customHeight="1">
      <c r="A560" t="s">
        <v>25</v>
      </c>
      <c r="B560" t="s">
        <v>1713</v>
      </c>
      <c r="C560">
        <v>159.3600006103516</v>
      </c>
      <c r="D560">
        <v>160.3500061035156</v>
      </c>
      <c r="E560">
        <v>158.4499969482422</v>
      </c>
      <c r="F560">
        <v>158.6499938964844</v>
      </c>
      <c r="G560">
        <v>158.6499938964844</v>
      </c>
      <c r="H560">
        <v>6040600</v>
      </c>
      <c r="I560" t="s">
        <v>1714</v>
      </c>
      <c r="J560" t="s">
        <v>1715</v>
      </c>
      <c r="K560" t="s">
        <v>41</v>
      </c>
    </row>
    <row r="561" spans="1:11" ht="20" customHeight="1">
      <c r="A561" t="s">
        <v>25</v>
      </c>
      <c r="B561" t="s">
        <v>1716</v>
      </c>
      <c r="C561">
        <v>162.0099945068359</v>
      </c>
      <c r="D561">
        <v>163.5099945068359</v>
      </c>
      <c r="E561">
        <v>161.6600036621094</v>
      </c>
      <c r="F561">
        <v>163.4799957275391</v>
      </c>
      <c r="G561">
        <v>163.4799957275391</v>
      </c>
      <c r="H561">
        <v>9939900</v>
      </c>
      <c r="I561" t="s">
        <v>1717</v>
      </c>
      <c r="J561" t="s">
        <v>1718</v>
      </c>
      <c r="K561" t="s">
        <v>41</v>
      </c>
    </row>
    <row r="562" spans="1:11" ht="20" customHeight="1">
      <c r="A562" t="s">
        <v>25</v>
      </c>
      <c r="B562" t="s">
        <v>1719</v>
      </c>
      <c r="C562">
        <v>163.9100036621094</v>
      </c>
      <c r="D562">
        <v>164.5800018310547</v>
      </c>
      <c r="E562">
        <v>163.4199981689453</v>
      </c>
      <c r="F562">
        <v>164.5599975585938</v>
      </c>
      <c r="G562">
        <v>164.5599975585938</v>
      </c>
      <c r="H562">
        <v>4622400</v>
      </c>
      <c r="I562" t="s">
        <v>1720</v>
      </c>
      <c r="J562" t="s">
        <v>1721</v>
      </c>
      <c r="K562" t="s">
        <v>41</v>
      </c>
    </row>
    <row r="563" spans="1:11" ht="20" customHeight="1">
      <c r="A563" t="s">
        <v>25</v>
      </c>
      <c r="B563" t="s">
        <v>1722</v>
      </c>
      <c r="C563">
        <v>164.1999969482422</v>
      </c>
      <c r="D563">
        <v>165.2400054931641</v>
      </c>
      <c r="E563">
        <v>164.1499938964844</v>
      </c>
      <c r="F563">
        <v>164.9199981689453</v>
      </c>
      <c r="G563">
        <v>164.9199981689453</v>
      </c>
      <c r="H563">
        <v>6187600</v>
      </c>
      <c r="I563" t="s">
        <v>1723</v>
      </c>
      <c r="J563" t="s">
        <v>1724</v>
      </c>
      <c r="K563" t="s">
        <v>41</v>
      </c>
    </row>
    <row r="564" spans="1:11" ht="20" customHeight="1">
      <c r="A564" t="s">
        <v>25</v>
      </c>
      <c r="B564" t="s">
        <v>1725</v>
      </c>
      <c r="C564">
        <v>165.2700042724609</v>
      </c>
      <c r="D564">
        <v>166.2299957275391</v>
      </c>
      <c r="E564">
        <v>164.5599975585938</v>
      </c>
      <c r="F564">
        <v>165.5</v>
      </c>
      <c r="G564">
        <v>165.5</v>
      </c>
      <c r="H564">
        <v>9903500</v>
      </c>
      <c r="I564" t="s">
        <v>1726</v>
      </c>
      <c r="J564" t="s">
        <v>1727</v>
      </c>
      <c r="K564" t="s">
        <v>41</v>
      </c>
    </row>
    <row r="565" spans="1:11" ht="20" customHeight="1">
      <c r="A565" t="s">
        <v>25</v>
      </c>
      <c r="B565" t="s">
        <v>1728</v>
      </c>
      <c r="C565">
        <v>165.4100036621094</v>
      </c>
      <c r="D565">
        <v>165.7100067138672</v>
      </c>
      <c r="E565">
        <v>164.8300018310547</v>
      </c>
      <c r="F565">
        <v>165.1199951171875</v>
      </c>
      <c r="G565">
        <v>165.1199951171875</v>
      </c>
      <c r="H565">
        <v>3645800</v>
      </c>
      <c r="I565" t="s">
        <v>1729</v>
      </c>
      <c r="J565" t="s">
        <v>1730</v>
      </c>
      <c r="K565" t="s">
        <v>41</v>
      </c>
    </row>
    <row r="566" spans="1:11" ht="20" customHeight="1">
      <c r="A566" t="s">
        <v>25</v>
      </c>
      <c r="B566" t="s">
        <v>1731</v>
      </c>
      <c r="C566">
        <v>163.7899932861328</v>
      </c>
      <c r="D566">
        <v>164.1100006103516</v>
      </c>
      <c r="E566">
        <v>163.3999938964844</v>
      </c>
      <c r="F566">
        <v>163.9199981689453</v>
      </c>
      <c r="G566">
        <v>163.9199981689453</v>
      </c>
      <c r="H566">
        <v>4574400</v>
      </c>
      <c r="I566" t="s">
        <v>1732</v>
      </c>
      <c r="J566" t="s">
        <v>1733</v>
      </c>
      <c r="K566" t="s">
        <v>41</v>
      </c>
    </row>
    <row r="567" spans="1:11" ht="20" customHeight="1">
      <c r="A567" t="s">
        <v>25</v>
      </c>
      <c r="B567" t="s">
        <v>1734</v>
      </c>
      <c r="C567">
        <v>163.3800048828125</v>
      </c>
      <c r="D567">
        <v>163.6900024414062</v>
      </c>
      <c r="E567">
        <v>162.6799926757812</v>
      </c>
      <c r="F567">
        <v>162.7899932861328</v>
      </c>
      <c r="G567">
        <v>162.7899932861328</v>
      </c>
      <c r="H567">
        <v>4321100</v>
      </c>
      <c r="I567" t="s">
        <v>1735</v>
      </c>
      <c r="J567" t="s">
        <v>1736</v>
      </c>
      <c r="K567" t="s">
        <v>41</v>
      </c>
    </row>
    <row r="568" spans="1:11" ht="20" customHeight="1">
      <c r="A568" t="s">
        <v>25</v>
      </c>
      <c r="B568" t="s">
        <v>1737</v>
      </c>
      <c r="C568">
        <v>162.4400024414062</v>
      </c>
      <c r="D568">
        <v>162.5</v>
      </c>
      <c r="E568">
        <v>161.2799987792969</v>
      </c>
      <c r="F568">
        <v>161.8800048828125</v>
      </c>
      <c r="G568">
        <v>161.8800048828125</v>
      </c>
      <c r="H568">
        <v>4766500</v>
      </c>
      <c r="I568" t="s">
        <v>1738</v>
      </c>
      <c r="J568" t="s">
        <v>1739</v>
      </c>
      <c r="K568" t="s">
        <v>41</v>
      </c>
    </row>
    <row r="569" spans="1:11" ht="20" customHeight="1">
      <c r="A569" t="s">
        <v>25</v>
      </c>
      <c r="B569" t="s">
        <v>1740</v>
      </c>
      <c r="C569">
        <v>162.3000030517578</v>
      </c>
      <c r="D569">
        <v>162.6000061035156</v>
      </c>
      <c r="E569">
        <v>161.7200012207031</v>
      </c>
      <c r="F569">
        <v>162.0700073242188</v>
      </c>
      <c r="G569">
        <v>162.0700073242188</v>
      </c>
      <c r="H569">
        <v>3203800</v>
      </c>
      <c r="I569" t="s">
        <v>1741</v>
      </c>
      <c r="J569" t="s">
        <v>1742</v>
      </c>
      <c r="K569" t="s">
        <v>41</v>
      </c>
    </row>
    <row r="570" spans="1:11" ht="20" customHeight="1">
      <c r="A570" t="s">
        <v>25</v>
      </c>
      <c r="B570" t="s">
        <v>1743</v>
      </c>
      <c r="C570">
        <v>161.6900024414062</v>
      </c>
      <c r="D570">
        <v>163.2400054931641</v>
      </c>
      <c r="E570">
        <v>161.5599975585938</v>
      </c>
      <c r="F570">
        <v>163.0800018310547</v>
      </c>
      <c r="G570">
        <v>163.0800018310547</v>
      </c>
      <c r="H570">
        <v>4167000</v>
      </c>
      <c r="I570" t="s">
        <v>1744</v>
      </c>
      <c r="J570" t="s">
        <v>1745</v>
      </c>
      <c r="K570" t="s">
        <v>41</v>
      </c>
    </row>
    <row r="571" spans="1:11" ht="20" customHeight="1">
      <c r="A571" t="s">
        <v>25</v>
      </c>
      <c r="B571" t="s">
        <v>1746</v>
      </c>
      <c r="C571">
        <v>162.8500061035156</v>
      </c>
      <c r="D571">
        <v>163.4299926757812</v>
      </c>
      <c r="E571">
        <v>162.7599945068359</v>
      </c>
      <c r="F571">
        <v>163.2200012207031</v>
      </c>
      <c r="G571">
        <v>163.2200012207031</v>
      </c>
      <c r="H571">
        <v>1436500</v>
      </c>
      <c r="I571" t="s">
        <v>1747</v>
      </c>
      <c r="J571" t="s">
        <v>1748</v>
      </c>
      <c r="K571" t="s">
        <v>41</v>
      </c>
    </row>
    <row r="572" spans="1:11" ht="20" customHeight="1">
      <c r="A572" t="s">
        <v>25</v>
      </c>
      <c r="B572" t="s">
        <v>1749</v>
      </c>
      <c r="C572">
        <v>162.9299926757812</v>
      </c>
      <c r="D572">
        <v>163.0599975585938</v>
      </c>
      <c r="E572">
        <v>161.9100036621094</v>
      </c>
      <c r="F572">
        <v>161.9299926757812</v>
      </c>
      <c r="G572">
        <v>161.9299926757812</v>
      </c>
      <c r="H572">
        <v>4052900</v>
      </c>
      <c r="I572" t="s">
        <v>1750</v>
      </c>
      <c r="J572" t="s">
        <v>1751</v>
      </c>
      <c r="K572" t="s">
        <v>41</v>
      </c>
    </row>
    <row r="573" spans="1:11" ht="20" customHeight="1">
      <c r="A573" t="s">
        <v>25</v>
      </c>
      <c r="B573" t="s">
        <v>1752</v>
      </c>
      <c r="C573">
        <v>162.6999969482422</v>
      </c>
      <c r="D573">
        <v>163.6300048828125</v>
      </c>
      <c r="E573">
        <v>162.6000061035156</v>
      </c>
      <c r="F573">
        <v>162.7299957275391</v>
      </c>
      <c r="G573">
        <v>162.7299957275391</v>
      </c>
      <c r="H573">
        <v>2620600</v>
      </c>
      <c r="I573" t="s">
        <v>1753</v>
      </c>
      <c r="J573" t="s">
        <v>1754</v>
      </c>
      <c r="K573" t="s">
        <v>41</v>
      </c>
    </row>
    <row r="574" spans="1:11" ht="20" customHeight="1">
      <c r="A574" t="s">
        <v>25</v>
      </c>
      <c r="B574" t="s">
        <v>1755</v>
      </c>
      <c r="C574">
        <v>163.6900024414062</v>
      </c>
      <c r="D574">
        <v>164.8099975585938</v>
      </c>
      <c r="E574">
        <v>162.3999938964844</v>
      </c>
      <c r="F574">
        <v>164.8099975585938</v>
      </c>
      <c r="G574">
        <v>164.8099975585938</v>
      </c>
      <c r="H574">
        <v>4874700</v>
      </c>
      <c r="I574" t="s">
        <v>1756</v>
      </c>
      <c r="J574" t="s">
        <v>1757</v>
      </c>
      <c r="K574" t="s">
        <v>41</v>
      </c>
    </row>
    <row r="575" spans="1:11" ht="20" customHeight="1">
      <c r="A575" t="s">
        <v>25</v>
      </c>
      <c r="B575" t="s">
        <v>1758</v>
      </c>
      <c r="C575">
        <v>167.4799957275391</v>
      </c>
      <c r="D575">
        <v>167.9499969482422</v>
      </c>
      <c r="E575">
        <v>166.9799957275391</v>
      </c>
      <c r="F575">
        <v>167.8399963378906</v>
      </c>
      <c r="G575">
        <v>167.8399963378906</v>
      </c>
      <c r="H575">
        <v>8625800</v>
      </c>
      <c r="I575" t="s">
        <v>1759</v>
      </c>
      <c r="J575" t="s">
        <v>1760</v>
      </c>
      <c r="K575" t="s">
        <v>41</v>
      </c>
    </row>
    <row r="576" spans="1:11" ht="20" customHeight="1">
      <c r="A576" t="s">
        <v>25</v>
      </c>
      <c r="B576" t="s">
        <v>1761</v>
      </c>
      <c r="C576">
        <v>166.1799926757812</v>
      </c>
      <c r="D576">
        <v>167.4700012207031</v>
      </c>
      <c r="E576">
        <v>165.7599945068359</v>
      </c>
      <c r="F576">
        <v>167.2599945068359</v>
      </c>
      <c r="G576">
        <v>167.2599945068359</v>
      </c>
      <c r="H576">
        <v>5185900</v>
      </c>
      <c r="I576" t="s">
        <v>1762</v>
      </c>
      <c r="J576" t="s">
        <v>1763</v>
      </c>
      <c r="K576" t="s">
        <v>41</v>
      </c>
    </row>
    <row r="577" spans="1:11" ht="20" customHeight="1">
      <c r="A577" t="s">
        <v>25</v>
      </c>
      <c r="B577" t="s">
        <v>1764</v>
      </c>
      <c r="C577">
        <v>166.5500030517578</v>
      </c>
      <c r="D577">
        <v>166.7200012207031</v>
      </c>
      <c r="E577">
        <v>164.3200073242188</v>
      </c>
      <c r="F577">
        <v>164.3899993896484</v>
      </c>
      <c r="G577">
        <v>164.3899993896484</v>
      </c>
      <c r="H577">
        <v>5436200</v>
      </c>
      <c r="I577" t="s">
        <v>1765</v>
      </c>
      <c r="J577" t="s">
        <v>1766</v>
      </c>
      <c r="K577" t="s">
        <v>41</v>
      </c>
    </row>
    <row r="578" spans="1:11" ht="20" customHeight="1">
      <c r="A578" t="s">
        <v>25</v>
      </c>
      <c r="B578" t="s">
        <v>1767</v>
      </c>
      <c r="C578">
        <v>165.1999969482422</v>
      </c>
      <c r="D578">
        <v>165.5399932861328</v>
      </c>
      <c r="E578">
        <v>164.4499969482422</v>
      </c>
      <c r="F578">
        <v>164.8399963378906</v>
      </c>
      <c r="G578">
        <v>164.8399963378906</v>
      </c>
      <c r="H578">
        <v>3597800</v>
      </c>
      <c r="I578" t="s">
        <v>1768</v>
      </c>
      <c r="J578" t="s">
        <v>1769</v>
      </c>
      <c r="K578" t="s">
        <v>41</v>
      </c>
    </row>
    <row r="579" spans="1:11" ht="20" customHeight="1">
      <c r="A579" t="s">
        <v>25</v>
      </c>
      <c r="B579" t="s">
        <v>1770</v>
      </c>
      <c r="C579">
        <v>165.4700012207031</v>
      </c>
      <c r="D579">
        <v>166.6399993896484</v>
      </c>
      <c r="E579">
        <v>165.3200073242188</v>
      </c>
      <c r="F579">
        <v>166.3300018310547</v>
      </c>
      <c r="G579">
        <v>166.3300018310547</v>
      </c>
      <c r="H579">
        <v>4610700</v>
      </c>
      <c r="I579" t="s">
        <v>1771</v>
      </c>
      <c r="J579" t="s">
        <v>1772</v>
      </c>
      <c r="K579" t="s">
        <v>41</v>
      </c>
    </row>
    <row r="580" spans="1:11" ht="20" customHeight="1">
      <c r="A580" t="s">
        <v>25</v>
      </c>
      <c r="B580" t="s">
        <v>1773</v>
      </c>
      <c r="C580">
        <v>166.5800018310547</v>
      </c>
      <c r="D580">
        <v>167.0500030517578</v>
      </c>
      <c r="E580">
        <v>166.0700073242188</v>
      </c>
      <c r="F580">
        <v>166.4700012207031</v>
      </c>
      <c r="G580">
        <v>166.4700012207031</v>
      </c>
      <c r="H580">
        <v>3217900</v>
      </c>
      <c r="I580" t="s">
        <v>1774</v>
      </c>
      <c r="J580" t="s">
        <v>1775</v>
      </c>
      <c r="K580" t="s">
        <v>41</v>
      </c>
    </row>
    <row r="581" spans="1:11" ht="20" customHeight="1">
      <c r="A581" t="s">
        <v>25</v>
      </c>
      <c r="B581" t="s">
        <v>1776</v>
      </c>
      <c r="C581">
        <v>167.2599945068359</v>
      </c>
      <c r="D581">
        <v>168.0899963378906</v>
      </c>
      <c r="E581">
        <v>166.6000061035156</v>
      </c>
      <c r="F581">
        <v>167.0599975585938</v>
      </c>
      <c r="G581">
        <v>167.0599975585938</v>
      </c>
      <c r="H581">
        <v>5431300</v>
      </c>
      <c r="I581" t="s">
        <v>1777</v>
      </c>
      <c r="J581" t="s">
        <v>1778</v>
      </c>
      <c r="K581" t="s">
        <v>41</v>
      </c>
    </row>
    <row r="582" spans="1:11" ht="20" customHeight="1">
      <c r="A582" t="s">
        <v>25</v>
      </c>
      <c r="B582" t="s">
        <v>1779</v>
      </c>
      <c r="C582">
        <v>166.4400024414062</v>
      </c>
      <c r="D582">
        <v>166.6000061035156</v>
      </c>
      <c r="E582">
        <v>165.4299926757812</v>
      </c>
      <c r="F582">
        <v>165.6799926757812</v>
      </c>
      <c r="G582">
        <v>165.6799926757812</v>
      </c>
      <c r="H582">
        <v>3504400</v>
      </c>
      <c r="I582" t="s">
        <v>1780</v>
      </c>
      <c r="J582" t="s">
        <v>1781</v>
      </c>
      <c r="K582" t="s">
        <v>41</v>
      </c>
    </row>
    <row r="583" spans="1:11" ht="20" customHeight="1">
      <c r="A583" t="s">
        <v>25</v>
      </c>
      <c r="B583" t="s">
        <v>1782</v>
      </c>
      <c r="C583">
        <v>169.2100067138672</v>
      </c>
      <c r="D583">
        <v>169.7899932861328</v>
      </c>
      <c r="E583">
        <v>168.0200042724609</v>
      </c>
      <c r="F583">
        <v>168.5099945068359</v>
      </c>
      <c r="G583">
        <v>168.5099945068359</v>
      </c>
      <c r="H583">
        <v>6750200</v>
      </c>
      <c r="I583" t="s">
        <v>1783</v>
      </c>
      <c r="J583" t="s">
        <v>1784</v>
      </c>
      <c r="K583" t="s">
        <v>41</v>
      </c>
    </row>
    <row r="584" spans="1:11" ht="20" customHeight="1">
      <c r="A584" t="s">
        <v>25</v>
      </c>
      <c r="B584" t="s">
        <v>1785</v>
      </c>
      <c r="C584">
        <v>168.4299926757812</v>
      </c>
      <c r="D584">
        <v>168.8099975585938</v>
      </c>
      <c r="E584">
        <v>167.1399993896484</v>
      </c>
      <c r="F584">
        <v>168.1000061035156</v>
      </c>
      <c r="G584">
        <v>168.1000061035156</v>
      </c>
      <c r="H584">
        <v>5643000</v>
      </c>
      <c r="I584" t="s">
        <v>1786</v>
      </c>
      <c r="J584" t="s">
        <v>1787</v>
      </c>
      <c r="K584" t="s">
        <v>41</v>
      </c>
    </row>
    <row r="585" spans="1:11" ht="20" customHeight="1">
      <c r="A585" t="s">
        <v>25</v>
      </c>
      <c r="B585" t="s">
        <v>1788</v>
      </c>
      <c r="C585">
        <v>165.7299957275391</v>
      </c>
      <c r="D585">
        <v>166.2100067138672</v>
      </c>
      <c r="E585">
        <v>165.1000061035156</v>
      </c>
      <c r="F585">
        <v>165.3500061035156</v>
      </c>
      <c r="G585">
        <v>165.3500061035156</v>
      </c>
      <c r="H585">
        <v>8363000</v>
      </c>
      <c r="I585" t="s">
        <v>1789</v>
      </c>
      <c r="J585" t="s">
        <v>1790</v>
      </c>
      <c r="K585" t="s">
        <v>41</v>
      </c>
    </row>
    <row r="586" spans="1:11" ht="20" customHeight="1">
      <c r="A586" t="s">
        <v>25</v>
      </c>
      <c r="B586" t="s">
        <v>1791</v>
      </c>
      <c r="C586">
        <v>166.0200042724609</v>
      </c>
      <c r="D586">
        <v>166.9799957275391</v>
      </c>
      <c r="E586">
        <v>165.8399963378906</v>
      </c>
      <c r="F586">
        <v>166.7899932861328</v>
      </c>
      <c r="G586">
        <v>166.7899932861328</v>
      </c>
      <c r="H586">
        <v>5372000</v>
      </c>
      <c r="I586" t="s">
        <v>1792</v>
      </c>
      <c r="J586" t="s">
        <v>1793</v>
      </c>
      <c r="K586" t="s">
        <v>41</v>
      </c>
    </row>
    <row r="587" spans="1:11" ht="20" customHeight="1">
      <c r="A587" t="s">
        <v>25</v>
      </c>
      <c r="B587" t="s">
        <v>1794</v>
      </c>
      <c r="C587">
        <v>166.7100067138672</v>
      </c>
      <c r="D587">
        <v>167.1100006103516</v>
      </c>
      <c r="E587">
        <v>165.9900054931641</v>
      </c>
      <c r="F587">
        <v>166.3200073242188</v>
      </c>
      <c r="G587">
        <v>166.3200073242188</v>
      </c>
      <c r="H587">
        <v>3940500</v>
      </c>
      <c r="I587" t="s">
        <v>1795</v>
      </c>
      <c r="J587" t="s">
        <v>1796</v>
      </c>
      <c r="K587" t="s">
        <v>41</v>
      </c>
    </row>
    <row r="588" spans="1:11" ht="20" customHeight="1">
      <c r="A588" t="s">
        <v>25</v>
      </c>
      <c r="B588" t="s">
        <v>1797</v>
      </c>
      <c r="C588">
        <v>168.1000061035156</v>
      </c>
      <c r="D588">
        <v>169.5299987792969</v>
      </c>
      <c r="E588">
        <v>168.0299987792969</v>
      </c>
      <c r="F588">
        <v>169.0800018310547</v>
      </c>
      <c r="G588">
        <v>169.0800018310547</v>
      </c>
      <c r="H588">
        <v>7803100</v>
      </c>
      <c r="I588" t="s">
        <v>1798</v>
      </c>
      <c r="J588" t="s">
        <v>1799</v>
      </c>
      <c r="K588" t="s">
        <v>41</v>
      </c>
    </row>
    <row r="589" spans="1:11" ht="20" customHeight="1">
      <c r="A589" t="s">
        <v>25</v>
      </c>
      <c r="B589" t="s">
        <v>1800</v>
      </c>
      <c r="C589">
        <v>169.0399932861328</v>
      </c>
      <c r="D589">
        <v>169.7100067138672</v>
      </c>
      <c r="E589">
        <v>168.6799926757812</v>
      </c>
      <c r="F589">
        <v>168.8000030517578</v>
      </c>
      <c r="G589">
        <v>168.8000030517578</v>
      </c>
      <c r="H589">
        <v>3990100</v>
      </c>
      <c r="I589" t="s">
        <v>1801</v>
      </c>
      <c r="J589" t="s">
        <v>1802</v>
      </c>
      <c r="K589" t="s">
        <v>41</v>
      </c>
    </row>
    <row r="590" spans="1:11" ht="20" customHeight="1">
      <c r="A590" t="s">
        <v>25</v>
      </c>
      <c r="B590" t="s">
        <v>1803</v>
      </c>
      <c r="C590">
        <v>167.7599945068359</v>
      </c>
      <c r="D590">
        <v>167.7599945068359</v>
      </c>
      <c r="E590">
        <v>166.0599975585938</v>
      </c>
      <c r="F590">
        <v>166.7599945068359</v>
      </c>
      <c r="G590">
        <v>166.7599945068359</v>
      </c>
      <c r="H590">
        <v>5672700</v>
      </c>
      <c r="I590" t="s">
        <v>1804</v>
      </c>
      <c r="J590" t="s">
        <v>1805</v>
      </c>
      <c r="K590" t="s">
        <v>41</v>
      </c>
    </row>
    <row r="591" spans="1:11" ht="20" customHeight="1">
      <c r="A591" t="s">
        <v>25</v>
      </c>
      <c r="B591" t="s">
        <v>1806</v>
      </c>
      <c r="C591">
        <v>166.8800048828125</v>
      </c>
      <c r="D591">
        <v>167.8000030517578</v>
      </c>
      <c r="E591">
        <v>166.6600036621094</v>
      </c>
      <c r="F591">
        <v>167.2599945068359</v>
      </c>
      <c r="G591">
        <v>167.2599945068359</v>
      </c>
      <c r="H591">
        <v>2912300</v>
      </c>
      <c r="I591" t="s">
        <v>1807</v>
      </c>
      <c r="J591" t="s">
        <v>1808</v>
      </c>
      <c r="K591" t="s">
        <v>41</v>
      </c>
    </row>
    <row r="592" spans="1:11" ht="20" customHeight="1">
      <c r="A592" t="s">
        <v>25</v>
      </c>
      <c r="B592" t="s">
        <v>1809</v>
      </c>
      <c r="C592">
        <v>167.8899993896484</v>
      </c>
      <c r="D592">
        <v>170.6100006103516</v>
      </c>
      <c r="E592">
        <v>167.8000030517578</v>
      </c>
      <c r="F592">
        <v>168.6699981689453</v>
      </c>
      <c r="G592">
        <v>168.6699981689453</v>
      </c>
      <c r="H592">
        <v>6885700</v>
      </c>
      <c r="I592" t="s">
        <v>1810</v>
      </c>
      <c r="J592" t="s">
        <v>1811</v>
      </c>
      <c r="K592" t="s">
        <v>41</v>
      </c>
    </row>
    <row r="593" spans="1:11" ht="20" customHeight="1">
      <c r="A593" t="s">
        <v>25</v>
      </c>
      <c r="B593" t="s">
        <v>1812</v>
      </c>
      <c r="C593">
        <v>168.0500030517578</v>
      </c>
      <c r="D593">
        <v>168.3399963378906</v>
      </c>
      <c r="E593">
        <v>167.1000061035156</v>
      </c>
      <c r="F593">
        <v>167.9100036621094</v>
      </c>
      <c r="G593">
        <v>167.9100036621094</v>
      </c>
      <c r="H593">
        <v>3662500</v>
      </c>
      <c r="I593" t="s">
        <v>1813</v>
      </c>
      <c r="J593" t="s">
        <v>1814</v>
      </c>
      <c r="K593" t="s">
        <v>41</v>
      </c>
    </row>
    <row r="594" spans="1:11" ht="20" customHeight="1">
      <c r="A594" t="s">
        <v>25</v>
      </c>
      <c r="B594" t="s">
        <v>1815</v>
      </c>
      <c r="C594">
        <v>168.5399932861328</v>
      </c>
      <c r="D594">
        <v>169.3500061035156</v>
      </c>
      <c r="E594">
        <v>168.5200042724609</v>
      </c>
      <c r="F594">
        <v>168.8500061035156</v>
      </c>
      <c r="G594">
        <v>168.8500061035156</v>
      </c>
      <c r="H594">
        <v>3345900</v>
      </c>
      <c r="I594" t="s">
        <v>1816</v>
      </c>
      <c r="J594" t="s">
        <v>1817</v>
      </c>
      <c r="K594" t="s">
        <v>41</v>
      </c>
    </row>
    <row r="595" spans="1:11" ht="20" customHeight="1">
      <c r="A595" t="s">
        <v>25</v>
      </c>
      <c r="B595" t="s">
        <v>1818</v>
      </c>
      <c r="C595">
        <v>169.2599945068359</v>
      </c>
      <c r="D595">
        <v>169.8999938964844</v>
      </c>
      <c r="E595">
        <v>168.8000030517578</v>
      </c>
      <c r="F595">
        <v>169.6399993896484</v>
      </c>
      <c r="G595">
        <v>169.6399993896484</v>
      </c>
      <c r="H595">
        <v>2864500</v>
      </c>
      <c r="I595" t="s">
        <v>1819</v>
      </c>
      <c r="J595" t="s">
        <v>1820</v>
      </c>
      <c r="K595" t="s">
        <v>41</v>
      </c>
    </row>
    <row r="596" spans="1:11" ht="20" customHeight="1">
      <c r="A596" t="s">
        <v>25</v>
      </c>
      <c r="B596" t="s">
        <v>1821</v>
      </c>
      <c r="C596">
        <v>171.3200073242188</v>
      </c>
      <c r="D596">
        <v>172.0899963378906</v>
      </c>
      <c r="E596">
        <v>170.0200042724609</v>
      </c>
      <c r="F596">
        <v>171.0599975585938</v>
      </c>
      <c r="G596">
        <v>171.0599975585938</v>
      </c>
      <c r="H596">
        <v>7992900</v>
      </c>
      <c r="I596" t="s">
        <v>1822</v>
      </c>
      <c r="J596" t="s">
        <v>1823</v>
      </c>
      <c r="K596" t="s">
        <v>41</v>
      </c>
    </row>
    <row r="597" spans="1:11" ht="20" customHeight="1">
      <c r="A597" t="s">
        <v>25</v>
      </c>
      <c r="B597" t="s">
        <v>1824</v>
      </c>
      <c r="C597">
        <v>172.8600006103516</v>
      </c>
      <c r="D597">
        <v>173.0899963378906</v>
      </c>
      <c r="E597">
        <v>171.8500061035156</v>
      </c>
      <c r="F597">
        <v>172.6699981689453</v>
      </c>
      <c r="G597">
        <v>172.6699981689453</v>
      </c>
      <c r="H597">
        <v>7574600</v>
      </c>
      <c r="I597" t="s">
        <v>1825</v>
      </c>
      <c r="J597" t="s">
        <v>1826</v>
      </c>
      <c r="K597" t="s">
        <v>41</v>
      </c>
    </row>
    <row r="598" spans="1:11" ht="20" customHeight="1">
      <c r="A598" t="s">
        <v>25</v>
      </c>
      <c r="B598" t="s">
        <v>1827</v>
      </c>
      <c r="C598">
        <v>170.8200073242188</v>
      </c>
      <c r="D598">
        <v>171</v>
      </c>
      <c r="E598">
        <v>169.7899932861328</v>
      </c>
      <c r="F598">
        <v>170.5200042724609</v>
      </c>
      <c r="G598">
        <v>170.5200042724609</v>
      </c>
      <c r="H598">
        <v>4692600</v>
      </c>
      <c r="I598" t="s">
        <v>1828</v>
      </c>
      <c r="J598" t="s">
        <v>1829</v>
      </c>
      <c r="K598" t="s">
        <v>41</v>
      </c>
    </row>
    <row r="599" spans="1:11" ht="20" customHeight="1">
      <c r="A599" t="s">
        <v>25</v>
      </c>
      <c r="B599" t="s">
        <v>1830</v>
      </c>
      <c r="C599">
        <v>171.7599945068359</v>
      </c>
      <c r="D599">
        <v>173.9600067138672</v>
      </c>
      <c r="E599">
        <v>171.2299957275391</v>
      </c>
      <c r="F599">
        <v>173.7100067138672</v>
      </c>
      <c r="G599">
        <v>173.7100067138672</v>
      </c>
      <c r="H599">
        <v>7889000</v>
      </c>
      <c r="I599" t="s">
        <v>1831</v>
      </c>
      <c r="J599" t="s">
        <v>1832</v>
      </c>
      <c r="K599" t="s">
        <v>41</v>
      </c>
    </row>
    <row r="600" spans="1:11" ht="20" customHeight="1">
      <c r="A600" t="s">
        <v>25</v>
      </c>
      <c r="B600" t="s">
        <v>1833</v>
      </c>
      <c r="C600">
        <v>174.5099945068359</v>
      </c>
      <c r="D600">
        <v>175.0399932861328</v>
      </c>
      <c r="E600">
        <v>173.8800048828125</v>
      </c>
      <c r="F600">
        <v>174.1000061035156</v>
      </c>
      <c r="G600">
        <v>174.1000061035156</v>
      </c>
      <c r="H600">
        <v>5134500</v>
      </c>
      <c r="I600" t="s">
        <v>1834</v>
      </c>
      <c r="J600" t="s">
        <v>1835</v>
      </c>
      <c r="K600" t="s">
        <v>41</v>
      </c>
    </row>
    <row r="601" spans="1:11" ht="20" customHeight="1">
      <c r="A601" t="s">
        <v>25</v>
      </c>
      <c r="B601" t="s">
        <v>1836</v>
      </c>
      <c r="C601">
        <v>174.6100006103516</v>
      </c>
      <c r="D601">
        <v>174.9799957275391</v>
      </c>
      <c r="E601">
        <v>174.0599975585938</v>
      </c>
      <c r="F601">
        <v>174.7400054931641</v>
      </c>
      <c r="G601">
        <v>174.7400054931641</v>
      </c>
      <c r="H601">
        <v>4398400</v>
      </c>
      <c r="I601" t="s">
        <v>1837</v>
      </c>
      <c r="J601" t="s">
        <v>1838</v>
      </c>
      <c r="K601" t="s">
        <v>41</v>
      </c>
    </row>
    <row r="602" spans="1:11" ht="20" customHeight="1">
      <c r="A602" t="s">
        <v>25</v>
      </c>
      <c r="B602" t="s">
        <v>1839</v>
      </c>
      <c r="C602">
        <v>174.7599945068359</v>
      </c>
      <c r="D602">
        <v>174.7899932861328</v>
      </c>
      <c r="E602">
        <v>173.7200012207031</v>
      </c>
      <c r="F602">
        <v>174.6199951171875</v>
      </c>
      <c r="G602">
        <v>174.6199951171875</v>
      </c>
      <c r="H602">
        <v>3374200</v>
      </c>
      <c r="I602" t="s">
        <v>1840</v>
      </c>
      <c r="J602" t="s">
        <v>1841</v>
      </c>
      <c r="K602" t="s">
        <v>41</v>
      </c>
    </row>
    <row r="603" spans="1:11" ht="20" customHeight="1">
      <c r="A603" t="s">
        <v>25</v>
      </c>
      <c r="B603" t="s">
        <v>1842</v>
      </c>
      <c r="C603">
        <v>176.0099945068359</v>
      </c>
      <c r="D603">
        <v>176.7100067138672</v>
      </c>
      <c r="E603">
        <v>174.8800048828125</v>
      </c>
      <c r="F603">
        <v>176.6399993896484</v>
      </c>
      <c r="G603">
        <v>176.6399993896484</v>
      </c>
      <c r="H603">
        <v>6936900</v>
      </c>
      <c r="I603" t="s">
        <v>1843</v>
      </c>
      <c r="J603" t="s">
        <v>1844</v>
      </c>
      <c r="K603" t="s">
        <v>41</v>
      </c>
    </row>
    <row r="604" spans="1:11" ht="20" customHeight="1">
      <c r="A604" t="s">
        <v>25</v>
      </c>
      <c r="B604" t="s">
        <v>1845</v>
      </c>
      <c r="C604">
        <v>176.9600067138672</v>
      </c>
      <c r="D604">
        <v>178.8300018310547</v>
      </c>
      <c r="E604">
        <v>176.8899993896484</v>
      </c>
      <c r="F604">
        <v>178.7599945068359</v>
      </c>
      <c r="G604">
        <v>178.7599945068359</v>
      </c>
      <c r="H604">
        <v>7468800</v>
      </c>
      <c r="I604" t="s">
        <v>1846</v>
      </c>
      <c r="J604" t="s">
        <v>1847</v>
      </c>
      <c r="K604" t="s">
        <v>41</v>
      </c>
    </row>
    <row r="605" spans="1:11" ht="20" customHeight="1">
      <c r="A605" t="s">
        <v>25</v>
      </c>
      <c r="B605" t="s">
        <v>1848</v>
      </c>
      <c r="C605">
        <v>178.2100067138672</v>
      </c>
      <c r="D605">
        <v>178.2400054931641</v>
      </c>
      <c r="E605">
        <v>177.0899963378906</v>
      </c>
      <c r="F605">
        <v>177.5899963378906</v>
      </c>
      <c r="G605">
        <v>177.5899963378906</v>
      </c>
      <c r="H605">
        <v>6610800</v>
      </c>
      <c r="I605" t="s">
        <v>1849</v>
      </c>
      <c r="J605" t="s">
        <v>1850</v>
      </c>
      <c r="K605" t="s">
        <v>41</v>
      </c>
    </row>
    <row r="606" spans="1:11" ht="20" customHeight="1">
      <c r="A606" t="s">
        <v>25</v>
      </c>
      <c r="B606" t="s">
        <v>1851</v>
      </c>
      <c r="C606">
        <v>178.9199981689453</v>
      </c>
      <c r="D606">
        <v>179.1799926757812</v>
      </c>
      <c r="E606">
        <v>176.8999938964844</v>
      </c>
      <c r="F606">
        <v>177.0800018310547</v>
      </c>
      <c r="G606">
        <v>177.0800018310547</v>
      </c>
      <c r="H606">
        <v>5384700</v>
      </c>
      <c r="I606" t="s">
        <v>1852</v>
      </c>
      <c r="J606" t="s">
        <v>1853</v>
      </c>
      <c r="K606" t="s">
        <v>41</v>
      </c>
    </row>
    <row r="607" spans="1:11" ht="20" customHeight="1">
      <c r="A607" t="s">
        <v>25</v>
      </c>
      <c r="B607" t="s">
        <v>1854</v>
      </c>
      <c r="C607">
        <v>178.3699951171875</v>
      </c>
      <c r="D607">
        <v>180.0299987792969</v>
      </c>
      <c r="E607">
        <v>178.0899963378906</v>
      </c>
      <c r="F607">
        <v>179.8899993896484</v>
      </c>
      <c r="G607">
        <v>179.8899993896484</v>
      </c>
      <c r="H607">
        <v>6678700</v>
      </c>
      <c r="I607" t="s">
        <v>1855</v>
      </c>
      <c r="J607" t="s">
        <v>1856</v>
      </c>
      <c r="K607" t="s">
        <v>41</v>
      </c>
    </row>
    <row r="608" spans="1:11" ht="20" customHeight="1">
      <c r="A608" t="s">
        <v>25</v>
      </c>
      <c r="B608" t="s">
        <v>1857</v>
      </c>
      <c r="C608">
        <v>179.0599975585938</v>
      </c>
      <c r="D608">
        <v>179.6600036621094</v>
      </c>
      <c r="E608">
        <v>178.6499938964844</v>
      </c>
      <c r="F608">
        <v>179.2899932861328</v>
      </c>
      <c r="G608">
        <v>179.2899932861328</v>
      </c>
      <c r="H608">
        <v>5754800</v>
      </c>
      <c r="I608" t="s">
        <v>1858</v>
      </c>
      <c r="J608" t="s">
        <v>1859</v>
      </c>
      <c r="K608" t="s">
        <v>41</v>
      </c>
    </row>
    <row r="609" spans="1:11" ht="20" customHeight="1">
      <c r="A609" t="s">
        <v>25</v>
      </c>
      <c r="B609" t="s">
        <v>1860</v>
      </c>
      <c r="C609">
        <v>178.3500061035156</v>
      </c>
      <c r="D609">
        <v>179.6900024414062</v>
      </c>
      <c r="E609">
        <v>177.7799987792969</v>
      </c>
      <c r="F609">
        <v>179.6300048828125</v>
      </c>
      <c r="G609">
        <v>179.6300048828125</v>
      </c>
      <c r="H609">
        <v>5265500</v>
      </c>
      <c r="I609" t="s">
        <v>1861</v>
      </c>
      <c r="J609" t="s">
        <v>1862</v>
      </c>
      <c r="K609" t="s">
        <v>41</v>
      </c>
    </row>
    <row r="610" spans="1:11" ht="20" customHeight="1">
      <c r="A610" t="s">
        <v>25</v>
      </c>
      <c r="B610" t="s">
        <v>1863</v>
      </c>
      <c r="C610">
        <v>179.5599975585938</v>
      </c>
      <c r="D610">
        <v>180.3200073242188</v>
      </c>
      <c r="E610">
        <v>178.3500061035156</v>
      </c>
      <c r="F610">
        <v>180.2799987792969</v>
      </c>
      <c r="G610">
        <v>180.2799987792969</v>
      </c>
      <c r="H610">
        <v>4604600</v>
      </c>
      <c r="I610" t="s">
        <v>1864</v>
      </c>
      <c r="J610" t="s">
        <v>1865</v>
      </c>
      <c r="K610" t="s">
        <v>41</v>
      </c>
    </row>
    <row r="611" spans="1:11" ht="20" customHeight="1">
      <c r="A611" t="s">
        <v>25</v>
      </c>
      <c r="B611" t="s">
        <v>1866</v>
      </c>
      <c r="C611">
        <v>179.3500061035156</v>
      </c>
      <c r="D611">
        <v>181.2200012207031</v>
      </c>
      <c r="E611">
        <v>179.2899932861328</v>
      </c>
      <c r="F611">
        <v>181.1100006103516</v>
      </c>
      <c r="G611">
        <v>181.1100006103516</v>
      </c>
      <c r="H611">
        <v>6925300</v>
      </c>
      <c r="I611" t="s">
        <v>1867</v>
      </c>
      <c r="J611" t="s">
        <v>1868</v>
      </c>
      <c r="K611" t="s">
        <v>41</v>
      </c>
    </row>
    <row r="612" spans="1:11" ht="20" customHeight="1">
      <c r="A612" t="s">
        <v>25</v>
      </c>
      <c r="B612" t="s">
        <v>1869</v>
      </c>
      <c r="C612">
        <v>180.1499938964844</v>
      </c>
      <c r="D612">
        <v>180.2700042724609</v>
      </c>
      <c r="E612">
        <v>178.4600067138672</v>
      </c>
      <c r="F612">
        <v>179.4700012207031</v>
      </c>
      <c r="G612">
        <v>179.4700012207031</v>
      </c>
      <c r="H612">
        <v>5860100</v>
      </c>
      <c r="I612" t="s">
        <v>1870</v>
      </c>
      <c r="J612" t="s">
        <v>1871</v>
      </c>
      <c r="K612" t="s">
        <v>41</v>
      </c>
    </row>
    <row r="613" spans="1:11" ht="20" customHeight="1">
      <c r="A613" t="s">
        <v>25</v>
      </c>
      <c r="B613" t="s">
        <v>1872</v>
      </c>
      <c r="C613">
        <v>179.2700042724609</v>
      </c>
      <c r="D613">
        <v>179.7200012207031</v>
      </c>
      <c r="E613">
        <v>178.2599945068359</v>
      </c>
      <c r="F613">
        <v>179.2200012207031</v>
      </c>
      <c r="G613">
        <v>179.2200012207031</v>
      </c>
      <c r="H613">
        <v>6052700</v>
      </c>
      <c r="I613" t="s">
        <v>1873</v>
      </c>
      <c r="J613" t="s">
        <v>1874</v>
      </c>
      <c r="K613" t="s">
        <v>41</v>
      </c>
    </row>
    <row r="614" spans="1:11" ht="20" customHeight="1">
      <c r="A614" t="s">
        <v>25</v>
      </c>
      <c r="B614" t="s">
        <v>1875</v>
      </c>
      <c r="C614">
        <v>179.2899932861328</v>
      </c>
      <c r="D614">
        <v>179.4299926757812</v>
      </c>
      <c r="E614">
        <v>178.6499938964844</v>
      </c>
      <c r="F614">
        <v>178.7599945068359</v>
      </c>
      <c r="G614">
        <v>178.7599945068359</v>
      </c>
      <c r="H614">
        <v>4210700</v>
      </c>
      <c r="I614" t="s">
        <v>1876</v>
      </c>
      <c r="J614" t="s">
        <v>1877</v>
      </c>
      <c r="K614" t="s">
        <v>41</v>
      </c>
    </row>
    <row r="615" spans="1:11" ht="20" customHeight="1">
      <c r="A615" t="s">
        <v>25</v>
      </c>
      <c r="B615" t="s">
        <v>1878</v>
      </c>
      <c r="C615">
        <v>178.8200073242188</v>
      </c>
      <c r="D615">
        <v>179.6999969482422</v>
      </c>
      <c r="E615">
        <v>178.5399932861328</v>
      </c>
      <c r="F615">
        <v>179.4100036621094</v>
      </c>
      <c r="G615">
        <v>179.4100036621094</v>
      </c>
      <c r="H615">
        <v>5976900</v>
      </c>
      <c r="I615" t="s">
        <v>1879</v>
      </c>
      <c r="J615" t="s">
        <v>1880</v>
      </c>
      <c r="K615" t="s">
        <v>41</v>
      </c>
    </row>
    <row r="616" spans="1:11" ht="20" customHeight="1">
      <c r="A616" t="s">
        <v>25</v>
      </c>
      <c r="B616" t="s">
        <v>1881</v>
      </c>
      <c r="C616">
        <v>179.75</v>
      </c>
      <c r="D616">
        <v>181.7299957275391</v>
      </c>
      <c r="E616">
        <v>178.6300048828125</v>
      </c>
      <c r="F616">
        <v>181.6699981689453</v>
      </c>
      <c r="G616">
        <v>181.6699981689453</v>
      </c>
      <c r="H616">
        <v>7996000</v>
      </c>
      <c r="I616" t="s">
        <v>1882</v>
      </c>
      <c r="J616" t="s">
        <v>1883</v>
      </c>
      <c r="K616" t="s">
        <v>41</v>
      </c>
    </row>
    <row r="617" spans="1:11" ht="20" customHeight="1">
      <c r="A617" t="s">
        <v>25</v>
      </c>
      <c r="B617" t="s">
        <v>1884</v>
      </c>
      <c r="C617">
        <v>181.0800018310547</v>
      </c>
      <c r="D617">
        <v>181.1100006103516</v>
      </c>
      <c r="E617">
        <v>177.7400054931641</v>
      </c>
      <c r="F617">
        <v>177.8999938964844</v>
      </c>
      <c r="G617">
        <v>177.8999938964844</v>
      </c>
      <c r="H617">
        <v>8842400</v>
      </c>
      <c r="I617" t="s">
        <v>1885</v>
      </c>
      <c r="J617" t="s">
        <v>1886</v>
      </c>
      <c r="K617" t="s">
        <v>41</v>
      </c>
    </row>
    <row r="618" spans="1:11" ht="20" customHeight="1">
      <c r="A618" t="s">
        <v>25</v>
      </c>
      <c r="B618" t="s">
        <v>1887</v>
      </c>
      <c r="C618">
        <v>174.9199981689453</v>
      </c>
      <c r="D618">
        <v>175.4299926757812</v>
      </c>
      <c r="E618">
        <v>173.1199951171875</v>
      </c>
      <c r="F618">
        <v>173.4600067138672</v>
      </c>
      <c r="G618">
        <v>173.4600067138672</v>
      </c>
      <c r="H618">
        <v>13674400</v>
      </c>
      <c r="I618" t="s">
        <v>1888</v>
      </c>
      <c r="J618" t="s">
        <v>1889</v>
      </c>
      <c r="K618" t="s">
        <v>41</v>
      </c>
    </row>
    <row r="619" spans="1:11" ht="20" customHeight="1">
      <c r="A619" t="s">
        <v>25</v>
      </c>
      <c r="B619" t="s">
        <v>1890</v>
      </c>
      <c r="C619">
        <v>174.1100006103516</v>
      </c>
      <c r="D619">
        <v>174.4600067138672</v>
      </c>
      <c r="E619">
        <v>173.2799987792969</v>
      </c>
      <c r="F619">
        <v>173.8200073242188</v>
      </c>
      <c r="G619">
        <v>173.8200073242188</v>
      </c>
      <c r="H619">
        <v>8957000</v>
      </c>
      <c r="I619" t="s">
        <v>1891</v>
      </c>
      <c r="J619" t="s">
        <v>1892</v>
      </c>
      <c r="K619" t="s">
        <v>41</v>
      </c>
    </row>
    <row r="620" spans="1:11" ht="20" customHeight="1">
      <c r="A620" t="s">
        <v>25</v>
      </c>
      <c r="B620" t="s">
        <v>1893</v>
      </c>
      <c r="C620">
        <v>173.7200012207031</v>
      </c>
      <c r="D620">
        <v>175.2700042724609</v>
      </c>
      <c r="E620">
        <v>173.4700012207031</v>
      </c>
      <c r="F620">
        <v>173.9799957275391</v>
      </c>
      <c r="G620">
        <v>173.9799957275391</v>
      </c>
      <c r="H620">
        <v>6794200</v>
      </c>
      <c r="I620" t="s">
        <v>1894</v>
      </c>
      <c r="J620" t="s">
        <v>1895</v>
      </c>
      <c r="K620" t="s">
        <v>41</v>
      </c>
    </row>
    <row r="621" spans="1:11" ht="20" customHeight="1">
      <c r="A621" t="s">
        <v>25</v>
      </c>
      <c r="B621" t="s">
        <v>1896</v>
      </c>
      <c r="C621">
        <v>174.9400024414062</v>
      </c>
      <c r="D621">
        <v>174.9900054931641</v>
      </c>
      <c r="E621">
        <v>173.8300018310547</v>
      </c>
      <c r="F621">
        <v>174.4100036621094</v>
      </c>
      <c r="G621">
        <v>174.4100036621094</v>
      </c>
      <c r="H621">
        <v>4075600</v>
      </c>
      <c r="I621" t="s">
        <v>1897</v>
      </c>
      <c r="J621" t="s">
        <v>1898</v>
      </c>
      <c r="K621" t="s">
        <v>41</v>
      </c>
    </row>
    <row r="622" spans="1:11" ht="20" customHeight="1">
      <c r="A622" t="s">
        <v>25</v>
      </c>
      <c r="B622" t="s">
        <v>1899</v>
      </c>
      <c r="C622">
        <v>175.4900054931641</v>
      </c>
      <c r="D622">
        <v>175.5200042724609</v>
      </c>
      <c r="E622">
        <v>172.8699951171875</v>
      </c>
      <c r="F622">
        <v>173.0299987792969</v>
      </c>
      <c r="G622">
        <v>173.0299987792969</v>
      </c>
      <c r="H622">
        <v>5361300</v>
      </c>
      <c r="I622" t="s">
        <v>1900</v>
      </c>
      <c r="J622" t="s">
        <v>1901</v>
      </c>
      <c r="K622" t="s">
        <v>41</v>
      </c>
    </row>
    <row r="623" spans="1:11" ht="20" customHeight="1">
      <c r="A623" t="s">
        <v>25</v>
      </c>
      <c r="B623" t="s">
        <v>1902</v>
      </c>
      <c r="C623">
        <v>173.6300048828125</v>
      </c>
      <c r="D623">
        <v>173.6799926757812</v>
      </c>
      <c r="E623">
        <v>172.6300048828125</v>
      </c>
      <c r="F623">
        <v>173.3600006103516</v>
      </c>
      <c r="G623">
        <v>173.3600006103516</v>
      </c>
      <c r="H623">
        <v>2971100</v>
      </c>
      <c r="I623" t="s">
        <v>1903</v>
      </c>
      <c r="J623" t="s">
        <v>1904</v>
      </c>
      <c r="K623" t="s">
        <v>41</v>
      </c>
    </row>
    <row r="624" spans="1:11" ht="20" customHeight="1">
      <c r="A624" t="s">
        <v>25</v>
      </c>
      <c r="B624" t="s">
        <v>1905</v>
      </c>
      <c r="C624">
        <v>172.6999969482422</v>
      </c>
      <c r="D624">
        <v>172.8999938964844</v>
      </c>
      <c r="E624">
        <v>172.0700073242188</v>
      </c>
      <c r="F624">
        <v>172.4799957275391</v>
      </c>
      <c r="G624">
        <v>172.4799957275391</v>
      </c>
      <c r="H624">
        <v>3970800</v>
      </c>
      <c r="I624" t="s">
        <v>1906</v>
      </c>
      <c r="J624" t="s">
        <v>1907</v>
      </c>
      <c r="K624" t="s">
        <v>41</v>
      </c>
    </row>
    <row r="625" spans="1:11" ht="20" customHeight="1">
      <c r="A625" t="s">
        <v>25</v>
      </c>
      <c r="B625" t="s">
        <v>1908</v>
      </c>
      <c r="C625">
        <v>171.9700012207031</v>
      </c>
      <c r="D625">
        <v>173.5099945068359</v>
      </c>
      <c r="E625">
        <v>171.4100036621094</v>
      </c>
      <c r="F625">
        <v>172.6100006103516</v>
      </c>
      <c r="G625">
        <v>172.6100006103516</v>
      </c>
      <c r="H625">
        <v>5403100</v>
      </c>
      <c r="I625" t="s">
        <v>1909</v>
      </c>
      <c r="J625" t="s">
        <v>1910</v>
      </c>
      <c r="K625" t="s">
        <v>41</v>
      </c>
    </row>
    <row r="626" spans="1:11" ht="20" customHeight="1">
      <c r="A626" t="s">
        <v>25</v>
      </c>
      <c r="B626" t="s">
        <v>1911</v>
      </c>
      <c r="C626">
        <v>170.6000061035156</v>
      </c>
      <c r="D626">
        <v>170.9900054931641</v>
      </c>
      <c r="E626">
        <v>170.1600036621094</v>
      </c>
      <c r="F626">
        <v>170.8899993896484</v>
      </c>
      <c r="G626">
        <v>170.8899993896484</v>
      </c>
      <c r="H626">
        <v>5423800</v>
      </c>
      <c r="I626" t="s">
        <v>1912</v>
      </c>
      <c r="J626" t="s">
        <v>1913</v>
      </c>
      <c r="K626" t="s">
        <v>41</v>
      </c>
    </row>
    <row r="627" spans="1:11" ht="20" customHeight="1">
      <c r="A627" t="s">
        <v>25</v>
      </c>
      <c r="B627" t="s">
        <v>1914</v>
      </c>
      <c r="C627">
        <v>170.3399963378906</v>
      </c>
      <c r="D627">
        <v>171.6000061035156</v>
      </c>
      <c r="E627">
        <v>169.9600067138672</v>
      </c>
      <c r="F627">
        <v>170.75</v>
      </c>
      <c r="G627">
        <v>170.75</v>
      </c>
      <c r="H627">
        <v>4540400</v>
      </c>
      <c r="I627" t="s">
        <v>1915</v>
      </c>
      <c r="J627" t="s">
        <v>1916</v>
      </c>
      <c r="K627" t="s">
        <v>41</v>
      </c>
    </row>
    <row r="628" spans="1:11" ht="20" customHeight="1">
      <c r="A628" t="s">
        <v>25</v>
      </c>
      <c r="B628" t="s">
        <v>1917</v>
      </c>
      <c r="C628">
        <v>169.8699951171875</v>
      </c>
      <c r="D628">
        <v>171.4700012207031</v>
      </c>
      <c r="E628">
        <v>169.5200042724609</v>
      </c>
      <c r="F628">
        <v>171.2599945068359</v>
      </c>
      <c r="G628">
        <v>171.2599945068359</v>
      </c>
      <c r="H628">
        <v>4809800</v>
      </c>
      <c r="I628" t="s">
        <v>1918</v>
      </c>
      <c r="J628" t="s">
        <v>1919</v>
      </c>
      <c r="K628" t="s">
        <v>41</v>
      </c>
    </row>
    <row r="629" spans="1:11" ht="20" customHeight="1">
      <c r="A629" t="s">
        <v>25</v>
      </c>
      <c r="B629" t="s">
        <v>1920</v>
      </c>
      <c r="C629">
        <v>171.1999969482422</v>
      </c>
      <c r="D629">
        <v>171.5</v>
      </c>
      <c r="E629">
        <v>170.3399963378906</v>
      </c>
      <c r="F629">
        <v>170.6199951171875</v>
      </c>
      <c r="G629">
        <v>170.6199951171875</v>
      </c>
      <c r="H629">
        <v>4035900</v>
      </c>
      <c r="I629" t="s">
        <v>1921</v>
      </c>
      <c r="J629" t="s">
        <v>1922</v>
      </c>
      <c r="K629" t="s">
        <v>41</v>
      </c>
    </row>
    <row r="630" spans="1:11" ht="20" customHeight="1">
      <c r="A630" t="s">
        <v>25</v>
      </c>
      <c r="B630" t="s">
        <v>1923</v>
      </c>
      <c r="C630">
        <v>170.8099975585938</v>
      </c>
      <c r="D630">
        <v>170.9600067138672</v>
      </c>
      <c r="E630">
        <v>169.5599975585938</v>
      </c>
      <c r="F630">
        <v>169.6600036621094</v>
      </c>
      <c r="G630">
        <v>169.6600036621094</v>
      </c>
      <c r="H630">
        <v>4105700</v>
      </c>
      <c r="I630" t="s">
        <v>1924</v>
      </c>
      <c r="J630" t="s">
        <v>1925</v>
      </c>
      <c r="K630" t="s">
        <v>41</v>
      </c>
    </row>
    <row r="631" spans="1:11" ht="20" customHeight="1">
      <c r="A631" t="s">
        <v>25</v>
      </c>
      <c r="B631" t="s">
        <v>1926</v>
      </c>
      <c r="C631">
        <v>169.8399963378906</v>
      </c>
      <c r="D631">
        <v>170.1300048828125</v>
      </c>
      <c r="E631">
        <v>169.0800018310547</v>
      </c>
      <c r="F631">
        <v>169.5700073242188</v>
      </c>
      <c r="G631">
        <v>169.5700073242188</v>
      </c>
      <c r="H631">
        <v>5073500</v>
      </c>
      <c r="I631" t="s">
        <v>1927</v>
      </c>
      <c r="J631" t="s">
        <v>1928</v>
      </c>
      <c r="K631" t="s">
        <v>41</v>
      </c>
    </row>
    <row r="632" spans="1:11" ht="20" customHeight="1">
      <c r="A632" t="s">
        <v>25</v>
      </c>
      <c r="B632" t="s">
        <v>1929</v>
      </c>
      <c r="C632">
        <v>168.4199981689453</v>
      </c>
      <c r="D632">
        <v>168.8399963378906</v>
      </c>
      <c r="E632">
        <v>168.1900024414062</v>
      </c>
      <c r="F632">
        <v>168.3500061035156</v>
      </c>
      <c r="G632">
        <v>168.3500061035156</v>
      </c>
      <c r="H632">
        <v>6496500</v>
      </c>
      <c r="I632" t="s">
        <v>1930</v>
      </c>
      <c r="J632" t="s">
        <v>1931</v>
      </c>
      <c r="K632" t="s">
        <v>41</v>
      </c>
    </row>
    <row r="633" spans="1:11" ht="20" customHeight="1">
      <c r="A633" t="s">
        <v>25</v>
      </c>
      <c r="B633" t="s">
        <v>1932</v>
      </c>
      <c r="C633">
        <v>168.8800048828125</v>
      </c>
      <c r="D633">
        <v>169.2299957275391</v>
      </c>
      <c r="E633">
        <v>168.5500030517578</v>
      </c>
      <c r="F633">
        <v>169.0099945068359</v>
      </c>
      <c r="G633">
        <v>169.0099945068359</v>
      </c>
      <c r="H633">
        <v>4509200</v>
      </c>
      <c r="I633" t="s">
        <v>1933</v>
      </c>
      <c r="J633" t="s">
        <v>1934</v>
      </c>
      <c r="K633" t="s">
        <v>41</v>
      </c>
    </row>
    <row r="634" spans="1:11" ht="20" customHeight="1">
      <c r="A634" t="s">
        <v>25</v>
      </c>
      <c r="B634" t="s">
        <v>1935</v>
      </c>
      <c r="C634">
        <v>168.7799987792969</v>
      </c>
      <c r="D634">
        <v>170.25</v>
      </c>
      <c r="E634">
        <v>168.5899963378906</v>
      </c>
      <c r="F634">
        <v>169.7799987792969</v>
      </c>
      <c r="G634">
        <v>169.7799987792969</v>
      </c>
      <c r="H634">
        <v>6761600</v>
      </c>
      <c r="I634" t="s">
        <v>1936</v>
      </c>
      <c r="J634" t="s">
        <v>1937</v>
      </c>
      <c r="K634" t="s">
        <v>41</v>
      </c>
    </row>
    <row r="635" spans="1:11" ht="20" customHeight="1">
      <c r="A635" t="s">
        <v>25</v>
      </c>
      <c r="B635" t="s">
        <v>1938</v>
      </c>
      <c r="C635">
        <v>170.9499969482422</v>
      </c>
      <c r="D635">
        <v>171.4900054931641</v>
      </c>
      <c r="E635">
        <v>170.4700012207031</v>
      </c>
      <c r="F635">
        <v>170.7599945068359</v>
      </c>
      <c r="G635">
        <v>170.7599945068359</v>
      </c>
      <c r="H635">
        <v>6590500</v>
      </c>
      <c r="I635" t="s">
        <v>1939</v>
      </c>
      <c r="J635" t="s">
        <v>1940</v>
      </c>
      <c r="K635" t="s">
        <v>41</v>
      </c>
    </row>
    <row r="636" spans="1:11" ht="20" customHeight="1">
      <c r="A636" t="s">
        <v>25</v>
      </c>
      <c r="B636" t="s">
        <v>1941</v>
      </c>
      <c r="C636">
        <v>170.5200042724609</v>
      </c>
      <c r="D636">
        <v>170.9799957275391</v>
      </c>
      <c r="E636">
        <v>170.3600006103516</v>
      </c>
      <c r="F636">
        <v>170.6600036621094</v>
      </c>
      <c r="G636">
        <v>170.6600036621094</v>
      </c>
      <c r="H636">
        <v>3950700</v>
      </c>
      <c r="I636" t="s">
        <v>1942</v>
      </c>
      <c r="J636" t="s">
        <v>1943</v>
      </c>
      <c r="K636" t="s">
        <v>41</v>
      </c>
    </row>
    <row r="637" spans="1:11" ht="20" customHeight="1">
      <c r="A637" t="s">
        <v>25</v>
      </c>
      <c r="B637" t="s">
        <v>1944</v>
      </c>
      <c r="C637">
        <v>171.4499969482422</v>
      </c>
      <c r="D637">
        <v>172.6000061035156</v>
      </c>
      <c r="E637">
        <v>170.9799957275391</v>
      </c>
      <c r="F637">
        <v>172.4900054931641</v>
      </c>
      <c r="G637">
        <v>172.4900054931641</v>
      </c>
      <c r="H637">
        <v>6894500</v>
      </c>
      <c r="I637" t="s">
        <v>1945</v>
      </c>
      <c r="J637" t="s">
        <v>1946</v>
      </c>
      <c r="K637" t="s">
        <v>41</v>
      </c>
    </row>
    <row r="638" spans="1:11" ht="20" customHeight="1">
      <c r="A638" t="s">
        <v>25</v>
      </c>
      <c r="B638" t="s">
        <v>1947</v>
      </c>
      <c r="C638">
        <v>172.3200073242188</v>
      </c>
      <c r="D638">
        <v>172.3699951171875</v>
      </c>
      <c r="E638">
        <v>171.5399932861328</v>
      </c>
      <c r="F638">
        <v>171.6199951171875</v>
      </c>
      <c r="G638">
        <v>171.6199951171875</v>
      </c>
      <c r="H638">
        <v>4264100</v>
      </c>
      <c r="I638" t="s">
        <v>1948</v>
      </c>
      <c r="J638" t="s">
        <v>1949</v>
      </c>
      <c r="K638" t="s">
        <v>41</v>
      </c>
    </row>
    <row r="639" spans="1:11" ht="20" customHeight="1">
      <c r="A639" t="s">
        <v>25</v>
      </c>
      <c r="B639" t="s">
        <v>1950</v>
      </c>
      <c r="C639">
        <v>170.4199981689453</v>
      </c>
      <c r="D639">
        <v>170.4700012207031</v>
      </c>
      <c r="E639">
        <v>168.5200042724609</v>
      </c>
      <c r="F639">
        <v>168.6199951171875</v>
      </c>
      <c r="G639">
        <v>168.6199951171875</v>
      </c>
      <c r="H639">
        <v>8713300</v>
      </c>
      <c r="I639" t="s">
        <v>1951</v>
      </c>
      <c r="J639" t="s">
        <v>1952</v>
      </c>
      <c r="K639" t="s">
        <v>41</v>
      </c>
    </row>
    <row r="640" spans="1:11" ht="20" customHeight="1">
      <c r="A640" t="s">
        <v>25</v>
      </c>
      <c r="B640" t="s">
        <v>1953</v>
      </c>
      <c r="C640">
        <v>168.6100006103516</v>
      </c>
      <c r="D640">
        <v>169.5899963378906</v>
      </c>
      <c r="E640">
        <v>168.5200042724609</v>
      </c>
      <c r="F640">
        <v>168.5399932861328</v>
      </c>
      <c r="G640">
        <v>168.5399932861328</v>
      </c>
      <c r="H640">
        <v>5718600</v>
      </c>
      <c r="I640" t="s">
        <v>1954</v>
      </c>
      <c r="J640" t="s">
        <v>1955</v>
      </c>
      <c r="K640" t="s">
        <v>41</v>
      </c>
    </row>
    <row r="641" spans="1:11" ht="20" customHeight="1">
      <c r="A641" t="s">
        <v>25</v>
      </c>
      <c r="B641" t="s">
        <v>1956</v>
      </c>
      <c r="C641">
        <v>169.75</v>
      </c>
      <c r="D641">
        <v>170.6499938964844</v>
      </c>
      <c r="E641">
        <v>169.7100067138672</v>
      </c>
      <c r="F641">
        <v>170.1999969482422</v>
      </c>
      <c r="G641">
        <v>170.1999969482422</v>
      </c>
      <c r="H641">
        <v>5583000</v>
      </c>
      <c r="I641" t="s">
        <v>1957</v>
      </c>
      <c r="J641" t="s">
        <v>1958</v>
      </c>
      <c r="K641" t="s">
        <v>41</v>
      </c>
    </row>
    <row r="642" spans="1:11" ht="20" customHeight="1">
      <c r="A642" t="s">
        <v>25</v>
      </c>
      <c r="B642" t="s">
        <v>1959</v>
      </c>
      <c r="C642">
        <v>171.9299926757812</v>
      </c>
      <c r="D642">
        <v>173.8800048828125</v>
      </c>
      <c r="E642">
        <v>171.9199981689453</v>
      </c>
      <c r="F642">
        <v>173.8699951171875</v>
      </c>
      <c r="G642">
        <v>173.8699951171875</v>
      </c>
      <c r="H642">
        <v>13803400</v>
      </c>
      <c r="I642" t="s">
        <v>1960</v>
      </c>
      <c r="J642" t="s">
        <v>1961</v>
      </c>
      <c r="K642" t="s">
        <v>41</v>
      </c>
    </row>
    <row r="643" spans="1:11" ht="20" customHeight="1">
      <c r="A643" t="s">
        <v>25</v>
      </c>
      <c r="B643" t="s">
        <v>1962</v>
      </c>
      <c r="C643">
        <v>176.6600036621094</v>
      </c>
      <c r="D643">
        <v>178.0200042724609</v>
      </c>
      <c r="E643">
        <v>176.3000030517578</v>
      </c>
      <c r="F643">
        <v>177.8600006103516</v>
      </c>
      <c r="G643">
        <v>177.8600006103516</v>
      </c>
      <c r="H643">
        <v>20554400</v>
      </c>
      <c r="I643" t="s">
        <v>1963</v>
      </c>
      <c r="J643" t="s">
        <v>1964</v>
      </c>
      <c r="K643" t="s">
        <v>41</v>
      </c>
    </row>
    <row r="644" spans="1:11" ht="20" customHeight="1">
      <c r="A644" t="s">
        <v>25</v>
      </c>
      <c r="B644" t="s">
        <v>1965</v>
      </c>
      <c r="C644">
        <v>177.3500061035156</v>
      </c>
      <c r="D644">
        <v>177.5899963378906</v>
      </c>
      <c r="E644">
        <v>176.2100067138672</v>
      </c>
      <c r="F644">
        <v>176.8300018310547</v>
      </c>
      <c r="G644">
        <v>176.8300018310547</v>
      </c>
      <c r="H644">
        <v>10019000</v>
      </c>
      <c r="I644" t="s">
        <v>1966</v>
      </c>
      <c r="J644" t="s">
        <v>1967</v>
      </c>
      <c r="K644" t="s">
        <v>41</v>
      </c>
    </row>
    <row r="645" spans="1:11" ht="20" customHeight="1">
      <c r="A645" t="s">
        <v>25</v>
      </c>
      <c r="B645" t="s">
        <v>1968</v>
      </c>
      <c r="C645">
        <v>178.8600006103516</v>
      </c>
      <c r="D645">
        <v>180.1300048828125</v>
      </c>
      <c r="E645">
        <v>177.4900054931641</v>
      </c>
      <c r="F645">
        <v>178.2100067138672</v>
      </c>
      <c r="G645">
        <v>178.2100067138672</v>
      </c>
      <c r="H645">
        <v>14546100</v>
      </c>
      <c r="I645" t="s">
        <v>1969</v>
      </c>
      <c r="J645" t="s">
        <v>1970</v>
      </c>
      <c r="K645" t="s">
        <v>41</v>
      </c>
    </row>
    <row r="646" spans="1:11" ht="20" customHeight="1">
      <c r="A646" t="s">
        <v>25</v>
      </c>
      <c r="B646" t="s">
        <v>1971</v>
      </c>
      <c r="C646">
        <v>179.5099945068359</v>
      </c>
      <c r="D646">
        <v>179.6499938964844</v>
      </c>
      <c r="E646">
        <v>177.8699951171875</v>
      </c>
      <c r="F646">
        <v>178.5700073242188</v>
      </c>
      <c r="G646">
        <v>178.5700073242188</v>
      </c>
      <c r="H646">
        <v>10762200</v>
      </c>
      <c r="I646" t="s">
        <v>1972</v>
      </c>
      <c r="J646" t="s">
        <v>1973</v>
      </c>
      <c r="K646" t="s">
        <v>41</v>
      </c>
    </row>
    <row r="647" spans="1:11" ht="20" customHeight="1">
      <c r="A647" t="s">
        <v>25</v>
      </c>
      <c r="B647" t="s">
        <v>1974</v>
      </c>
      <c r="C647">
        <v>181.0200042724609</v>
      </c>
      <c r="D647">
        <v>184.8099975585938</v>
      </c>
      <c r="E647">
        <v>180.7700042724609</v>
      </c>
      <c r="F647">
        <v>183.7700042724609</v>
      </c>
      <c r="G647">
        <v>183.7700042724609</v>
      </c>
      <c r="H647">
        <v>24156300</v>
      </c>
      <c r="I647" t="s">
        <v>1975</v>
      </c>
      <c r="J647" t="s">
        <v>1976</v>
      </c>
      <c r="K647" t="s">
        <v>41</v>
      </c>
    </row>
    <row r="648" spans="1:11" ht="20" customHeight="1">
      <c r="A648" t="s">
        <v>25</v>
      </c>
      <c r="B648" t="s">
        <v>1977</v>
      </c>
      <c r="C648">
        <v>184.1900024414062</v>
      </c>
      <c r="D648">
        <v>184.5399932861328</v>
      </c>
      <c r="E648">
        <v>182.7400054931641</v>
      </c>
      <c r="F648">
        <v>183.8399963378906</v>
      </c>
      <c r="G648">
        <v>183.8399963378906</v>
      </c>
      <c r="H648">
        <v>11845700</v>
      </c>
      <c r="I648" t="s">
        <v>1978</v>
      </c>
      <c r="J648" t="s">
        <v>1979</v>
      </c>
      <c r="K648" t="s">
        <v>41</v>
      </c>
    </row>
    <row r="649" spans="1:11" ht="20" customHeight="1">
      <c r="A649" t="s">
        <v>25</v>
      </c>
      <c r="B649" t="s">
        <v>1980</v>
      </c>
      <c r="C649">
        <v>182.6499938964844</v>
      </c>
      <c r="D649">
        <v>182.7299957275391</v>
      </c>
      <c r="E649">
        <v>179.8999938964844</v>
      </c>
      <c r="F649">
        <v>180.3699951171875</v>
      </c>
      <c r="G649">
        <v>180.3699951171875</v>
      </c>
      <c r="H649">
        <v>10734500</v>
      </c>
      <c r="I649" t="s">
        <v>1981</v>
      </c>
      <c r="J649" t="s">
        <v>1982</v>
      </c>
      <c r="K649" t="s">
        <v>41</v>
      </c>
    </row>
    <row r="650" spans="1:11" ht="20" customHeight="1">
      <c r="A650" t="s">
        <v>25</v>
      </c>
      <c r="B650" t="s">
        <v>1983</v>
      </c>
      <c r="C650">
        <v>180.3999938964844</v>
      </c>
      <c r="D650">
        <v>183.9400024414062</v>
      </c>
      <c r="E650">
        <v>180.2799987792969</v>
      </c>
      <c r="F650">
        <v>183.4400024414062</v>
      </c>
      <c r="G650">
        <v>183.4400024414062</v>
      </c>
      <c r="H650">
        <v>11969600</v>
      </c>
      <c r="I650" t="s">
        <v>1984</v>
      </c>
      <c r="J650" t="s">
        <v>1985</v>
      </c>
      <c r="K650" t="s">
        <v>41</v>
      </c>
    </row>
    <row r="651" spans="1:11" ht="20" customHeight="1">
      <c r="A651" t="s">
        <v>25</v>
      </c>
      <c r="B651" t="s">
        <v>1986</v>
      </c>
      <c r="C651">
        <v>183.9100036621094</v>
      </c>
      <c r="D651">
        <v>186.2400054931641</v>
      </c>
      <c r="E651">
        <v>183.6000061035156</v>
      </c>
      <c r="F651">
        <v>185.7400054931641</v>
      </c>
      <c r="G651">
        <v>185.7400054931641</v>
      </c>
      <c r="H651">
        <v>11347100</v>
      </c>
      <c r="I651" t="s">
        <v>1987</v>
      </c>
      <c r="J651" t="s">
        <v>1988</v>
      </c>
      <c r="K651" t="s">
        <v>41</v>
      </c>
    </row>
    <row r="652" spans="1:11" ht="20" customHeight="1">
      <c r="A652" t="s">
        <v>25</v>
      </c>
      <c r="B652" t="s">
        <v>1989</v>
      </c>
      <c r="C652">
        <v>185.6100006103516</v>
      </c>
      <c r="D652">
        <v>185.9900054931641</v>
      </c>
      <c r="E652">
        <v>183.6199951171875</v>
      </c>
      <c r="F652">
        <v>183.6499938964844</v>
      </c>
      <c r="G652">
        <v>183.6499938964844</v>
      </c>
      <c r="H652">
        <v>9245900</v>
      </c>
      <c r="I652" t="s">
        <v>1990</v>
      </c>
      <c r="J652" t="s">
        <v>1991</v>
      </c>
      <c r="K652" t="s">
        <v>41</v>
      </c>
    </row>
    <row r="653" spans="1:11" ht="20" customHeight="1">
      <c r="A653" t="s">
        <v>25</v>
      </c>
      <c r="B653" t="s">
        <v>1992</v>
      </c>
      <c r="C653">
        <v>181.1499938964844</v>
      </c>
      <c r="D653">
        <v>182.1499938964844</v>
      </c>
      <c r="E653">
        <v>180.6900024414062</v>
      </c>
      <c r="F653">
        <v>181.9499969482422</v>
      </c>
      <c r="G653">
        <v>181.9499969482422</v>
      </c>
      <c r="H653">
        <v>6925000</v>
      </c>
      <c r="I653" t="s">
        <v>1993</v>
      </c>
      <c r="J653" t="s">
        <v>1994</v>
      </c>
      <c r="K653" t="s">
        <v>41</v>
      </c>
    </row>
    <row r="654" spans="1:11" ht="20" customHeight="1">
      <c r="A654" t="s">
        <v>25</v>
      </c>
      <c r="B654" t="s">
        <v>1995</v>
      </c>
      <c r="C654">
        <v>182.3099975585938</v>
      </c>
      <c r="D654">
        <v>183.6199951171875</v>
      </c>
      <c r="E654">
        <v>182.1199951171875</v>
      </c>
      <c r="F654">
        <v>183.4400024414062</v>
      </c>
      <c r="G654">
        <v>183.4400024414062</v>
      </c>
      <c r="H654">
        <v>6202600</v>
      </c>
      <c r="I654" t="s">
        <v>1996</v>
      </c>
      <c r="J654" t="s">
        <v>1997</v>
      </c>
      <c r="K654" t="s">
        <v>41</v>
      </c>
    </row>
    <row r="655" spans="1:11" ht="20" customHeight="1">
      <c r="A655" t="s">
        <v>25</v>
      </c>
      <c r="B655" t="s">
        <v>1998</v>
      </c>
      <c r="C655">
        <v>182.4900054931641</v>
      </c>
      <c r="D655">
        <v>183.2700042724609</v>
      </c>
      <c r="E655">
        <v>182.2400054931641</v>
      </c>
      <c r="F655">
        <v>182.5299987792969</v>
      </c>
      <c r="G655">
        <v>182.5299987792969</v>
      </c>
      <c r="H655">
        <v>4996500</v>
      </c>
      <c r="I655" t="s">
        <v>1999</v>
      </c>
      <c r="J655" t="s">
        <v>2000</v>
      </c>
      <c r="K655" t="s">
        <v>41</v>
      </c>
    </row>
    <row r="656" spans="1:11" ht="20" customHeight="1">
      <c r="A656" t="s">
        <v>25</v>
      </c>
      <c r="B656" t="s">
        <v>2001</v>
      </c>
      <c r="C656">
        <v>182.75</v>
      </c>
      <c r="D656">
        <v>184.4400024414062</v>
      </c>
      <c r="E656">
        <v>182.5500030517578</v>
      </c>
      <c r="F656">
        <v>184.1799926757812</v>
      </c>
      <c r="G656">
        <v>184.1799926757812</v>
      </c>
      <c r="H656">
        <v>6360300</v>
      </c>
      <c r="I656" t="s">
        <v>2002</v>
      </c>
      <c r="J656" t="s">
        <v>2003</v>
      </c>
      <c r="K656" t="s">
        <v>41</v>
      </c>
    </row>
    <row r="657" spans="1:11" ht="20" customHeight="1">
      <c r="A657" t="s">
        <v>25</v>
      </c>
      <c r="B657" t="s">
        <v>2004</v>
      </c>
      <c r="C657">
        <v>184.1100006103516</v>
      </c>
      <c r="D657">
        <v>184.4199981689453</v>
      </c>
      <c r="E657">
        <v>182.8000030517578</v>
      </c>
      <c r="F657">
        <v>183.2200012207031</v>
      </c>
      <c r="G657">
        <v>183.2200012207031</v>
      </c>
      <c r="H657">
        <v>8003300</v>
      </c>
      <c r="I657" t="s">
        <v>2005</v>
      </c>
      <c r="J657" t="s">
        <v>2006</v>
      </c>
      <c r="K657" t="s">
        <v>41</v>
      </c>
    </row>
    <row r="658" spans="1:11" ht="20" customHeight="1">
      <c r="A658" t="s">
        <v>25</v>
      </c>
      <c r="B658" t="s">
        <v>2007</v>
      </c>
      <c r="C658">
        <v>183.8500061035156</v>
      </c>
      <c r="D658">
        <v>185.0399932861328</v>
      </c>
      <c r="E658">
        <v>183.3200073242188</v>
      </c>
      <c r="F658">
        <v>184.5399932861328</v>
      </c>
      <c r="G658">
        <v>184.5399932861328</v>
      </c>
      <c r="H658">
        <v>9206600</v>
      </c>
      <c r="I658" t="s">
        <v>2008</v>
      </c>
      <c r="J658" t="s">
        <v>2009</v>
      </c>
      <c r="K658" t="s">
        <v>41</v>
      </c>
    </row>
    <row r="659" spans="1:11" ht="20" customHeight="1">
      <c r="A659" t="s">
        <v>25</v>
      </c>
      <c r="B659" t="s">
        <v>2010</v>
      </c>
      <c r="C659">
        <v>184.7200012207031</v>
      </c>
      <c r="D659">
        <v>188.2299957275391</v>
      </c>
      <c r="E659">
        <v>184.6600036621094</v>
      </c>
      <c r="F659">
        <v>187.9799957275391</v>
      </c>
      <c r="G659">
        <v>187.9799957275391</v>
      </c>
      <c r="H659">
        <v>13765400</v>
      </c>
      <c r="I659" t="s">
        <v>2011</v>
      </c>
      <c r="J659" t="s">
        <v>2012</v>
      </c>
      <c r="K659" t="s">
        <v>41</v>
      </c>
    </row>
    <row r="660" spans="1:11" ht="20" customHeight="1">
      <c r="A660" t="s">
        <v>25</v>
      </c>
      <c r="B660" t="s">
        <v>2013</v>
      </c>
      <c r="C660">
        <v>188.3399963378906</v>
      </c>
      <c r="D660">
        <v>188.8600006103516</v>
      </c>
      <c r="E660">
        <v>186.7799987792969</v>
      </c>
      <c r="F660">
        <v>187.8300018310547</v>
      </c>
      <c r="G660">
        <v>187.8300018310547</v>
      </c>
      <c r="H660">
        <v>11440800</v>
      </c>
      <c r="I660" t="s">
        <v>2014</v>
      </c>
      <c r="J660" t="s">
        <v>2015</v>
      </c>
      <c r="K660" t="s">
        <v>41</v>
      </c>
    </row>
    <row r="661" spans="1:11" ht="20" customHeight="1">
      <c r="A661" t="s">
        <v>25</v>
      </c>
      <c r="B661" t="s">
        <v>2016</v>
      </c>
      <c r="C661">
        <v>186.8899993896484</v>
      </c>
      <c r="D661">
        <v>187.2599945068359</v>
      </c>
      <c r="E661">
        <v>185.9499969482422</v>
      </c>
      <c r="F661">
        <v>186.4900054931641</v>
      </c>
      <c r="G661">
        <v>186.4900054931641</v>
      </c>
      <c r="H661">
        <v>6648400</v>
      </c>
      <c r="I661" t="s">
        <v>2017</v>
      </c>
      <c r="J661" t="s">
        <v>2018</v>
      </c>
      <c r="K661" t="s">
        <v>41</v>
      </c>
    </row>
    <row r="662" spans="1:11" ht="20" customHeight="1">
      <c r="A662" t="s">
        <v>25</v>
      </c>
      <c r="B662" t="s">
        <v>2019</v>
      </c>
      <c r="C662">
        <v>185.1799926757812</v>
      </c>
      <c r="D662">
        <v>185.3600006103516</v>
      </c>
      <c r="E662">
        <v>184.1900024414062</v>
      </c>
      <c r="F662">
        <v>185.1100006103516</v>
      </c>
      <c r="G662">
        <v>185.1100006103516</v>
      </c>
      <c r="H662">
        <v>6408100</v>
      </c>
      <c r="I662" t="s">
        <v>2020</v>
      </c>
      <c r="J662" t="s">
        <v>2021</v>
      </c>
      <c r="K662" t="s">
        <v>41</v>
      </c>
    </row>
    <row r="663" spans="1:11" ht="20" customHeight="1">
      <c r="A663" t="s">
        <v>25</v>
      </c>
      <c r="B663" t="s">
        <v>2022</v>
      </c>
      <c r="C663">
        <v>185.9100036621094</v>
      </c>
      <c r="D663">
        <v>186.5099945068359</v>
      </c>
      <c r="E663">
        <v>185.6399993896484</v>
      </c>
      <c r="F663">
        <v>186.2799987792969</v>
      </c>
      <c r="G663">
        <v>186.2799987792969</v>
      </c>
      <c r="H663">
        <v>6031500</v>
      </c>
      <c r="I663" t="s">
        <v>2023</v>
      </c>
      <c r="J663" t="s">
        <v>2024</v>
      </c>
      <c r="K663" t="s">
        <v>41</v>
      </c>
    </row>
    <row r="664" spans="1:11" ht="20" customHeight="1">
      <c r="A664" t="s">
        <v>25</v>
      </c>
      <c r="B664" t="s">
        <v>2025</v>
      </c>
      <c r="C664">
        <v>187.5399932861328</v>
      </c>
      <c r="D664">
        <v>187.6600036621094</v>
      </c>
      <c r="E664">
        <v>185.9700012207031</v>
      </c>
      <c r="F664">
        <v>187.1900024414062</v>
      </c>
      <c r="G664">
        <v>187.1900024414062</v>
      </c>
      <c r="H664">
        <v>10000900</v>
      </c>
      <c r="I664" t="s">
        <v>2026</v>
      </c>
      <c r="J664" t="s">
        <v>2027</v>
      </c>
      <c r="K664" t="s">
        <v>41</v>
      </c>
    </row>
    <row r="665" spans="1:11" ht="20" customHeight="1">
      <c r="A665" t="s">
        <v>25</v>
      </c>
      <c r="B665" t="s">
        <v>2028</v>
      </c>
      <c r="C665">
        <v>189.7599945068359</v>
      </c>
      <c r="D665">
        <v>190.4100036621094</v>
      </c>
      <c r="E665">
        <v>188.9900054931641</v>
      </c>
      <c r="F665">
        <v>189.7200012207031</v>
      </c>
      <c r="G665">
        <v>189.7200012207031</v>
      </c>
      <c r="H665">
        <v>14060100</v>
      </c>
      <c r="I665" t="s">
        <v>2029</v>
      </c>
      <c r="J665" t="s">
        <v>2030</v>
      </c>
      <c r="K665" t="s">
        <v>41</v>
      </c>
    </row>
    <row r="666" spans="1:11" ht="20" customHeight="1">
      <c r="A666" t="s">
        <v>25</v>
      </c>
      <c r="B666" t="s">
        <v>2031</v>
      </c>
      <c r="C666">
        <v>188.0800018310547</v>
      </c>
      <c r="D666">
        <v>188.4900054931641</v>
      </c>
      <c r="E666">
        <v>185.1699981689453</v>
      </c>
      <c r="F666">
        <v>186.3600006103516</v>
      </c>
      <c r="G666">
        <v>186.3600006103516</v>
      </c>
      <c r="H666">
        <v>13272500</v>
      </c>
      <c r="I666" t="s">
        <v>2032</v>
      </c>
      <c r="J666" t="s">
        <v>2033</v>
      </c>
      <c r="K666" t="s">
        <v>41</v>
      </c>
    </row>
    <row r="667" spans="1:11" ht="20" customHeight="1">
      <c r="A667" t="s">
        <v>25</v>
      </c>
      <c r="B667" t="s">
        <v>2034</v>
      </c>
      <c r="C667">
        <v>185.8899993896484</v>
      </c>
      <c r="D667">
        <v>185.9299926757812</v>
      </c>
      <c r="E667">
        <v>184.1000061035156</v>
      </c>
      <c r="F667">
        <v>185.5299987792969</v>
      </c>
      <c r="G667">
        <v>185.5299987792969</v>
      </c>
      <c r="H667">
        <v>7468100</v>
      </c>
      <c r="I667" t="s">
        <v>2035</v>
      </c>
      <c r="J667" t="s">
        <v>2036</v>
      </c>
      <c r="K667" t="s">
        <v>41</v>
      </c>
    </row>
    <row r="668" spans="1:11" ht="20" customHeight="1">
      <c r="A668" t="s">
        <v>25</v>
      </c>
      <c r="B668" t="s">
        <v>2037</v>
      </c>
      <c r="C668">
        <v>185.2400054931641</v>
      </c>
      <c r="D668">
        <v>186.9900054931641</v>
      </c>
      <c r="E668">
        <v>185.0399932861328</v>
      </c>
      <c r="F668">
        <v>186.25</v>
      </c>
      <c r="G668">
        <v>186.25</v>
      </c>
      <c r="H668">
        <v>8056900</v>
      </c>
      <c r="I668" t="s">
        <v>2038</v>
      </c>
      <c r="J668" t="s">
        <v>2039</v>
      </c>
      <c r="K668" t="s">
        <v>41</v>
      </c>
    </row>
    <row r="669" spans="1:11" ht="20" customHeight="1">
      <c r="A669" t="s">
        <v>25</v>
      </c>
      <c r="B669" t="s">
        <v>2040</v>
      </c>
      <c r="C669">
        <v>184.3500061035156</v>
      </c>
      <c r="D669">
        <v>185.5800018310547</v>
      </c>
      <c r="E669">
        <v>184.2799987792969</v>
      </c>
      <c r="F669">
        <v>185.3600006103516</v>
      </c>
      <c r="G669">
        <v>185.3600006103516</v>
      </c>
      <c r="H669">
        <v>7373500</v>
      </c>
      <c r="I669" t="s">
        <v>2041</v>
      </c>
      <c r="J669" t="s">
        <v>2042</v>
      </c>
      <c r="K669" t="s">
        <v>41</v>
      </c>
    </row>
    <row r="670" spans="1:11" ht="20" customHeight="1">
      <c r="A670" t="s">
        <v>25</v>
      </c>
      <c r="B670" t="s">
        <v>2043</v>
      </c>
      <c r="C670">
        <v>186.1399993896484</v>
      </c>
      <c r="D670">
        <v>187.0299987792969</v>
      </c>
      <c r="E670">
        <v>185.7799987792969</v>
      </c>
      <c r="F670">
        <v>186.0899963378906</v>
      </c>
      <c r="G670">
        <v>186.0899963378906</v>
      </c>
      <c r="H670">
        <v>5789900</v>
      </c>
      <c r="I670" t="s">
        <v>2044</v>
      </c>
      <c r="J670" t="s">
        <v>2045</v>
      </c>
      <c r="K670" t="s">
        <v>41</v>
      </c>
    </row>
    <row r="671" spans="1:11" ht="20" customHeight="1">
      <c r="A671" t="s">
        <v>25</v>
      </c>
      <c r="B671" t="s">
        <v>2046</v>
      </c>
      <c r="C671">
        <v>184.9799957275391</v>
      </c>
      <c r="D671">
        <v>185.6799926757812</v>
      </c>
      <c r="E671">
        <v>183.2200012207031</v>
      </c>
      <c r="F671">
        <v>184.25</v>
      </c>
      <c r="G671">
        <v>184.25</v>
      </c>
      <c r="H671">
        <v>10698700</v>
      </c>
      <c r="I671" t="s">
        <v>2047</v>
      </c>
      <c r="J671" t="s">
        <v>2048</v>
      </c>
      <c r="K671" t="s">
        <v>41</v>
      </c>
    </row>
    <row r="672" spans="1:11" ht="20" customHeight="1">
      <c r="A672" t="s">
        <v>25</v>
      </c>
      <c r="B672" t="s">
        <v>2049</v>
      </c>
      <c r="C672">
        <v>184.0700073242188</v>
      </c>
      <c r="D672">
        <v>185.0299987792969</v>
      </c>
      <c r="E672">
        <v>183.4600067138672</v>
      </c>
      <c r="F672">
        <v>184.8099975585938</v>
      </c>
      <c r="G672">
        <v>184.8099975585938</v>
      </c>
      <c r="H672">
        <v>8303400</v>
      </c>
      <c r="I672" t="s">
        <v>2050</v>
      </c>
      <c r="J672" t="s">
        <v>2051</v>
      </c>
      <c r="K672" t="s">
        <v>41</v>
      </c>
    </row>
    <row r="673" spans="1:11" ht="20" customHeight="1">
      <c r="A673" t="s">
        <v>25</v>
      </c>
      <c r="B673" t="s">
        <v>2052</v>
      </c>
      <c r="C673">
        <v>184.8399963378906</v>
      </c>
      <c r="D673">
        <v>186.2200012207031</v>
      </c>
      <c r="E673">
        <v>184.3000030517578</v>
      </c>
      <c r="F673">
        <v>185.75</v>
      </c>
      <c r="G673">
        <v>185.75</v>
      </c>
      <c r="H673">
        <v>8451900</v>
      </c>
      <c r="I673" t="s">
        <v>2053</v>
      </c>
      <c r="J673" t="s">
        <v>2054</v>
      </c>
      <c r="K673" t="s">
        <v>41</v>
      </c>
    </row>
    <row r="674" spans="1:11" ht="20" customHeight="1">
      <c r="A674" t="s">
        <v>25</v>
      </c>
      <c r="B674" t="s">
        <v>2055</v>
      </c>
      <c r="C674">
        <v>186.6300048828125</v>
      </c>
      <c r="D674">
        <v>186.6499938964844</v>
      </c>
      <c r="E674">
        <v>184.3000030517578</v>
      </c>
      <c r="F674">
        <v>184.7400054931641</v>
      </c>
      <c r="G674">
        <v>184.7400054931641</v>
      </c>
      <c r="H674">
        <v>8203600</v>
      </c>
      <c r="I674" t="s">
        <v>2056</v>
      </c>
      <c r="J674" t="s">
        <v>2057</v>
      </c>
      <c r="K674" t="s">
        <v>41</v>
      </c>
    </row>
    <row r="675" spans="1:11" ht="20" customHeight="1">
      <c r="A675" t="s">
        <v>25</v>
      </c>
      <c r="B675" t="s">
        <v>2058</v>
      </c>
      <c r="C675">
        <v>183.8999938964844</v>
      </c>
      <c r="D675">
        <v>184.9900054931641</v>
      </c>
      <c r="E675">
        <v>183.3800048828125</v>
      </c>
      <c r="F675">
        <v>184.75</v>
      </c>
      <c r="G675">
        <v>184.75</v>
      </c>
      <c r="H675">
        <v>9107400</v>
      </c>
      <c r="I675" t="s">
        <v>2059</v>
      </c>
      <c r="J675" t="s">
        <v>2060</v>
      </c>
      <c r="K675" t="s">
        <v>41</v>
      </c>
    </row>
    <row r="676" spans="1:11" ht="20" customHeight="1">
      <c r="A676" t="s">
        <v>25</v>
      </c>
      <c r="B676" t="s">
        <v>2061</v>
      </c>
      <c r="C676">
        <v>184.7899932861328</v>
      </c>
      <c r="D676">
        <v>185.3800048828125</v>
      </c>
      <c r="E676">
        <v>184.1699981689453</v>
      </c>
      <c r="F676">
        <v>184.8000030517578</v>
      </c>
      <c r="G676">
        <v>184.8000030517578</v>
      </c>
      <c r="H676">
        <v>6700400</v>
      </c>
      <c r="I676" t="s">
        <v>2062</v>
      </c>
      <c r="J676" t="s">
        <v>2063</v>
      </c>
      <c r="K676" t="s">
        <v>41</v>
      </c>
    </row>
    <row r="677" spans="1:11" ht="20" customHeight="1">
      <c r="A677" t="s">
        <v>25</v>
      </c>
      <c r="B677" t="s">
        <v>2064</v>
      </c>
      <c r="C677">
        <v>186.0500030517578</v>
      </c>
      <c r="D677">
        <v>186.2200012207031</v>
      </c>
      <c r="E677">
        <v>183.9100036621094</v>
      </c>
      <c r="F677">
        <v>183.9700012207031</v>
      </c>
      <c r="G677">
        <v>183.9700012207031</v>
      </c>
      <c r="H677">
        <v>7997700</v>
      </c>
      <c r="I677" t="s">
        <v>2065</v>
      </c>
      <c r="J677" t="s">
        <v>2066</v>
      </c>
      <c r="K677" t="s">
        <v>41</v>
      </c>
    </row>
    <row r="678" spans="1:11" ht="20" customHeight="1">
      <c r="A678" t="s">
        <v>25</v>
      </c>
      <c r="B678" t="s">
        <v>2067</v>
      </c>
      <c r="C678">
        <v>184.6499938964844</v>
      </c>
      <c r="D678">
        <v>187.6399993896484</v>
      </c>
      <c r="E678">
        <v>184.5200042724609</v>
      </c>
      <c r="F678">
        <v>187.5200042724609</v>
      </c>
      <c r="G678">
        <v>187.5200042724609</v>
      </c>
      <c r="H678">
        <v>14680600</v>
      </c>
      <c r="I678" t="s">
        <v>2068</v>
      </c>
      <c r="J678" t="s">
        <v>2069</v>
      </c>
      <c r="K678" t="s">
        <v>41</v>
      </c>
    </row>
    <row r="679" spans="1:11" ht="20" customHeight="1">
      <c r="A679" t="s">
        <v>25</v>
      </c>
      <c r="B679" t="s">
        <v>2070</v>
      </c>
      <c r="C679">
        <v>187.6100006103516</v>
      </c>
      <c r="D679">
        <v>189.2100067138672</v>
      </c>
      <c r="E679">
        <v>186.9299926757812</v>
      </c>
      <c r="F679">
        <v>189.1100006103516</v>
      </c>
      <c r="G679">
        <v>189.1100006103516</v>
      </c>
      <c r="H679">
        <v>11133800</v>
      </c>
      <c r="I679" t="s">
        <v>2071</v>
      </c>
      <c r="J679" t="s">
        <v>2072</v>
      </c>
      <c r="K679" t="s">
        <v>41</v>
      </c>
    </row>
    <row r="680" spans="1:11" ht="20" customHeight="1">
      <c r="A680" t="s">
        <v>25</v>
      </c>
      <c r="B680" t="s">
        <v>2073</v>
      </c>
      <c r="C680">
        <v>188.8600006103516</v>
      </c>
      <c r="D680">
        <v>191.3600006103516</v>
      </c>
      <c r="E680">
        <v>188.8099975585938</v>
      </c>
      <c r="F680">
        <v>190.4400024414062</v>
      </c>
      <c r="G680">
        <v>190.4400024414062</v>
      </c>
      <c r="H680">
        <v>14146800</v>
      </c>
      <c r="I680" t="s">
        <v>2074</v>
      </c>
      <c r="J680" t="s">
        <v>2075</v>
      </c>
      <c r="K680" t="s">
        <v>41</v>
      </c>
    </row>
    <row r="681" spans="1:11" ht="20" customHeight="1">
      <c r="A681" t="s">
        <v>25</v>
      </c>
      <c r="B681" t="s">
        <v>2076</v>
      </c>
      <c r="C681">
        <v>186.5599975585938</v>
      </c>
      <c r="D681">
        <v>187.5800018310547</v>
      </c>
      <c r="E681">
        <v>185.7700042724609</v>
      </c>
      <c r="F681">
        <v>187.4600067138672</v>
      </c>
      <c r="G681">
        <v>187.4600067138672</v>
      </c>
      <c r="H681">
        <v>12508100</v>
      </c>
      <c r="I681" t="s">
        <v>2077</v>
      </c>
      <c r="J681" t="s">
        <v>2078</v>
      </c>
      <c r="K681" t="s">
        <v>41</v>
      </c>
    </row>
    <row r="682" spans="1:11" ht="20" customHeight="1">
      <c r="A682" t="s">
        <v>25</v>
      </c>
      <c r="B682" t="s">
        <v>2079</v>
      </c>
      <c r="C682">
        <v>187.8200073242188</v>
      </c>
      <c r="D682">
        <v>188.6699981689453</v>
      </c>
      <c r="E682">
        <v>187.4900054931641</v>
      </c>
      <c r="F682">
        <v>187.6900024414062</v>
      </c>
      <c r="G682">
        <v>187.6900024414062</v>
      </c>
      <c r="H682">
        <v>6075400</v>
      </c>
      <c r="I682" t="s">
        <v>2080</v>
      </c>
      <c r="J682" t="s">
        <v>2081</v>
      </c>
      <c r="K682" t="s">
        <v>41</v>
      </c>
    </row>
    <row r="683" spans="1:11" ht="20" customHeight="1">
      <c r="A683" t="s">
        <v>25</v>
      </c>
      <c r="B683" t="s">
        <v>2082</v>
      </c>
      <c r="C683">
        <v>188.1199951171875</v>
      </c>
      <c r="D683">
        <v>189.3300018310547</v>
      </c>
      <c r="E683">
        <v>188.0700073242188</v>
      </c>
      <c r="F683">
        <v>189.0200042724609</v>
      </c>
      <c r="G683">
        <v>189.0200042724609</v>
      </c>
      <c r="H683">
        <v>7098800</v>
      </c>
      <c r="I683" t="s">
        <v>2083</v>
      </c>
      <c r="J683" t="s">
        <v>2084</v>
      </c>
      <c r="K683" t="s">
        <v>41</v>
      </c>
    </row>
    <row r="684" spans="1:11" ht="20" customHeight="1">
      <c r="A684" t="s">
        <v>25</v>
      </c>
      <c r="B684" t="s">
        <v>2085</v>
      </c>
      <c r="C684">
        <v>188.9799957275391</v>
      </c>
      <c r="D684">
        <v>189.6399993896484</v>
      </c>
      <c r="E684">
        <v>187.8200073242188</v>
      </c>
      <c r="F684">
        <v>188.75</v>
      </c>
      <c r="G684">
        <v>188.75</v>
      </c>
      <c r="H684">
        <v>9392100</v>
      </c>
      <c r="I684" t="s">
        <v>2086</v>
      </c>
      <c r="J684" t="s">
        <v>2087</v>
      </c>
      <c r="K684" t="s">
        <v>41</v>
      </c>
    </row>
    <row r="685" spans="1:11" ht="20" customHeight="1">
      <c r="A685" t="s">
        <v>25</v>
      </c>
      <c r="B685" t="s">
        <v>2088</v>
      </c>
      <c r="C685">
        <v>188.4400024414062</v>
      </c>
      <c r="D685">
        <v>188.8099975585938</v>
      </c>
      <c r="E685">
        <v>186.8600006103516</v>
      </c>
      <c r="F685">
        <v>187.1300048828125</v>
      </c>
      <c r="G685">
        <v>187.1300048828125</v>
      </c>
      <c r="H685">
        <v>8245500</v>
      </c>
      <c r="I685" t="s">
        <v>2089</v>
      </c>
      <c r="J685" t="s">
        <v>2090</v>
      </c>
      <c r="K685" t="s">
        <v>41</v>
      </c>
    </row>
    <row r="686" spans="1:11" ht="20" customHeight="1">
      <c r="A686" t="s">
        <v>25</v>
      </c>
      <c r="B686" t="s">
        <v>2091</v>
      </c>
      <c r="C686">
        <v>187.4299926757812</v>
      </c>
      <c r="D686">
        <v>187.9199981689453</v>
      </c>
      <c r="E686">
        <v>186.5800018310547</v>
      </c>
      <c r="F686">
        <v>186.8099975585938</v>
      </c>
      <c r="G686">
        <v>186.8099975585938</v>
      </c>
      <c r="H686">
        <v>7087500</v>
      </c>
      <c r="I686" t="s">
        <v>2092</v>
      </c>
      <c r="J686" t="s">
        <v>2093</v>
      </c>
      <c r="K686" t="s">
        <v>41</v>
      </c>
    </row>
    <row r="687" spans="1:11" ht="20" customHeight="1">
      <c r="A687" t="s">
        <v>25</v>
      </c>
      <c r="B687" t="s">
        <v>2094</v>
      </c>
      <c r="C687">
        <v>187.3000030517578</v>
      </c>
      <c r="D687">
        <v>187.8800048828125</v>
      </c>
      <c r="E687">
        <v>187.0299987792969</v>
      </c>
      <c r="F687">
        <v>187.2100067138672</v>
      </c>
      <c r="G687">
        <v>187.2100067138672</v>
      </c>
      <c r="H687">
        <v>5518100</v>
      </c>
      <c r="I687" t="s">
        <v>2095</v>
      </c>
      <c r="J687" t="s">
        <v>2096</v>
      </c>
      <c r="K687" t="s">
        <v>41</v>
      </c>
    </row>
    <row r="688" spans="1:11" ht="20" customHeight="1">
      <c r="A688" t="s">
        <v>25</v>
      </c>
      <c r="B688" t="s">
        <v>2097</v>
      </c>
      <c r="C688">
        <v>186.5800018310547</v>
      </c>
      <c r="D688">
        <v>186.8200073242188</v>
      </c>
      <c r="E688">
        <v>184.4600067138672</v>
      </c>
      <c r="F688">
        <v>184.8699951171875</v>
      </c>
      <c r="G688">
        <v>184.8699951171875</v>
      </c>
      <c r="H688">
        <v>9519500</v>
      </c>
      <c r="I688" t="s">
        <v>2098</v>
      </c>
      <c r="J688" t="s">
        <v>2099</v>
      </c>
      <c r="K688" t="s">
        <v>41</v>
      </c>
    </row>
    <row r="689" spans="1:11" ht="20" customHeight="1">
      <c r="A689" t="s">
        <v>25</v>
      </c>
      <c r="B689" t="s">
        <v>2100</v>
      </c>
      <c r="C689">
        <v>184.3099975585938</v>
      </c>
      <c r="D689">
        <v>184.4499969482422</v>
      </c>
      <c r="E689">
        <v>183.4799957275391</v>
      </c>
      <c r="F689">
        <v>184.2299957275391</v>
      </c>
      <c r="G689">
        <v>184.2299957275391</v>
      </c>
      <c r="H689">
        <v>7474300</v>
      </c>
      <c r="I689" t="s">
        <v>2101</v>
      </c>
      <c r="J689" t="s">
        <v>2102</v>
      </c>
      <c r="K689" t="s">
        <v>41</v>
      </c>
    </row>
    <row r="690" spans="1:11" ht="20" customHeight="1">
      <c r="A690" t="s">
        <v>25</v>
      </c>
      <c r="B690" t="s">
        <v>2103</v>
      </c>
      <c r="C690">
        <v>182.1000061035156</v>
      </c>
      <c r="D690">
        <v>182.2799987792969</v>
      </c>
      <c r="E690">
        <v>181.3399963378906</v>
      </c>
      <c r="F690">
        <v>181.8399963378906</v>
      </c>
      <c r="G690">
        <v>181.8399963378906</v>
      </c>
      <c r="H690">
        <v>8812600</v>
      </c>
      <c r="I690" t="s">
        <v>2104</v>
      </c>
      <c r="J690" t="s">
        <v>2105</v>
      </c>
      <c r="K690" t="s">
        <v>41</v>
      </c>
    </row>
    <row r="691" spans="1:11" ht="20" customHeight="1">
      <c r="A691" t="s">
        <v>25</v>
      </c>
      <c r="B691" t="s">
        <v>2106</v>
      </c>
      <c r="C691">
        <v>182.25</v>
      </c>
      <c r="D691">
        <v>184.3399963378906</v>
      </c>
      <c r="E691">
        <v>181.8099975585938</v>
      </c>
      <c r="F691">
        <v>183.6399993896484</v>
      </c>
      <c r="G691">
        <v>183.6399993896484</v>
      </c>
      <c r="H691">
        <v>8435000</v>
      </c>
      <c r="I691" t="s">
        <v>2107</v>
      </c>
      <c r="J691" t="s">
        <v>2108</v>
      </c>
      <c r="K691" t="s">
        <v>41</v>
      </c>
    </row>
    <row r="692" spans="1:11" ht="20" customHeight="1">
      <c r="A692" t="s">
        <v>25</v>
      </c>
      <c r="B692" t="s">
        <v>2109</v>
      </c>
      <c r="C692">
        <v>183.2200012207031</v>
      </c>
      <c r="D692">
        <v>183.8399963378906</v>
      </c>
      <c r="E692">
        <v>182.9100036621094</v>
      </c>
      <c r="F692">
        <v>183.2100067138672</v>
      </c>
      <c r="G692">
        <v>183.2100067138672</v>
      </c>
      <c r="H692">
        <v>4834300</v>
      </c>
      <c r="I692" t="s">
        <v>2110</v>
      </c>
      <c r="J692" t="s">
        <v>2111</v>
      </c>
      <c r="K692" t="s">
        <v>41</v>
      </c>
    </row>
    <row r="693" spans="1:11" ht="20" customHeight="1">
      <c r="A693" t="s">
        <v>25</v>
      </c>
      <c r="B693" t="s">
        <v>2112</v>
      </c>
      <c r="C693">
        <v>182.7799987792969</v>
      </c>
      <c r="D693">
        <v>183.7599945068359</v>
      </c>
      <c r="E693">
        <v>182.4799957275391</v>
      </c>
      <c r="F693">
        <v>183.4299926757812</v>
      </c>
      <c r="G693">
        <v>183.4299926757812</v>
      </c>
      <c r="H693">
        <v>6345000</v>
      </c>
      <c r="I693" t="s">
        <v>2113</v>
      </c>
      <c r="J693" t="s">
        <v>2114</v>
      </c>
      <c r="K693" t="s">
        <v>41</v>
      </c>
    </row>
    <row r="694" spans="1:11" ht="20" customHeight="1">
      <c r="A694" t="s">
        <v>25</v>
      </c>
      <c r="B694" t="s">
        <v>2115</v>
      </c>
      <c r="C694">
        <v>183.5399932861328</v>
      </c>
      <c r="D694">
        <v>183.5399932861328</v>
      </c>
      <c r="E694">
        <v>181.7700042724609</v>
      </c>
      <c r="F694">
        <v>181.9499969482422</v>
      </c>
      <c r="G694">
        <v>181.9499969482422</v>
      </c>
      <c r="H694">
        <v>6732900</v>
      </c>
      <c r="I694" t="s">
        <v>2116</v>
      </c>
      <c r="J694" t="s">
        <v>2117</v>
      </c>
      <c r="K694" t="s">
        <v>41</v>
      </c>
    </row>
    <row r="695" spans="1:11" ht="20" customHeight="1">
      <c r="A695" t="s">
        <v>25</v>
      </c>
      <c r="B695" t="s">
        <v>2118</v>
      </c>
      <c r="C695">
        <v>181.1799926757812</v>
      </c>
      <c r="D695">
        <v>181.3099975585938</v>
      </c>
      <c r="E695">
        <v>180.1000061035156</v>
      </c>
      <c r="F695">
        <v>180.1999969482422</v>
      </c>
      <c r="G695">
        <v>180.1999969482422</v>
      </c>
      <c r="H695">
        <v>6919200</v>
      </c>
      <c r="I695" t="s">
        <v>2119</v>
      </c>
      <c r="J695" t="s">
        <v>2120</v>
      </c>
      <c r="K695" t="s">
        <v>41</v>
      </c>
    </row>
    <row r="696" spans="1:11" ht="20" customHeight="1">
      <c r="A696" t="s">
        <v>25</v>
      </c>
      <c r="B696" t="s">
        <v>2121</v>
      </c>
      <c r="C696">
        <v>181.0099945068359</v>
      </c>
      <c r="D696">
        <v>181.3000030517578</v>
      </c>
      <c r="E696">
        <v>180.0899963378906</v>
      </c>
      <c r="F696">
        <v>180.9199981689453</v>
      </c>
      <c r="G696">
        <v>180.9199981689453</v>
      </c>
      <c r="H696">
        <v>5823700</v>
      </c>
      <c r="I696" t="s">
        <v>2122</v>
      </c>
      <c r="J696" t="s">
        <v>2123</v>
      </c>
      <c r="K696" t="s">
        <v>41</v>
      </c>
    </row>
    <row r="697" spans="1:11" ht="20" customHeight="1">
      <c r="A697" t="s">
        <v>25</v>
      </c>
      <c r="B697" t="s">
        <v>2124</v>
      </c>
      <c r="C697">
        <v>181.7200012207031</v>
      </c>
      <c r="D697">
        <v>182.3999938964844</v>
      </c>
      <c r="E697">
        <v>181.1699981689453</v>
      </c>
      <c r="F697">
        <v>182.0399932861328</v>
      </c>
      <c r="G697">
        <v>182.0399932861328</v>
      </c>
      <c r="H697">
        <v>4906100</v>
      </c>
      <c r="I697" t="s">
        <v>2125</v>
      </c>
      <c r="J697" t="s">
        <v>2126</v>
      </c>
      <c r="K697" t="s">
        <v>41</v>
      </c>
    </row>
    <row r="698" spans="1:11" ht="20" customHeight="1">
      <c r="A698" t="s">
        <v>25</v>
      </c>
      <c r="B698" t="s">
        <v>2127</v>
      </c>
      <c r="C698">
        <v>182.3899993896484</v>
      </c>
      <c r="D698">
        <v>183.4499969482422</v>
      </c>
      <c r="E698">
        <v>182.1000061035156</v>
      </c>
      <c r="F698">
        <v>182.3200073242188</v>
      </c>
      <c r="G698">
        <v>182.3200073242188</v>
      </c>
      <c r="H698">
        <v>8497900</v>
      </c>
      <c r="I698" t="s">
        <v>2128</v>
      </c>
      <c r="J698" t="s">
        <v>2129</v>
      </c>
      <c r="K698" t="s">
        <v>41</v>
      </c>
    </row>
    <row r="699" spans="1:11" ht="20" customHeight="1">
      <c r="A699" t="s">
        <v>25</v>
      </c>
      <c r="B699" t="s">
        <v>2130</v>
      </c>
      <c r="C699">
        <v>182.8099975585938</v>
      </c>
      <c r="D699">
        <v>184.2100067138672</v>
      </c>
      <c r="E699">
        <v>182.7200012207031</v>
      </c>
      <c r="F699">
        <v>183.7599945068359</v>
      </c>
      <c r="G699">
        <v>183.7599945068359</v>
      </c>
      <c r="H699">
        <v>7300500</v>
      </c>
      <c r="I699" t="s">
        <v>2131</v>
      </c>
      <c r="J699" t="s">
        <v>2132</v>
      </c>
      <c r="K699" t="s">
        <v>41</v>
      </c>
    </row>
    <row r="700" spans="1:11" ht="20" customHeight="1">
      <c r="A700" t="s">
        <v>25</v>
      </c>
      <c r="B700" t="s">
        <v>2133</v>
      </c>
      <c r="C700">
        <v>183.5299987792969</v>
      </c>
      <c r="D700">
        <v>183.5599975585938</v>
      </c>
      <c r="E700">
        <v>180.9600067138672</v>
      </c>
      <c r="F700">
        <v>181.0500030517578</v>
      </c>
      <c r="G700">
        <v>181.0500030517578</v>
      </c>
      <c r="H700">
        <v>8726100</v>
      </c>
      <c r="I700" t="s">
        <v>2134</v>
      </c>
      <c r="J700" t="s">
        <v>2135</v>
      </c>
      <c r="K700" t="s">
        <v>41</v>
      </c>
    </row>
    <row r="701" spans="1:11" ht="20" customHeight="1">
      <c r="A701" t="s">
        <v>25</v>
      </c>
      <c r="B701" t="s">
        <v>2136</v>
      </c>
      <c r="C701">
        <v>180.7899932861328</v>
      </c>
      <c r="D701">
        <v>182.4400024414062</v>
      </c>
      <c r="E701">
        <v>180.6000061035156</v>
      </c>
      <c r="F701">
        <v>182.1399993896484</v>
      </c>
      <c r="G701">
        <v>182.1399993896484</v>
      </c>
      <c r="H701">
        <v>5748800</v>
      </c>
      <c r="I701" t="s">
        <v>2137</v>
      </c>
      <c r="J701" t="s">
        <v>2138</v>
      </c>
      <c r="K701" t="s">
        <v>41</v>
      </c>
    </row>
    <row r="702" spans="1:11" ht="20" customHeight="1">
      <c r="A702" t="s">
        <v>25</v>
      </c>
      <c r="B702" t="s">
        <v>2139</v>
      </c>
      <c r="C702">
        <v>182.3600006103516</v>
      </c>
      <c r="D702">
        <v>182.6499938964844</v>
      </c>
      <c r="E702">
        <v>181.5200042724609</v>
      </c>
      <c r="F702">
        <v>182.3399963378906</v>
      </c>
      <c r="G702">
        <v>182.3399963378906</v>
      </c>
      <c r="H702">
        <v>4967200</v>
      </c>
      <c r="I702" t="s">
        <v>2140</v>
      </c>
      <c r="J702" t="s">
        <v>2141</v>
      </c>
      <c r="K702" t="s">
        <v>41</v>
      </c>
    </row>
    <row r="703" spans="1:11" ht="20" customHeight="1">
      <c r="A703" t="s">
        <v>25</v>
      </c>
      <c r="B703" t="s">
        <v>2142</v>
      </c>
      <c r="C703">
        <v>181.9400024414062</v>
      </c>
      <c r="D703">
        <v>183</v>
      </c>
      <c r="E703">
        <v>180.1499938964844</v>
      </c>
      <c r="F703">
        <v>180.1499938964844</v>
      </c>
      <c r="G703">
        <v>180.1499938964844</v>
      </c>
      <c r="H703">
        <v>9066500</v>
      </c>
      <c r="I703" t="s">
        <v>2143</v>
      </c>
      <c r="J703" t="s">
        <v>2144</v>
      </c>
      <c r="K703" t="s">
        <v>41</v>
      </c>
    </row>
    <row r="704" spans="1:11" ht="20" customHeight="1">
      <c r="A704" t="s">
        <v>25</v>
      </c>
      <c r="B704" t="s">
        <v>2145</v>
      </c>
      <c r="C704">
        <v>182</v>
      </c>
      <c r="D704">
        <v>183.0399932861328</v>
      </c>
      <c r="E704">
        <v>181.9600067138672</v>
      </c>
      <c r="F704">
        <v>182.5299987792969</v>
      </c>
      <c r="G704">
        <v>182.5299987792969</v>
      </c>
      <c r="H704">
        <v>6394100</v>
      </c>
      <c r="I704" t="s">
        <v>2146</v>
      </c>
      <c r="J704" t="s">
        <v>2147</v>
      </c>
      <c r="K704" t="s">
        <v>41</v>
      </c>
    </row>
    <row r="705" spans="1:11" ht="20" customHeight="1">
      <c r="A705" t="s">
        <v>25</v>
      </c>
      <c r="B705" t="s">
        <v>2148</v>
      </c>
      <c r="C705">
        <v>182.3600006103516</v>
      </c>
      <c r="D705">
        <v>182.7899932861328</v>
      </c>
      <c r="E705">
        <v>181.7200012207031</v>
      </c>
      <c r="F705">
        <v>182.0399932861328</v>
      </c>
      <c r="G705">
        <v>182.0399932861328</v>
      </c>
      <c r="H705">
        <v>4379200</v>
      </c>
      <c r="I705" t="s">
        <v>2149</v>
      </c>
      <c r="J705" t="s">
        <v>2150</v>
      </c>
      <c r="K705" t="s">
        <v>41</v>
      </c>
    </row>
    <row r="706" spans="1:11" ht="20" customHeight="1">
      <c r="A706" t="s">
        <v>25</v>
      </c>
      <c r="B706" t="s">
        <v>2151</v>
      </c>
      <c r="C706">
        <v>181.8000030517578</v>
      </c>
      <c r="D706">
        <v>181.9400024414062</v>
      </c>
      <c r="E706">
        <v>181.0399932861328</v>
      </c>
      <c r="F706">
        <v>181.8800048828125</v>
      </c>
      <c r="G706">
        <v>181.8800048828125</v>
      </c>
      <c r="H706">
        <v>4873600</v>
      </c>
      <c r="I706" t="s">
        <v>2152</v>
      </c>
      <c r="J706" t="s">
        <v>2153</v>
      </c>
      <c r="K706" t="s">
        <v>41</v>
      </c>
    </row>
    <row r="707" spans="1:11" ht="20" customHeight="1">
      <c r="A707" t="s">
        <v>25</v>
      </c>
      <c r="B707" t="s">
        <v>2154</v>
      </c>
      <c r="C707">
        <v>182.1000061035156</v>
      </c>
      <c r="D707">
        <v>182.4299926757812</v>
      </c>
      <c r="E707">
        <v>180.1699981689453</v>
      </c>
      <c r="F707">
        <v>180.5399932861328</v>
      </c>
      <c r="G707">
        <v>180.5399932861328</v>
      </c>
      <c r="H707">
        <v>5126700</v>
      </c>
      <c r="I707" t="s">
        <v>2155</v>
      </c>
      <c r="J707" t="s">
        <v>2156</v>
      </c>
      <c r="K707" t="s">
        <v>41</v>
      </c>
    </row>
    <row r="708" spans="1:11" ht="20" customHeight="1">
      <c r="A708" t="s">
        <v>25</v>
      </c>
      <c r="B708" t="s">
        <v>2157</v>
      </c>
      <c r="C708">
        <v>181.6900024414062</v>
      </c>
      <c r="D708">
        <v>181.9600067138672</v>
      </c>
      <c r="E708">
        <v>180.1399993896484</v>
      </c>
      <c r="F708">
        <v>180.6399993896484</v>
      </c>
      <c r="G708">
        <v>180.6399993896484</v>
      </c>
      <c r="H708">
        <v>6807000</v>
      </c>
      <c r="I708" t="s">
        <v>2158</v>
      </c>
      <c r="J708" t="s">
        <v>2159</v>
      </c>
      <c r="K708" t="s">
        <v>41</v>
      </c>
    </row>
    <row r="709" spans="1:11" ht="20" customHeight="1">
      <c r="A709" t="s">
        <v>25</v>
      </c>
      <c r="B709" t="s">
        <v>2160</v>
      </c>
      <c r="C709">
        <v>180.2799987792969</v>
      </c>
      <c r="D709">
        <v>182.0500030517578</v>
      </c>
      <c r="E709">
        <v>180.1799926757812</v>
      </c>
      <c r="F709">
        <v>181.9100036621094</v>
      </c>
      <c r="G709">
        <v>181.9100036621094</v>
      </c>
      <c r="H709">
        <v>6739000</v>
      </c>
      <c r="I709" t="s">
        <v>2161</v>
      </c>
      <c r="J709" t="s">
        <v>2162</v>
      </c>
      <c r="K709" t="s">
        <v>41</v>
      </c>
    </row>
    <row r="710" spans="1:11" ht="20" customHeight="1">
      <c r="A710" t="s">
        <v>25</v>
      </c>
      <c r="B710" t="s">
        <v>2163</v>
      </c>
      <c r="C710">
        <v>181.9299926757812</v>
      </c>
      <c r="D710">
        <v>182.6199951171875</v>
      </c>
      <c r="E710">
        <v>181.4100036621094</v>
      </c>
      <c r="F710">
        <v>181.6300048828125</v>
      </c>
      <c r="G710">
        <v>181.6300048828125</v>
      </c>
      <c r="H710">
        <v>8779100</v>
      </c>
      <c r="I710" t="s">
        <v>2164</v>
      </c>
      <c r="J710" t="s">
        <v>2165</v>
      </c>
      <c r="K710" t="s">
        <v>41</v>
      </c>
    </row>
    <row r="711" spans="1:11" ht="20" customHeight="1">
      <c r="A711" t="s">
        <v>25</v>
      </c>
      <c r="B711" t="s">
        <v>2166</v>
      </c>
      <c r="C711">
        <v>180.0599975585938</v>
      </c>
      <c r="D711">
        <v>180.0899963378906</v>
      </c>
      <c r="E711">
        <v>179.2200012207031</v>
      </c>
      <c r="F711">
        <v>179.75</v>
      </c>
      <c r="G711">
        <v>179.75</v>
      </c>
      <c r="H711">
        <v>7584200</v>
      </c>
      <c r="I711" t="s">
        <v>2167</v>
      </c>
      <c r="J711" t="s">
        <v>2168</v>
      </c>
      <c r="K711" t="s">
        <v>41</v>
      </c>
    </row>
    <row r="712" spans="1:11" ht="20" customHeight="1">
      <c r="A712" t="s">
        <v>25</v>
      </c>
      <c r="B712" t="s">
        <v>2169</v>
      </c>
      <c r="C712">
        <v>179.1499938964844</v>
      </c>
      <c r="D712">
        <v>179.9499969482422</v>
      </c>
      <c r="E712">
        <v>178.1900024414062</v>
      </c>
      <c r="F712">
        <v>179.4900054931641</v>
      </c>
      <c r="G712">
        <v>179.4900054931641</v>
      </c>
      <c r="H712">
        <v>6702300</v>
      </c>
      <c r="I712" t="s">
        <v>2170</v>
      </c>
      <c r="J712" t="s">
        <v>2171</v>
      </c>
      <c r="K712" t="s">
        <v>41</v>
      </c>
    </row>
    <row r="713" spans="1:11" ht="20" customHeight="1">
      <c r="A713" t="s">
        <v>25</v>
      </c>
      <c r="B713" t="s">
        <v>2172</v>
      </c>
      <c r="C713">
        <v>178.3600006103516</v>
      </c>
      <c r="D713">
        <v>178.9900054931641</v>
      </c>
      <c r="E713">
        <v>177.6300048828125</v>
      </c>
      <c r="F713">
        <v>177.7100067138672</v>
      </c>
      <c r="G713">
        <v>177.7100067138672</v>
      </c>
      <c r="H713">
        <v>7945000</v>
      </c>
      <c r="I713" t="s">
        <v>2173</v>
      </c>
      <c r="J713" t="s">
        <v>2174</v>
      </c>
      <c r="K713" t="s">
        <v>41</v>
      </c>
    </row>
    <row r="714" spans="1:11" ht="20" customHeight="1">
      <c r="A714" t="s">
        <v>25</v>
      </c>
      <c r="B714" t="s">
        <v>2175</v>
      </c>
      <c r="C714">
        <v>179.6000061035156</v>
      </c>
      <c r="D714">
        <v>179.9499969482422</v>
      </c>
      <c r="E714">
        <v>178.0899963378906</v>
      </c>
      <c r="F714">
        <v>178.1999969482422</v>
      </c>
      <c r="G714">
        <v>178.1999969482422</v>
      </c>
      <c r="H714">
        <v>5419800</v>
      </c>
      <c r="I714" t="s">
        <v>2176</v>
      </c>
      <c r="J714" t="s">
        <v>2177</v>
      </c>
      <c r="K714" t="s">
        <v>41</v>
      </c>
    </row>
    <row r="715" spans="1:11" ht="20" customHeight="1">
      <c r="A715" t="s">
        <v>25</v>
      </c>
      <c r="B715" t="s">
        <v>2178</v>
      </c>
      <c r="C715">
        <v>179.0500030517578</v>
      </c>
      <c r="D715">
        <v>179.0800018310547</v>
      </c>
      <c r="E715">
        <v>178.4199981689453</v>
      </c>
      <c r="F715">
        <v>178.5099945068359</v>
      </c>
      <c r="G715">
        <v>178.5099945068359</v>
      </c>
      <c r="H715">
        <v>3222100</v>
      </c>
      <c r="I715" t="s">
        <v>2179</v>
      </c>
      <c r="J715" t="s">
        <v>2180</v>
      </c>
      <c r="K715" t="s">
        <v>41</v>
      </c>
    </row>
    <row r="716" spans="1:11" ht="20" customHeight="1">
      <c r="A716" t="s">
        <v>25</v>
      </c>
      <c r="B716" t="s">
        <v>2181</v>
      </c>
      <c r="C716">
        <v>179.0700073242188</v>
      </c>
      <c r="D716">
        <v>179.2899932861328</v>
      </c>
      <c r="E716">
        <v>177.4299926757812</v>
      </c>
      <c r="F716">
        <v>177.6900024414062</v>
      </c>
      <c r="G716">
        <v>177.6900024414062</v>
      </c>
      <c r="H716">
        <v>5036900</v>
      </c>
      <c r="I716" t="s">
        <v>2182</v>
      </c>
      <c r="J716" t="s">
        <v>2183</v>
      </c>
      <c r="K716" t="s">
        <v>41</v>
      </c>
    </row>
    <row r="717" spans="1:11" ht="20" customHeight="1">
      <c r="A717" t="s">
        <v>25</v>
      </c>
      <c r="B717" t="s">
        <v>2184</v>
      </c>
      <c r="C717">
        <v>177.2299957275391</v>
      </c>
      <c r="D717">
        <v>177.6900024414062</v>
      </c>
      <c r="E717">
        <v>176.6999969482422</v>
      </c>
      <c r="F717">
        <v>177.2799987792969</v>
      </c>
      <c r="G717">
        <v>177.2799987792969</v>
      </c>
      <c r="H717">
        <v>5866700</v>
      </c>
      <c r="I717" t="s">
        <v>2185</v>
      </c>
      <c r="J717" t="s">
        <v>2186</v>
      </c>
      <c r="K717" t="s">
        <v>41</v>
      </c>
    </row>
    <row r="718" spans="1:11" ht="20" customHeight="1">
      <c r="A718" t="s">
        <v>25</v>
      </c>
      <c r="B718" t="s">
        <v>2187</v>
      </c>
      <c r="C718">
        <v>175.8300018310547</v>
      </c>
      <c r="D718">
        <v>177.6300048828125</v>
      </c>
      <c r="E718">
        <v>175.7899932861328</v>
      </c>
      <c r="F718">
        <v>177.0899963378906</v>
      </c>
      <c r="G718">
        <v>177.0899963378906</v>
      </c>
      <c r="H718">
        <v>6862500</v>
      </c>
      <c r="I718" t="s">
        <v>2188</v>
      </c>
      <c r="J718" t="s">
        <v>2189</v>
      </c>
      <c r="K718" t="s">
        <v>41</v>
      </c>
    </row>
    <row r="719" spans="1:11" ht="20" customHeight="1">
      <c r="A719" t="s">
        <v>25</v>
      </c>
      <c r="B719" t="s">
        <v>2190</v>
      </c>
      <c r="C719">
        <v>177.6900024414062</v>
      </c>
      <c r="D719">
        <v>178.5299987792969</v>
      </c>
      <c r="E719">
        <v>177.3200073242188</v>
      </c>
      <c r="F719">
        <v>178.2700042724609</v>
      </c>
      <c r="G719">
        <v>178.2700042724609</v>
      </c>
      <c r="H719">
        <v>6420900</v>
      </c>
      <c r="I719" t="s">
        <v>2191</v>
      </c>
      <c r="J719" t="s">
        <v>2192</v>
      </c>
      <c r="K719" t="s">
        <v>41</v>
      </c>
    </row>
    <row r="720" spans="1:11" ht="20" customHeight="1">
      <c r="A720" t="s">
        <v>25</v>
      </c>
      <c r="B720" t="s">
        <v>2193</v>
      </c>
      <c r="C720">
        <v>178.6100006103516</v>
      </c>
      <c r="D720">
        <v>179.3399963378906</v>
      </c>
      <c r="E720">
        <v>178.4600067138672</v>
      </c>
      <c r="F720">
        <v>178.4700012207031</v>
      </c>
      <c r="G720">
        <v>178.4700012207031</v>
      </c>
      <c r="H720">
        <v>4085700</v>
      </c>
      <c r="I720" t="s">
        <v>2194</v>
      </c>
      <c r="J720" t="s">
        <v>2195</v>
      </c>
      <c r="K720" t="s">
        <v>41</v>
      </c>
    </row>
    <row r="721" spans="1:11" ht="20" customHeight="1">
      <c r="A721" t="s">
        <v>25</v>
      </c>
      <c r="B721" t="s">
        <v>2196</v>
      </c>
      <c r="C721">
        <v>179.4100036621094</v>
      </c>
      <c r="D721">
        <v>179.4199981689453</v>
      </c>
      <c r="E721">
        <v>177.8300018310547</v>
      </c>
      <c r="F721">
        <v>177.8399963378906</v>
      </c>
      <c r="G721">
        <v>177.8399963378906</v>
      </c>
      <c r="H721">
        <v>5650600</v>
      </c>
      <c r="I721" t="s">
        <v>2197</v>
      </c>
      <c r="J721" t="s">
        <v>2198</v>
      </c>
      <c r="K721" t="s">
        <v>41</v>
      </c>
    </row>
    <row r="722" spans="1:11" ht="20" customHeight="1">
      <c r="A722" t="s">
        <v>25</v>
      </c>
      <c r="B722" t="s">
        <v>2199</v>
      </c>
      <c r="C722">
        <v>177.5099945068359</v>
      </c>
      <c r="D722">
        <v>177.8000030517578</v>
      </c>
      <c r="E722">
        <v>176.6600036621094</v>
      </c>
      <c r="F722">
        <v>177.3099975585938</v>
      </c>
      <c r="G722">
        <v>177.3099975585938</v>
      </c>
      <c r="H722">
        <v>5133000</v>
      </c>
      <c r="I722" t="s">
        <v>2200</v>
      </c>
      <c r="J722" t="s">
        <v>2201</v>
      </c>
      <c r="K722" t="s">
        <v>41</v>
      </c>
    </row>
    <row r="723" spans="1:11" ht="20" customHeight="1">
      <c r="A723" t="s">
        <v>25</v>
      </c>
      <c r="B723" t="s">
        <v>2202</v>
      </c>
      <c r="C723">
        <v>178.3800048828125</v>
      </c>
      <c r="D723">
        <v>179.6499938964844</v>
      </c>
      <c r="E723">
        <v>178.3500061035156</v>
      </c>
      <c r="F723">
        <v>178.6399993896484</v>
      </c>
      <c r="G723">
        <v>178.6399993896484</v>
      </c>
      <c r="H723">
        <v>5201100</v>
      </c>
      <c r="I723" t="s">
        <v>2203</v>
      </c>
      <c r="J723" t="s">
        <v>2204</v>
      </c>
      <c r="K723" t="s">
        <v>41</v>
      </c>
    </row>
    <row r="724" spans="1:11" ht="20" customHeight="1">
      <c r="A724" t="s">
        <v>25</v>
      </c>
      <c r="B724" t="s">
        <v>2205</v>
      </c>
      <c r="C724">
        <v>178.3699951171875</v>
      </c>
      <c r="D724">
        <v>178.9199981689453</v>
      </c>
      <c r="E724">
        <v>178.2599945068359</v>
      </c>
      <c r="F724">
        <v>178.7799987792969</v>
      </c>
      <c r="G724">
        <v>178.7799987792969</v>
      </c>
      <c r="H724">
        <v>3320500</v>
      </c>
      <c r="I724" t="s">
        <v>2206</v>
      </c>
      <c r="J724" t="s">
        <v>2207</v>
      </c>
      <c r="K724" t="s">
        <v>41</v>
      </c>
    </row>
    <row r="725" spans="1:11" ht="20" customHeight="1">
      <c r="A725" t="s">
        <v>25</v>
      </c>
      <c r="B725" t="s">
        <v>2208</v>
      </c>
      <c r="C725">
        <v>179.4299926757812</v>
      </c>
      <c r="D725">
        <v>179.7100067138672</v>
      </c>
      <c r="E725">
        <v>179.1300048828125</v>
      </c>
      <c r="F725">
        <v>179.4499969482422</v>
      </c>
      <c r="G725">
        <v>179.4499969482422</v>
      </c>
      <c r="H725">
        <v>2818800</v>
      </c>
      <c r="I725" t="s">
        <v>2209</v>
      </c>
      <c r="J725" t="s">
        <v>2210</v>
      </c>
      <c r="K725" t="s">
        <v>41</v>
      </c>
    </row>
    <row r="726" spans="1:11" ht="20" customHeight="1">
      <c r="A726" t="s">
        <v>25</v>
      </c>
      <c r="B726" t="s">
        <v>2211</v>
      </c>
      <c r="C726">
        <v>181.1799926757812</v>
      </c>
      <c r="D726">
        <v>181.9499969482422</v>
      </c>
      <c r="E726">
        <v>181.1000061035156</v>
      </c>
      <c r="F726">
        <v>181.8800048828125</v>
      </c>
      <c r="G726">
        <v>181.8800048828125</v>
      </c>
      <c r="H726">
        <v>7062000</v>
      </c>
      <c r="I726" t="s">
        <v>2212</v>
      </c>
      <c r="J726" t="s">
        <v>2213</v>
      </c>
      <c r="K726" t="s">
        <v>41</v>
      </c>
    </row>
    <row r="727" spans="1:11" ht="20" customHeight="1">
      <c r="A727" t="s">
        <v>25</v>
      </c>
      <c r="B727" t="s">
        <v>2214</v>
      </c>
      <c r="C727">
        <v>181.9600067138672</v>
      </c>
      <c r="D727">
        <v>182.1499938964844</v>
      </c>
      <c r="E727">
        <v>181.4900054931641</v>
      </c>
      <c r="F727">
        <v>182.0099945068359</v>
      </c>
      <c r="G727">
        <v>182.0099945068359</v>
      </c>
      <c r="H727">
        <v>4527900</v>
      </c>
      <c r="I727" t="s">
        <v>2215</v>
      </c>
      <c r="J727" t="s">
        <v>2216</v>
      </c>
      <c r="K727" t="s">
        <v>41</v>
      </c>
    </row>
    <row r="728" spans="1:11" ht="20" customHeight="1">
      <c r="A728" t="s">
        <v>25</v>
      </c>
      <c r="B728" t="s">
        <v>2217</v>
      </c>
      <c r="C728">
        <v>181.5899963378906</v>
      </c>
      <c r="D728">
        <v>182.1699981689453</v>
      </c>
      <c r="E728">
        <v>181.1100006103516</v>
      </c>
      <c r="F728">
        <v>181.4299926757812</v>
      </c>
      <c r="G728">
        <v>181.4299926757812</v>
      </c>
      <c r="H728">
        <v>5390000</v>
      </c>
      <c r="I728" t="s">
        <v>2218</v>
      </c>
      <c r="J728" t="s">
        <v>2219</v>
      </c>
      <c r="K728" t="s">
        <v>41</v>
      </c>
    </row>
    <row r="729" spans="1:11" ht="20" customHeight="1">
      <c r="A729" t="s">
        <v>25</v>
      </c>
      <c r="B729" t="s">
        <v>2220</v>
      </c>
      <c r="C729">
        <v>180.9900054931641</v>
      </c>
      <c r="D729">
        <v>181.6300048828125</v>
      </c>
      <c r="E729">
        <v>180.6399993896484</v>
      </c>
      <c r="F729">
        <v>181.5599975585938</v>
      </c>
      <c r="G729">
        <v>181.5599975585938</v>
      </c>
      <c r="H729">
        <v>4152400</v>
      </c>
      <c r="I729" t="s">
        <v>2221</v>
      </c>
      <c r="J729" t="s">
        <v>2222</v>
      </c>
      <c r="K729" t="s">
        <v>41</v>
      </c>
    </row>
    <row r="730" spans="1:11" ht="20" customHeight="1">
      <c r="A730" t="s">
        <v>25</v>
      </c>
      <c r="B730" t="s">
        <v>2223</v>
      </c>
      <c r="C730">
        <v>182.7899932861328</v>
      </c>
      <c r="D730">
        <v>184.2299957275391</v>
      </c>
      <c r="E730">
        <v>182.3200073242188</v>
      </c>
      <c r="F730">
        <v>183.6399993896484</v>
      </c>
      <c r="G730">
        <v>183.6399993896484</v>
      </c>
      <c r="H730">
        <v>8238000</v>
      </c>
      <c r="I730" t="s">
        <v>2224</v>
      </c>
      <c r="J730" t="s">
        <v>2225</v>
      </c>
      <c r="K730" t="s">
        <v>41</v>
      </c>
    </row>
    <row r="731" spans="1:11" ht="20" customHeight="1">
      <c r="A731" t="s">
        <v>25</v>
      </c>
      <c r="B731" t="s">
        <v>2226</v>
      </c>
      <c r="C731">
        <v>183.4499969482422</v>
      </c>
      <c r="D731">
        <v>183.8399963378906</v>
      </c>
      <c r="E731">
        <v>182.8699951171875</v>
      </c>
      <c r="F731">
        <v>183.6699981689453</v>
      </c>
      <c r="G731">
        <v>183.6699981689453</v>
      </c>
      <c r="H731">
        <v>3911600</v>
      </c>
      <c r="I731" t="s">
        <v>2227</v>
      </c>
      <c r="J731" t="s">
        <v>2228</v>
      </c>
      <c r="K731" t="s">
        <v>41</v>
      </c>
    </row>
    <row r="732" spans="1:11" ht="20" customHeight="1">
      <c r="A732" t="s">
        <v>25</v>
      </c>
      <c r="B732" t="s">
        <v>2229</v>
      </c>
      <c r="C732">
        <v>183.7299957275391</v>
      </c>
      <c r="D732">
        <v>183.7700042724609</v>
      </c>
      <c r="E732">
        <v>182.4700012207031</v>
      </c>
      <c r="F732">
        <v>182.7400054931641</v>
      </c>
      <c r="G732">
        <v>182.7400054931641</v>
      </c>
      <c r="H732">
        <v>4972900</v>
      </c>
      <c r="I732" t="s">
        <v>2230</v>
      </c>
      <c r="J732" t="s">
        <v>2231</v>
      </c>
      <c r="K732" t="s">
        <v>41</v>
      </c>
    </row>
    <row r="733" spans="1:11" ht="20" customHeight="1">
      <c r="A733" t="s">
        <v>25</v>
      </c>
      <c r="B733" t="s">
        <v>2232</v>
      </c>
      <c r="C733">
        <v>182.0599975585938</v>
      </c>
      <c r="D733">
        <v>182.4600067138672</v>
      </c>
      <c r="E733">
        <v>181.6799926757812</v>
      </c>
      <c r="F733">
        <v>182.1799926757812</v>
      </c>
      <c r="G733">
        <v>182.1799926757812</v>
      </c>
      <c r="H733">
        <v>3845400</v>
      </c>
      <c r="I733" t="s">
        <v>2233</v>
      </c>
      <c r="J733" t="s">
        <v>2234</v>
      </c>
      <c r="K733" t="s">
        <v>41</v>
      </c>
    </row>
    <row r="734" spans="1:11" ht="20" customHeight="1">
      <c r="A734" t="s">
        <v>25</v>
      </c>
      <c r="B734" t="s">
        <v>2235</v>
      </c>
      <c r="C734">
        <v>182.2200012207031</v>
      </c>
      <c r="D734">
        <v>182.5399932861328</v>
      </c>
      <c r="E734">
        <v>181.3399963378906</v>
      </c>
      <c r="F734">
        <v>181.3999938964844</v>
      </c>
      <c r="G734">
        <v>181.3999938964844</v>
      </c>
      <c r="H734">
        <v>4370000</v>
      </c>
      <c r="I734" t="s">
        <v>2236</v>
      </c>
      <c r="J734" t="s">
        <v>2237</v>
      </c>
      <c r="K734" t="s">
        <v>41</v>
      </c>
    </row>
    <row r="735" spans="1:11" ht="20" customHeight="1">
      <c r="A735" t="s">
        <v>25</v>
      </c>
      <c r="B735" t="s">
        <v>2238</v>
      </c>
      <c r="C735">
        <v>181.7200012207031</v>
      </c>
      <c r="D735">
        <v>182.4700012207031</v>
      </c>
      <c r="E735">
        <v>181.1000061035156</v>
      </c>
      <c r="F735">
        <v>182.4100036621094</v>
      </c>
      <c r="G735">
        <v>182.4100036621094</v>
      </c>
      <c r="H735">
        <v>4090100</v>
      </c>
      <c r="I735" t="s">
        <v>2239</v>
      </c>
      <c r="J735" t="s">
        <v>2240</v>
      </c>
      <c r="K735" t="s">
        <v>41</v>
      </c>
    </row>
    <row r="736" spans="1:11" ht="20" customHeight="1">
      <c r="A736" t="s">
        <v>25</v>
      </c>
      <c r="B736" t="s">
        <v>2241</v>
      </c>
      <c r="C736">
        <v>182.6600036621094</v>
      </c>
      <c r="D736">
        <v>183.6399993896484</v>
      </c>
      <c r="E736">
        <v>182.3099975585938</v>
      </c>
      <c r="F736">
        <v>183.3000030517578</v>
      </c>
      <c r="G736">
        <v>183.3000030517578</v>
      </c>
      <c r="H736">
        <v>6158400</v>
      </c>
      <c r="I736" t="s">
        <v>2242</v>
      </c>
      <c r="J736" t="s">
        <v>2243</v>
      </c>
      <c r="K736" t="s">
        <v>41</v>
      </c>
    </row>
    <row r="737" spans="1:11" ht="20" customHeight="1">
      <c r="A737" t="s">
        <v>25</v>
      </c>
      <c r="B737" t="s">
        <v>2244</v>
      </c>
      <c r="C737">
        <v>181.6399993896484</v>
      </c>
      <c r="D737">
        <v>181.6399993896484</v>
      </c>
      <c r="E737">
        <v>180.3200073242188</v>
      </c>
      <c r="F737">
        <v>180.4199981689453</v>
      </c>
      <c r="G737">
        <v>180.4199981689453</v>
      </c>
      <c r="H737">
        <v>7592800</v>
      </c>
      <c r="I737" t="s">
        <v>2245</v>
      </c>
      <c r="J737" t="s">
        <v>2246</v>
      </c>
      <c r="K737" t="s">
        <v>41</v>
      </c>
    </row>
    <row r="738" spans="1:11" ht="20" customHeight="1">
      <c r="A738" t="s">
        <v>25</v>
      </c>
      <c r="B738" t="s">
        <v>2247</v>
      </c>
      <c r="C738">
        <v>181.4799957275391</v>
      </c>
      <c r="D738">
        <v>182.2700042724609</v>
      </c>
      <c r="E738">
        <v>181.25</v>
      </c>
      <c r="F738">
        <v>181.8600006103516</v>
      </c>
      <c r="G738">
        <v>181.8600006103516</v>
      </c>
      <c r="H738">
        <v>3828800</v>
      </c>
      <c r="I738" t="s">
        <v>2248</v>
      </c>
      <c r="J738" t="s">
        <v>2249</v>
      </c>
      <c r="K738" t="s">
        <v>41</v>
      </c>
    </row>
    <row r="739" spans="1:11" ht="20" customHeight="1">
      <c r="A739" t="s">
        <v>25</v>
      </c>
      <c r="B739" t="s">
        <v>2250</v>
      </c>
      <c r="C739">
        <v>182.4299926757812</v>
      </c>
      <c r="D739">
        <v>183.0899963378906</v>
      </c>
      <c r="E739">
        <v>182.3099975585938</v>
      </c>
      <c r="F739">
        <v>182.3500061035156</v>
      </c>
      <c r="G739">
        <v>182.3500061035156</v>
      </c>
      <c r="H739">
        <v>5494800</v>
      </c>
      <c r="I739" t="s">
        <v>2251</v>
      </c>
      <c r="J739" t="s">
        <v>2252</v>
      </c>
      <c r="K739" t="s">
        <v>41</v>
      </c>
    </row>
    <row r="740" spans="1:11" ht="20" customHeight="1">
      <c r="A740" t="s">
        <v>25</v>
      </c>
      <c r="B740" t="s">
        <v>2253</v>
      </c>
      <c r="C740">
        <v>180.8500061035156</v>
      </c>
      <c r="D740">
        <v>181.3800048828125</v>
      </c>
      <c r="E740">
        <v>180.1900024414062</v>
      </c>
      <c r="F740">
        <v>180.4600067138672</v>
      </c>
      <c r="G740">
        <v>180.4600067138672</v>
      </c>
      <c r="H740">
        <v>6239700</v>
      </c>
      <c r="I740" t="s">
        <v>2254</v>
      </c>
      <c r="J740" t="s">
        <v>2255</v>
      </c>
      <c r="K740" t="s">
        <v>41</v>
      </c>
    </row>
    <row r="741" spans="1:11" ht="20" customHeight="1">
      <c r="A741" t="s">
        <v>25</v>
      </c>
      <c r="B741" t="s">
        <v>2256</v>
      </c>
      <c r="C741">
        <v>180.5700073242188</v>
      </c>
      <c r="D741">
        <v>180.7899932861328</v>
      </c>
      <c r="E741">
        <v>179.4100036621094</v>
      </c>
      <c r="F741">
        <v>179.6000061035156</v>
      </c>
      <c r="G741">
        <v>179.6000061035156</v>
      </c>
      <c r="H741">
        <v>6339700</v>
      </c>
      <c r="I741" t="s">
        <v>2257</v>
      </c>
      <c r="J741" t="s">
        <v>2258</v>
      </c>
      <c r="K741" t="s">
        <v>41</v>
      </c>
    </row>
    <row r="742" spans="1:11" ht="20" customHeight="1">
      <c r="A742" t="s">
        <v>25</v>
      </c>
      <c r="B742" t="s">
        <v>2259</v>
      </c>
      <c r="C742">
        <v>179.4400024414062</v>
      </c>
      <c r="D742">
        <v>179.9499969482422</v>
      </c>
      <c r="E742">
        <v>179.2799987792969</v>
      </c>
      <c r="F742">
        <v>179.5399932861328</v>
      </c>
      <c r="G742">
        <v>179.5399932861328</v>
      </c>
      <c r="H742">
        <v>4636300</v>
      </c>
      <c r="I742" t="s">
        <v>2260</v>
      </c>
      <c r="J742" t="s">
        <v>2261</v>
      </c>
      <c r="K742" t="s">
        <v>41</v>
      </c>
    </row>
    <row r="743" spans="1:11" ht="20" customHeight="1">
      <c r="A743" t="s">
        <v>25</v>
      </c>
      <c r="B743" t="s">
        <v>2262</v>
      </c>
      <c r="C743">
        <v>180.25</v>
      </c>
      <c r="D743">
        <v>180.7700042724609</v>
      </c>
      <c r="E743">
        <v>179.8500061035156</v>
      </c>
      <c r="F743">
        <v>180.1900024414062</v>
      </c>
      <c r="G743">
        <v>180.1900024414062</v>
      </c>
      <c r="H743">
        <v>5326200</v>
      </c>
      <c r="I743" t="s">
        <v>2263</v>
      </c>
      <c r="J743" t="s">
        <v>2264</v>
      </c>
      <c r="K743" t="s">
        <v>41</v>
      </c>
    </row>
    <row r="744" spans="1:11" ht="20" customHeight="1">
      <c r="A744" t="s">
        <v>25</v>
      </c>
      <c r="B744" t="s">
        <v>2265</v>
      </c>
      <c r="C744">
        <v>180.1499938964844</v>
      </c>
      <c r="D744">
        <v>180.1499938964844</v>
      </c>
      <c r="E744">
        <v>179.2700042724609</v>
      </c>
      <c r="F744">
        <v>179.7799987792969</v>
      </c>
      <c r="G744">
        <v>179.7799987792969</v>
      </c>
      <c r="H744">
        <v>4510400</v>
      </c>
      <c r="I744" t="s">
        <v>2266</v>
      </c>
      <c r="J744" t="s">
        <v>2267</v>
      </c>
      <c r="K744" t="s">
        <v>41</v>
      </c>
    </row>
    <row r="745" spans="1:11" ht="20" customHeight="1">
      <c r="A745" t="s">
        <v>25</v>
      </c>
      <c r="B745" t="s">
        <v>2268</v>
      </c>
      <c r="C745">
        <v>178.6399993896484</v>
      </c>
      <c r="D745">
        <v>179.3300018310547</v>
      </c>
      <c r="E745">
        <v>178.4600067138672</v>
      </c>
      <c r="F745">
        <v>178.6399993896484</v>
      </c>
      <c r="G745">
        <v>178.6399993896484</v>
      </c>
      <c r="H745">
        <v>6162900</v>
      </c>
      <c r="I745" t="s">
        <v>2269</v>
      </c>
      <c r="J745" t="s">
        <v>2270</v>
      </c>
      <c r="K745" t="s">
        <v>41</v>
      </c>
    </row>
    <row r="746" spans="1:11" ht="20" customHeight="1">
      <c r="A746" t="s">
        <v>25</v>
      </c>
      <c r="B746" t="s">
        <v>2271</v>
      </c>
      <c r="C746">
        <v>178.6799926757812</v>
      </c>
      <c r="D746">
        <v>178.9199981689453</v>
      </c>
      <c r="E746">
        <v>177.7799987792969</v>
      </c>
      <c r="F746">
        <v>177.7899932861328</v>
      </c>
      <c r="G746">
        <v>177.7899932861328</v>
      </c>
      <c r="H746">
        <v>4644000</v>
      </c>
      <c r="I746" t="s">
        <v>2272</v>
      </c>
      <c r="J746" t="s">
        <v>2273</v>
      </c>
      <c r="K746" t="s">
        <v>41</v>
      </c>
    </row>
    <row r="747" spans="1:11" ht="20" customHeight="1">
      <c r="A747" t="s">
        <v>25</v>
      </c>
      <c r="B747" t="s">
        <v>2274</v>
      </c>
      <c r="C747">
        <v>178.2200012207031</v>
      </c>
      <c r="D747">
        <v>178.6999969482422</v>
      </c>
      <c r="E747">
        <v>177.5399932861328</v>
      </c>
      <c r="F747">
        <v>177.6000061035156</v>
      </c>
      <c r="G747">
        <v>177.6000061035156</v>
      </c>
      <c r="H747">
        <v>5934600</v>
      </c>
      <c r="I747" t="s">
        <v>2275</v>
      </c>
      <c r="J747" t="s">
        <v>2276</v>
      </c>
      <c r="K747" t="s">
        <v>41</v>
      </c>
    </row>
    <row r="748" spans="1:11" ht="20" customHeight="1">
      <c r="A748" t="s">
        <v>25</v>
      </c>
      <c r="B748" t="s">
        <v>2277</v>
      </c>
      <c r="C748">
        <v>177.6999969482422</v>
      </c>
      <c r="D748">
        <v>178.3600006103516</v>
      </c>
      <c r="E748">
        <v>177.4900054931641</v>
      </c>
      <c r="F748">
        <v>177.6000061035156</v>
      </c>
      <c r="G748">
        <v>177.6000061035156</v>
      </c>
      <c r="H748">
        <v>5289700</v>
      </c>
      <c r="I748" t="s">
        <v>2278</v>
      </c>
      <c r="J748" t="s">
        <v>2279</v>
      </c>
      <c r="K748" t="s">
        <v>41</v>
      </c>
    </row>
    <row r="749" spans="1:11" ht="20" customHeight="1">
      <c r="A749" t="s">
        <v>25</v>
      </c>
      <c r="B749" t="s">
        <v>2280</v>
      </c>
      <c r="C749">
        <v>176.8600006103516</v>
      </c>
      <c r="D749">
        <v>177.5800018310547</v>
      </c>
      <c r="E749">
        <v>176.5800018310547</v>
      </c>
      <c r="F749">
        <v>177.0599975585938</v>
      </c>
      <c r="G749">
        <v>177.0599975585938</v>
      </c>
      <c r="H749">
        <v>9554500</v>
      </c>
      <c r="I749" t="s">
        <v>2281</v>
      </c>
      <c r="J749" t="s">
        <v>2282</v>
      </c>
      <c r="K749" t="s">
        <v>41</v>
      </c>
    </row>
    <row r="750" spans="1:11" ht="20" customHeight="1">
      <c r="A750" t="s">
        <v>25</v>
      </c>
      <c r="B750" t="s">
        <v>2283</v>
      </c>
      <c r="C750">
        <v>176.75</v>
      </c>
      <c r="D750">
        <v>177.4299926757812</v>
      </c>
      <c r="E750">
        <v>176.3300018310547</v>
      </c>
      <c r="F750">
        <v>176.5899963378906</v>
      </c>
      <c r="G750">
        <v>176.5899963378906</v>
      </c>
      <c r="H750">
        <v>7582700</v>
      </c>
      <c r="I750" t="s">
        <v>2284</v>
      </c>
      <c r="J750" t="s">
        <v>2285</v>
      </c>
      <c r="K750" t="s">
        <v>41</v>
      </c>
    </row>
    <row r="751" spans="1:11" ht="20" customHeight="1">
      <c r="A751" t="s">
        <v>25</v>
      </c>
      <c r="B751" t="s">
        <v>2286</v>
      </c>
      <c r="C751">
        <v>176.6199951171875</v>
      </c>
      <c r="D751">
        <v>176.9499969482422</v>
      </c>
      <c r="E751">
        <v>175.5599975585938</v>
      </c>
      <c r="F751">
        <v>175.5700073242188</v>
      </c>
      <c r="G751">
        <v>175.5700073242188</v>
      </c>
      <c r="H751">
        <v>6559400</v>
      </c>
      <c r="I751" t="s">
        <v>2287</v>
      </c>
      <c r="J751" t="s">
        <v>2288</v>
      </c>
      <c r="K751" t="s">
        <v>41</v>
      </c>
    </row>
    <row r="752" spans="1:11" ht="20" customHeight="1">
      <c r="A752" t="s">
        <v>25</v>
      </c>
      <c r="B752" t="s">
        <v>2289</v>
      </c>
      <c r="C752">
        <v>176.5299987792969</v>
      </c>
      <c r="D752">
        <v>176.5599975585938</v>
      </c>
      <c r="E752">
        <v>174.9299926757812</v>
      </c>
      <c r="F752">
        <v>175.3000030517578</v>
      </c>
      <c r="G752">
        <v>175.3000030517578</v>
      </c>
      <c r="H752">
        <v>7937700</v>
      </c>
      <c r="I752" t="s">
        <v>2290</v>
      </c>
      <c r="J752" t="s">
        <v>2291</v>
      </c>
      <c r="K752" t="s">
        <v>41</v>
      </c>
    </row>
    <row r="753" spans="1:11" ht="20" customHeight="1">
      <c r="A753" t="s">
        <v>25</v>
      </c>
      <c r="B753" t="s">
        <v>2292</v>
      </c>
      <c r="C753">
        <v>175.8300018310547</v>
      </c>
      <c r="D753">
        <v>176.0599975585938</v>
      </c>
      <c r="E753">
        <v>175.1000061035156</v>
      </c>
      <c r="F753">
        <v>175.3300018310547</v>
      </c>
      <c r="G753">
        <v>175.3300018310547</v>
      </c>
      <c r="H753">
        <v>6253000</v>
      </c>
      <c r="I753" t="s">
        <v>2293</v>
      </c>
      <c r="J753" t="s">
        <v>2294</v>
      </c>
      <c r="K753" t="s">
        <v>41</v>
      </c>
    </row>
    <row r="754" spans="1:11" ht="20" customHeight="1">
      <c r="A754" t="s">
        <v>25</v>
      </c>
      <c r="B754" t="s">
        <v>2295</v>
      </c>
      <c r="C754">
        <v>175.8999938964844</v>
      </c>
      <c r="D754">
        <v>175.9400024414062</v>
      </c>
      <c r="E754">
        <v>174.9600067138672</v>
      </c>
      <c r="F754">
        <v>175.8099975585938</v>
      </c>
      <c r="G754">
        <v>175.8099975585938</v>
      </c>
      <c r="H754">
        <v>4206400</v>
      </c>
      <c r="I754" t="s">
        <v>2296</v>
      </c>
      <c r="J754" t="s">
        <v>2297</v>
      </c>
      <c r="K754" t="s">
        <v>41</v>
      </c>
    </row>
    <row r="755" spans="1:11" ht="20" customHeight="1">
      <c r="A755" t="s">
        <v>25</v>
      </c>
      <c r="B755" t="s">
        <v>2298</v>
      </c>
      <c r="C755">
        <v>175.8300018310547</v>
      </c>
      <c r="D755">
        <v>176.25</v>
      </c>
      <c r="E755">
        <v>175.3099975585938</v>
      </c>
      <c r="F755">
        <v>176.1000061035156</v>
      </c>
      <c r="G755">
        <v>176.1000061035156</v>
      </c>
      <c r="H755">
        <v>5892200</v>
      </c>
      <c r="I755" t="s">
        <v>2299</v>
      </c>
      <c r="J755" t="s">
        <v>2300</v>
      </c>
      <c r="K755" t="s">
        <v>41</v>
      </c>
    </row>
    <row r="756" spans="1:11" ht="20" customHeight="1">
      <c r="A756" t="s">
        <v>25</v>
      </c>
      <c r="B756" t="s">
        <v>2301</v>
      </c>
      <c r="C756">
        <v>177.3200073242188</v>
      </c>
      <c r="D756">
        <v>178.2200012207031</v>
      </c>
      <c r="E756">
        <v>177.0700073242188</v>
      </c>
      <c r="F756">
        <v>177.8899993896484</v>
      </c>
      <c r="G756">
        <v>177.8899993896484</v>
      </c>
      <c r="H756">
        <v>7949100</v>
      </c>
      <c r="I756" t="s">
        <v>2302</v>
      </c>
      <c r="J756" t="s">
        <v>2303</v>
      </c>
      <c r="K756" t="s">
        <v>41</v>
      </c>
    </row>
    <row r="757" spans="1:11" ht="20" customHeight="1">
      <c r="A757" t="s">
        <v>25</v>
      </c>
      <c r="B757" t="s">
        <v>2304</v>
      </c>
      <c r="C757">
        <v>177.6600036621094</v>
      </c>
      <c r="D757">
        <v>178.4900054931641</v>
      </c>
      <c r="E757">
        <v>177.4100036621094</v>
      </c>
      <c r="F757">
        <v>177.8500061035156</v>
      </c>
      <c r="G757">
        <v>177.8500061035156</v>
      </c>
      <c r="H757">
        <v>5526400</v>
      </c>
      <c r="I757" t="s">
        <v>2305</v>
      </c>
      <c r="J757" t="s">
        <v>2306</v>
      </c>
      <c r="K757" t="s">
        <v>41</v>
      </c>
    </row>
    <row r="758" spans="1:11" ht="20" customHeight="1">
      <c r="A758" t="s">
        <v>25</v>
      </c>
      <c r="B758" t="s">
        <v>2307</v>
      </c>
      <c r="C758">
        <v>177.5800018310547</v>
      </c>
      <c r="D758">
        <v>178.3800048828125</v>
      </c>
      <c r="E758">
        <v>176.6300048828125</v>
      </c>
      <c r="F758">
        <v>177.6199951171875</v>
      </c>
      <c r="G758">
        <v>177.6199951171875</v>
      </c>
      <c r="H758">
        <v>6132800</v>
      </c>
      <c r="I758" t="s">
        <v>2308</v>
      </c>
      <c r="J758" t="s">
        <v>2309</v>
      </c>
      <c r="K758" t="s">
        <v>41</v>
      </c>
    </row>
    <row r="759" spans="1:11" ht="20" customHeight="1">
      <c r="A759" t="s">
        <v>25</v>
      </c>
      <c r="B759" t="s">
        <v>2310</v>
      </c>
      <c r="C759">
        <v>177.6499938964844</v>
      </c>
      <c r="D759">
        <v>178.7299957275391</v>
      </c>
      <c r="E759">
        <v>177.5099945068359</v>
      </c>
      <c r="F759">
        <v>178.1300048828125</v>
      </c>
      <c r="G759">
        <v>178.1300048828125</v>
      </c>
      <c r="H759">
        <v>4740700</v>
      </c>
      <c r="I759" t="s">
        <v>2311</v>
      </c>
      <c r="J759" t="s">
        <v>2312</v>
      </c>
      <c r="K759" t="s">
        <v>41</v>
      </c>
    </row>
    <row r="760" spans="1:11" ht="20" customHeight="1">
      <c r="A760" t="s">
        <v>25</v>
      </c>
      <c r="B760" t="s">
        <v>2313</v>
      </c>
      <c r="C760">
        <v>178.0299987792969</v>
      </c>
      <c r="D760">
        <v>179.8800048828125</v>
      </c>
      <c r="E760">
        <v>177.8999938964844</v>
      </c>
      <c r="F760">
        <v>179.8699951171875</v>
      </c>
      <c r="G760">
        <v>179.8699951171875</v>
      </c>
      <c r="H760">
        <v>7576600</v>
      </c>
      <c r="I760" t="s">
        <v>2314</v>
      </c>
      <c r="J760" t="s">
        <v>2315</v>
      </c>
      <c r="K760" t="s">
        <v>41</v>
      </c>
    </row>
    <row r="761" spans="1:11" ht="20" customHeight="1">
      <c r="A761" t="s">
        <v>25</v>
      </c>
      <c r="B761" t="s">
        <v>2316</v>
      </c>
      <c r="C761">
        <v>180.5800018310547</v>
      </c>
      <c r="D761">
        <v>180.8800048828125</v>
      </c>
      <c r="E761">
        <v>180.2899932861328</v>
      </c>
      <c r="F761">
        <v>180.3200073242188</v>
      </c>
      <c r="G761">
        <v>180.3200073242188</v>
      </c>
      <c r="H761">
        <v>6593700</v>
      </c>
      <c r="I761" t="s">
        <v>2317</v>
      </c>
      <c r="J761" t="s">
        <v>2318</v>
      </c>
      <c r="K761" t="s">
        <v>41</v>
      </c>
    </row>
    <row r="762" spans="1:11" ht="20" customHeight="1">
      <c r="A762" t="s">
        <v>25</v>
      </c>
      <c r="B762" t="s">
        <v>2319</v>
      </c>
      <c r="C762">
        <v>180.3699951171875</v>
      </c>
      <c r="D762">
        <v>180.4900054931641</v>
      </c>
      <c r="E762">
        <v>179.9400024414062</v>
      </c>
      <c r="F762">
        <v>180.0200042724609</v>
      </c>
      <c r="G762">
        <v>180.0200042724609</v>
      </c>
      <c r="H762">
        <v>4795600</v>
      </c>
      <c r="I762" t="s">
        <v>2320</v>
      </c>
      <c r="J762" t="s">
        <v>2321</v>
      </c>
      <c r="K762" t="s">
        <v>41</v>
      </c>
    </row>
    <row r="763" spans="1:11" ht="20" customHeight="1">
      <c r="A763" t="s">
        <v>25</v>
      </c>
      <c r="B763" t="s">
        <v>2322</v>
      </c>
      <c r="C763">
        <v>180.8000030517578</v>
      </c>
      <c r="D763">
        <v>181.1199951171875</v>
      </c>
      <c r="E763">
        <v>179.5099945068359</v>
      </c>
      <c r="F763">
        <v>180.1100006103516</v>
      </c>
      <c r="G763">
        <v>180.1100006103516</v>
      </c>
      <c r="H763">
        <v>4970700</v>
      </c>
      <c r="I763" t="s">
        <v>2323</v>
      </c>
      <c r="J763" t="s">
        <v>2324</v>
      </c>
      <c r="K763" t="s">
        <v>41</v>
      </c>
    </row>
    <row r="764" spans="1:11" ht="20" customHeight="1">
      <c r="A764" t="s">
        <v>25</v>
      </c>
      <c r="B764" t="s">
        <v>2325</v>
      </c>
      <c r="C764">
        <v>179.3300018310547</v>
      </c>
      <c r="D764">
        <v>179.4400024414062</v>
      </c>
      <c r="E764">
        <v>178.6399993896484</v>
      </c>
      <c r="F764">
        <v>178.6399993896484</v>
      </c>
      <c r="G764">
        <v>178.6399993896484</v>
      </c>
      <c r="H764">
        <v>7056800</v>
      </c>
      <c r="I764" t="s">
        <v>2326</v>
      </c>
      <c r="J764" t="s">
        <v>2327</v>
      </c>
      <c r="K764" t="s">
        <v>41</v>
      </c>
    </row>
    <row r="765" spans="1:11" ht="20" customHeight="1">
      <c r="A765" t="s">
        <v>25</v>
      </c>
      <c r="B765" t="s">
        <v>2328</v>
      </c>
      <c r="C765">
        <v>178.3300018310547</v>
      </c>
      <c r="D765">
        <v>179.0099945068359</v>
      </c>
      <c r="E765">
        <v>177.6999969482422</v>
      </c>
      <c r="F765">
        <v>177.8300018310547</v>
      </c>
      <c r="G765">
        <v>177.8300018310547</v>
      </c>
      <c r="H765">
        <v>6427200</v>
      </c>
      <c r="I765" t="s">
        <v>2329</v>
      </c>
      <c r="J765" t="s">
        <v>2330</v>
      </c>
      <c r="K765" t="s">
        <v>41</v>
      </c>
    </row>
    <row r="766" spans="1:11" ht="20" customHeight="1">
      <c r="A766" t="s">
        <v>25</v>
      </c>
      <c r="B766" t="s">
        <v>2331</v>
      </c>
      <c r="C766">
        <v>178.3099975585938</v>
      </c>
      <c r="D766">
        <v>178.3699951171875</v>
      </c>
      <c r="E766">
        <v>177.8999938964844</v>
      </c>
      <c r="F766">
        <v>178.0200042724609</v>
      </c>
      <c r="G766">
        <v>178.0200042724609</v>
      </c>
      <c r="H766">
        <v>3257200</v>
      </c>
      <c r="I766" t="s">
        <v>2332</v>
      </c>
      <c r="J766" t="s">
        <v>2333</v>
      </c>
      <c r="K766" t="s">
        <v>41</v>
      </c>
    </row>
    <row r="767" spans="1:11" ht="20" customHeight="1">
      <c r="A767" t="s">
        <v>25</v>
      </c>
      <c r="B767" t="s">
        <v>2334</v>
      </c>
      <c r="C767">
        <v>178.3600006103516</v>
      </c>
      <c r="D767">
        <v>179.0500030517578</v>
      </c>
      <c r="E767">
        <v>177.8999938964844</v>
      </c>
      <c r="F767">
        <v>178.0800018310547</v>
      </c>
      <c r="G767">
        <v>178.0800018310547</v>
      </c>
      <c r="H767">
        <v>3292700</v>
      </c>
      <c r="I767" t="s">
        <v>2335</v>
      </c>
      <c r="J767" t="s">
        <v>2336</v>
      </c>
      <c r="K767" t="s">
        <v>41</v>
      </c>
    </row>
    <row r="768" spans="1:11" ht="20" customHeight="1">
      <c r="A768" t="s">
        <v>25</v>
      </c>
      <c r="B768" t="s">
        <v>2337</v>
      </c>
      <c r="C768">
        <v>178.9700012207031</v>
      </c>
      <c r="D768">
        <v>179.0700073242188</v>
      </c>
      <c r="E768">
        <v>178.2599945068359</v>
      </c>
      <c r="F768">
        <v>178.4100036621094</v>
      </c>
      <c r="G768">
        <v>178.4100036621094</v>
      </c>
      <c r="H768">
        <v>3689100</v>
      </c>
      <c r="I768" t="s">
        <v>2338</v>
      </c>
      <c r="J768" t="s">
        <v>2339</v>
      </c>
      <c r="K768" t="s">
        <v>41</v>
      </c>
    </row>
    <row r="769" spans="1:11" ht="20" customHeight="1">
      <c r="A769" t="s">
        <v>25</v>
      </c>
      <c r="B769" t="s">
        <v>2340</v>
      </c>
      <c r="C769">
        <v>177.1100006103516</v>
      </c>
      <c r="D769">
        <v>177.6999969482422</v>
      </c>
      <c r="E769">
        <v>177.0500030517578</v>
      </c>
      <c r="F769">
        <v>177.4900054931641</v>
      </c>
      <c r="G769">
        <v>177.4900054931641</v>
      </c>
      <c r="H769">
        <v>4445400</v>
      </c>
      <c r="I769" t="s">
        <v>2341</v>
      </c>
      <c r="J769" t="s">
        <v>2342</v>
      </c>
      <c r="K769" t="s">
        <v>41</v>
      </c>
    </row>
    <row r="770" spans="1:11" ht="20" customHeight="1">
      <c r="A770" t="s">
        <v>25</v>
      </c>
      <c r="B770" t="s">
        <v>2343</v>
      </c>
      <c r="C770">
        <v>177.5299987792969</v>
      </c>
      <c r="D770">
        <v>177.75</v>
      </c>
      <c r="E770">
        <v>177.0399932861328</v>
      </c>
      <c r="F770">
        <v>177.0800018310547</v>
      </c>
      <c r="G770">
        <v>177.0800018310547</v>
      </c>
      <c r="H770">
        <v>3874800</v>
      </c>
      <c r="I770" t="s">
        <v>2344</v>
      </c>
      <c r="J770" t="s">
        <v>2345</v>
      </c>
      <c r="K770" t="s">
        <v>41</v>
      </c>
    </row>
    <row r="771" spans="1:11" ht="20" customHeight="1">
      <c r="A771" t="s">
        <v>25</v>
      </c>
      <c r="B771" t="s">
        <v>2346</v>
      </c>
      <c r="C771">
        <v>176.5</v>
      </c>
      <c r="D771">
        <v>177.3899993896484</v>
      </c>
      <c r="E771">
        <v>176.3600006103516</v>
      </c>
      <c r="F771">
        <v>177.1699981689453</v>
      </c>
      <c r="G771">
        <v>177.1699981689453</v>
      </c>
      <c r="H771">
        <v>6184400</v>
      </c>
      <c r="I771" t="s">
        <v>2347</v>
      </c>
      <c r="J771" t="s">
        <v>2348</v>
      </c>
      <c r="K771" t="s">
        <v>41</v>
      </c>
    </row>
    <row r="772" spans="1:11" ht="20" customHeight="1">
      <c r="A772" t="s">
        <v>25</v>
      </c>
      <c r="B772" t="s">
        <v>2349</v>
      </c>
      <c r="C772">
        <v>178.5500030517578</v>
      </c>
      <c r="D772">
        <v>179.1100006103516</v>
      </c>
      <c r="E772">
        <v>178.3399963378906</v>
      </c>
      <c r="F772">
        <v>178.3399963378906</v>
      </c>
      <c r="G772">
        <v>178.3399963378906</v>
      </c>
      <c r="H772">
        <v>5620900</v>
      </c>
      <c r="I772" t="s">
        <v>2350</v>
      </c>
      <c r="J772" t="s">
        <v>2351</v>
      </c>
      <c r="K772" t="s">
        <v>41</v>
      </c>
    </row>
    <row r="773" spans="1:11" ht="20" customHeight="1">
      <c r="A773" t="s">
        <v>25</v>
      </c>
      <c r="B773" t="s">
        <v>2352</v>
      </c>
      <c r="C773">
        <v>178.8200073242188</v>
      </c>
      <c r="D773">
        <v>179.4100036621094</v>
      </c>
      <c r="E773">
        <v>178.3800048828125</v>
      </c>
      <c r="F773">
        <v>179.3899993896484</v>
      </c>
      <c r="G773">
        <v>179.3899993896484</v>
      </c>
      <c r="H773">
        <v>5049300</v>
      </c>
      <c r="I773" t="s">
        <v>2353</v>
      </c>
      <c r="J773" t="s">
        <v>2354</v>
      </c>
      <c r="K773" t="s">
        <v>41</v>
      </c>
    </row>
    <row r="774" spans="1:11" ht="20" customHeight="1">
      <c r="A774" t="s">
        <v>25</v>
      </c>
      <c r="B774" t="s">
        <v>2355</v>
      </c>
      <c r="C774">
        <v>179.5399932861328</v>
      </c>
      <c r="D774">
        <v>179.6499938964844</v>
      </c>
      <c r="E774">
        <v>179.0299987792969</v>
      </c>
      <c r="F774">
        <v>179.2200012207031</v>
      </c>
      <c r="G774">
        <v>179.2200012207031</v>
      </c>
      <c r="H774">
        <v>4224700</v>
      </c>
      <c r="I774" t="s">
        <v>2356</v>
      </c>
      <c r="J774" t="s">
        <v>2357</v>
      </c>
      <c r="K774" t="s">
        <v>41</v>
      </c>
    </row>
    <row r="775" spans="1:11" ht="20" customHeight="1">
      <c r="A775" t="s">
        <v>25</v>
      </c>
      <c r="B775" t="s">
        <v>2358</v>
      </c>
      <c r="C775">
        <v>179.3399963378906</v>
      </c>
      <c r="D775">
        <v>180.6600036621094</v>
      </c>
      <c r="E775">
        <v>179.3200073242188</v>
      </c>
      <c r="F775">
        <v>179.3500061035156</v>
      </c>
      <c r="G775">
        <v>179.3500061035156</v>
      </c>
      <c r="H775">
        <v>9328000</v>
      </c>
      <c r="I775" t="s">
        <v>2359</v>
      </c>
      <c r="J775" t="s">
        <v>2360</v>
      </c>
      <c r="K775" t="s">
        <v>41</v>
      </c>
    </row>
    <row r="776" spans="1:11" ht="20" customHeight="1">
      <c r="A776" t="s">
        <v>25</v>
      </c>
      <c r="B776" t="s">
        <v>2361</v>
      </c>
      <c r="C776">
        <v>177.8600006103516</v>
      </c>
      <c r="D776">
        <v>178.4900054931641</v>
      </c>
      <c r="E776">
        <v>177.6900024414062</v>
      </c>
      <c r="F776">
        <v>178.0500030517578</v>
      </c>
      <c r="G776">
        <v>178.0500030517578</v>
      </c>
      <c r="H776">
        <v>7571900</v>
      </c>
      <c r="I776" t="s">
        <v>2362</v>
      </c>
      <c r="J776" t="s">
        <v>2363</v>
      </c>
      <c r="K776" t="s">
        <v>41</v>
      </c>
    </row>
    <row r="777" spans="1:11" ht="20" customHeight="1">
      <c r="A777" t="s">
        <v>25</v>
      </c>
      <c r="B777" t="s">
        <v>2364</v>
      </c>
      <c r="C777">
        <v>178.6499938964844</v>
      </c>
      <c r="D777">
        <v>178.9499969482422</v>
      </c>
      <c r="E777">
        <v>178.5099945068359</v>
      </c>
      <c r="F777">
        <v>178.6199951171875</v>
      </c>
      <c r="G777">
        <v>178.6199951171875</v>
      </c>
      <c r="H777">
        <v>3634800</v>
      </c>
      <c r="I777" t="s">
        <v>2365</v>
      </c>
      <c r="J777" t="s">
        <v>2366</v>
      </c>
      <c r="K777" t="s">
        <v>41</v>
      </c>
    </row>
    <row r="778" spans="1:11" ht="20" customHeight="1">
      <c r="A778" t="s">
        <v>25</v>
      </c>
      <c r="B778" t="s">
        <v>2367</v>
      </c>
      <c r="C778">
        <v>178.4100036621094</v>
      </c>
      <c r="D778">
        <v>178.7100067138672</v>
      </c>
      <c r="E778">
        <v>177.6399993896484</v>
      </c>
      <c r="F778">
        <v>177.6999969482422</v>
      </c>
      <c r="G778">
        <v>177.6999969482422</v>
      </c>
      <c r="H778">
        <v>5582100</v>
      </c>
      <c r="I778" t="s">
        <v>2368</v>
      </c>
      <c r="J778" t="s">
        <v>2369</v>
      </c>
      <c r="K778" t="s">
        <v>41</v>
      </c>
    </row>
    <row r="779" spans="1:11" ht="20" customHeight="1">
      <c r="A779" t="s">
        <v>25</v>
      </c>
      <c r="B779" t="s">
        <v>2370</v>
      </c>
      <c r="C779">
        <v>176.8300018310547</v>
      </c>
      <c r="D779">
        <v>177.1399993896484</v>
      </c>
      <c r="E779">
        <v>176.1600036621094</v>
      </c>
      <c r="F779">
        <v>176.2799987792969</v>
      </c>
      <c r="G779">
        <v>176.2799987792969</v>
      </c>
      <c r="H779">
        <v>7181100</v>
      </c>
      <c r="I779" t="s">
        <v>2371</v>
      </c>
      <c r="J779" t="s">
        <v>2372</v>
      </c>
      <c r="K779" t="s">
        <v>41</v>
      </c>
    </row>
    <row r="780" spans="1:11" ht="20" customHeight="1">
      <c r="A780" t="s">
        <v>25</v>
      </c>
      <c r="B780" t="s">
        <v>2373</v>
      </c>
      <c r="C780">
        <v>175.2700042724609</v>
      </c>
      <c r="D780">
        <v>175.3200073242188</v>
      </c>
      <c r="E780">
        <v>173.6999969482422</v>
      </c>
      <c r="F780">
        <v>174.1000061035156</v>
      </c>
      <c r="G780">
        <v>174.1000061035156</v>
      </c>
      <c r="H780">
        <v>10919600</v>
      </c>
      <c r="I780" t="s">
        <v>2374</v>
      </c>
      <c r="J780" t="s">
        <v>2375</v>
      </c>
      <c r="K780" t="s">
        <v>41</v>
      </c>
    </row>
    <row r="781" spans="1:11" ht="20" customHeight="1">
      <c r="A781" t="s">
        <v>25</v>
      </c>
      <c r="B781" t="s">
        <v>2376</v>
      </c>
      <c r="C781">
        <v>173.9100036621094</v>
      </c>
      <c r="D781">
        <v>174.1399993896484</v>
      </c>
      <c r="E781">
        <v>172.3200073242188</v>
      </c>
      <c r="F781">
        <v>173.2299957275391</v>
      </c>
      <c r="G781">
        <v>173.2299957275391</v>
      </c>
      <c r="H781">
        <v>10061900</v>
      </c>
      <c r="I781" t="s">
        <v>2377</v>
      </c>
      <c r="J781" t="s">
        <v>2378</v>
      </c>
      <c r="K781" t="s">
        <v>41</v>
      </c>
    </row>
    <row r="782" spans="1:11" ht="20" customHeight="1">
      <c r="A782" t="s">
        <v>25</v>
      </c>
      <c r="B782" t="s">
        <v>2379</v>
      </c>
      <c r="C782">
        <v>173.9199981689453</v>
      </c>
      <c r="D782">
        <v>174.0299987792969</v>
      </c>
      <c r="E782">
        <v>171.2700042724609</v>
      </c>
      <c r="F782">
        <v>171.4499969482422</v>
      </c>
      <c r="G782">
        <v>171.4499969482422</v>
      </c>
      <c r="H782">
        <v>10427400</v>
      </c>
      <c r="I782" t="s">
        <v>2380</v>
      </c>
      <c r="J782" t="s">
        <v>2381</v>
      </c>
      <c r="K782" t="s">
        <v>41</v>
      </c>
    </row>
    <row r="783" spans="1:11" ht="20" customHeight="1">
      <c r="A783" t="s">
        <v>25</v>
      </c>
      <c r="B783" t="s">
        <v>2382</v>
      </c>
      <c r="C783">
        <v>170.2299957275391</v>
      </c>
      <c r="D783">
        <v>170.4600067138672</v>
      </c>
      <c r="E783">
        <v>169.5</v>
      </c>
      <c r="F783">
        <v>169.6499938964844</v>
      </c>
      <c r="G783">
        <v>169.6499938964844</v>
      </c>
      <c r="H783">
        <v>12706000</v>
      </c>
      <c r="I783" t="s">
        <v>2383</v>
      </c>
      <c r="J783" t="s">
        <v>2384</v>
      </c>
      <c r="K783" t="s">
        <v>41</v>
      </c>
    </row>
    <row r="784" spans="1:11" ht="20" customHeight="1">
      <c r="A784" t="s">
        <v>25</v>
      </c>
      <c r="B784" t="s">
        <v>2385</v>
      </c>
      <c r="C784">
        <v>169.1399993896484</v>
      </c>
      <c r="D784">
        <v>170.0800018310547</v>
      </c>
      <c r="E784">
        <v>168.75</v>
      </c>
      <c r="F784">
        <v>169.1600036621094</v>
      </c>
      <c r="G784">
        <v>169.1600036621094</v>
      </c>
      <c r="H784">
        <v>11459800</v>
      </c>
      <c r="I784" t="s">
        <v>2386</v>
      </c>
      <c r="J784" t="s">
        <v>2387</v>
      </c>
      <c r="K784" t="s">
        <v>41</v>
      </c>
    </row>
    <row r="785" spans="1:11" ht="20" customHeight="1">
      <c r="A785" t="s">
        <v>25</v>
      </c>
      <c r="B785" t="s">
        <v>2388</v>
      </c>
      <c r="C785">
        <v>169.2100067138672</v>
      </c>
      <c r="D785">
        <v>169.4100036621094</v>
      </c>
      <c r="E785">
        <v>168.5</v>
      </c>
      <c r="F785">
        <v>169.1399993896484</v>
      </c>
      <c r="G785">
        <v>169.1399993896484</v>
      </c>
      <c r="H785">
        <v>10034600</v>
      </c>
      <c r="I785" t="s">
        <v>2389</v>
      </c>
      <c r="J785" t="s">
        <v>2390</v>
      </c>
      <c r="K785" t="s">
        <v>41</v>
      </c>
    </row>
    <row r="786" spans="1:11" ht="20" customHeight="1">
      <c r="A786" t="s">
        <v>25</v>
      </c>
      <c r="B786" t="s">
        <v>2391</v>
      </c>
      <c r="C786">
        <v>168.7400054931641</v>
      </c>
      <c r="D786">
        <v>169</v>
      </c>
      <c r="E786">
        <v>168.3000030517578</v>
      </c>
      <c r="F786">
        <v>168.8300018310547</v>
      </c>
      <c r="G786">
        <v>168.8300018310547</v>
      </c>
      <c r="H786">
        <v>6970200</v>
      </c>
      <c r="I786" t="s">
        <v>2392</v>
      </c>
      <c r="J786" t="s">
        <v>2393</v>
      </c>
      <c r="K786" t="s">
        <v>41</v>
      </c>
    </row>
    <row r="787" spans="1:11" ht="20" customHeight="1">
      <c r="A787" t="s">
        <v>25</v>
      </c>
      <c r="B787" t="s">
        <v>2394</v>
      </c>
      <c r="C787">
        <v>169.1699981689453</v>
      </c>
      <c r="D787">
        <v>170.2299957275391</v>
      </c>
      <c r="E787">
        <v>168.5</v>
      </c>
      <c r="F787">
        <v>169.6999969482422</v>
      </c>
      <c r="G787">
        <v>169.6999969482422</v>
      </c>
      <c r="H787">
        <v>9948400</v>
      </c>
      <c r="I787" t="s">
        <v>2395</v>
      </c>
      <c r="J787" t="s">
        <v>2396</v>
      </c>
      <c r="K787" t="s">
        <v>41</v>
      </c>
    </row>
    <row r="788" spans="1:11" ht="20" customHeight="1">
      <c r="A788" t="s">
        <v>25</v>
      </c>
      <c r="B788" t="s">
        <v>2397</v>
      </c>
      <c r="C788">
        <v>171.1799926757812</v>
      </c>
      <c r="D788">
        <v>172.8600006103516</v>
      </c>
      <c r="E788">
        <v>171.0800018310547</v>
      </c>
      <c r="F788">
        <v>172.8200073242188</v>
      </c>
      <c r="G788">
        <v>172.8200073242188</v>
      </c>
      <c r="H788">
        <v>10201500</v>
      </c>
      <c r="I788" t="s">
        <v>2398</v>
      </c>
      <c r="J788" t="s">
        <v>2399</v>
      </c>
      <c r="K788" t="s">
        <v>41</v>
      </c>
    </row>
    <row r="789" spans="1:11" ht="20" customHeight="1">
      <c r="A789" t="s">
        <v>25</v>
      </c>
      <c r="B789" t="s">
        <v>2400</v>
      </c>
      <c r="C789">
        <v>172.0800018310547</v>
      </c>
      <c r="D789">
        <v>172.8000030517578</v>
      </c>
      <c r="E789">
        <v>171.8999938964844</v>
      </c>
      <c r="F789">
        <v>172.5299987792969</v>
      </c>
      <c r="G789">
        <v>172.5299987792969</v>
      </c>
      <c r="H789">
        <v>5844000</v>
      </c>
      <c r="I789" t="s">
        <v>2401</v>
      </c>
      <c r="J789" t="s">
        <v>2402</v>
      </c>
      <c r="K789" t="s">
        <v>41</v>
      </c>
    </row>
    <row r="790" spans="1:11" ht="20" customHeight="1">
      <c r="A790" t="s">
        <v>25</v>
      </c>
      <c r="B790" t="s">
        <v>2403</v>
      </c>
      <c r="C790">
        <v>173.6000061035156</v>
      </c>
      <c r="D790">
        <v>174.1300048828125</v>
      </c>
      <c r="E790">
        <v>173.2599945068359</v>
      </c>
      <c r="F790">
        <v>173.7899932861328</v>
      </c>
      <c r="G790">
        <v>173.7899932861328</v>
      </c>
      <c r="H790">
        <v>7128000</v>
      </c>
      <c r="I790" t="s">
        <v>2404</v>
      </c>
      <c r="J790" t="s">
        <v>2405</v>
      </c>
      <c r="K790" t="s">
        <v>41</v>
      </c>
    </row>
    <row r="791" spans="1:11" ht="20" customHeight="1">
      <c r="A791" t="s">
        <v>25</v>
      </c>
      <c r="B791" t="s">
        <v>2406</v>
      </c>
      <c r="C791">
        <v>174.0599975585938</v>
      </c>
      <c r="D791">
        <v>174.2299957275391</v>
      </c>
      <c r="E791">
        <v>173.2400054931641</v>
      </c>
      <c r="F791">
        <v>173.2599945068359</v>
      </c>
      <c r="G791">
        <v>173.2599945068359</v>
      </c>
      <c r="H791">
        <v>5912700</v>
      </c>
      <c r="I791" t="s">
        <v>2407</v>
      </c>
      <c r="J791" t="s">
        <v>2408</v>
      </c>
      <c r="K791" t="s">
        <v>41</v>
      </c>
    </row>
    <row r="792" spans="1:11" ht="20" customHeight="1">
      <c r="A792" t="s">
        <v>25</v>
      </c>
      <c r="B792" t="s">
        <v>2409</v>
      </c>
      <c r="C792">
        <v>176.8899993896484</v>
      </c>
      <c r="D792">
        <v>179.1000061035156</v>
      </c>
      <c r="E792">
        <v>176.7200012207031</v>
      </c>
      <c r="F792">
        <v>178.8300018310547</v>
      </c>
      <c r="G792">
        <v>178.8300018310547</v>
      </c>
      <c r="H792">
        <v>18796500</v>
      </c>
      <c r="I792" t="s">
        <v>2410</v>
      </c>
      <c r="J792" t="s">
        <v>2411</v>
      </c>
      <c r="K792" t="s">
        <v>41</v>
      </c>
    </row>
    <row r="793" spans="1:11" ht="20" customHeight="1">
      <c r="A793" t="s">
        <v>25</v>
      </c>
      <c r="B793" t="s">
        <v>2412</v>
      </c>
      <c r="C793">
        <v>177.8399963378906</v>
      </c>
      <c r="D793">
        <v>178.3300018310547</v>
      </c>
      <c r="E793">
        <v>177.5399932861328</v>
      </c>
      <c r="F793">
        <v>177.9600067138672</v>
      </c>
      <c r="G793">
        <v>177.9600067138672</v>
      </c>
      <c r="H793">
        <v>8385400</v>
      </c>
      <c r="I793" t="s">
        <v>2413</v>
      </c>
      <c r="J793" t="s">
        <v>2414</v>
      </c>
      <c r="K793" t="s">
        <v>41</v>
      </c>
    </row>
    <row r="794" spans="1:11" ht="20" customHeight="1">
      <c r="A794" t="s">
        <v>25</v>
      </c>
      <c r="B794" t="s">
        <v>2415</v>
      </c>
      <c r="C794">
        <v>178.3699951171875</v>
      </c>
      <c r="D794">
        <v>179.1300048828125</v>
      </c>
      <c r="E794">
        <v>177.9799957275391</v>
      </c>
      <c r="F794">
        <v>178.2899932861328</v>
      </c>
      <c r="G794">
        <v>178.2899932861328</v>
      </c>
      <c r="H794">
        <v>8231900</v>
      </c>
      <c r="I794" t="s">
        <v>2416</v>
      </c>
      <c r="J794" t="s">
        <v>2417</v>
      </c>
      <c r="K794" t="s">
        <v>41</v>
      </c>
    </row>
    <row r="795" spans="1:11" ht="20" customHeight="1">
      <c r="A795" t="s">
        <v>25</v>
      </c>
      <c r="B795" t="s">
        <v>2418</v>
      </c>
      <c r="C795">
        <v>180.8899993896484</v>
      </c>
      <c r="D795">
        <v>182.0200042724609</v>
      </c>
      <c r="E795">
        <v>179.75</v>
      </c>
      <c r="F795">
        <v>180.8699951171875</v>
      </c>
      <c r="G795">
        <v>180.8699951171875</v>
      </c>
      <c r="H795">
        <v>13920800</v>
      </c>
      <c r="I795" t="s">
        <v>2419</v>
      </c>
      <c r="J795" t="s">
        <v>2420</v>
      </c>
      <c r="K795" t="s">
        <v>41</v>
      </c>
    </row>
    <row r="796" spans="1:11" ht="20" customHeight="1">
      <c r="A796" t="s">
        <v>25</v>
      </c>
      <c r="B796" t="s">
        <v>2421</v>
      </c>
      <c r="C796">
        <v>181.0399932861328</v>
      </c>
      <c r="D796">
        <v>183.4299926757812</v>
      </c>
      <c r="E796">
        <v>180.8200073242188</v>
      </c>
      <c r="F796">
        <v>183.0899963378906</v>
      </c>
      <c r="G796">
        <v>183.0899963378906</v>
      </c>
      <c r="H796">
        <v>13406600</v>
      </c>
      <c r="I796" t="s">
        <v>2422</v>
      </c>
      <c r="J796" t="s">
        <v>2423</v>
      </c>
      <c r="K796" t="s">
        <v>41</v>
      </c>
    </row>
    <row r="797" spans="1:11" ht="20" customHeight="1">
      <c r="A797" t="s">
        <v>25</v>
      </c>
      <c r="B797" t="s">
        <v>2424</v>
      </c>
      <c r="C797">
        <v>183.4299926757812</v>
      </c>
      <c r="D797">
        <v>185.2299957275391</v>
      </c>
      <c r="E797">
        <v>183.0899963378906</v>
      </c>
      <c r="F797">
        <v>183.5899963378906</v>
      </c>
      <c r="G797">
        <v>183.5899963378906</v>
      </c>
      <c r="H797">
        <v>12785700</v>
      </c>
      <c r="I797" t="s">
        <v>2425</v>
      </c>
      <c r="J797" t="s">
        <v>2426</v>
      </c>
      <c r="K797" t="s">
        <v>41</v>
      </c>
    </row>
    <row r="798" spans="1:11" ht="20" customHeight="1">
      <c r="A798" t="s">
        <v>25</v>
      </c>
      <c r="B798" t="s">
        <v>2427</v>
      </c>
      <c r="C798">
        <v>183.5099945068359</v>
      </c>
      <c r="D798">
        <v>183.5599975585938</v>
      </c>
      <c r="E798">
        <v>182.7100067138672</v>
      </c>
      <c r="F798">
        <v>182.9700012207031</v>
      </c>
      <c r="G798">
        <v>182.9700012207031</v>
      </c>
      <c r="H798">
        <v>9479800</v>
      </c>
      <c r="I798" t="s">
        <v>2428</v>
      </c>
      <c r="J798" t="s">
        <v>2429</v>
      </c>
      <c r="K798" t="s">
        <v>41</v>
      </c>
    </row>
    <row r="799" spans="1:11" ht="20" customHeight="1">
      <c r="A799" t="s">
        <v>25</v>
      </c>
      <c r="B799" t="s">
        <v>2430</v>
      </c>
      <c r="C799">
        <v>182.0700073242188</v>
      </c>
      <c r="D799">
        <v>183.3999938964844</v>
      </c>
      <c r="E799">
        <v>181.6799926757812</v>
      </c>
      <c r="F799">
        <v>182.9499969482422</v>
      </c>
      <c r="G799">
        <v>182.9499969482422</v>
      </c>
      <c r="H799">
        <v>6594000</v>
      </c>
      <c r="I799" t="s">
        <v>2431</v>
      </c>
      <c r="J799" t="s">
        <v>2432</v>
      </c>
      <c r="K799" t="s">
        <v>41</v>
      </c>
    </row>
    <row r="800" spans="1:11" ht="20" customHeight="1">
      <c r="A800" t="s">
        <v>25</v>
      </c>
      <c r="B800" t="s">
        <v>2433</v>
      </c>
      <c r="C800">
        <v>183.4199981689453</v>
      </c>
      <c r="D800">
        <v>184.3000030517578</v>
      </c>
      <c r="E800">
        <v>182.0399932861328</v>
      </c>
      <c r="F800">
        <v>183.7200012207031</v>
      </c>
      <c r="G800">
        <v>183.7200012207031</v>
      </c>
      <c r="H800">
        <v>10087000</v>
      </c>
      <c r="I800" t="s">
        <v>2434</v>
      </c>
      <c r="J800" t="s">
        <v>2435</v>
      </c>
      <c r="K800" t="s">
        <v>41</v>
      </c>
    </row>
    <row r="801" spans="1:11" ht="20" customHeight="1">
      <c r="A801" t="s">
        <v>25</v>
      </c>
      <c r="B801" t="s">
        <v>2436</v>
      </c>
      <c r="C801">
        <v>183.3999938964844</v>
      </c>
      <c r="D801">
        <v>184.4900054931641</v>
      </c>
      <c r="E801">
        <v>182.8699951171875</v>
      </c>
      <c r="F801">
        <v>184.0099945068359</v>
      </c>
      <c r="G801">
        <v>184.0099945068359</v>
      </c>
      <c r="H801">
        <v>7671400</v>
      </c>
      <c r="I801" t="s">
        <v>2437</v>
      </c>
      <c r="J801" t="s">
        <v>2438</v>
      </c>
      <c r="K801" t="s">
        <v>41</v>
      </c>
    </row>
    <row r="802" spans="1:11" ht="20" customHeight="1">
      <c r="A802" t="s">
        <v>25</v>
      </c>
      <c r="B802" t="s">
        <v>2439</v>
      </c>
      <c r="C802">
        <v>183.7599945068359</v>
      </c>
      <c r="D802">
        <v>186.3600006103516</v>
      </c>
      <c r="E802">
        <v>183.4700012207031</v>
      </c>
      <c r="F802">
        <v>186.1499938964844</v>
      </c>
      <c r="G802">
        <v>186.1499938964844</v>
      </c>
      <c r="H802">
        <v>14102800</v>
      </c>
      <c r="I802" t="s">
        <v>2440</v>
      </c>
      <c r="J802" t="s">
        <v>2441</v>
      </c>
      <c r="K802" t="s">
        <v>41</v>
      </c>
    </row>
    <row r="803" spans="1:11" ht="20" customHeight="1">
      <c r="A803" t="s">
        <v>25</v>
      </c>
      <c r="B803" t="s">
        <v>2442</v>
      </c>
      <c r="C803">
        <v>185.5399932861328</v>
      </c>
      <c r="D803">
        <v>185.6999969482422</v>
      </c>
      <c r="E803">
        <v>184.7299957275391</v>
      </c>
      <c r="F803">
        <v>185.1000061035156</v>
      </c>
      <c r="G803">
        <v>185.1000061035156</v>
      </c>
      <c r="H803">
        <v>8756400</v>
      </c>
      <c r="I803" t="s">
        <v>2443</v>
      </c>
      <c r="J803" t="s">
        <v>2444</v>
      </c>
      <c r="K803" t="s">
        <v>41</v>
      </c>
    </row>
    <row r="804" spans="1:11" ht="20" customHeight="1">
      <c r="A804" t="s">
        <v>25</v>
      </c>
      <c r="B804" t="s">
        <v>2445</v>
      </c>
      <c r="C804">
        <v>185.0800018310547</v>
      </c>
      <c r="D804">
        <v>186.2100067138672</v>
      </c>
      <c r="E804">
        <v>183.5</v>
      </c>
      <c r="F804">
        <v>184.0899963378906</v>
      </c>
      <c r="G804">
        <v>184.0899963378906</v>
      </c>
      <c r="H804">
        <v>10104600</v>
      </c>
      <c r="I804" t="s">
        <v>2446</v>
      </c>
      <c r="J804" t="s">
        <v>2447</v>
      </c>
      <c r="K804" t="s">
        <v>41</v>
      </c>
    </row>
    <row r="805" spans="1:11" ht="20" customHeight="1">
      <c r="A805" t="s">
        <v>25</v>
      </c>
      <c r="B805" t="s">
        <v>2448</v>
      </c>
      <c r="C805">
        <v>183.9100036621094</v>
      </c>
      <c r="D805">
        <v>185</v>
      </c>
      <c r="E805">
        <v>182.6699981689453</v>
      </c>
      <c r="F805">
        <v>183.5099945068359</v>
      </c>
      <c r="G805">
        <v>183.5099945068359</v>
      </c>
      <c r="H805">
        <v>9048600</v>
      </c>
      <c r="I805" t="s">
        <v>2449</v>
      </c>
      <c r="J805" t="s">
        <v>2450</v>
      </c>
      <c r="K805" t="s">
        <v>41</v>
      </c>
    </row>
    <row r="806" spans="1:11" ht="20" customHeight="1">
      <c r="A806" t="s">
        <v>25</v>
      </c>
      <c r="B806" t="s">
        <v>2451</v>
      </c>
      <c r="C806">
        <v>184.1300048828125</v>
      </c>
      <c r="D806">
        <v>184.2799987792969</v>
      </c>
      <c r="E806">
        <v>183.5</v>
      </c>
      <c r="F806">
        <v>184.1199951171875</v>
      </c>
      <c r="G806">
        <v>184.1199951171875</v>
      </c>
      <c r="H806">
        <v>7343700</v>
      </c>
      <c r="I806" t="s">
        <v>2452</v>
      </c>
      <c r="J806" t="s">
        <v>2453</v>
      </c>
      <c r="K806" t="s">
        <v>41</v>
      </c>
    </row>
    <row r="807" spans="1:11" ht="20" customHeight="1">
      <c r="A807" t="s">
        <v>25</v>
      </c>
      <c r="B807" t="s">
        <v>2454</v>
      </c>
      <c r="C807">
        <v>184.4799957275391</v>
      </c>
      <c r="D807">
        <v>185.4700012207031</v>
      </c>
      <c r="E807">
        <v>184.3500061035156</v>
      </c>
      <c r="F807">
        <v>184.7899932861328</v>
      </c>
      <c r="G807">
        <v>184.7899932861328</v>
      </c>
      <c r="H807">
        <v>8530400</v>
      </c>
      <c r="I807" t="s">
        <v>2455</v>
      </c>
      <c r="J807" t="s">
        <v>2456</v>
      </c>
      <c r="K807" t="s">
        <v>41</v>
      </c>
    </row>
    <row r="808" spans="1:11" ht="20" customHeight="1">
      <c r="A808" t="s">
        <v>25</v>
      </c>
      <c r="B808" t="s">
        <v>2457</v>
      </c>
      <c r="C808">
        <v>184.1399993896484</v>
      </c>
      <c r="D808">
        <v>184.2299957275391</v>
      </c>
      <c r="E808">
        <v>183.3399963378906</v>
      </c>
      <c r="F808">
        <v>183.3500061035156</v>
      </c>
      <c r="G808">
        <v>183.3500061035156</v>
      </c>
      <c r="H808">
        <v>8274700</v>
      </c>
      <c r="I808" t="s">
        <v>2458</v>
      </c>
      <c r="J808" t="s">
        <v>2459</v>
      </c>
      <c r="K808" t="s">
        <v>41</v>
      </c>
    </row>
    <row r="809" spans="1:11" ht="20" customHeight="1">
      <c r="A809" t="s">
        <v>25</v>
      </c>
      <c r="B809" t="s">
        <v>2460</v>
      </c>
      <c r="C809">
        <v>182.25</v>
      </c>
      <c r="D809">
        <v>182.6499938964844</v>
      </c>
      <c r="E809">
        <v>181.75</v>
      </c>
      <c r="F809">
        <v>182.5899963378906</v>
      </c>
      <c r="G809">
        <v>182.5899963378906</v>
      </c>
      <c r="H809">
        <v>6795800</v>
      </c>
      <c r="I809" t="s">
        <v>2461</v>
      </c>
      <c r="J809" t="s">
        <v>2462</v>
      </c>
      <c r="K809" t="s">
        <v>41</v>
      </c>
    </row>
    <row r="810" spans="1:11" ht="20" customHeight="1">
      <c r="A810" t="s">
        <v>25</v>
      </c>
      <c r="B810" t="s">
        <v>2463</v>
      </c>
      <c r="C810">
        <v>182.0099945068359</v>
      </c>
      <c r="D810">
        <v>182.0700073242188</v>
      </c>
      <c r="E810">
        <v>180.5700073242188</v>
      </c>
      <c r="F810">
        <v>180.7700042724609</v>
      </c>
      <c r="G810">
        <v>180.7700042724609</v>
      </c>
      <c r="H810">
        <v>6738300</v>
      </c>
      <c r="I810" t="s">
        <v>2464</v>
      </c>
      <c r="J810" t="s">
        <v>2465</v>
      </c>
      <c r="K810" t="s">
        <v>41</v>
      </c>
    </row>
    <row r="811" spans="1:11" ht="20" customHeight="1">
      <c r="A811" t="s">
        <v>25</v>
      </c>
      <c r="B811" t="s">
        <v>2466</v>
      </c>
      <c r="C811">
        <v>180.9799957275391</v>
      </c>
      <c r="D811">
        <v>182.2799987792969</v>
      </c>
      <c r="E811">
        <v>180.8899993896484</v>
      </c>
      <c r="F811">
        <v>181.4900054931641</v>
      </c>
      <c r="G811">
        <v>181.4900054931641</v>
      </c>
      <c r="H811">
        <v>6486300</v>
      </c>
      <c r="I811" t="s">
        <v>2467</v>
      </c>
      <c r="J811" t="s">
        <v>2468</v>
      </c>
      <c r="K811" t="s">
        <v>41</v>
      </c>
    </row>
    <row r="812" spans="1:11" ht="20" customHeight="1">
      <c r="A812" t="s">
        <v>25</v>
      </c>
      <c r="B812" t="s">
        <v>2469</v>
      </c>
      <c r="C812">
        <v>180.5099945068359</v>
      </c>
      <c r="D812">
        <v>180.5899963378906</v>
      </c>
      <c r="E812">
        <v>179.25</v>
      </c>
      <c r="F812">
        <v>179.5099945068359</v>
      </c>
      <c r="G812">
        <v>179.5099945068359</v>
      </c>
      <c r="H812">
        <v>7606600</v>
      </c>
      <c r="I812" t="s">
        <v>2470</v>
      </c>
      <c r="J812" t="s">
        <v>2471</v>
      </c>
      <c r="K812" t="s">
        <v>41</v>
      </c>
    </row>
    <row r="813" spans="1:11" ht="20" customHeight="1">
      <c r="A813" t="s">
        <v>25</v>
      </c>
      <c r="B813" t="s">
        <v>2472</v>
      </c>
      <c r="C813">
        <v>179.3999938964844</v>
      </c>
      <c r="D813">
        <v>180.7299957275391</v>
      </c>
      <c r="E813">
        <v>179.1100006103516</v>
      </c>
      <c r="F813">
        <v>180.5099945068359</v>
      </c>
      <c r="G813">
        <v>180.5099945068359</v>
      </c>
      <c r="H813">
        <v>5385900</v>
      </c>
      <c r="I813" t="s">
        <v>2473</v>
      </c>
      <c r="J813" t="s">
        <v>2474</v>
      </c>
      <c r="K813" t="s">
        <v>41</v>
      </c>
    </row>
    <row r="814" spans="1:11" ht="20" customHeight="1">
      <c r="A814" t="s">
        <v>25</v>
      </c>
      <c r="B814" t="s">
        <v>2475</v>
      </c>
      <c r="C814">
        <v>181.6999969482422</v>
      </c>
      <c r="D814">
        <v>182.75</v>
      </c>
      <c r="E814">
        <v>181.6199951171875</v>
      </c>
      <c r="F814">
        <v>182.1199951171875</v>
      </c>
      <c r="G814">
        <v>182.1199951171875</v>
      </c>
      <c r="H814">
        <v>6831600</v>
      </c>
      <c r="I814" t="s">
        <v>2476</v>
      </c>
      <c r="J814" t="s">
        <v>2477</v>
      </c>
      <c r="K814" t="s">
        <v>41</v>
      </c>
    </row>
    <row r="815" spans="1:11" ht="20" customHeight="1">
      <c r="A815" t="s">
        <v>25</v>
      </c>
      <c r="B815" t="s">
        <v>2478</v>
      </c>
      <c r="C815">
        <v>182.0299987792969</v>
      </c>
      <c r="D815">
        <v>182.1799926757812</v>
      </c>
      <c r="E815">
        <v>181.3099975585938</v>
      </c>
      <c r="F815">
        <v>181.6399993896484</v>
      </c>
      <c r="G815">
        <v>181.6399993896484</v>
      </c>
      <c r="H815">
        <v>4909400</v>
      </c>
      <c r="I815" t="s">
        <v>2479</v>
      </c>
      <c r="J815" t="s">
        <v>2480</v>
      </c>
      <c r="K815" t="s">
        <v>41</v>
      </c>
    </row>
    <row r="816" spans="1:11" ht="20" customHeight="1">
      <c r="A816" t="s">
        <v>25</v>
      </c>
      <c r="B816" t="s">
        <v>2481</v>
      </c>
      <c r="C816">
        <v>182.8500061035156</v>
      </c>
      <c r="D816">
        <v>184.3200073242188</v>
      </c>
      <c r="E816">
        <v>182.8000030517578</v>
      </c>
      <c r="F816">
        <v>183.6900024414062</v>
      </c>
      <c r="G816">
        <v>183.6900024414062</v>
      </c>
      <c r="H816">
        <v>8253300</v>
      </c>
      <c r="I816" t="s">
        <v>2482</v>
      </c>
      <c r="J816" t="s">
        <v>2483</v>
      </c>
      <c r="K816" t="s">
        <v>41</v>
      </c>
    </row>
    <row r="817" spans="1:11" ht="20" customHeight="1">
      <c r="A817" t="s">
        <v>25</v>
      </c>
      <c r="B817" t="s">
        <v>2484</v>
      </c>
      <c r="C817">
        <v>183.9600067138672</v>
      </c>
      <c r="D817">
        <v>184.1300048828125</v>
      </c>
      <c r="E817">
        <v>183.4499969482422</v>
      </c>
      <c r="F817">
        <v>183.6699981689453</v>
      </c>
      <c r="G817">
        <v>183.6699981689453</v>
      </c>
      <c r="H817">
        <v>4871100</v>
      </c>
      <c r="I817" t="s">
        <v>2485</v>
      </c>
      <c r="J817" t="s">
        <v>2486</v>
      </c>
      <c r="K817" t="s">
        <v>41</v>
      </c>
    </row>
    <row r="818" spans="1:11" ht="20" customHeight="1">
      <c r="A818" t="s">
        <v>25</v>
      </c>
      <c r="B818" t="s">
        <v>2487</v>
      </c>
      <c r="C818">
        <v>182.3200073242188</v>
      </c>
      <c r="D818">
        <v>183.4799957275391</v>
      </c>
      <c r="E818">
        <v>182.2299957275391</v>
      </c>
      <c r="F818">
        <v>183.3699951171875</v>
      </c>
      <c r="G818">
        <v>183.3699951171875</v>
      </c>
      <c r="H818">
        <v>5389300</v>
      </c>
      <c r="I818" t="s">
        <v>2488</v>
      </c>
      <c r="J818" t="s">
        <v>2489</v>
      </c>
      <c r="K818" t="s">
        <v>41</v>
      </c>
    </row>
    <row r="819" spans="1:11" ht="20" customHeight="1">
      <c r="A819" t="s">
        <v>25</v>
      </c>
      <c r="B819" t="s">
        <v>2490</v>
      </c>
      <c r="C819">
        <v>185.5700073242188</v>
      </c>
      <c r="D819">
        <v>186.1199951171875</v>
      </c>
      <c r="E819">
        <v>185.0700073242188</v>
      </c>
      <c r="F819">
        <v>185.3500061035156</v>
      </c>
      <c r="G819">
        <v>185.3500061035156</v>
      </c>
      <c r="H819">
        <v>7322400</v>
      </c>
      <c r="I819" t="s">
        <v>2491</v>
      </c>
      <c r="J819" t="s">
        <v>2492</v>
      </c>
      <c r="K819" t="s">
        <v>41</v>
      </c>
    </row>
    <row r="820" spans="1:11" ht="20" customHeight="1">
      <c r="A820" t="s">
        <v>25</v>
      </c>
      <c r="B820" t="s">
        <v>2493</v>
      </c>
      <c r="C820">
        <v>185.4700012207031</v>
      </c>
      <c r="D820">
        <v>185.7200012207031</v>
      </c>
      <c r="E820">
        <v>184.2700042724609</v>
      </c>
      <c r="F820">
        <v>184.5599975585938</v>
      </c>
      <c r="G820">
        <v>184.5599975585938</v>
      </c>
      <c r="H820">
        <v>4337700</v>
      </c>
      <c r="I820" t="s">
        <v>2494</v>
      </c>
      <c r="J820" t="s">
        <v>2495</v>
      </c>
      <c r="K820" t="s">
        <v>41</v>
      </c>
    </row>
    <row r="821" spans="1:11" ht="20" customHeight="1">
      <c r="A821" t="s">
        <v>25</v>
      </c>
      <c r="B821" t="s">
        <v>2496</v>
      </c>
      <c r="C821">
        <v>185.4700012207031</v>
      </c>
      <c r="D821">
        <v>185.75</v>
      </c>
      <c r="E821">
        <v>185.1600036621094</v>
      </c>
      <c r="F821">
        <v>185.5200042724609</v>
      </c>
      <c r="G821">
        <v>185.5200042724609</v>
      </c>
      <c r="H821">
        <v>2445100</v>
      </c>
      <c r="I821" t="s">
        <v>2497</v>
      </c>
      <c r="J821" t="s">
        <v>2498</v>
      </c>
      <c r="K821" t="s">
        <v>41</v>
      </c>
    </row>
    <row r="822" spans="1:11" ht="20" customHeight="1">
      <c r="A822" t="s">
        <v>25</v>
      </c>
      <c r="B822" t="s">
        <v>2499</v>
      </c>
      <c r="C822">
        <v>186.5599975585938</v>
      </c>
      <c r="D822">
        <v>186.8000030517578</v>
      </c>
      <c r="E822">
        <v>185.9299926757812</v>
      </c>
      <c r="F822">
        <v>186.7700042724609</v>
      </c>
      <c r="G822">
        <v>186.7700042724609</v>
      </c>
      <c r="H822">
        <v>6320400</v>
      </c>
      <c r="I822" t="s">
        <v>2500</v>
      </c>
      <c r="J822" t="s">
        <v>2501</v>
      </c>
      <c r="K822" t="s">
        <v>41</v>
      </c>
    </row>
    <row r="823" spans="1:11" ht="20" customHeight="1">
      <c r="A823" t="s">
        <v>25</v>
      </c>
      <c r="B823" t="s">
        <v>2502</v>
      </c>
      <c r="C823">
        <v>187.8999938964844</v>
      </c>
      <c r="D823">
        <v>189.3999938964844</v>
      </c>
      <c r="E823">
        <v>187.5200042724609</v>
      </c>
      <c r="F823">
        <v>189.2599945068359</v>
      </c>
      <c r="G823">
        <v>189.2599945068359</v>
      </c>
      <c r="H823">
        <v>10901900</v>
      </c>
      <c r="I823" t="s">
        <v>2503</v>
      </c>
      <c r="J823" t="s">
        <v>2504</v>
      </c>
      <c r="K823" t="s">
        <v>41</v>
      </c>
    </row>
    <row r="824" spans="1:11" ht="20" customHeight="1">
      <c r="A824" t="s">
        <v>25</v>
      </c>
      <c r="B824" t="s">
        <v>2505</v>
      </c>
      <c r="C824">
        <v>189.1600036621094</v>
      </c>
      <c r="D824">
        <v>189.9900054931641</v>
      </c>
      <c r="E824">
        <v>189.0200042724609</v>
      </c>
      <c r="F824">
        <v>189.5399932861328</v>
      </c>
      <c r="G824">
        <v>189.5399932861328</v>
      </c>
      <c r="H824">
        <v>8407300</v>
      </c>
      <c r="I824" t="s">
        <v>2506</v>
      </c>
      <c r="J824" t="s">
        <v>2507</v>
      </c>
      <c r="K824" t="s">
        <v>41</v>
      </c>
    </row>
    <row r="825" spans="1:11" ht="20" customHeight="1">
      <c r="A825" t="s">
        <v>25</v>
      </c>
      <c r="B825" t="s">
        <v>2508</v>
      </c>
      <c r="C825">
        <v>188.8899993896484</v>
      </c>
      <c r="D825">
        <v>189.2400054931641</v>
      </c>
      <c r="E825">
        <v>188.2799987792969</v>
      </c>
      <c r="F825">
        <v>188.75</v>
      </c>
      <c r="G825">
        <v>188.75</v>
      </c>
      <c r="H825">
        <v>7558100</v>
      </c>
      <c r="I825" t="s">
        <v>2509</v>
      </c>
      <c r="J825" t="s">
        <v>2510</v>
      </c>
      <c r="K825" t="s">
        <v>41</v>
      </c>
    </row>
    <row r="826" spans="1:11" ht="20" customHeight="1">
      <c r="A826" t="s">
        <v>25</v>
      </c>
      <c r="B826" t="s">
        <v>2511</v>
      </c>
      <c r="C826">
        <v>188.8099975585938</v>
      </c>
      <c r="D826">
        <v>192.3999938964844</v>
      </c>
      <c r="E826">
        <v>188.6900024414062</v>
      </c>
      <c r="F826">
        <v>192.0099945068359</v>
      </c>
      <c r="G826">
        <v>192.0099945068359</v>
      </c>
      <c r="H826">
        <v>16727600</v>
      </c>
      <c r="I826" t="s">
        <v>2512</v>
      </c>
      <c r="J826" t="s">
        <v>2513</v>
      </c>
      <c r="K826" t="s">
        <v>41</v>
      </c>
    </row>
    <row r="827" spans="1:11" ht="20" customHeight="1">
      <c r="A827" t="s">
        <v>25</v>
      </c>
      <c r="B827" t="s">
        <v>2514</v>
      </c>
      <c r="C827">
        <v>189.6000061035156</v>
      </c>
      <c r="D827">
        <v>190.3800048828125</v>
      </c>
      <c r="E827">
        <v>187.2599945068359</v>
      </c>
      <c r="F827">
        <v>187.8600006103516</v>
      </c>
      <c r="G827">
        <v>187.8600006103516</v>
      </c>
      <c r="H827">
        <v>18460500</v>
      </c>
      <c r="I827" t="s">
        <v>2515</v>
      </c>
      <c r="J827" t="s">
        <v>2516</v>
      </c>
      <c r="K827" t="s">
        <v>41</v>
      </c>
    </row>
    <row r="828" spans="1:11" ht="20" customHeight="1">
      <c r="A828" t="s">
        <v>25</v>
      </c>
      <c r="B828" t="s">
        <v>2517</v>
      </c>
      <c r="C828">
        <v>187.5500030517578</v>
      </c>
      <c r="D828">
        <v>187.8800048828125</v>
      </c>
      <c r="E828">
        <v>186.3000030517578</v>
      </c>
      <c r="F828">
        <v>187.1499938964844</v>
      </c>
      <c r="G828">
        <v>187.1499938964844</v>
      </c>
      <c r="H828">
        <v>7027700</v>
      </c>
      <c r="I828" t="s">
        <v>2518</v>
      </c>
      <c r="J828" t="s">
        <v>2519</v>
      </c>
      <c r="K828" t="s">
        <v>41</v>
      </c>
    </row>
    <row r="829" spans="1:11" ht="20" customHeight="1">
      <c r="A829" t="s">
        <v>25</v>
      </c>
      <c r="B829" t="s">
        <v>2520</v>
      </c>
      <c r="C829">
        <v>188.3200073242188</v>
      </c>
      <c r="D829">
        <v>188.4600067138672</v>
      </c>
      <c r="E829">
        <v>187.5</v>
      </c>
      <c r="F829">
        <v>187.8399963378906</v>
      </c>
      <c r="G829">
        <v>187.8399963378906</v>
      </c>
      <c r="H829">
        <v>5778600</v>
      </c>
      <c r="I829" t="s">
        <v>2521</v>
      </c>
      <c r="J829" t="s">
        <v>2522</v>
      </c>
      <c r="K829" t="s">
        <v>41</v>
      </c>
    </row>
    <row r="830" spans="1:11" ht="20" customHeight="1">
      <c r="A830" t="s">
        <v>25</v>
      </c>
      <c r="B830" t="s">
        <v>2523</v>
      </c>
      <c r="C830">
        <v>188.4499969482422</v>
      </c>
      <c r="D830">
        <v>188.5899963378906</v>
      </c>
      <c r="E830">
        <v>187.2599945068359</v>
      </c>
      <c r="F830">
        <v>188.1499938964844</v>
      </c>
      <c r="G830">
        <v>188.1499938964844</v>
      </c>
      <c r="H830">
        <v>5802000</v>
      </c>
      <c r="I830" t="s">
        <v>2524</v>
      </c>
      <c r="J830" t="s">
        <v>2525</v>
      </c>
      <c r="K830" t="s">
        <v>41</v>
      </c>
    </row>
    <row r="831" spans="1:11" ht="20" customHeight="1">
      <c r="A831" t="s">
        <v>25</v>
      </c>
      <c r="B831" t="s">
        <v>2526</v>
      </c>
      <c r="C831">
        <v>185.9299926757812</v>
      </c>
      <c r="D831">
        <v>186.7799987792969</v>
      </c>
      <c r="E831">
        <v>184.8999938964844</v>
      </c>
      <c r="F831">
        <v>185.6399993896484</v>
      </c>
      <c r="G831">
        <v>185.6399993896484</v>
      </c>
      <c r="H831">
        <v>7883200</v>
      </c>
      <c r="I831" t="s">
        <v>2527</v>
      </c>
      <c r="J831" t="s">
        <v>2528</v>
      </c>
      <c r="K831" t="s">
        <v>41</v>
      </c>
    </row>
    <row r="832" spans="1:11" ht="20" customHeight="1">
      <c r="A832" t="s">
        <v>25</v>
      </c>
      <c r="B832" t="s">
        <v>2529</v>
      </c>
      <c r="C832">
        <v>184.5</v>
      </c>
      <c r="D832">
        <v>184.5299987792969</v>
      </c>
      <c r="E832">
        <v>183.1499938964844</v>
      </c>
      <c r="F832">
        <v>183.5899963378906</v>
      </c>
      <c r="G832">
        <v>183.5899963378906</v>
      </c>
      <c r="H832">
        <v>8519500</v>
      </c>
      <c r="I832" t="s">
        <v>2530</v>
      </c>
      <c r="J832" t="s">
        <v>2531</v>
      </c>
      <c r="K832" t="s">
        <v>41</v>
      </c>
    </row>
    <row r="833" spans="1:11" ht="20" customHeight="1">
      <c r="A833" t="s">
        <v>25</v>
      </c>
      <c r="B833" t="s">
        <v>2532</v>
      </c>
      <c r="C833">
        <v>183.8399963378906</v>
      </c>
      <c r="D833">
        <v>183.9799957275391</v>
      </c>
      <c r="E833">
        <v>183.2599945068359</v>
      </c>
      <c r="F833">
        <v>183.4900054931641</v>
      </c>
      <c r="G833">
        <v>183.4900054931641</v>
      </c>
      <c r="H833">
        <v>5056900</v>
      </c>
      <c r="I833" t="s">
        <v>2533</v>
      </c>
      <c r="J833" t="s">
        <v>2534</v>
      </c>
      <c r="K833" t="s">
        <v>41</v>
      </c>
    </row>
    <row r="834" spans="1:11" ht="20" customHeight="1">
      <c r="A834" t="s">
        <v>25</v>
      </c>
      <c r="B834" t="s">
        <v>2535</v>
      </c>
      <c r="C834">
        <v>183.8200073242188</v>
      </c>
      <c r="D834">
        <v>187.6600036621094</v>
      </c>
      <c r="E834">
        <v>183.3800048828125</v>
      </c>
      <c r="F834">
        <v>187.6300048828125</v>
      </c>
      <c r="G834">
        <v>187.6300048828125</v>
      </c>
      <c r="H834">
        <v>10635500</v>
      </c>
      <c r="I834" t="s">
        <v>2536</v>
      </c>
      <c r="J834" t="s">
        <v>2537</v>
      </c>
      <c r="K834" t="s">
        <v>41</v>
      </c>
    </row>
    <row r="835" spans="1:11" ht="20" customHeight="1">
      <c r="A835" t="s">
        <v>25</v>
      </c>
      <c r="B835" t="s">
        <v>2538</v>
      </c>
      <c r="C835">
        <v>188.8600006103516</v>
      </c>
      <c r="D835">
        <v>189.8200073242188</v>
      </c>
      <c r="E835">
        <v>188.0800018310547</v>
      </c>
      <c r="F835">
        <v>188.7299957275391</v>
      </c>
      <c r="G835">
        <v>188.7299957275391</v>
      </c>
      <c r="H835">
        <v>9107200</v>
      </c>
      <c r="I835" t="s">
        <v>2539</v>
      </c>
      <c r="J835" t="s">
        <v>2540</v>
      </c>
      <c r="K835" t="s">
        <v>41</v>
      </c>
    </row>
    <row r="836" spans="1:11" ht="20" customHeight="1">
      <c r="A836" t="s">
        <v>25</v>
      </c>
      <c r="B836" t="s">
        <v>2541</v>
      </c>
      <c r="C836">
        <v>188.5200042724609</v>
      </c>
      <c r="D836">
        <v>188.9600067138672</v>
      </c>
      <c r="E836">
        <v>186.8200073242188</v>
      </c>
      <c r="F836">
        <v>187</v>
      </c>
      <c r="G836">
        <v>187</v>
      </c>
      <c r="H836">
        <v>8324800</v>
      </c>
      <c r="I836" t="s">
        <v>2542</v>
      </c>
      <c r="J836" t="s">
        <v>2543</v>
      </c>
      <c r="K836" t="s">
        <v>41</v>
      </c>
    </row>
    <row r="837" spans="1:11" ht="20" customHeight="1">
      <c r="A837" t="s">
        <v>25</v>
      </c>
      <c r="B837" t="s">
        <v>2544</v>
      </c>
      <c r="C837">
        <v>187.5</v>
      </c>
      <c r="D837">
        <v>188.4900054931641</v>
      </c>
      <c r="E837">
        <v>187.2400054931641</v>
      </c>
      <c r="F837">
        <v>187.8500061035156</v>
      </c>
      <c r="G837">
        <v>187.8500061035156</v>
      </c>
      <c r="H837">
        <v>5358000</v>
      </c>
      <c r="I837" t="s">
        <v>2545</v>
      </c>
      <c r="J837" t="s">
        <v>2546</v>
      </c>
      <c r="K837" t="s">
        <v>41</v>
      </c>
    </row>
    <row r="838" spans="1:11" ht="20" customHeight="1">
      <c r="A838" t="s">
        <v>25</v>
      </c>
      <c r="B838" t="s">
        <v>2547</v>
      </c>
      <c r="C838">
        <v>188.2299957275391</v>
      </c>
      <c r="D838">
        <v>189.7200012207031</v>
      </c>
      <c r="E838">
        <v>188.1300048828125</v>
      </c>
      <c r="F838">
        <v>189.1300048828125</v>
      </c>
      <c r="G838">
        <v>189.1300048828125</v>
      </c>
      <c r="H838">
        <v>6025600</v>
      </c>
      <c r="I838" t="s">
        <v>2548</v>
      </c>
      <c r="J838" t="s">
        <v>2549</v>
      </c>
      <c r="K838" t="s">
        <v>41</v>
      </c>
    </row>
    <row r="839" spans="1:11" ht="20" customHeight="1">
      <c r="A839" t="s">
        <v>25</v>
      </c>
      <c r="B839" t="s">
        <v>2550</v>
      </c>
      <c r="C839">
        <v>188.6900024414062</v>
      </c>
      <c r="D839">
        <v>188.9600067138672</v>
      </c>
      <c r="E839">
        <v>188.0899963378906</v>
      </c>
      <c r="F839">
        <v>188.1000061035156</v>
      </c>
      <c r="G839">
        <v>188.1000061035156</v>
      </c>
      <c r="H839">
        <v>6002400</v>
      </c>
      <c r="I839" t="s">
        <v>2551</v>
      </c>
      <c r="J839" t="s">
        <v>2552</v>
      </c>
      <c r="K839" t="s">
        <v>41</v>
      </c>
    </row>
    <row r="840" spans="1:11" ht="20" customHeight="1">
      <c r="A840" t="s">
        <v>25</v>
      </c>
      <c r="B840" t="s">
        <v>2553</v>
      </c>
      <c r="C840">
        <v>189.2100067138672</v>
      </c>
      <c r="D840">
        <v>189.6199951171875</v>
      </c>
      <c r="E840">
        <v>188.75</v>
      </c>
      <c r="F840">
        <v>189.4299926757812</v>
      </c>
      <c r="G840">
        <v>189.4299926757812</v>
      </c>
      <c r="H840">
        <v>4620000</v>
      </c>
      <c r="I840" t="s">
        <v>2554</v>
      </c>
      <c r="J840" t="s">
        <v>2555</v>
      </c>
      <c r="K840" t="s">
        <v>41</v>
      </c>
    </row>
    <row r="841" spans="1:11" ht="20" customHeight="1">
      <c r="A841" t="s">
        <v>25</v>
      </c>
      <c r="B841" t="s">
        <v>2556</v>
      </c>
      <c r="C841">
        <v>191.6000061035156</v>
      </c>
      <c r="D841">
        <v>191.8800048828125</v>
      </c>
      <c r="E841">
        <v>190.0700073242188</v>
      </c>
      <c r="F841">
        <v>190.2700042724609</v>
      </c>
      <c r="G841">
        <v>190.2700042724609</v>
      </c>
      <c r="H841">
        <v>7176300</v>
      </c>
      <c r="I841" t="s">
        <v>2557</v>
      </c>
      <c r="J841" t="s">
        <v>2558</v>
      </c>
      <c r="K841" t="s">
        <v>41</v>
      </c>
    </row>
    <row r="842" spans="1:11" ht="20" customHeight="1">
      <c r="A842" t="s">
        <v>25</v>
      </c>
      <c r="B842" t="s">
        <v>2559</v>
      </c>
      <c r="C842">
        <v>190.9700012207031</v>
      </c>
      <c r="D842">
        <v>191.7400054931641</v>
      </c>
      <c r="E842">
        <v>190.3999938964844</v>
      </c>
      <c r="F842">
        <v>191.7200012207031</v>
      </c>
      <c r="G842">
        <v>191.7200012207031</v>
      </c>
      <c r="H842">
        <v>4502700</v>
      </c>
      <c r="I842" t="s">
        <v>2560</v>
      </c>
      <c r="J842" t="s">
        <v>2561</v>
      </c>
      <c r="K842" t="s">
        <v>41</v>
      </c>
    </row>
    <row r="843" spans="1:11" ht="20" customHeight="1">
      <c r="A843" t="s">
        <v>25</v>
      </c>
      <c r="B843" t="s">
        <v>2562</v>
      </c>
      <c r="C843">
        <v>191.7700042724609</v>
      </c>
      <c r="D843">
        <v>193.1799926757812</v>
      </c>
      <c r="E843">
        <v>191.5399932861328</v>
      </c>
      <c r="F843">
        <v>192.5899963378906</v>
      </c>
      <c r="G843">
        <v>192.5899963378906</v>
      </c>
      <c r="H843">
        <v>5813300</v>
      </c>
      <c r="I843" t="s">
        <v>2563</v>
      </c>
      <c r="J843" t="s">
        <v>2564</v>
      </c>
      <c r="K843" t="s">
        <v>41</v>
      </c>
    </row>
    <row r="844" spans="1:11" ht="20" customHeight="1">
      <c r="A844" t="s">
        <v>25</v>
      </c>
      <c r="B844" t="s">
        <v>2565</v>
      </c>
      <c r="C844">
        <v>192.3399963378906</v>
      </c>
      <c r="D844">
        <v>192.8899993896484</v>
      </c>
      <c r="E844">
        <v>191.4400024414062</v>
      </c>
      <c r="F844">
        <v>191.4700012207031</v>
      </c>
      <c r="G844">
        <v>191.4700012207031</v>
      </c>
      <c r="H844">
        <v>6171500</v>
      </c>
      <c r="I844" t="s">
        <v>2566</v>
      </c>
      <c r="J844" t="s">
        <v>2567</v>
      </c>
      <c r="K844" t="s">
        <v>41</v>
      </c>
    </row>
    <row r="845" spans="1:11" ht="20" customHeight="1">
      <c r="A845" t="s">
        <v>25</v>
      </c>
      <c r="B845" t="s">
        <v>2568</v>
      </c>
      <c r="C845">
        <v>190.9900054931641</v>
      </c>
      <c r="D845">
        <v>191.6399993896484</v>
      </c>
      <c r="E845">
        <v>190.7400054931641</v>
      </c>
      <c r="F845">
        <v>191.1699981689453</v>
      </c>
      <c r="G845">
        <v>191.1699981689453</v>
      </c>
      <c r="H845">
        <v>4612300</v>
      </c>
      <c r="I845" t="s">
        <v>2569</v>
      </c>
      <c r="J845" t="s">
        <v>2570</v>
      </c>
      <c r="K845" t="s">
        <v>41</v>
      </c>
    </row>
    <row r="846" spans="1:11" ht="20" customHeight="1">
      <c r="A846" t="s">
        <v>25</v>
      </c>
      <c r="B846" t="s">
        <v>2571</v>
      </c>
      <c r="C846">
        <v>191.4400024414062</v>
      </c>
      <c r="D846">
        <v>191.8899993896484</v>
      </c>
      <c r="E846">
        <v>190.5</v>
      </c>
      <c r="F846">
        <v>190.7200012207031</v>
      </c>
      <c r="G846">
        <v>190.7200012207031</v>
      </c>
      <c r="H846">
        <v>6025600</v>
      </c>
      <c r="I846" t="s">
        <v>2572</v>
      </c>
      <c r="J846" t="s">
        <v>2573</v>
      </c>
      <c r="K846" t="s">
        <v>41</v>
      </c>
    </row>
    <row r="847" spans="1:11" ht="20" customHeight="1">
      <c r="A847" t="s">
        <v>25</v>
      </c>
      <c r="B847" t="s">
        <v>2574</v>
      </c>
      <c r="C847">
        <v>188.7700042724609</v>
      </c>
      <c r="D847">
        <v>189.8600006103516</v>
      </c>
      <c r="E847">
        <v>188.1600036621094</v>
      </c>
      <c r="F847">
        <v>189.1300048828125</v>
      </c>
      <c r="G847">
        <v>189.1300048828125</v>
      </c>
      <c r="H847">
        <v>8661600</v>
      </c>
      <c r="I847" t="s">
        <v>2575</v>
      </c>
      <c r="J847" t="s">
        <v>2576</v>
      </c>
      <c r="K847" t="s">
        <v>41</v>
      </c>
    </row>
    <row r="848" spans="1:11" ht="20" customHeight="1">
      <c r="A848" t="s">
        <v>25</v>
      </c>
      <c r="B848" t="s">
        <v>2577</v>
      </c>
      <c r="C848">
        <v>189.0800018310547</v>
      </c>
      <c r="D848">
        <v>189.75</v>
      </c>
      <c r="E848">
        <v>188.6900024414062</v>
      </c>
      <c r="F848">
        <v>189.3200073242188</v>
      </c>
      <c r="G848">
        <v>189.3200073242188</v>
      </c>
      <c r="H848">
        <v>4416700</v>
      </c>
      <c r="I848" t="s">
        <v>2578</v>
      </c>
      <c r="J848" t="s">
        <v>2579</v>
      </c>
      <c r="K848" t="s">
        <v>41</v>
      </c>
    </row>
    <row r="849" spans="1:11" ht="20" customHeight="1">
      <c r="A849" t="s">
        <v>25</v>
      </c>
      <c r="B849" t="s">
        <v>2580</v>
      </c>
      <c r="C849">
        <v>189.6799926757812</v>
      </c>
      <c r="D849">
        <v>191.2599945068359</v>
      </c>
      <c r="E849">
        <v>189.0800018310547</v>
      </c>
      <c r="F849">
        <v>189.3500061035156</v>
      </c>
      <c r="G849">
        <v>189.3500061035156</v>
      </c>
      <c r="H849">
        <v>7481900</v>
      </c>
      <c r="I849" t="s">
        <v>2581</v>
      </c>
      <c r="J849" t="s">
        <v>2582</v>
      </c>
      <c r="K849" t="s">
        <v>41</v>
      </c>
    </row>
    <row r="850" spans="1:11" ht="20" customHeight="1">
      <c r="A850" t="s">
        <v>25</v>
      </c>
      <c r="B850" t="s">
        <v>2583</v>
      </c>
      <c r="C850">
        <v>187.2100067138672</v>
      </c>
      <c r="D850">
        <v>188.7400054931641</v>
      </c>
      <c r="E850">
        <v>187.1100006103516</v>
      </c>
      <c r="F850">
        <v>187.8699951171875</v>
      </c>
      <c r="G850">
        <v>187.8699951171875</v>
      </c>
      <c r="H850">
        <v>6215000</v>
      </c>
      <c r="I850" t="s">
        <v>2584</v>
      </c>
      <c r="J850" t="s">
        <v>2585</v>
      </c>
      <c r="K850" t="s">
        <v>41</v>
      </c>
    </row>
    <row r="851" spans="1:11" ht="20" customHeight="1">
      <c r="A851" t="s">
        <v>25</v>
      </c>
      <c r="B851" t="s">
        <v>2586</v>
      </c>
      <c r="C851">
        <v>188.6799926757812</v>
      </c>
      <c r="D851">
        <v>188.7799987792969</v>
      </c>
      <c r="E851">
        <v>187.7299957275391</v>
      </c>
      <c r="F851">
        <v>187.9299926757812</v>
      </c>
      <c r="G851">
        <v>187.9299926757812</v>
      </c>
      <c r="H851">
        <v>4437300</v>
      </c>
      <c r="I851" t="s">
        <v>2587</v>
      </c>
      <c r="J851" t="s">
        <v>2588</v>
      </c>
      <c r="K851" t="s">
        <v>41</v>
      </c>
    </row>
    <row r="852" spans="1:11" ht="20" customHeight="1">
      <c r="A852" t="s">
        <v>25</v>
      </c>
      <c r="B852" t="s">
        <v>2589</v>
      </c>
      <c r="C852">
        <v>188.1399993896484</v>
      </c>
      <c r="D852">
        <v>188.4400024414062</v>
      </c>
      <c r="E852">
        <v>187.2100067138672</v>
      </c>
      <c r="F852">
        <v>187.5</v>
      </c>
      <c r="G852">
        <v>187.5</v>
      </c>
      <c r="H852">
        <v>4504700</v>
      </c>
      <c r="I852" t="s">
        <v>2590</v>
      </c>
      <c r="J852" t="s">
        <v>2591</v>
      </c>
      <c r="K852" t="s">
        <v>41</v>
      </c>
    </row>
    <row r="853" spans="1:11" ht="20" customHeight="1">
      <c r="A853" t="s">
        <v>25</v>
      </c>
      <c r="B853" t="s">
        <v>2592</v>
      </c>
      <c r="C853">
        <v>188.0200042724609</v>
      </c>
      <c r="D853">
        <v>188.5500030517578</v>
      </c>
      <c r="E853">
        <v>186.5599975585938</v>
      </c>
      <c r="F853">
        <v>187.8699951171875</v>
      </c>
      <c r="G853">
        <v>187.8699951171875</v>
      </c>
      <c r="H853">
        <v>6831100</v>
      </c>
      <c r="I853" t="s">
        <v>2593</v>
      </c>
      <c r="J853" t="s">
        <v>2594</v>
      </c>
      <c r="K853" t="s">
        <v>41</v>
      </c>
    </row>
    <row r="854" spans="1:11" ht="20" customHeight="1">
      <c r="A854" t="s">
        <v>25</v>
      </c>
      <c r="B854" t="s">
        <v>2595</v>
      </c>
      <c r="C854">
        <v>190.6699981689453</v>
      </c>
      <c r="D854">
        <v>191.0800018310547</v>
      </c>
      <c r="E854">
        <v>189.1600036621094</v>
      </c>
      <c r="F854">
        <v>189.7100067138672</v>
      </c>
      <c r="G854">
        <v>189.7100067138672</v>
      </c>
      <c r="H854">
        <v>6833700</v>
      </c>
      <c r="I854" t="s">
        <v>2596</v>
      </c>
      <c r="J854" t="s">
        <v>2597</v>
      </c>
      <c r="K854" t="s">
        <v>41</v>
      </c>
    </row>
    <row r="855" spans="1:11" ht="20" customHeight="1">
      <c r="A855" t="s">
        <v>25</v>
      </c>
      <c r="B855" t="s">
        <v>2598</v>
      </c>
      <c r="C855">
        <v>189.1499938964844</v>
      </c>
      <c r="D855">
        <v>189.2599945068359</v>
      </c>
      <c r="E855">
        <v>187.5399932861328</v>
      </c>
      <c r="F855">
        <v>187.9100036621094</v>
      </c>
      <c r="G855">
        <v>187.9100036621094</v>
      </c>
      <c r="H855">
        <v>6548100</v>
      </c>
      <c r="I855" t="s">
        <v>2599</v>
      </c>
      <c r="J855" t="s">
        <v>2600</v>
      </c>
      <c r="K855" t="s">
        <v>41</v>
      </c>
    </row>
    <row r="856" spans="1:11" ht="20" customHeight="1">
      <c r="A856" t="s">
        <v>25</v>
      </c>
      <c r="B856" t="s">
        <v>2601</v>
      </c>
      <c r="C856">
        <v>187.3099975585938</v>
      </c>
      <c r="D856">
        <v>187.4199981689453</v>
      </c>
      <c r="E856">
        <v>185.4499969482422</v>
      </c>
      <c r="F856">
        <v>185.8399963378906</v>
      </c>
      <c r="G856">
        <v>185.8399963378906</v>
      </c>
      <c r="H856">
        <v>8643200</v>
      </c>
      <c r="I856" t="s">
        <v>2602</v>
      </c>
      <c r="J856" t="s">
        <v>2603</v>
      </c>
      <c r="K856" t="s">
        <v>41</v>
      </c>
    </row>
    <row r="857" spans="1:11" ht="20" customHeight="1">
      <c r="A857" t="s">
        <v>25</v>
      </c>
      <c r="B857" t="s">
        <v>2604</v>
      </c>
      <c r="C857">
        <v>186.3600006103516</v>
      </c>
      <c r="D857">
        <v>187.3999938964844</v>
      </c>
      <c r="E857">
        <v>186.3000030517578</v>
      </c>
      <c r="F857">
        <v>187.3699951171875</v>
      </c>
      <c r="G857">
        <v>187.3699951171875</v>
      </c>
      <c r="H857">
        <v>4685200</v>
      </c>
      <c r="I857" t="s">
        <v>2605</v>
      </c>
      <c r="J857" t="s">
        <v>2606</v>
      </c>
      <c r="K857" t="s">
        <v>41</v>
      </c>
    </row>
    <row r="858" spans="1:11" ht="20" customHeight="1">
      <c r="A858" t="s">
        <v>25</v>
      </c>
      <c r="B858" t="s">
        <v>2607</v>
      </c>
      <c r="C858">
        <v>188.2599945068359</v>
      </c>
      <c r="D858">
        <v>188.3000030517578</v>
      </c>
      <c r="E858">
        <v>187.4400024414062</v>
      </c>
      <c r="F858">
        <v>187.9299926757812</v>
      </c>
      <c r="G858">
        <v>187.9299926757812</v>
      </c>
      <c r="H858">
        <v>5719700</v>
      </c>
      <c r="I858" t="s">
        <v>2608</v>
      </c>
      <c r="J858" t="s">
        <v>2609</v>
      </c>
      <c r="K858" t="s">
        <v>41</v>
      </c>
    </row>
    <row r="859" spans="1:11" ht="20" customHeight="1">
      <c r="A859" t="s">
        <v>25</v>
      </c>
      <c r="B859" t="s">
        <v>2610</v>
      </c>
      <c r="C859">
        <v>187.2299957275391</v>
      </c>
      <c r="D859">
        <v>187.7599945068359</v>
      </c>
      <c r="E859">
        <v>186.8500061035156</v>
      </c>
      <c r="F859">
        <v>187.2200012207031</v>
      </c>
      <c r="G859">
        <v>187.2200012207031</v>
      </c>
      <c r="H859">
        <v>4397500</v>
      </c>
      <c r="I859" t="s">
        <v>2611</v>
      </c>
      <c r="J859" t="s">
        <v>2612</v>
      </c>
      <c r="K859" t="s">
        <v>41</v>
      </c>
    </row>
    <row r="860" spans="1:11" ht="20" customHeight="1">
      <c r="A860" t="s">
        <v>25</v>
      </c>
      <c r="B860" t="s">
        <v>2613</v>
      </c>
      <c r="C860">
        <v>187.4499969482422</v>
      </c>
      <c r="D860">
        <v>188.1499938964844</v>
      </c>
      <c r="E860">
        <v>187.2799987792969</v>
      </c>
      <c r="F860">
        <v>187.9499969482422</v>
      </c>
      <c r="G860">
        <v>187.9499969482422</v>
      </c>
      <c r="H860">
        <v>5040800</v>
      </c>
      <c r="I860" t="s">
        <v>2614</v>
      </c>
      <c r="J860" t="s">
        <v>2615</v>
      </c>
      <c r="K860" t="s">
        <v>41</v>
      </c>
    </row>
    <row r="861" spans="1:11" ht="20" customHeight="1">
      <c r="A861" t="s">
        <v>25</v>
      </c>
      <c r="B861" t="s">
        <v>2616</v>
      </c>
      <c r="C861">
        <v>188.3300018310547</v>
      </c>
      <c r="D861">
        <v>188.3699951171875</v>
      </c>
      <c r="E861">
        <v>186.3200073242188</v>
      </c>
      <c r="F861">
        <v>186.3999938964844</v>
      </c>
      <c r="G861">
        <v>186.3999938964844</v>
      </c>
      <c r="H861">
        <v>6085400</v>
      </c>
      <c r="I861" t="s">
        <v>2617</v>
      </c>
      <c r="J861" t="s">
        <v>2618</v>
      </c>
      <c r="K861" t="s">
        <v>41</v>
      </c>
    </row>
    <row r="862" spans="1:11" ht="20" customHeight="1">
      <c r="A862" t="s">
        <v>25</v>
      </c>
      <c r="B862" t="s">
        <v>2619</v>
      </c>
      <c r="C862">
        <v>187.3399963378906</v>
      </c>
      <c r="D862">
        <v>187.6399993896484</v>
      </c>
      <c r="E862">
        <v>186.4600067138672</v>
      </c>
      <c r="F862">
        <v>187.1399993896484</v>
      </c>
      <c r="G862">
        <v>187.1399993896484</v>
      </c>
      <c r="H862">
        <v>4651000</v>
      </c>
      <c r="I862" t="s">
        <v>2620</v>
      </c>
      <c r="J862" t="s">
        <v>2621</v>
      </c>
      <c r="K862" t="s">
        <v>41</v>
      </c>
    </row>
    <row r="863" spans="1:11" ht="20" customHeight="1">
      <c r="A863" t="s">
        <v>25</v>
      </c>
      <c r="B863" t="s">
        <v>2622</v>
      </c>
      <c r="C863">
        <v>187.2700042724609</v>
      </c>
      <c r="D863">
        <v>187.3800048828125</v>
      </c>
      <c r="E863">
        <v>186.7599945068359</v>
      </c>
      <c r="F863">
        <v>187.0099945068359</v>
      </c>
      <c r="G863">
        <v>187.0099945068359</v>
      </c>
      <c r="H863">
        <v>5064800</v>
      </c>
      <c r="I863" t="s">
        <v>2623</v>
      </c>
      <c r="J863" t="s">
        <v>2624</v>
      </c>
      <c r="K863" t="s">
        <v>41</v>
      </c>
    </row>
    <row r="864" spans="1:11" ht="20" customHeight="1">
      <c r="A864" t="s">
        <v>25</v>
      </c>
      <c r="B864" t="s">
        <v>2625</v>
      </c>
      <c r="C864">
        <v>188.3099975585938</v>
      </c>
      <c r="D864">
        <v>188.5399932861328</v>
      </c>
      <c r="E864">
        <v>187.1900024414062</v>
      </c>
      <c r="F864">
        <v>188.3300018310547</v>
      </c>
      <c r="G864">
        <v>188.3300018310547</v>
      </c>
      <c r="H864">
        <v>5629700</v>
      </c>
      <c r="I864" t="s">
        <v>2626</v>
      </c>
      <c r="J864" t="s">
        <v>2627</v>
      </c>
      <c r="K864" t="s">
        <v>41</v>
      </c>
    </row>
    <row r="865" spans="1:11" ht="20" customHeight="1">
      <c r="A865" t="s">
        <v>25</v>
      </c>
      <c r="B865" t="s">
        <v>2628</v>
      </c>
      <c r="C865">
        <v>189.6999969482422</v>
      </c>
      <c r="D865">
        <v>189.8300018310547</v>
      </c>
      <c r="E865">
        <v>187.9799957275391</v>
      </c>
      <c r="F865">
        <v>188.5899963378906</v>
      </c>
      <c r="G865">
        <v>188.5899963378906</v>
      </c>
      <c r="H865">
        <v>4976500</v>
      </c>
      <c r="I865" t="s">
        <v>2629</v>
      </c>
      <c r="J865" t="s">
        <v>2630</v>
      </c>
      <c r="K865" t="s">
        <v>41</v>
      </c>
    </row>
    <row r="866" spans="1:11" ht="20" customHeight="1">
      <c r="A866" t="s">
        <v>25</v>
      </c>
      <c r="B866" t="s">
        <v>2631</v>
      </c>
      <c r="C866">
        <v>189.3699951171875</v>
      </c>
      <c r="D866">
        <v>190.4600067138672</v>
      </c>
      <c r="E866">
        <v>188.1300048828125</v>
      </c>
      <c r="F866">
        <v>188.4499969482422</v>
      </c>
      <c r="G866">
        <v>188.4499969482422</v>
      </c>
      <c r="H866">
        <v>7886100</v>
      </c>
      <c r="I866" t="s">
        <v>2632</v>
      </c>
      <c r="J866" t="s">
        <v>2633</v>
      </c>
      <c r="K866" t="s">
        <v>41</v>
      </c>
    </row>
    <row r="867" spans="1:11" ht="20" customHeight="1">
      <c r="A867" t="s">
        <v>25</v>
      </c>
      <c r="B867" t="s">
        <v>2634</v>
      </c>
      <c r="C867">
        <v>189.7100067138672</v>
      </c>
      <c r="D867">
        <v>191.3600006103516</v>
      </c>
      <c r="E867">
        <v>188.9900054931641</v>
      </c>
      <c r="F867">
        <v>190.4100036621094</v>
      </c>
      <c r="G867">
        <v>190.4100036621094</v>
      </c>
      <c r="H867">
        <v>10278100</v>
      </c>
      <c r="I867" t="s">
        <v>2635</v>
      </c>
      <c r="J867" t="s">
        <v>2636</v>
      </c>
      <c r="K867" t="s">
        <v>41</v>
      </c>
    </row>
    <row r="868" spans="1:11" ht="20" customHeight="1">
      <c r="A868" t="s">
        <v>25</v>
      </c>
      <c r="B868" t="s">
        <v>2637</v>
      </c>
      <c r="C868">
        <v>188.0700073242188</v>
      </c>
      <c r="D868">
        <v>188.8699951171875</v>
      </c>
      <c r="E868">
        <v>187.8500061035156</v>
      </c>
      <c r="F868">
        <v>188.6100006103516</v>
      </c>
      <c r="G868">
        <v>188.6100006103516</v>
      </c>
      <c r="H868">
        <v>7337600</v>
      </c>
      <c r="I868" t="s">
        <v>2638</v>
      </c>
      <c r="J868" t="s">
        <v>2639</v>
      </c>
      <c r="K868" t="s">
        <v>41</v>
      </c>
    </row>
    <row r="869" spans="1:11" ht="20" customHeight="1">
      <c r="A869" t="s">
        <v>25</v>
      </c>
      <c r="B869" t="s">
        <v>2640</v>
      </c>
      <c r="C869">
        <v>186.8800048828125</v>
      </c>
      <c r="D869">
        <v>187.8200073242188</v>
      </c>
      <c r="E869">
        <v>186.6999969482422</v>
      </c>
      <c r="F869">
        <v>187.5700073242188</v>
      </c>
      <c r="G869">
        <v>187.5700073242188</v>
      </c>
      <c r="H869">
        <v>5436100</v>
      </c>
      <c r="I869" t="s">
        <v>2641</v>
      </c>
      <c r="J869" t="s">
        <v>2642</v>
      </c>
      <c r="K869" t="s">
        <v>41</v>
      </c>
    </row>
    <row r="870" spans="1:11" ht="20" customHeight="1">
      <c r="A870" t="s">
        <v>25</v>
      </c>
      <c r="B870" t="s">
        <v>2643</v>
      </c>
      <c r="C870">
        <v>187.9400024414062</v>
      </c>
      <c r="D870">
        <v>188.8500061035156</v>
      </c>
      <c r="E870">
        <v>187.7400054931641</v>
      </c>
      <c r="F870">
        <v>188.5500030517578</v>
      </c>
      <c r="G870">
        <v>188.5500030517578</v>
      </c>
      <c r="H870">
        <v>4866100</v>
      </c>
      <c r="I870" t="s">
        <v>2644</v>
      </c>
      <c r="J870" t="s">
        <v>2645</v>
      </c>
      <c r="K870" t="s">
        <v>41</v>
      </c>
    </row>
    <row r="871" spans="1:11" ht="20" customHeight="1">
      <c r="A871" t="s">
        <v>25</v>
      </c>
      <c r="B871" t="s">
        <v>2646</v>
      </c>
      <c r="C871">
        <v>188.4499969482422</v>
      </c>
      <c r="D871">
        <v>189.3899993896484</v>
      </c>
      <c r="E871">
        <v>188.2799987792969</v>
      </c>
      <c r="F871">
        <v>188.5</v>
      </c>
      <c r="G871">
        <v>188.5</v>
      </c>
      <c r="H871">
        <v>6276900</v>
      </c>
      <c r="I871" t="s">
        <v>2647</v>
      </c>
      <c r="J871" t="s">
        <v>2648</v>
      </c>
      <c r="K871" t="s">
        <v>41</v>
      </c>
    </row>
    <row r="872" spans="1:11" ht="20" customHeight="1">
      <c r="A872" t="s">
        <v>25</v>
      </c>
      <c r="B872" t="s">
        <v>2649</v>
      </c>
      <c r="C872">
        <v>187.9100036621094</v>
      </c>
      <c r="D872">
        <v>188.5299987792969</v>
      </c>
      <c r="E872">
        <v>187.8200073242188</v>
      </c>
      <c r="F872">
        <v>188.3300018310547</v>
      </c>
      <c r="G872">
        <v>188.3300018310547</v>
      </c>
      <c r="H872">
        <v>3873300</v>
      </c>
      <c r="I872" t="s">
        <v>2650</v>
      </c>
      <c r="J872" t="s">
        <v>2651</v>
      </c>
      <c r="K872" t="s">
        <v>41</v>
      </c>
    </row>
    <row r="873" spans="1:11" ht="20" customHeight="1">
      <c r="A873" t="s">
        <v>25</v>
      </c>
      <c r="B873" t="s">
        <v>2652</v>
      </c>
      <c r="C873">
        <v>187.5599975585938</v>
      </c>
      <c r="D873">
        <v>187.7700042724609</v>
      </c>
      <c r="E873">
        <v>187.1399993896484</v>
      </c>
      <c r="F873">
        <v>187.6000061035156</v>
      </c>
      <c r="G873">
        <v>187.6000061035156</v>
      </c>
      <c r="H873">
        <v>4412600</v>
      </c>
      <c r="I873" t="s">
        <v>2653</v>
      </c>
      <c r="J873" t="s">
        <v>2654</v>
      </c>
      <c r="K873" t="s">
        <v>41</v>
      </c>
    </row>
    <row r="874" spans="1:11" ht="20" customHeight="1">
      <c r="A874" t="s">
        <v>25</v>
      </c>
      <c r="B874" t="s">
        <v>2655</v>
      </c>
      <c r="C874">
        <v>186.6000061035156</v>
      </c>
      <c r="D874">
        <v>187.2700042724609</v>
      </c>
      <c r="E874">
        <v>186.3600006103516</v>
      </c>
      <c r="F874">
        <v>187.1100006103516</v>
      </c>
      <c r="G874">
        <v>187.1100006103516</v>
      </c>
      <c r="H874">
        <v>4706300</v>
      </c>
      <c r="I874" t="s">
        <v>2656</v>
      </c>
      <c r="J874" t="s">
        <v>2657</v>
      </c>
      <c r="K874" t="s">
        <v>41</v>
      </c>
    </row>
    <row r="875" spans="1:11" ht="20" customHeight="1">
      <c r="A875" t="s">
        <v>25</v>
      </c>
      <c r="B875" t="s">
        <v>2658</v>
      </c>
      <c r="C875">
        <v>185.3500061035156</v>
      </c>
      <c r="D875">
        <v>185.3800048828125</v>
      </c>
      <c r="E875">
        <v>184.3300018310547</v>
      </c>
      <c r="F875">
        <v>184.5299987792969</v>
      </c>
      <c r="G875">
        <v>184.5299987792969</v>
      </c>
      <c r="H875">
        <v>9525800</v>
      </c>
      <c r="I875" t="s">
        <v>2659</v>
      </c>
      <c r="J875" t="s">
        <v>2660</v>
      </c>
      <c r="K875" t="s">
        <v>41</v>
      </c>
    </row>
    <row r="876" spans="1:11" ht="20" customHeight="1">
      <c r="A876" t="s">
        <v>25</v>
      </c>
      <c r="B876" t="s">
        <v>2661</v>
      </c>
      <c r="C876">
        <v>184.2700042724609</v>
      </c>
      <c r="D876">
        <v>184.8800048828125</v>
      </c>
      <c r="E876">
        <v>183.7799987792969</v>
      </c>
      <c r="F876">
        <v>184.4199981689453</v>
      </c>
      <c r="G876">
        <v>184.4199981689453</v>
      </c>
      <c r="H876">
        <v>7031600</v>
      </c>
      <c r="I876" t="s">
        <v>2662</v>
      </c>
      <c r="J876" t="s">
        <v>2663</v>
      </c>
      <c r="K876" t="s">
        <v>41</v>
      </c>
    </row>
    <row r="877" spans="1:11" ht="20" customHeight="1">
      <c r="A877" t="s">
        <v>25</v>
      </c>
      <c r="B877" t="s">
        <v>2664</v>
      </c>
      <c r="C877">
        <v>185.6000061035156</v>
      </c>
      <c r="D877">
        <v>186.0200042724609</v>
      </c>
      <c r="E877">
        <v>185.1000061035156</v>
      </c>
      <c r="F877">
        <v>185.6600036621094</v>
      </c>
      <c r="G877">
        <v>185.6600036621094</v>
      </c>
      <c r="H877">
        <v>6228900</v>
      </c>
      <c r="I877" t="s">
        <v>2665</v>
      </c>
      <c r="J877" t="s">
        <v>2666</v>
      </c>
      <c r="K877" t="s">
        <v>41</v>
      </c>
    </row>
    <row r="878" spans="1:11" ht="20" customHeight="1">
      <c r="A878" t="s">
        <v>25</v>
      </c>
      <c r="B878" t="s">
        <v>2667</v>
      </c>
      <c r="C878">
        <v>185.0800018310547</v>
      </c>
      <c r="D878">
        <v>186.6699981689453</v>
      </c>
      <c r="E878">
        <v>184.8399963378906</v>
      </c>
      <c r="F878">
        <v>186.3399963378906</v>
      </c>
      <c r="G878">
        <v>186.3399963378906</v>
      </c>
      <c r="H878">
        <v>6518500</v>
      </c>
      <c r="I878" t="s">
        <v>2668</v>
      </c>
      <c r="J878" t="s">
        <v>2669</v>
      </c>
      <c r="K878" t="s">
        <v>41</v>
      </c>
    </row>
    <row r="879" spans="1:11" ht="20" customHeight="1">
      <c r="A879" t="s">
        <v>25</v>
      </c>
      <c r="B879" t="s">
        <v>2670</v>
      </c>
      <c r="C879">
        <v>187.9600067138672</v>
      </c>
      <c r="D879">
        <v>188.0299987792969</v>
      </c>
      <c r="E879">
        <v>187.3999938964844</v>
      </c>
      <c r="F879">
        <v>187.4700012207031</v>
      </c>
      <c r="G879">
        <v>187.4700012207031</v>
      </c>
      <c r="H879">
        <v>5531200</v>
      </c>
      <c r="I879" t="s">
        <v>2671</v>
      </c>
      <c r="J879" t="s">
        <v>2672</v>
      </c>
      <c r="K879" t="s">
        <v>41</v>
      </c>
    </row>
    <row r="880" spans="1:11" ht="20" customHeight="1">
      <c r="A880" t="s">
        <v>25</v>
      </c>
      <c r="B880" t="s">
        <v>2673</v>
      </c>
      <c r="C880">
        <v>187.8800048828125</v>
      </c>
      <c r="D880">
        <v>188.0399932861328</v>
      </c>
      <c r="E880">
        <v>187.1000061035156</v>
      </c>
      <c r="F880">
        <v>187.4799957275391</v>
      </c>
      <c r="G880">
        <v>187.4799957275391</v>
      </c>
      <c r="H880">
        <v>5789200</v>
      </c>
      <c r="I880" t="s">
        <v>2674</v>
      </c>
      <c r="J880" t="s">
        <v>2675</v>
      </c>
      <c r="K880" t="s">
        <v>41</v>
      </c>
    </row>
    <row r="881" spans="1:11" ht="20" customHeight="1">
      <c r="A881" t="s">
        <v>25</v>
      </c>
      <c r="B881" t="s">
        <v>2676</v>
      </c>
      <c r="C881">
        <v>187.5599975585938</v>
      </c>
      <c r="D881">
        <v>187.6399993896484</v>
      </c>
      <c r="E881">
        <v>187.0500030517578</v>
      </c>
      <c r="F881">
        <v>187.5599975585938</v>
      </c>
      <c r="G881">
        <v>187.5599975585938</v>
      </c>
      <c r="H881">
        <v>4550800</v>
      </c>
      <c r="I881" t="s">
        <v>2677</v>
      </c>
      <c r="J881" t="s">
        <v>2678</v>
      </c>
      <c r="K881" t="s">
        <v>41</v>
      </c>
    </row>
    <row r="882" spans="1:11" ht="20" customHeight="1">
      <c r="A882" t="s">
        <v>25</v>
      </c>
      <c r="B882" t="s">
        <v>2679</v>
      </c>
      <c r="C882">
        <v>187.5599975585938</v>
      </c>
      <c r="D882">
        <v>189.1799926757812</v>
      </c>
      <c r="E882">
        <v>187.4600067138672</v>
      </c>
      <c r="F882">
        <v>188.6199951171875</v>
      </c>
      <c r="G882">
        <v>188.6199951171875</v>
      </c>
      <c r="H882">
        <v>6827300</v>
      </c>
      <c r="I882" t="s">
        <v>2680</v>
      </c>
      <c r="J882" t="s">
        <v>2681</v>
      </c>
      <c r="K882" t="s">
        <v>41</v>
      </c>
    </row>
    <row r="883" spans="1:11" ht="20" customHeight="1">
      <c r="A883" t="s">
        <v>25</v>
      </c>
      <c r="B883" t="s">
        <v>2682</v>
      </c>
      <c r="C883">
        <v>187.7899932861328</v>
      </c>
      <c r="D883">
        <v>188.3600006103516</v>
      </c>
      <c r="E883">
        <v>187.5299987792969</v>
      </c>
      <c r="F883">
        <v>188.1999969482422</v>
      </c>
      <c r="G883">
        <v>188.1999969482422</v>
      </c>
      <c r="H883">
        <v>4491900</v>
      </c>
      <c r="I883" t="s">
        <v>2683</v>
      </c>
      <c r="J883" t="s">
        <v>2684</v>
      </c>
      <c r="K883" t="s">
        <v>41</v>
      </c>
    </row>
    <row r="884" spans="1:11" ht="20" customHeight="1">
      <c r="A884" t="s">
        <v>25</v>
      </c>
      <c r="B884" t="s">
        <v>2685</v>
      </c>
      <c r="C884">
        <v>188.5800018310547</v>
      </c>
      <c r="D884">
        <v>188.7200012207031</v>
      </c>
      <c r="E884">
        <v>187.8800048828125</v>
      </c>
      <c r="F884">
        <v>188</v>
      </c>
      <c r="G884">
        <v>188</v>
      </c>
      <c r="H884">
        <v>5165400</v>
      </c>
      <c r="I884" t="s">
        <v>2686</v>
      </c>
      <c r="J884" t="s">
        <v>2687</v>
      </c>
      <c r="K884" t="s">
        <v>41</v>
      </c>
    </row>
    <row r="885" spans="1:11" ht="20" customHeight="1">
      <c r="A885" t="s">
        <v>25</v>
      </c>
      <c r="B885" t="s">
        <v>2688</v>
      </c>
      <c r="C885">
        <v>188.3399963378906</v>
      </c>
      <c r="D885">
        <v>188.5200042724609</v>
      </c>
      <c r="E885">
        <v>188.0299987792969</v>
      </c>
      <c r="F885">
        <v>188.3399963378906</v>
      </c>
      <c r="G885">
        <v>188.3399963378906</v>
      </c>
      <c r="H885">
        <v>2824100</v>
      </c>
      <c r="I885" t="s">
        <v>2689</v>
      </c>
      <c r="J885" t="s">
        <v>2690</v>
      </c>
      <c r="K885" t="s">
        <v>41</v>
      </c>
    </row>
    <row r="886" spans="1:11" ht="20" customHeight="1">
      <c r="A886" t="s">
        <v>25</v>
      </c>
      <c r="B886" t="s">
        <v>2691</v>
      </c>
      <c r="C886">
        <v>189.6399993896484</v>
      </c>
      <c r="D886">
        <v>189.9199981689453</v>
      </c>
      <c r="E886">
        <v>189.2299957275391</v>
      </c>
      <c r="F886">
        <v>189.3099975585938</v>
      </c>
      <c r="G886">
        <v>189.3099975585938</v>
      </c>
      <c r="H886">
        <v>6848600</v>
      </c>
      <c r="I886" t="s">
        <v>2692</v>
      </c>
      <c r="J886" t="s">
        <v>2693</v>
      </c>
      <c r="K886" t="s">
        <v>41</v>
      </c>
    </row>
    <row r="887" spans="1:11" ht="20" customHeight="1">
      <c r="A887" t="s">
        <v>25</v>
      </c>
      <c r="B887" t="s">
        <v>2694</v>
      </c>
      <c r="C887">
        <v>190.2700042724609</v>
      </c>
      <c r="D887">
        <v>193.3999938964844</v>
      </c>
      <c r="E887">
        <v>189.4400024414062</v>
      </c>
      <c r="F887">
        <v>192.8899993896484</v>
      </c>
      <c r="G887">
        <v>192.8899993896484</v>
      </c>
      <c r="H887">
        <v>13411000</v>
      </c>
      <c r="I887" t="s">
        <v>2695</v>
      </c>
      <c r="J887" t="s">
        <v>2696</v>
      </c>
      <c r="K887" t="s">
        <v>41</v>
      </c>
    </row>
    <row r="888" spans="1:11" ht="20" customHeight="1">
      <c r="A888" t="s">
        <v>25</v>
      </c>
      <c r="B888" t="s">
        <v>2697</v>
      </c>
      <c r="C888">
        <v>194.1499938964844</v>
      </c>
      <c r="D888">
        <v>196.3300018310547</v>
      </c>
      <c r="E888">
        <v>193.8800048828125</v>
      </c>
      <c r="F888">
        <v>196.0099945068359</v>
      </c>
      <c r="G888">
        <v>196.0099945068359</v>
      </c>
      <c r="H888">
        <v>12216300</v>
      </c>
      <c r="I888" t="s">
        <v>2698</v>
      </c>
      <c r="J888" t="s">
        <v>2699</v>
      </c>
      <c r="K888" t="s">
        <v>41</v>
      </c>
    </row>
    <row r="889" spans="1:11" ht="20" customHeight="1">
      <c r="A889" t="s">
        <v>25</v>
      </c>
      <c r="B889" t="s">
        <v>2700</v>
      </c>
      <c r="C889">
        <v>197.4400024414062</v>
      </c>
      <c r="D889">
        <v>198.1399993896484</v>
      </c>
      <c r="E889">
        <v>196.6499938964844</v>
      </c>
      <c r="F889">
        <v>197.1900024414062</v>
      </c>
      <c r="G889">
        <v>197.1900024414062</v>
      </c>
      <c r="H889">
        <v>9672200</v>
      </c>
      <c r="I889" t="s">
        <v>2701</v>
      </c>
      <c r="J889" t="s">
        <v>2702</v>
      </c>
      <c r="K889" t="s">
        <v>41</v>
      </c>
    </row>
    <row r="890" spans="1:11" ht="20" customHeight="1">
      <c r="A890" t="s">
        <v>25</v>
      </c>
      <c r="B890" t="s">
        <v>2703</v>
      </c>
      <c r="C890">
        <v>198.0800018310547</v>
      </c>
      <c r="D890">
        <v>199.3000030517578</v>
      </c>
      <c r="E890">
        <v>197.4400024414062</v>
      </c>
      <c r="F890">
        <v>198.8099975585938</v>
      </c>
      <c r="G890">
        <v>198.8099975585938</v>
      </c>
      <c r="H890">
        <v>10459300</v>
      </c>
      <c r="I890" t="s">
        <v>2704</v>
      </c>
      <c r="J890" t="s">
        <v>2705</v>
      </c>
      <c r="K890" t="s">
        <v>41</v>
      </c>
    </row>
    <row r="891" spans="1:11" ht="20" customHeight="1">
      <c r="A891" t="s">
        <v>25</v>
      </c>
      <c r="B891" t="s">
        <v>2706</v>
      </c>
      <c r="C891">
        <v>199.5399932861328</v>
      </c>
      <c r="D891">
        <v>200.1100006103516</v>
      </c>
      <c r="E891">
        <v>198.9100036621094</v>
      </c>
      <c r="F891">
        <v>199.9400024414062</v>
      </c>
      <c r="G891">
        <v>199.9400024414062</v>
      </c>
      <c r="H891">
        <v>8403700</v>
      </c>
      <c r="I891" t="s">
        <v>2707</v>
      </c>
      <c r="J891" t="s">
        <v>2708</v>
      </c>
      <c r="K891" t="s">
        <v>41</v>
      </c>
    </row>
    <row r="892" spans="1:11" ht="20" customHeight="1">
      <c r="A892" t="s">
        <v>25</v>
      </c>
      <c r="B892" t="s">
        <v>2709</v>
      </c>
      <c r="C892">
        <v>200.8899993896484</v>
      </c>
      <c r="D892">
        <v>203.3000030517578</v>
      </c>
      <c r="E892">
        <v>200.4499969482422</v>
      </c>
      <c r="F892">
        <v>201.6300048828125</v>
      </c>
      <c r="G892">
        <v>201.6300048828125</v>
      </c>
      <c r="H892">
        <v>13540100</v>
      </c>
      <c r="I892" t="s">
        <v>2710</v>
      </c>
      <c r="J892" t="s">
        <v>2711</v>
      </c>
      <c r="K892" t="s">
        <v>41</v>
      </c>
    </row>
    <row r="893" spans="1:11" ht="20" customHeight="1">
      <c r="A893" t="s">
        <v>25</v>
      </c>
      <c r="B893" t="s">
        <v>2712</v>
      </c>
      <c r="C893">
        <v>201.7100067138672</v>
      </c>
      <c r="D893">
        <v>202.4100036621094</v>
      </c>
      <c r="E893">
        <v>201.4600067138672</v>
      </c>
      <c r="F893">
        <v>202</v>
      </c>
      <c r="G893">
        <v>202</v>
      </c>
      <c r="H893">
        <v>7329600</v>
      </c>
      <c r="I893" t="s">
        <v>2713</v>
      </c>
      <c r="J893" t="s">
        <v>2714</v>
      </c>
      <c r="K893" t="s">
        <v>41</v>
      </c>
    </row>
    <row r="894" spans="1:11" ht="20" customHeight="1">
      <c r="A894" t="s">
        <v>25</v>
      </c>
      <c r="B894" t="s">
        <v>2715</v>
      </c>
      <c r="C894">
        <v>200.4199981689453</v>
      </c>
      <c r="D894">
        <v>200.6300048828125</v>
      </c>
      <c r="E894">
        <v>199.1600036621094</v>
      </c>
      <c r="F894">
        <v>199.7899932861328</v>
      </c>
      <c r="G894">
        <v>199.7899932861328</v>
      </c>
      <c r="H894">
        <v>9436600</v>
      </c>
      <c r="I894" t="s">
        <v>2716</v>
      </c>
      <c r="J894" t="s">
        <v>2717</v>
      </c>
      <c r="K894" t="s">
        <v>41</v>
      </c>
    </row>
    <row r="895" spans="1:11" ht="20" customHeight="1">
      <c r="A895" t="s">
        <v>25</v>
      </c>
      <c r="B895" t="s">
        <v>2718</v>
      </c>
      <c r="C895">
        <v>200.4400024414062</v>
      </c>
      <c r="D895">
        <v>201.8600006103516</v>
      </c>
      <c r="E895">
        <v>200.3500061035156</v>
      </c>
      <c r="F895">
        <v>201.1900024414062</v>
      </c>
      <c r="G895">
        <v>201.1900024414062</v>
      </c>
      <c r="H895">
        <v>5930000</v>
      </c>
      <c r="I895" t="s">
        <v>2719</v>
      </c>
      <c r="J895" t="s">
        <v>2720</v>
      </c>
      <c r="K895" t="s">
        <v>41</v>
      </c>
    </row>
    <row r="896" spans="1:11" ht="20" customHeight="1">
      <c r="A896" t="s">
        <v>25</v>
      </c>
      <c r="B896" t="s">
        <v>2721</v>
      </c>
      <c r="C896">
        <v>200.3699951171875</v>
      </c>
      <c r="D896">
        <v>200.4700012207031</v>
      </c>
      <c r="E896">
        <v>199.3399963378906</v>
      </c>
      <c r="F896">
        <v>200.3500061035156</v>
      </c>
      <c r="G896">
        <v>200.3500061035156</v>
      </c>
      <c r="H896">
        <v>6865000</v>
      </c>
      <c r="I896" t="s">
        <v>2722</v>
      </c>
      <c r="J896" t="s">
        <v>2723</v>
      </c>
      <c r="K896" t="s">
        <v>41</v>
      </c>
    </row>
    <row r="897" spans="1:11" ht="20" customHeight="1">
      <c r="A897" t="s">
        <v>25</v>
      </c>
      <c r="B897" t="s">
        <v>2724</v>
      </c>
      <c r="C897">
        <v>199.9400024414062</v>
      </c>
      <c r="D897">
        <v>200.6300048828125</v>
      </c>
      <c r="E897">
        <v>199.5700073242188</v>
      </c>
      <c r="F897">
        <v>199.7100067138672</v>
      </c>
      <c r="G897">
        <v>199.7100067138672</v>
      </c>
      <c r="H897">
        <v>4556700</v>
      </c>
      <c r="I897" t="s">
        <v>2725</v>
      </c>
      <c r="J897" t="s">
        <v>2726</v>
      </c>
      <c r="K897" t="s">
        <v>41</v>
      </c>
    </row>
    <row r="898" spans="1:11" ht="20" customHeight="1">
      <c r="A898" t="s">
        <v>25</v>
      </c>
      <c r="B898" t="s">
        <v>2727</v>
      </c>
      <c r="C898">
        <v>199.6600036621094</v>
      </c>
      <c r="D898">
        <v>200.1499938964844</v>
      </c>
      <c r="E898">
        <v>199.5099945068359</v>
      </c>
      <c r="F898">
        <v>200.0299987792969</v>
      </c>
      <c r="G898">
        <v>200.0299987792969</v>
      </c>
      <c r="H898">
        <v>7206800</v>
      </c>
      <c r="I898" t="s">
        <v>2728</v>
      </c>
      <c r="J898" t="s">
        <v>2729</v>
      </c>
      <c r="K898" t="s">
        <v>41</v>
      </c>
    </row>
    <row r="899" spans="1:11" ht="20" customHeight="1">
      <c r="A899" t="s">
        <v>25</v>
      </c>
      <c r="B899" t="s">
        <v>2730</v>
      </c>
      <c r="C899">
        <v>199.6199951171875</v>
      </c>
      <c r="D899">
        <v>199.8099975585938</v>
      </c>
      <c r="E899">
        <v>198.9400024414062</v>
      </c>
      <c r="F899">
        <v>199.8000030517578</v>
      </c>
      <c r="G899">
        <v>199.8000030517578</v>
      </c>
      <c r="H899">
        <v>4657500</v>
      </c>
      <c r="I899" t="s">
        <v>2731</v>
      </c>
      <c r="J899" t="s">
        <v>2732</v>
      </c>
      <c r="K899" t="s">
        <v>41</v>
      </c>
    </row>
    <row r="900" spans="1:11" ht="20" customHeight="1">
      <c r="A900" t="s">
        <v>25</v>
      </c>
      <c r="B900" t="s">
        <v>2733</v>
      </c>
      <c r="C900">
        <v>199.1600036621094</v>
      </c>
      <c r="D900">
        <v>202.6600036621094</v>
      </c>
      <c r="E900">
        <v>199.1199951171875</v>
      </c>
      <c r="F900">
        <v>202.1799926757812</v>
      </c>
      <c r="G900">
        <v>202.1799926757812</v>
      </c>
      <c r="H900">
        <v>9593800</v>
      </c>
      <c r="I900" t="s">
        <v>2734</v>
      </c>
      <c r="J900" t="s">
        <v>2735</v>
      </c>
      <c r="K900" t="s">
        <v>41</v>
      </c>
    </row>
    <row r="901" spans="1:11" ht="20" customHeight="1">
      <c r="A901" t="s">
        <v>25</v>
      </c>
      <c r="B901" t="s">
        <v>2736</v>
      </c>
      <c r="C901">
        <v>203.8800048828125</v>
      </c>
      <c r="D901">
        <v>203.9199981689453</v>
      </c>
      <c r="E901">
        <v>200.6000061035156</v>
      </c>
      <c r="F901">
        <v>201.9700012207031</v>
      </c>
      <c r="G901">
        <v>201.9700012207031</v>
      </c>
      <c r="H901">
        <v>7396500</v>
      </c>
      <c r="I901" t="s">
        <v>2737</v>
      </c>
      <c r="J901" t="s">
        <v>2738</v>
      </c>
      <c r="K901" t="s">
        <v>41</v>
      </c>
    </row>
    <row r="902" spans="1:11" ht="20" customHeight="1">
      <c r="A902" t="s">
        <v>25</v>
      </c>
      <c r="B902" t="s">
        <v>2739</v>
      </c>
      <c r="C902">
        <v>201.3200073242188</v>
      </c>
      <c r="D902">
        <v>201.8600006103516</v>
      </c>
      <c r="E902">
        <v>199.7200012207031</v>
      </c>
      <c r="F902">
        <v>200.3500061035156</v>
      </c>
      <c r="G902">
        <v>200.3500061035156</v>
      </c>
      <c r="H902">
        <v>6918500</v>
      </c>
      <c r="I902" t="s">
        <v>2740</v>
      </c>
      <c r="J902" t="s">
        <v>2741</v>
      </c>
      <c r="K902" t="s">
        <v>41</v>
      </c>
    </row>
    <row r="903" spans="1:11" ht="20" customHeight="1">
      <c r="A903" t="s">
        <v>25</v>
      </c>
      <c r="B903" t="s">
        <v>2742</v>
      </c>
      <c r="C903">
        <v>201.1900024414062</v>
      </c>
      <c r="D903">
        <v>201.9499969482422</v>
      </c>
      <c r="E903">
        <v>200.9700012207031</v>
      </c>
      <c r="F903">
        <v>200.9900054931641</v>
      </c>
      <c r="G903">
        <v>200.9900054931641</v>
      </c>
      <c r="H903">
        <v>4034800</v>
      </c>
      <c r="I903" t="s">
        <v>2743</v>
      </c>
      <c r="J903" t="s">
        <v>2744</v>
      </c>
      <c r="K903" t="s">
        <v>41</v>
      </c>
    </row>
    <row r="904" spans="1:11" ht="20" customHeight="1">
      <c r="A904" t="s">
        <v>25</v>
      </c>
      <c r="B904" t="s">
        <v>2745</v>
      </c>
      <c r="C904">
        <v>202.6499938964844</v>
      </c>
      <c r="D904">
        <v>202.7599945068359</v>
      </c>
      <c r="E904">
        <v>201.0700073242188</v>
      </c>
      <c r="F904">
        <v>201.6399993896484</v>
      </c>
      <c r="G904">
        <v>201.6399993896484</v>
      </c>
      <c r="H904">
        <v>5752700</v>
      </c>
      <c r="I904" t="s">
        <v>2746</v>
      </c>
      <c r="J904" t="s">
        <v>2747</v>
      </c>
      <c r="K904" t="s">
        <v>41</v>
      </c>
    </row>
    <row r="905" spans="1:11" ht="20" customHeight="1">
      <c r="A905" t="s">
        <v>25</v>
      </c>
      <c r="B905" t="s">
        <v>2748</v>
      </c>
      <c r="C905">
        <v>202.3200073242188</v>
      </c>
      <c r="D905">
        <v>203.2200012207031</v>
      </c>
      <c r="E905">
        <v>202.3200073242188</v>
      </c>
      <c r="F905">
        <v>203.1000061035156</v>
      </c>
      <c r="G905">
        <v>203.1000061035156</v>
      </c>
      <c r="H905">
        <v>6041000</v>
      </c>
      <c r="I905" t="s">
        <v>2749</v>
      </c>
      <c r="J905" t="s">
        <v>2750</v>
      </c>
      <c r="K905" t="s">
        <v>41</v>
      </c>
    </row>
    <row r="906" spans="1:11" ht="20" customHeight="1">
      <c r="A906" t="s">
        <v>25</v>
      </c>
      <c r="B906" t="s">
        <v>2751</v>
      </c>
      <c r="C906">
        <v>204.5399932861328</v>
      </c>
      <c r="D906">
        <v>206.0500030517578</v>
      </c>
      <c r="E906">
        <v>203.8699951171875</v>
      </c>
      <c r="F906">
        <v>205.7200012207031</v>
      </c>
      <c r="G906">
        <v>205.7200012207031</v>
      </c>
      <c r="H906">
        <v>9194500</v>
      </c>
      <c r="I906" t="s">
        <v>2752</v>
      </c>
      <c r="J906" t="s">
        <v>2753</v>
      </c>
      <c r="K906" t="s">
        <v>41</v>
      </c>
    </row>
    <row r="907" spans="1:11" ht="20" customHeight="1">
      <c r="A907" t="s">
        <v>25</v>
      </c>
      <c r="B907" t="s">
        <v>2754</v>
      </c>
      <c r="C907">
        <v>208.6799926757812</v>
      </c>
      <c r="D907">
        <v>208.7299957275391</v>
      </c>
      <c r="E907">
        <v>206.2899932861328</v>
      </c>
      <c r="F907">
        <v>207.8200073242188</v>
      </c>
      <c r="G907">
        <v>207.8200073242188</v>
      </c>
      <c r="H907">
        <v>13677100</v>
      </c>
      <c r="I907" t="s">
        <v>2755</v>
      </c>
      <c r="J907" t="s">
        <v>2756</v>
      </c>
      <c r="K907" t="s">
        <v>41</v>
      </c>
    </row>
    <row r="908" spans="1:11" ht="20" customHeight="1">
      <c r="A908" t="s">
        <v>25</v>
      </c>
      <c r="B908" t="s">
        <v>2757</v>
      </c>
      <c r="C908">
        <v>209.0700073242188</v>
      </c>
      <c r="D908">
        <v>211.0299987792969</v>
      </c>
      <c r="E908">
        <v>208.3600006103516</v>
      </c>
      <c r="F908">
        <v>210.8899993896484</v>
      </c>
      <c r="G908">
        <v>210.8899993896484</v>
      </c>
      <c r="H908">
        <v>13421100</v>
      </c>
      <c r="I908" t="s">
        <v>2758</v>
      </c>
      <c r="J908" t="s">
        <v>2759</v>
      </c>
      <c r="K908" t="s">
        <v>41</v>
      </c>
    </row>
    <row r="909" spans="1:11" ht="20" customHeight="1">
      <c r="A909" t="s">
        <v>25</v>
      </c>
      <c r="B909" t="s">
        <v>2760</v>
      </c>
      <c r="C909">
        <v>210.5700073242188</v>
      </c>
      <c r="D909">
        <v>212.8300018310547</v>
      </c>
      <c r="E909">
        <v>210.3000030517578</v>
      </c>
      <c r="F909">
        <v>212.7400054931641</v>
      </c>
      <c r="G909">
        <v>212.7400054931641</v>
      </c>
      <c r="H909">
        <v>11416200</v>
      </c>
      <c r="I909" t="s">
        <v>2761</v>
      </c>
      <c r="J909" t="s">
        <v>2762</v>
      </c>
      <c r="K909" t="s">
        <v>41</v>
      </c>
    </row>
    <row r="910" spans="1:11" ht="20" customHeight="1">
      <c r="A910" t="s">
        <v>25</v>
      </c>
      <c r="B910" t="s">
        <v>2763</v>
      </c>
      <c r="C910">
        <v>212</v>
      </c>
      <c r="D910">
        <v>213.4499969482422</v>
      </c>
      <c r="E910">
        <v>211.0200042724609</v>
      </c>
      <c r="F910">
        <v>211.5200042724609</v>
      </c>
      <c r="G910">
        <v>211.5200042724609</v>
      </c>
      <c r="H910">
        <v>12307300</v>
      </c>
      <c r="I910" t="s">
        <v>2764</v>
      </c>
      <c r="J910" t="s">
        <v>2765</v>
      </c>
      <c r="K910" t="s">
        <v>41</v>
      </c>
    </row>
    <row r="911" spans="1:11" ht="20" customHeight="1">
      <c r="A911" t="s">
        <v>25</v>
      </c>
      <c r="B911" t="s">
        <v>2766</v>
      </c>
      <c r="C911">
        <v>212.4900054931641</v>
      </c>
      <c r="D911">
        <v>215.7400054931641</v>
      </c>
      <c r="E911">
        <v>212.2200012207031</v>
      </c>
      <c r="F911">
        <v>215.1399993896484</v>
      </c>
      <c r="G911">
        <v>215.1399993896484</v>
      </c>
      <c r="H911">
        <v>13382700</v>
      </c>
      <c r="I911" t="s">
        <v>2767</v>
      </c>
      <c r="J911" t="s">
        <v>2768</v>
      </c>
      <c r="K911" t="s">
        <v>41</v>
      </c>
    </row>
    <row r="912" spans="1:11" ht="20" customHeight="1">
      <c r="A912" t="s">
        <v>25</v>
      </c>
      <c r="B912" t="s">
        <v>2769</v>
      </c>
      <c r="C912">
        <v>215.9799957275391</v>
      </c>
      <c r="D912">
        <v>216.8099975585938</v>
      </c>
      <c r="E912">
        <v>214.6100006103516</v>
      </c>
      <c r="F912">
        <v>216.4799957275391</v>
      </c>
      <c r="G912">
        <v>216.4799957275391</v>
      </c>
      <c r="H912">
        <v>10331400</v>
      </c>
      <c r="I912" t="s">
        <v>2770</v>
      </c>
      <c r="J912" t="s">
        <v>2771</v>
      </c>
      <c r="K912" t="s">
        <v>41</v>
      </c>
    </row>
    <row r="913" spans="1:11" ht="20" customHeight="1">
      <c r="A913" t="s">
        <v>25</v>
      </c>
      <c r="B913" t="s">
        <v>2772</v>
      </c>
      <c r="C913">
        <v>217.8099975585938</v>
      </c>
      <c r="D913">
        <v>218.8600006103516</v>
      </c>
      <c r="E913">
        <v>216.4499969482422</v>
      </c>
      <c r="F913">
        <v>217.6699981689453</v>
      </c>
      <c r="G913">
        <v>217.6699981689453</v>
      </c>
      <c r="H913">
        <v>13069900</v>
      </c>
      <c r="I913" t="s">
        <v>2773</v>
      </c>
      <c r="J913" t="s">
        <v>2774</v>
      </c>
      <c r="K913" t="s">
        <v>41</v>
      </c>
    </row>
    <row r="914" spans="1:11" ht="20" customHeight="1">
      <c r="A914" t="s">
        <v>25</v>
      </c>
      <c r="B914" t="s">
        <v>2775</v>
      </c>
      <c r="C914">
        <v>215.3699951171875</v>
      </c>
      <c r="D914">
        <v>217.7799987792969</v>
      </c>
      <c r="E914">
        <v>214.6799926757812</v>
      </c>
      <c r="F914">
        <v>215.6100006103516</v>
      </c>
      <c r="G914">
        <v>215.6100006103516</v>
      </c>
      <c r="H914">
        <v>13317500</v>
      </c>
      <c r="I914" t="s">
        <v>2776</v>
      </c>
      <c r="J914" t="s">
        <v>2777</v>
      </c>
      <c r="K914" t="s">
        <v>41</v>
      </c>
    </row>
    <row r="915" spans="1:11" ht="20" customHeight="1">
      <c r="A915" t="s">
        <v>25</v>
      </c>
      <c r="B915" t="s">
        <v>2778</v>
      </c>
      <c r="C915">
        <v>216.8500061035156</v>
      </c>
      <c r="D915">
        <v>219.8399963378906</v>
      </c>
      <c r="E915">
        <v>215.8899993896484</v>
      </c>
      <c r="F915">
        <v>219.8000030517578</v>
      </c>
      <c r="G915">
        <v>219.8000030517578</v>
      </c>
      <c r="H915">
        <v>11415200</v>
      </c>
      <c r="I915" t="s">
        <v>2779</v>
      </c>
      <c r="J915" t="s">
        <v>2780</v>
      </c>
      <c r="K915" t="s">
        <v>41</v>
      </c>
    </row>
    <row r="916" spans="1:11" ht="20" customHeight="1">
      <c r="A916" t="s">
        <v>25</v>
      </c>
      <c r="B916" t="s">
        <v>2781</v>
      </c>
      <c r="C916">
        <v>221.8699951171875</v>
      </c>
      <c r="D916">
        <v>225.0899963378906</v>
      </c>
      <c r="E916">
        <v>216.0200042724609</v>
      </c>
      <c r="F916">
        <v>216.8899993896484</v>
      </c>
      <c r="G916">
        <v>216.8899993896484</v>
      </c>
      <c r="H916">
        <v>30898800</v>
      </c>
      <c r="I916" t="s">
        <v>2782</v>
      </c>
      <c r="J916" t="s">
        <v>2783</v>
      </c>
      <c r="K916" t="s">
        <v>41</v>
      </c>
    </row>
    <row r="917" spans="1:11" ht="20" customHeight="1">
      <c r="A917" t="s">
        <v>25</v>
      </c>
      <c r="B917" t="s">
        <v>2784</v>
      </c>
      <c r="C917">
        <v>217.9400024414062</v>
      </c>
      <c r="D917">
        <v>221.0299987792969</v>
      </c>
      <c r="E917">
        <v>215.1600036621094</v>
      </c>
      <c r="F917">
        <v>220.9499969482422</v>
      </c>
      <c r="G917">
        <v>220.9499969482422</v>
      </c>
      <c r="H917">
        <v>13239000</v>
      </c>
      <c r="I917" t="s">
        <v>2785</v>
      </c>
      <c r="J917" t="s">
        <v>2786</v>
      </c>
      <c r="K917" t="s">
        <v>41</v>
      </c>
    </row>
    <row r="918" spans="1:11" ht="20" customHeight="1">
      <c r="A918" t="s">
        <v>25</v>
      </c>
      <c r="B918" t="s">
        <v>2787</v>
      </c>
      <c r="C918">
        <v>220.1799926757812</v>
      </c>
      <c r="D918">
        <v>221.9900054931641</v>
      </c>
      <c r="E918">
        <v>218.7799987792969</v>
      </c>
      <c r="F918">
        <v>221.2200012207031</v>
      </c>
      <c r="G918">
        <v>221.2200012207031</v>
      </c>
      <c r="H918">
        <v>10746100</v>
      </c>
      <c r="I918" t="s">
        <v>2788</v>
      </c>
      <c r="J918" t="s">
        <v>2789</v>
      </c>
      <c r="K918" t="s">
        <v>41</v>
      </c>
    </row>
    <row r="919" spans="1:11" ht="20" customHeight="1">
      <c r="A919" t="s">
        <v>25</v>
      </c>
      <c r="B919" t="s">
        <v>2790</v>
      </c>
      <c r="C919">
        <v>221.0500030517578</v>
      </c>
      <c r="D919">
        <v>221.7599945068359</v>
      </c>
      <c r="E919">
        <v>218.5200042724609</v>
      </c>
      <c r="F919">
        <v>219.5899963378906</v>
      </c>
      <c r="G919">
        <v>219.5899963378906</v>
      </c>
      <c r="H919">
        <v>11521100</v>
      </c>
      <c r="I919" t="s">
        <v>2791</v>
      </c>
      <c r="J919" t="s">
        <v>2792</v>
      </c>
      <c r="K919" t="s">
        <v>41</v>
      </c>
    </row>
    <row r="920" spans="1:11" ht="20" customHeight="1">
      <c r="A920" t="s">
        <v>25</v>
      </c>
      <c r="B920" t="s">
        <v>2793</v>
      </c>
      <c r="C920">
        <v>221.3099975585938</v>
      </c>
      <c r="D920">
        <v>221.4600067138672</v>
      </c>
      <c r="E920">
        <v>219.3099975585938</v>
      </c>
      <c r="F920">
        <v>220.3399963378906</v>
      </c>
      <c r="G920">
        <v>220.3399963378906</v>
      </c>
      <c r="H920">
        <v>6496900</v>
      </c>
      <c r="I920" t="s">
        <v>2794</v>
      </c>
      <c r="J920" t="s">
        <v>2795</v>
      </c>
      <c r="K920" t="s">
        <v>41</v>
      </c>
    </row>
    <row r="921" spans="1:11" ht="20" customHeight="1">
      <c r="A921" t="s">
        <v>25</v>
      </c>
      <c r="B921" t="s">
        <v>2796</v>
      </c>
      <c r="C921">
        <v>220.4900054931641</v>
      </c>
      <c r="D921">
        <v>222.3600006103516</v>
      </c>
      <c r="E921">
        <v>220.0800018310547</v>
      </c>
      <c r="F921">
        <v>221.0299987792969</v>
      </c>
      <c r="G921">
        <v>221.0299987792969</v>
      </c>
      <c r="H921">
        <v>8689000</v>
      </c>
      <c r="I921" t="s">
        <v>2797</v>
      </c>
      <c r="J921" t="s">
        <v>2798</v>
      </c>
      <c r="K921" t="s">
        <v>41</v>
      </c>
    </row>
    <row r="922" spans="1:11" ht="20" customHeight="1">
      <c r="A922" t="s">
        <v>25</v>
      </c>
      <c r="B922" t="s">
        <v>2799</v>
      </c>
      <c r="C922">
        <v>216.3500061035156</v>
      </c>
      <c r="D922">
        <v>216.9600067138672</v>
      </c>
      <c r="E922">
        <v>215.1399993896484</v>
      </c>
      <c r="F922">
        <v>215.5700073242188</v>
      </c>
      <c r="G922">
        <v>215.5700073242188</v>
      </c>
      <c r="H922">
        <v>13404300</v>
      </c>
      <c r="I922" t="s">
        <v>2800</v>
      </c>
      <c r="J922" t="s">
        <v>2801</v>
      </c>
      <c r="K922" t="s">
        <v>41</v>
      </c>
    </row>
    <row r="923" spans="1:11" ht="20" customHeight="1">
      <c r="A923" t="s">
        <v>25</v>
      </c>
      <c r="B923" t="s">
        <v>2802</v>
      </c>
      <c r="C923">
        <v>213.9600067138672</v>
      </c>
      <c r="D923">
        <v>215.8600006103516</v>
      </c>
      <c r="E923">
        <v>213.8699951171875</v>
      </c>
      <c r="F923">
        <v>215.0399932861328</v>
      </c>
      <c r="G923">
        <v>215.0399932861328</v>
      </c>
      <c r="H923">
        <v>10730300</v>
      </c>
      <c r="I923" t="s">
        <v>2803</v>
      </c>
      <c r="J923" t="s">
        <v>2804</v>
      </c>
      <c r="K923" t="s">
        <v>41</v>
      </c>
    </row>
    <row r="924" spans="1:11" ht="20" customHeight="1">
      <c r="A924" t="s">
        <v>25</v>
      </c>
      <c r="B924" t="s">
        <v>2805</v>
      </c>
      <c r="C924">
        <v>214.7599945068359</v>
      </c>
      <c r="D924">
        <v>216.3500061035156</v>
      </c>
      <c r="E924">
        <v>214.3600006103516</v>
      </c>
      <c r="F924">
        <v>214.6399993896484</v>
      </c>
      <c r="G924">
        <v>214.6399993896484</v>
      </c>
      <c r="H924">
        <v>5741100</v>
      </c>
      <c r="I924" t="s">
        <v>2806</v>
      </c>
      <c r="J924" t="s">
        <v>2807</v>
      </c>
      <c r="K924" t="s">
        <v>41</v>
      </c>
    </row>
    <row r="925" spans="1:11" ht="20" customHeight="1">
      <c r="A925" t="s">
        <v>25</v>
      </c>
      <c r="B925" t="s">
        <v>2808</v>
      </c>
      <c r="C925">
        <v>214.4700012207031</v>
      </c>
      <c r="D925">
        <v>217.0500030517578</v>
      </c>
      <c r="E925">
        <v>214.3399963378906</v>
      </c>
      <c r="F925">
        <v>215.9199981689453</v>
      </c>
      <c r="G925">
        <v>215.9199981689453</v>
      </c>
      <c r="H925">
        <v>6606500</v>
      </c>
      <c r="I925" t="s">
        <v>2809</v>
      </c>
      <c r="J925" t="s">
        <v>2810</v>
      </c>
      <c r="K925" t="s">
        <v>41</v>
      </c>
    </row>
    <row r="926" spans="1:11" ht="20" customHeight="1">
      <c r="A926" t="s">
        <v>25</v>
      </c>
      <c r="B926" t="s">
        <v>2811</v>
      </c>
      <c r="C926">
        <v>216.7700042724609</v>
      </c>
      <c r="D926">
        <v>217.0700073242188</v>
      </c>
      <c r="E926">
        <v>215.5299987792969</v>
      </c>
      <c r="F926">
        <v>216.6199951171875</v>
      </c>
      <c r="G926">
        <v>216.6199951171875</v>
      </c>
      <c r="H926">
        <v>6268500</v>
      </c>
      <c r="I926" t="s">
        <v>2812</v>
      </c>
      <c r="J926" t="s">
        <v>2813</v>
      </c>
      <c r="K926" t="s">
        <v>41</v>
      </c>
    </row>
    <row r="927" spans="1:11" ht="20" customHeight="1">
      <c r="A927" t="s">
        <v>25</v>
      </c>
      <c r="B927" t="s">
        <v>2814</v>
      </c>
      <c r="C927">
        <v>216.0200042724609</v>
      </c>
      <c r="D927">
        <v>217.2200012207031</v>
      </c>
      <c r="E927">
        <v>215.25</v>
      </c>
      <c r="F927">
        <v>216.1799926757812</v>
      </c>
      <c r="G927">
        <v>216.1799926757812</v>
      </c>
      <c r="H927">
        <v>6409900</v>
      </c>
      <c r="I927" t="s">
        <v>2815</v>
      </c>
      <c r="J927" t="s">
        <v>2816</v>
      </c>
      <c r="K927" t="s">
        <v>41</v>
      </c>
    </row>
    <row r="928" spans="1:11" ht="20" customHeight="1">
      <c r="A928" t="s">
        <v>25</v>
      </c>
      <c r="B928" t="s">
        <v>2817</v>
      </c>
      <c r="C928">
        <v>213.3800048828125</v>
      </c>
      <c r="D928">
        <v>214.1300048828125</v>
      </c>
      <c r="E928">
        <v>211.8000030517578</v>
      </c>
      <c r="F928">
        <v>211.8699951171875</v>
      </c>
      <c r="G928">
        <v>211.8699951171875</v>
      </c>
      <c r="H928">
        <v>11248600</v>
      </c>
      <c r="I928" t="s">
        <v>2818</v>
      </c>
      <c r="J928" t="s">
        <v>2819</v>
      </c>
      <c r="K928" t="s">
        <v>41</v>
      </c>
    </row>
    <row r="929" spans="1:11" ht="20" customHeight="1">
      <c r="A929" t="s">
        <v>25</v>
      </c>
      <c r="B929" t="s">
        <v>2820</v>
      </c>
      <c r="C929">
        <v>212.9600067138672</v>
      </c>
      <c r="D929">
        <v>215.5</v>
      </c>
      <c r="E929">
        <v>212.4100036621094</v>
      </c>
      <c r="F929">
        <v>213.7899932861328</v>
      </c>
      <c r="G929">
        <v>213.7899932861328</v>
      </c>
      <c r="H929">
        <v>10373900</v>
      </c>
      <c r="I929" t="s">
        <v>2821</v>
      </c>
      <c r="J929" t="s">
        <v>2822</v>
      </c>
      <c r="K929" t="s">
        <v>41</v>
      </c>
    </row>
    <row r="930" spans="1:11" ht="20" customHeight="1">
      <c r="A930" t="s">
        <v>25</v>
      </c>
      <c r="B930" t="s">
        <v>2823</v>
      </c>
      <c r="C930">
        <v>211.8999938964844</v>
      </c>
      <c r="D930">
        <v>213.7100067138672</v>
      </c>
      <c r="E930">
        <v>211.4900054931641</v>
      </c>
      <c r="F930">
        <v>213.1300048828125</v>
      </c>
      <c r="G930">
        <v>213.1300048828125</v>
      </c>
      <c r="H930">
        <v>6287000</v>
      </c>
      <c r="I930" t="s">
        <v>2824</v>
      </c>
      <c r="J930" t="s">
        <v>2825</v>
      </c>
      <c r="K930" t="s">
        <v>41</v>
      </c>
    </row>
    <row r="931" spans="1:11" ht="20" customHeight="1">
      <c r="A931" t="s">
        <v>25</v>
      </c>
      <c r="B931" t="s">
        <v>2826</v>
      </c>
      <c r="C931">
        <v>212.8899993896484</v>
      </c>
      <c r="D931">
        <v>213.2299957275391</v>
      </c>
      <c r="E931">
        <v>210.7100067138672</v>
      </c>
      <c r="F931">
        <v>212.9600067138672</v>
      </c>
      <c r="G931">
        <v>212.9600067138672</v>
      </c>
      <c r="H931">
        <v>8679900</v>
      </c>
      <c r="I931" t="s">
        <v>2827</v>
      </c>
      <c r="J931" t="s">
        <v>2828</v>
      </c>
      <c r="K931" t="s">
        <v>41</v>
      </c>
    </row>
    <row r="932" spans="1:11" ht="20" customHeight="1">
      <c r="A932" t="s">
        <v>25</v>
      </c>
      <c r="B932" t="s">
        <v>2829</v>
      </c>
      <c r="C932">
        <v>215.1399993896484</v>
      </c>
      <c r="D932">
        <v>215.9100036621094</v>
      </c>
      <c r="E932">
        <v>214.4700012207031</v>
      </c>
      <c r="F932">
        <v>215.1999969482422</v>
      </c>
      <c r="G932">
        <v>215.1999969482422</v>
      </c>
      <c r="H932">
        <v>6840500</v>
      </c>
      <c r="I932" t="s">
        <v>2830</v>
      </c>
      <c r="J932" t="s">
        <v>2831</v>
      </c>
      <c r="K932" t="s">
        <v>41</v>
      </c>
    </row>
    <row r="933" spans="1:11" ht="20" customHeight="1">
      <c r="A933" t="s">
        <v>25</v>
      </c>
      <c r="B933" t="s">
        <v>2832</v>
      </c>
      <c r="C933">
        <v>214.5200042724609</v>
      </c>
      <c r="D933">
        <v>214.9299926757812</v>
      </c>
      <c r="E933">
        <v>213.8800048828125</v>
      </c>
      <c r="F933">
        <v>214.2100067138672</v>
      </c>
      <c r="G933">
        <v>214.2100067138672</v>
      </c>
      <c r="H933">
        <v>5660700</v>
      </c>
      <c r="I933" t="s">
        <v>2833</v>
      </c>
      <c r="J933" t="s">
        <v>2834</v>
      </c>
      <c r="K933" t="s">
        <v>41</v>
      </c>
    </row>
    <row r="934" spans="1:11" ht="20" customHeight="1">
      <c r="A934" t="s">
        <v>25</v>
      </c>
      <c r="B934" t="s">
        <v>2835</v>
      </c>
      <c r="C934">
        <v>213.6199951171875</v>
      </c>
      <c r="D934">
        <v>214.8000030517578</v>
      </c>
      <c r="E934">
        <v>213.5</v>
      </c>
      <c r="F934">
        <v>213.5800018310547</v>
      </c>
      <c r="G934">
        <v>213.5800018310547</v>
      </c>
      <c r="H934">
        <v>4462700</v>
      </c>
      <c r="I934" t="s">
        <v>2836</v>
      </c>
      <c r="J934" t="s">
        <v>2837</v>
      </c>
      <c r="K934" t="s">
        <v>41</v>
      </c>
    </row>
    <row r="935" spans="1:11" ht="20" customHeight="1">
      <c r="A935" t="s">
        <v>25</v>
      </c>
      <c r="B935" t="s">
        <v>2838</v>
      </c>
      <c r="C935">
        <v>214.4799957275391</v>
      </c>
      <c r="D935">
        <v>216.9499969482422</v>
      </c>
      <c r="E935">
        <v>214.4400024414062</v>
      </c>
      <c r="F935">
        <v>216.9499969482422</v>
      </c>
      <c r="G935">
        <v>216.9499969482422</v>
      </c>
      <c r="H935">
        <v>7732500</v>
      </c>
      <c r="I935" t="s">
        <v>2839</v>
      </c>
      <c r="J935" t="s">
        <v>2840</v>
      </c>
      <c r="K935" t="s">
        <v>41</v>
      </c>
    </row>
    <row r="936" spans="1:11" ht="20" customHeight="1">
      <c r="A936" t="s">
        <v>25</v>
      </c>
      <c r="B936" t="s">
        <v>2841</v>
      </c>
      <c r="C936">
        <v>219.2200012207031</v>
      </c>
      <c r="D936">
        <v>219.6000061035156</v>
      </c>
      <c r="E936">
        <v>218.0800018310547</v>
      </c>
      <c r="F936">
        <v>218.7100067138672</v>
      </c>
      <c r="G936">
        <v>218.7100067138672</v>
      </c>
      <c r="H936">
        <v>8700900</v>
      </c>
      <c r="I936" t="s">
        <v>2842</v>
      </c>
      <c r="J936" t="s">
        <v>2843</v>
      </c>
      <c r="K936" t="s">
        <v>41</v>
      </c>
    </row>
    <row r="937" spans="1:11" ht="20" customHeight="1">
      <c r="A937" t="s">
        <v>25</v>
      </c>
      <c r="B937" t="s">
        <v>2844</v>
      </c>
      <c r="C937">
        <v>217.0599975585938</v>
      </c>
      <c r="D937">
        <v>217.3099975585938</v>
      </c>
      <c r="E937">
        <v>215.8000030517578</v>
      </c>
      <c r="F937">
        <v>216.2599945068359</v>
      </c>
      <c r="G937">
        <v>216.2599945068359</v>
      </c>
      <c r="H937">
        <v>4896300</v>
      </c>
      <c r="I937" t="s">
        <v>2845</v>
      </c>
      <c r="J937" t="s">
        <v>2846</v>
      </c>
      <c r="K937" t="s">
        <v>41</v>
      </c>
    </row>
    <row r="938" spans="1:11" ht="20" customHeight="1">
      <c r="A938" t="s">
        <v>25</v>
      </c>
      <c r="B938" t="s">
        <v>2847</v>
      </c>
      <c r="C938">
        <v>217.3099975585938</v>
      </c>
      <c r="D938">
        <v>218.3800048828125</v>
      </c>
      <c r="E938">
        <v>216.9799957275391</v>
      </c>
      <c r="F938">
        <v>218.0899963378906</v>
      </c>
      <c r="G938">
        <v>218.0899963378906</v>
      </c>
      <c r="H938">
        <v>4662700</v>
      </c>
      <c r="I938" t="s">
        <v>2848</v>
      </c>
      <c r="J938" t="s">
        <v>2849</v>
      </c>
      <c r="K938" t="s">
        <v>41</v>
      </c>
    </row>
    <row r="939" spans="1:11" ht="20" customHeight="1">
      <c r="A939" t="s">
        <v>25</v>
      </c>
      <c r="B939" t="s">
        <v>2850</v>
      </c>
      <c r="C939">
        <v>219.0599975585938</v>
      </c>
      <c r="D939">
        <v>221.1900024414062</v>
      </c>
      <c r="E939">
        <v>217.6499938964844</v>
      </c>
      <c r="F939">
        <v>220.8899993896484</v>
      </c>
      <c r="G939">
        <v>220.8899993896484</v>
      </c>
      <c r="H939">
        <v>9297700</v>
      </c>
      <c r="I939" t="s">
        <v>2851</v>
      </c>
      <c r="J939" t="s">
        <v>2852</v>
      </c>
      <c r="K939" t="s">
        <v>41</v>
      </c>
    </row>
    <row r="940" spans="1:11" ht="20" customHeight="1">
      <c r="A940" t="s">
        <v>25</v>
      </c>
      <c r="B940" t="s">
        <v>2853</v>
      </c>
      <c r="C940">
        <v>220.1399993896484</v>
      </c>
      <c r="D940">
        <v>220.5899963378906</v>
      </c>
      <c r="E940">
        <v>219.4100036621094</v>
      </c>
      <c r="F940">
        <v>220.0299987792969</v>
      </c>
      <c r="G940">
        <v>220.0299987792969</v>
      </c>
      <c r="H940">
        <v>4301700</v>
      </c>
      <c r="I940" t="s">
        <v>2854</v>
      </c>
      <c r="J940" t="s">
        <v>2855</v>
      </c>
      <c r="K940" t="s">
        <v>41</v>
      </c>
    </row>
    <row r="941" spans="1:11" ht="20" customHeight="1">
      <c r="A941" t="s">
        <v>25</v>
      </c>
      <c r="B941" t="s">
        <v>2856</v>
      </c>
      <c r="C941">
        <v>222.1799926757812</v>
      </c>
      <c r="D941">
        <v>223.8500061035156</v>
      </c>
      <c r="E941">
        <v>221.6699981689453</v>
      </c>
      <c r="F941">
        <v>223.6600036621094</v>
      </c>
      <c r="G941">
        <v>223.6600036621094</v>
      </c>
      <c r="H941">
        <v>10481900</v>
      </c>
      <c r="I941" t="s">
        <v>2857</v>
      </c>
      <c r="J941" t="s">
        <v>2858</v>
      </c>
      <c r="K941" t="s">
        <v>41</v>
      </c>
    </row>
    <row r="942" spans="1:11" ht="20" customHeight="1">
      <c r="A942" t="s">
        <v>25</v>
      </c>
      <c r="B942" t="s">
        <v>2859</v>
      </c>
      <c r="C942">
        <v>223.7899932861328</v>
      </c>
      <c r="D942">
        <v>225.6600036621094</v>
      </c>
      <c r="E942">
        <v>223.0200042724609</v>
      </c>
      <c r="F942">
        <v>224.5599975585938</v>
      </c>
      <c r="G942">
        <v>224.5599975585938</v>
      </c>
      <c r="H942">
        <v>5990900</v>
      </c>
      <c r="I942" t="s">
        <v>2860</v>
      </c>
      <c r="J942" t="s">
        <v>2861</v>
      </c>
      <c r="K942" t="s">
        <v>41</v>
      </c>
    </row>
    <row r="943" spans="1:11" ht="20" customHeight="1">
      <c r="A943" t="s">
        <v>25</v>
      </c>
      <c r="B943" t="s">
        <v>2862</v>
      </c>
      <c r="C943">
        <v>224.7700042724609</v>
      </c>
      <c r="D943">
        <v>225.2100067138672</v>
      </c>
      <c r="E943">
        <v>223.6999969482422</v>
      </c>
      <c r="F943">
        <v>224.2299957275391</v>
      </c>
      <c r="G943">
        <v>224.2299957275391</v>
      </c>
      <c r="H943">
        <v>4002600</v>
      </c>
      <c r="I943" t="s">
        <v>2863</v>
      </c>
      <c r="J943" t="s">
        <v>2864</v>
      </c>
      <c r="K943" t="s">
        <v>41</v>
      </c>
    </row>
    <row r="944" spans="1:11" ht="20" customHeight="1">
      <c r="A944" t="s">
        <v>25</v>
      </c>
      <c r="B944" t="s">
        <v>2865</v>
      </c>
      <c r="C944">
        <v>223.0899963378906</v>
      </c>
      <c r="D944">
        <v>223.2400054931641</v>
      </c>
      <c r="E944">
        <v>219.7400054931641</v>
      </c>
      <c r="F944">
        <v>220.1100006103516</v>
      </c>
      <c r="G944">
        <v>220.1100006103516</v>
      </c>
      <c r="H944">
        <v>8903100</v>
      </c>
      <c r="I944" t="s">
        <v>2866</v>
      </c>
      <c r="J944" t="s">
        <v>2867</v>
      </c>
      <c r="K944" t="s">
        <v>41</v>
      </c>
    </row>
    <row r="945" spans="1:11" ht="20" customHeight="1">
      <c r="A945" t="s">
        <v>25</v>
      </c>
      <c r="B945" t="s">
        <v>2868</v>
      </c>
      <c r="C945">
        <v>218.7799987792969</v>
      </c>
      <c r="D945">
        <v>219.2299957275391</v>
      </c>
      <c r="E945">
        <v>215.6600036621094</v>
      </c>
      <c r="F945">
        <v>215.7200012207031</v>
      </c>
      <c r="G945">
        <v>215.7200012207031</v>
      </c>
      <c r="H945">
        <v>9537900</v>
      </c>
      <c r="I945" t="s">
        <v>2869</v>
      </c>
      <c r="J945" t="s">
        <v>2870</v>
      </c>
      <c r="K945" t="s">
        <v>41</v>
      </c>
    </row>
    <row r="946" spans="1:11" ht="20" customHeight="1">
      <c r="A946" t="s">
        <v>25</v>
      </c>
      <c r="B946" t="s">
        <v>2871</v>
      </c>
      <c r="C946">
        <v>216.9600067138672</v>
      </c>
      <c r="D946">
        <v>217.2100067138672</v>
      </c>
      <c r="E946">
        <v>215.7400054931641</v>
      </c>
      <c r="F946">
        <v>215.9199981689453</v>
      </c>
      <c r="G946">
        <v>215.9199981689453</v>
      </c>
      <c r="H946">
        <v>4212400</v>
      </c>
      <c r="I946" t="s">
        <v>2872</v>
      </c>
      <c r="J946" t="s">
        <v>2873</v>
      </c>
      <c r="K946" t="s">
        <v>41</v>
      </c>
    </row>
    <row r="947" spans="1:11" ht="20" customHeight="1">
      <c r="A947" t="s">
        <v>25</v>
      </c>
      <c r="B947" t="s">
        <v>2874</v>
      </c>
      <c r="C947">
        <v>218.4299926757812</v>
      </c>
      <c r="D947">
        <v>218.5899963378906</v>
      </c>
      <c r="E947">
        <v>217.2100067138672</v>
      </c>
      <c r="F947">
        <v>218.1900024414062</v>
      </c>
      <c r="G947">
        <v>218.1900024414062</v>
      </c>
      <c r="H947">
        <v>3809700</v>
      </c>
      <c r="I947" t="s">
        <v>2875</v>
      </c>
      <c r="J947" t="s">
        <v>2876</v>
      </c>
      <c r="K947" t="s">
        <v>41</v>
      </c>
    </row>
    <row r="948" spans="1:11" ht="20" customHeight="1">
      <c r="A948" t="s">
        <v>25</v>
      </c>
      <c r="B948" t="s">
        <v>2877</v>
      </c>
      <c r="C948">
        <v>216.9199981689453</v>
      </c>
      <c r="D948">
        <v>217.1600036621094</v>
      </c>
      <c r="E948">
        <v>216.1199951171875</v>
      </c>
      <c r="F948">
        <v>216.1600036621094</v>
      </c>
      <c r="G948">
        <v>216.1600036621094</v>
      </c>
      <c r="H948">
        <v>4185000</v>
      </c>
      <c r="I948" t="s">
        <v>2878</v>
      </c>
      <c r="J948" t="s">
        <v>2879</v>
      </c>
      <c r="K948" t="s">
        <v>41</v>
      </c>
    </row>
    <row r="949" spans="1:11" ht="20" customHeight="1">
      <c r="A949" t="s">
        <v>25</v>
      </c>
      <c r="B949" t="s">
        <v>2880</v>
      </c>
      <c r="C949">
        <v>216.6900024414062</v>
      </c>
      <c r="D949">
        <v>217.5099945068359</v>
      </c>
      <c r="E949">
        <v>216.4100036621094</v>
      </c>
      <c r="F949">
        <v>216.5700073242188</v>
      </c>
      <c r="G949">
        <v>216.5700073242188</v>
      </c>
      <c r="H949">
        <v>3068800</v>
      </c>
      <c r="I949" t="s">
        <v>2881</v>
      </c>
      <c r="J949" t="s">
        <v>2882</v>
      </c>
      <c r="K949" t="s">
        <v>41</v>
      </c>
    </row>
    <row r="950" spans="1:11" ht="20" customHeight="1">
      <c r="A950" t="s">
        <v>25</v>
      </c>
      <c r="B950" t="s">
        <v>2883</v>
      </c>
      <c r="C950">
        <v>217.7700042724609</v>
      </c>
      <c r="D950">
        <v>217.9600067138672</v>
      </c>
      <c r="E950">
        <v>214.6499938964844</v>
      </c>
      <c r="F950">
        <v>215.3000030517578</v>
      </c>
      <c r="G950">
        <v>215.3000030517578</v>
      </c>
      <c r="H950">
        <v>5617200</v>
      </c>
      <c r="I950" t="s">
        <v>2884</v>
      </c>
      <c r="J950" t="s">
        <v>2885</v>
      </c>
      <c r="K950" t="s">
        <v>41</v>
      </c>
    </row>
    <row r="951" spans="1:11" ht="20" customHeight="1">
      <c r="A951" t="s">
        <v>25</v>
      </c>
      <c r="B951" t="s">
        <v>2886</v>
      </c>
      <c r="C951">
        <v>215.9199981689453</v>
      </c>
      <c r="D951">
        <v>217.8200073242188</v>
      </c>
      <c r="E951">
        <v>215.5399932861328</v>
      </c>
      <c r="F951">
        <v>217.2200012207031</v>
      </c>
      <c r="G951">
        <v>217.2200012207031</v>
      </c>
      <c r="H951">
        <v>6172600</v>
      </c>
      <c r="I951" t="s">
        <v>2887</v>
      </c>
      <c r="J951" t="s">
        <v>2888</v>
      </c>
      <c r="K951" t="s">
        <v>41</v>
      </c>
    </row>
    <row r="952" spans="1:11" ht="20" customHeight="1">
      <c r="A952" t="s">
        <v>25</v>
      </c>
      <c r="B952" t="s">
        <v>2889</v>
      </c>
      <c r="C952">
        <v>216.2400054931641</v>
      </c>
      <c r="D952">
        <v>216.2400054931641</v>
      </c>
      <c r="E952">
        <v>214.1999969482422</v>
      </c>
      <c r="F952">
        <v>215.2700042724609</v>
      </c>
      <c r="G952">
        <v>215.2700042724609</v>
      </c>
      <c r="H952">
        <v>5509400</v>
      </c>
      <c r="I952" t="s">
        <v>2890</v>
      </c>
      <c r="J952" t="s">
        <v>2891</v>
      </c>
      <c r="K952" t="s">
        <v>41</v>
      </c>
    </row>
    <row r="953" spans="1:11" ht="20" customHeight="1">
      <c r="A953" t="s">
        <v>25</v>
      </c>
      <c r="B953" t="s">
        <v>2892</v>
      </c>
      <c r="C953">
        <v>216.6900024414062</v>
      </c>
      <c r="D953">
        <v>218.0800018310547</v>
      </c>
      <c r="E953">
        <v>215.9299926757812</v>
      </c>
      <c r="F953">
        <v>217.8200073242188</v>
      </c>
      <c r="G953">
        <v>217.8200073242188</v>
      </c>
      <c r="H953">
        <v>5479200</v>
      </c>
      <c r="I953" t="s">
        <v>2893</v>
      </c>
      <c r="J953" t="s">
        <v>2894</v>
      </c>
      <c r="K953" t="s">
        <v>41</v>
      </c>
    </row>
    <row r="954" spans="1:11" ht="20" customHeight="1">
      <c r="A954" t="s">
        <v>25</v>
      </c>
      <c r="B954" t="s">
        <v>2895</v>
      </c>
      <c r="C954">
        <v>218.3600006103516</v>
      </c>
      <c r="D954">
        <v>219.9700012207031</v>
      </c>
      <c r="E954">
        <v>218.1000061035156</v>
      </c>
      <c r="F954">
        <v>219.4299926757812</v>
      </c>
      <c r="G954">
        <v>219.4299926757812</v>
      </c>
      <c r="H954">
        <v>5283900</v>
      </c>
      <c r="I954" t="s">
        <v>2896</v>
      </c>
      <c r="J954" t="s">
        <v>2897</v>
      </c>
      <c r="K954" t="s">
        <v>41</v>
      </c>
    </row>
    <row r="955" spans="1:11" ht="20" customHeight="1">
      <c r="A955" t="s">
        <v>25</v>
      </c>
      <c r="B955" t="s">
        <v>2898</v>
      </c>
      <c r="C955">
        <v>215.0700073242188</v>
      </c>
      <c r="D955">
        <v>215.1900024414062</v>
      </c>
      <c r="E955">
        <v>211.5399932861328</v>
      </c>
      <c r="F955">
        <v>211.6000061035156</v>
      </c>
      <c r="G955">
        <v>211.6000061035156</v>
      </c>
      <c r="H955">
        <v>12195100</v>
      </c>
      <c r="I955" t="s">
        <v>2899</v>
      </c>
      <c r="J955" t="s">
        <v>2900</v>
      </c>
      <c r="K955" t="s">
        <v>41</v>
      </c>
    </row>
    <row r="956" spans="1:11" ht="20" customHeight="1">
      <c r="A956" t="s">
        <v>25</v>
      </c>
      <c r="B956" t="s">
        <v>2901</v>
      </c>
      <c r="C956">
        <v>213.1300048828125</v>
      </c>
      <c r="D956">
        <v>214.0200042724609</v>
      </c>
      <c r="E956">
        <v>212.7599945068359</v>
      </c>
      <c r="F956">
        <v>213.5399932861328</v>
      </c>
      <c r="G956">
        <v>213.5399932861328</v>
      </c>
      <c r="H956">
        <v>4215300</v>
      </c>
      <c r="I956" t="s">
        <v>2902</v>
      </c>
      <c r="J956" t="s">
        <v>2903</v>
      </c>
      <c r="K956" t="s">
        <v>41</v>
      </c>
    </row>
    <row r="957" spans="1:11" ht="20" customHeight="1">
      <c r="A957" t="s">
        <v>25</v>
      </c>
      <c r="B957" t="s">
        <v>2904</v>
      </c>
      <c r="C957">
        <v>213.9499969482422</v>
      </c>
      <c r="D957">
        <v>214.3800048828125</v>
      </c>
      <c r="E957">
        <v>213.2400054931641</v>
      </c>
      <c r="F957">
        <v>214.1499938964844</v>
      </c>
      <c r="G957">
        <v>214.1499938964844</v>
      </c>
      <c r="H957">
        <v>4004100</v>
      </c>
      <c r="I957" t="s">
        <v>2905</v>
      </c>
      <c r="J957" t="s">
        <v>2906</v>
      </c>
      <c r="K957" t="s">
        <v>41</v>
      </c>
    </row>
    <row r="958" spans="1:11" ht="20" customHeight="1">
      <c r="A958" t="s">
        <v>25</v>
      </c>
      <c r="B958" t="s">
        <v>2907</v>
      </c>
      <c r="C958">
        <v>216.4700012207031</v>
      </c>
      <c r="D958">
        <v>216.5500030517578</v>
      </c>
      <c r="E958">
        <v>214.1999969482422</v>
      </c>
      <c r="F958">
        <v>214.7200012207031</v>
      </c>
      <c r="G958">
        <v>214.7200012207031</v>
      </c>
      <c r="H958">
        <v>5911900</v>
      </c>
      <c r="I958" t="s">
        <v>2908</v>
      </c>
      <c r="J958" t="s">
        <v>2909</v>
      </c>
      <c r="K958" t="s">
        <v>41</v>
      </c>
    </row>
    <row r="959" spans="1:11" ht="20" customHeight="1">
      <c r="A959" t="s">
        <v>25</v>
      </c>
      <c r="B959" t="s">
        <v>2910</v>
      </c>
      <c r="C959">
        <v>214.4400024414062</v>
      </c>
      <c r="D959">
        <v>214.9600067138672</v>
      </c>
      <c r="E959">
        <v>212.2599945068359</v>
      </c>
      <c r="F959">
        <v>212.9700012207031</v>
      </c>
      <c r="G959">
        <v>212.9700012207031</v>
      </c>
      <c r="H959">
        <v>5861100</v>
      </c>
      <c r="I959" t="s">
        <v>2911</v>
      </c>
      <c r="J959" t="s">
        <v>2912</v>
      </c>
      <c r="K959" t="s">
        <v>41</v>
      </c>
    </row>
    <row r="960" spans="1:11" ht="20" customHeight="1">
      <c r="A960" t="s">
        <v>25</v>
      </c>
      <c r="B960" t="s">
        <v>2913</v>
      </c>
      <c r="C960">
        <v>215.3399963378906</v>
      </c>
      <c r="D960">
        <v>216.0399932861328</v>
      </c>
      <c r="E960">
        <v>214.9799957275391</v>
      </c>
      <c r="F960">
        <v>215.7299957275391</v>
      </c>
      <c r="G960">
        <v>215.7299957275391</v>
      </c>
      <c r="H960">
        <v>7076500</v>
      </c>
      <c r="I960" t="s">
        <v>2914</v>
      </c>
      <c r="J960" t="s">
        <v>2915</v>
      </c>
      <c r="K960" t="s">
        <v>41</v>
      </c>
    </row>
    <row r="961" spans="1:11" ht="20" customHeight="1">
      <c r="A961" t="s">
        <v>25</v>
      </c>
      <c r="B961" t="s">
        <v>2916</v>
      </c>
      <c r="C961">
        <v>214.8999938964844</v>
      </c>
      <c r="D961">
        <v>215.2400054931641</v>
      </c>
      <c r="E961">
        <v>213.6000061035156</v>
      </c>
      <c r="F961">
        <v>214.6100006103516</v>
      </c>
      <c r="G961">
        <v>214.6100006103516</v>
      </c>
      <c r="H961">
        <v>3877700</v>
      </c>
      <c r="I961" t="s">
        <v>2917</v>
      </c>
      <c r="J961" t="s">
        <v>2918</v>
      </c>
      <c r="K961" t="s">
        <v>41</v>
      </c>
    </row>
    <row r="962" spans="1:11" ht="20" customHeight="1">
      <c r="A962" t="s">
        <v>25</v>
      </c>
      <c r="B962" t="s">
        <v>2919</v>
      </c>
      <c r="C962">
        <v>214.3800048828125</v>
      </c>
      <c r="D962">
        <v>215.8300018310547</v>
      </c>
      <c r="E962">
        <v>214.0399932861328</v>
      </c>
      <c r="F962">
        <v>215.4700012207031</v>
      </c>
      <c r="G962">
        <v>215.4700012207031</v>
      </c>
      <c r="H962">
        <v>4921400</v>
      </c>
      <c r="I962" t="s">
        <v>2920</v>
      </c>
      <c r="J962" t="s">
        <v>2921</v>
      </c>
      <c r="K962" t="s">
        <v>41</v>
      </c>
    </row>
    <row r="963" spans="1:11" ht="20" customHeight="1">
      <c r="A963" t="s">
        <v>25</v>
      </c>
      <c r="B963" t="s">
        <v>2922</v>
      </c>
      <c r="C963">
        <v>216.3200073242188</v>
      </c>
      <c r="D963">
        <v>218.7400054931641</v>
      </c>
      <c r="E963">
        <v>216.1499938964844</v>
      </c>
      <c r="F963">
        <v>218.1600036621094</v>
      </c>
      <c r="G963">
        <v>218.1600036621094</v>
      </c>
      <c r="H963">
        <v>7290500</v>
      </c>
      <c r="I963" t="s">
        <v>2923</v>
      </c>
      <c r="J963" t="s">
        <v>2924</v>
      </c>
      <c r="K963" t="s">
        <v>41</v>
      </c>
    </row>
    <row r="964" spans="1:11" ht="20" customHeight="1">
      <c r="A964" t="s">
        <v>25</v>
      </c>
      <c r="B964" t="s">
        <v>2925</v>
      </c>
      <c r="C964">
        <v>217.8300018310547</v>
      </c>
      <c r="D964">
        <v>217.8999938964844</v>
      </c>
      <c r="E964">
        <v>214.2599945068359</v>
      </c>
      <c r="F964">
        <v>214.7799987792969</v>
      </c>
      <c r="G964">
        <v>214.7799987792969</v>
      </c>
      <c r="H964">
        <v>8865600</v>
      </c>
      <c r="I964" t="s">
        <v>2926</v>
      </c>
      <c r="J964" t="s">
        <v>2927</v>
      </c>
      <c r="K964" t="s">
        <v>41</v>
      </c>
    </row>
    <row r="965" spans="1:11" ht="20" customHeight="1">
      <c r="A965" t="s">
        <v>25</v>
      </c>
      <c r="B965" t="s">
        <v>2928</v>
      </c>
      <c r="C965">
        <v>215.5500030517578</v>
      </c>
      <c r="D965">
        <v>215.9400024414062</v>
      </c>
      <c r="E965">
        <v>215.1999969482422</v>
      </c>
      <c r="F965">
        <v>215.6300048828125</v>
      </c>
      <c r="G965">
        <v>215.6300048828125</v>
      </c>
      <c r="H965">
        <v>4626900</v>
      </c>
      <c r="I965" t="s">
        <v>2929</v>
      </c>
      <c r="J965" t="s">
        <v>2930</v>
      </c>
      <c r="K965" t="s">
        <v>41</v>
      </c>
    </row>
    <row r="966" spans="1:11" ht="20" customHeight="1">
      <c r="A966" t="s">
        <v>25</v>
      </c>
      <c r="B966" t="s">
        <v>2931</v>
      </c>
      <c r="C966">
        <v>214.9600067138672</v>
      </c>
      <c r="D966">
        <v>215.3099975585938</v>
      </c>
      <c r="E966">
        <v>214.1199951171875</v>
      </c>
      <c r="F966">
        <v>214.5599975585938</v>
      </c>
      <c r="G966">
        <v>214.5599975585938</v>
      </c>
      <c r="H966">
        <v>3820900</v>
      </c>
      <c r="I966" t="s">
        <v>2932</v>
      </c>
      <c r="J966" t="s">
        <v>2933</v>
      </c>
      <c r="K966" t="s">
        <v>41</v>
      </c>
    </row>
    <row r="967" spans="1:11" ht="20" customHeight="1">
      <c r="A967" t="s">
        <v>25</v>
      </c>
      <c r="B967" t="s">
        <v>2934</v>
      </c>
      <c r="C967">
        <v>212.3899993896484</v>
      </c>
      <c r="D967">
        <v>213.1100006103516</v>
      </c>
      <c r="E967">
        <v>212.1199951171875</v>
      </c>
      <c r="F967">
        <v>212.5800018310547</v>
      </c>
      <c r="G967">
        <v>212.5800018310547</v>
      </c>
      <c r="H967">
        <v>4690300</v>
      </c>
      <c r="I967" t="s">
        <v>2935</v>
      </c>
      <c r="J967" t="s">
        <v>2936</v>
      </c>
      <c r="K967" t="s">
        <v>41</v>
      </c>
    </row>
    <row r="968" spans="1:11" ht="20" customHeight="1">
      <c r="A968" t="s">
        <v>25</v>
      </c>
      <c r="B968" t="s">
        <v>2937</v>
      </c>
      <c r="C968">
        <v>214.7100067138672</v>
      </c>
      <c r="D968">
        <v>215.5</v>
      </c>
      <c r="E968">
        <v>214.4499969482422</v>
      </c>
      <c r="F968">
        <v>214.9900054931641</v>
      </c>
      <c r="G968">
        <v>214.9900054931641</v>
      </c>
      <c r="H968">
        <v>4977800</v>
      </c>
      <c r="I968" t="s">
        <v>2938</v>
      </c>
      <c r="J968" t="s">
        <v>2939</v>
      </c>
      <c r="K968" t="s">
        <v>41</v>
      </c>
    </row>
    <row r="969" spans="1:11" ht="20" customHeight="1">
      <c r="A969" t="s">
        <v>25</v>
      </c>
      <c r="B969" t="s">
        <v>2940</v>
      </c>
      <c r="C969">
        <v>215.6399993896484</v>
      </c>
      <c r="D969">
        <v>215.8099975585938</v>
      </c>
      <c r="E969">
        <v>214.8200073242188</v>
      </c>
      <c r="F969">
        <v>215.0099945068359</v>
      </c>
      <c r="G969">
        <v>215.0099945068359</v>
      </c>
      <c r="H969">
        <v>3955100</v>
      </c>
      <c r="I969" t="s">
        <v>2941</v>
      </c>
      <c r="J969" t="s">
        <v>2942</v>
      </c>
      <c r="K969" t="s">
        <v>41</v>
      </c>
    </row>
    <row r="970" spans="1:11" ht="20" customHeight="1">
      <c r="A970" t="s">
        <v>25</v>
      </c>
      <c r="B970" t="s">
        <v>2943</v>
      </c>
      <c r="C970">
        <v>215.25</v>
      </c>
      <c r="D970">
        <v>216</v>
      </c>
      <c r="E970">
        <v>214.4900054931641</v>
      </c>
      <c r="F970">
        <v>215.5700073242188</v>
      </c>
      <c r="G970">
        <v>215.5700073242188</v>
      </c>
      <c r="H970">
        <v>3797900</v>
      </c>
      <c r="I970" t="s">
        <v>2944</v>
      </c>
      <c r="J970" t="s">
        <v>2945</v>
      </c>
      <c r="K970" t="s">
        <v>41</v>
      </c>
    </row>
    <row r="971" spans="1:11" ht="20" customHeight="1">
      <c r="A971" t="s">
        <v>25</v>
      </c>
      <c r="B971" t="s">
        <v>2946</v>
      </c>
      <c r="C971">
        <v>215.3300018310547</v>
      </c>
      <c r="D971">
        <v>216.0800018310547</v>
      </c>
      <c r="E971">
        <v>214.6199951171875</v>
      </c>
      <c r="F971">
        <v>215.5599975585938</v>
      </c>
      <c r="G971">
        <v>215.5599975585938</v>
      </c>
      <c r="H971">
        <v>4921700</v>
      </c>
      <c r="I971" t="s">
        <v>2947</v>
      </c>
      <c r="J971" t="s">
        <v>2948</v>
      </c>
      <c r="K971" t="s">
        <v>41</v>
      </c>
    </row>
    <row r="972" spans="1:11" ht="20" customHeight="1">
      <c r="A972" t="s">
        <v>25</v>
      </c>
      <c r="B972" t="s">
        <v>2949</v>
      </c>
      <c r="C972">
        <v>217.3399963378906</v>
      </c>
      <c r="D972">
        <v>218.7400054931641</v>
      </c>
      <c r="E972">
        <v>217.3300018310547</v>
      </c>
      <c r="F972">
        <v>217.9900054931641</v>
      </c>
      <c r="G972">
        <v>217.9900054931641</v>
      </c>
      <c r="H972">
        <v>5055300</v>
      </c>
      <c r="I972" t="s">
        <v>2950</v>
      </c>
      <c r="J972" t="s">
        <v>2951</v>
      </c>
      <c r="K972" t="s">
        <v>41</v>
      </c>
    </row>
    <row r="973" spans="1:11" ht="20" customHeight="1">
      <c r="A973" t="s">
        <v>25</v>
      </c>
      <c r="B973" t="s">
        <v>2952</v>
      </c>
      <c r="C973">
        <v>219.5800018310547</v>
      </c>
      <c r="D973">
        <v>221.2799987792969</v>
      </c>
      <c r="E973">
        <v>219.5800018310547</v>
      </c>
      <c r="F973">
        <v>220.9299926757812</v>
      </c>
      <c r="G973">
        <v>220.9299926757812</v>
      </c>
      <c r="H973">
        <v>5950600</v>
      </c>
      <c r="I973" t="s">
        <v>2953</v>
      </c>
      <c r="J973" t="s">
        <v>2954</v>
      </c>
      <c r="K973" t="s">
        <v>41</v>
      </c>
    </row>
    <row r="974" spans="1:11" ht="20" customHeight="1">
      <c r="A974" t="s">
        <v>25</v>
      </c>
      <c r="B974" t="s">
        <v>2955</v>
      </c>
      <c r="C974">
        <v>219.6399993896484</v>
      </c>
      <c r="D974">
        <v>220.0399932861328</v>
      </c>
      <c r="E974">
        <v>217.4100036621094</v>
      </c>
      <c r="F974">
        <v>218.1900024414062</v>
      </c>
      <c r="G974">
        <v>218.1900024414062</v>
      </c>
      <c r="H974">
        <v>5790800</v>
      </c>
      <c r="I974" t="s">
        <v>2956</v>
      </c>
      <c r="J974" t="s">
        <v>2957</v>
      </c>
      <c r="K974" t="s">
        <v>41</v>
      </c>
    </row>
    <row r="975" spans="1:11" ht="20" customHeight="1">
      <c r="A975" t="s">
        <v>25</v>
      </c>
      <c r="B975" t="s">
        <v>2958</v>
      </c>
      <c r="C975">
        <v>218.5700073242188</v>
      </c>
      <c r="D975">
        <v>219.2899932861328</v>
      </c>
      <c r="E975">
        <v>217.2700042724609</v>
      </c>
      <c r="F975">
        <v>218.5599975585938</v>
      </c>
      <c r="G975">
        <v>218.5599975585938</v>
      </c>
      <c r="H975">
        <v>3901500</v>
      </c>
      <c r="I975" t="s">
        <v>2959</v>
      </c>
      <c r="J975" t="s">
        <v>2960</v>
      </c>
      <c r="K975" t="s">
        <v>41</v>
      </c>
    </row>
    <row r="976" spans="1:11" ht="20" customHeight="1">
      <c r="A976" t="s">
        <v>25</v>
      </c>
      <c r="B976" t="s">
        <v>2961</v>
      </c>
      <c r="C976">
        <v>220.1399993896484</v>
      </c>
      <c r="D976">
        <v>220.7100067138672</v>
      </c>
      <c r="E976">
        <v>219.1600036621094</v>
      </c>
      <c r="F976">
        <v>219.3600006103516</v>
      </c>
      <c r="G976">
        <v>219.3600006103516</v>
      </c>
      <c r="H976">
        <v>5556200</v>
      </c>
      <c r="I976" t="s">
        <v>2962</v>
      </c>
      <c r="J976" t="s">
        <v>2963</v>
      </c>
      <c r="K976" t="s">
        <v>41</v>
      </c>
    </row>
    <row r="977" spans="1:11" ht="20" customHeight="1">
      <c r="A977" t="s">
        <v>25</v>
      </c>
      <c r="B977" t="s">
        <v>2964</v>
      </c>
      <c r="C977">
        <v>222.6499938964844</v>
      </c>
      <c r="D977">
        <v>224.1499938964844</v>
      </c>
      <c r="E977">
        <v>221.4799957275391</v>
      </c>
      <c r="F977">
        <v>223.25</v>
      </c>
      <c r="G977">
        <v>223.25</v>
      </c>
      <c r="H977">
        <v>9322000</v>
      </c>
      <c r="I977" t="s">
        <v>2965</v>
      </c>
      <c r="J977" t="s">
        <v>2966</v>
      </c>
      <c r="K977" t="s">
        <v>41</v>
      </c>
    </row>
    <row r="978" spans="1:11" ht="20" customHeight="1">
      <c r="A978" t="s">
        <v>25</v>
      </c>
      <c r="B978" t="s">
        <v>2967</v>
      </c>
      <c r="C978">
        <v>222.0299987792969</v>
      </c>
      <c r="D978">
        <v>223.6199951171875</v>
      </c>
      <c r="E978">
        <v>221.8600006103516</v>
      </c>
      <c r="F978">
        <v>223.1100006103516</v>
      </c>
      <c r="G978">
        <v>223.1100006103516</v>
      </c>
      <c r="H978">
        <v>5179300</v>
      </c>
      <c r="I978" t="s">
        <v>2968</v>
      </c>
      <c r="J978" t="s">
        <v>2969</v>
      </c>
      <c r="K978" t="s">
        <v>41</v>
      </c>
    </row>
    <row r="979" spans="1:11" ht="20" customHeight="1">
      <c r="A979" t="s">
        <v>25</v>
      </c>
      <c r="B979" t="s">
        <v>2970</v>
      </c>
      <c r="C979">
        <v>223.3899993896484</v>
      </c>
      <c r="D979">
        <v>225.5899963378906</v>
      </c>
      <c r="E979">
        <v>223.0200042724609</v>
      </c>
      <c r="F979">
        <v>223.8300018310547</v>
      </c>
      <c r="G979">
        <v>223.8300018310547</v>
      </c>
      <c r="H979">
        <v>5719300</v>
      </c>
      <c r="I979" t="s">
        <v>2971</v>
      </c>
      <c r="J979" t="s">
        <v>2972</v>
      </c>
      <c r="K979" t="s">
        <v>41</v>
      </c>
    </row>
    <row r="980" spans="1:11" ht="20" customHeight="1">
      <c r="A980" t="s">
        <v>25</v>
      </c>
      <c r="B980" t="s">
        <v>2973</v>
      </c>
      <c r="C980">
        <v>225.4499969482422</v>
      </c>
      <c r="D980">
        <v>228.2899932861328</v>
      </c>
      <c r="E980">
        <v>225.3000030517578</v>
      </c>
      <c r="F980">
        <v>228.2899932861328</v>
      </c>
      <c r="G980">
        <v>228.2899932861328</v>
      </c>
      <c r="H980">
        <v>11070700</v>
      </c>
      <c r="I980" t="s">
        <v>2974</v>
      </c>
      <c r="J980" t="s">
        <v>2975</v>
      </c>
      <c r="K980" t="s">
        <v>41</v>
      </c>
    </row>
    <row r="981" spans="1:11" ht="20" customHeight="1">
      <c r="A981" t="s">
        <v>25</v>
      </c>
      <c r="B981" t="s">
        <v>2976</v>
      </c>
      <c r="C981">
        <v>228.7899932861328</v>
      </c>
      <c r="D981">
        <v>229.6499938964844</v>
      </c>
      <c r="E981">
        <v>226.6699981689453</v>
      </c>
      <c r="F981">
        <v>227.2299957275391</v>
      </c>
      <c r="G981">
        <v>227.2299957275391</v>
      </c>
      <c r="H981">
        <v>8620500</v>
      </c>
      <c r="I981" t="s">
        <v>2977</v>
      </c>
      <c r="J981" t="s">
        <v>2978</v>
      </c>
      <c r="K981" t="s">
        <v>41</v>
      </c>
    </row>
    <row r="982" spans="1:11" ht="20" customHeight="1">
      <c r="A982" t="s">
        <v>25</v>
      </c>
      <c r="B982" t="s">
        <v>2979</v>
      </c>
      <c r="C982">
        <v>227.7100067138672</v>
      </c>
      <c r="D982">
        <v>228.3200073242188</v>
      </c>
      <c r="E982">
        <v>225.5700073242188</v>
      </c>
      <c r="F982">
        <v>225.7799987792969</v>
      </c>
      <c r="G982">
        <v>225.7799987792969</v>
      </c>
      <c r="H982">
        <v>5485500</v>
      </c>
      <c r="I982" t="s">
        <v>2980</v>
      </c>
      <c r="J982" t="s">
        <v>2981</v>
      </c>
      <c r="K982" t="s">
        <v>41</v>
      </c>
    </row>
    <row r="983" spans="1:11" ht="20" customHeight="1">
      <c r="A983" t="s">
        <v>25</v>
      </c>
      <c r="B983" t="s">
        <v>2982</v>
      </c>
      <c r="C983">
        <v>221.5200042724609</v>
      </c>
      <c r="D983">
        <v>222.6799926757812</v>
      </c>
      <c r="E983">
        <v>221.4100036621094</v>
      </c>
      <c r="F983">
        <v>221.7299957275391</v>
      </c>
      <c r="G983">
        <v>221.7299957275391</v>
      </c>
      <c r="H983">
        <v>8666000</v>
      </c>
      <c r="I983" t="s">
        <v>2983</v>
      </c>
      <c r="J983" t="s">
        <v>2984</v>
      </c>
      <c r="K983" t="s">
        <v>41</v>
      </c>
    </row>
    <row r="984" spans="1:11" ht="20" customHeight="1">
      <c r="A984" t="s">
        <v>25</v>
      </c>
      <c r="B984" t="s">
        <v>2985</v>
      </c>
      <c r="C984">
        <v>221.5800018310547</v>
      </c>
      <c r="D984">
        <v>221.9199981689453</v>
      </c>
      <c r="E984">
        <v>220.3999938964844</v>
      </c>
      <c r="F984">
        <v>221.8000030517578</v>
      </c>
      <c r="G984">
        <v>221.8000030517578</v>
      </c>
      <c r="H984">
        <v>5334100</v>
      </c>
      <c r="I984" t="s">
        <v>2986</v>
      </c>
      <c r="J984" t="s">
        <v>2987</v>
      </c>
      <c r="K984" t="s">
        <v>41</v>
      </c>
    </row>
    <row r="985" spans="1:11" ht="20" customHeight="1">
      <c r="A985" t="s">
        <v>25</v>
      </c>
      <c r="B985" t="s">
        <v>2988</v>
      </c>
      <c r="C985">
        <v>222.3399963378906</v>
      </c>
      <c r="D985">
        <v>222.75</v>
      </c>
      <c r="E985">
        <v>221.8600006103516</v>
      </c>
      <c r="F985">
        <v>222.5800018310547</v>
      </c>
      <c r="G985">
        <v>222.5800018310547</v>
      </c>
      <c r="H985">
        <v>4435700</v>
      </c>
      <c r="I985" t="s">
        <v>2989</v>
      </c>
      <c r="J985" t="s">
        <v>2990</v>
      </c>
      <c r="K985" t="s">
        <v>41</v>
      </c>
    </row>
    <row r="986" spans="1:11" ht="20" customHeight="1">
      <c r="A986" t="s">
        <v>25</v>
      </c>
      <c r="B986" t="s">
        <v>2991</v>
      </c>
      <c r="C986">
        <v>223.4700012207031</v>
      </c>
      <c r="D986">
        <v>224.8800048828125</v>
      </c>
      <c r="E986">
        <v>221.7400054931641</v>
      </c>
      <c r="F986">
        <v>221.8000030517578</v>
      </c>
      <c r="G986">
        <v>221.8000030517578</v>
      </c>
      <c r="H986">
        <v>6838800</v>
      </c>
      <c r="I986" t="s">
        <v>2992</v>
      </c>
      <c r="J986" t="s">
        <v>2993</v>
      </c>
      <c r="K986" t="s">
        <v>41</v>
      </c>
    </row>
    <row r="987" spans="1:11" ht="20" customHeight="1">
      <c r="A987" t="s">
        <v>25</v>
      </c>
      <c r="B987" t="s">
        <v>2994</v>
      </c>
      <c r="C987">
        <v>219.0200042724609</v>
      </c>
      <c r="D987">
        <v>219.2599945068359</v>
      </c>
      <c r="E987">
        <v>217.5200042724609</v>
      </c>
      <c r="F987">
        <v>218.3300018310547</v>
      </c>
      <c r="G987">
        <v>218.3300018310547</v>
      </c>
      <c r="H987">
        <v>9777100</v>
      </c>
      <c r="I987" t="s">
        <v>2995</v>
      </c>
      <c r="J987" t="s">
        <v>2996</v>
      </c>
      <c r="K987" t="s">
        <v>41</v>
      </c>
    </row>
    <row r="988" spans="1:11" ht="20" customHeight="1">
      <c r="A988" t="s">
        <v>25</v>
      </c>
      <c r="B988" t="s">
        <v>2997</v>
      </c>
      <c r="C988">
        <v>219.9600067138672</v>
      </c>
      <c r="D988">
        <v>221.0399932861328</v>
      </c>
      <c r="E988">
        <v>219.6999969482422</v>
      </c>
      <c r="F988">
        <v>220.6300048828125</v>
      </c>
      <c r="G988">
        <v>220.6300048828125</v>
      </c>
      <c r="H988">
        <v>6328800</v>
      </c>
      <c r="I988" t="s">
        <v>2998</v>
      </c>
      <c r="J988" t="s">
        <v>2999</v>
      </c>
      <c r="K988" t="s">
        <v>41</v>
      </c>
    </row>
    <row r="989" spans="1:11" ht="20" customHeight="1">
      <c r="A989" t="s">
        <v>25</v>
      </c>
      <c r="B989" t="s">
        <v>3000</v>
      </c>
      <c r="C989">
        <v>221.2599945068359</v>
      </c>
      <c r="D989">
        <v>221.5500030517578</v>
      </c>
      <c r="E989">
        <v>219.0500030517578</v>
      </c>
      <c r="F989">
        <v>220.3200073242188</v>
      </c>
      <c r="G989">
        <v>220.3200073242188</v>
      </c>
      <c r="H989">
        <v>4665100</v>
      </c>
      <c r="I989" t="s">
        <v>3001</v>
      </c>
      <c r="J989" t="s">
        <v>3002</v>
      </c>
      <c r="K989" t="s">
        <v>41</v>
      </c>
    </row>
    <row r="990" spans="1:11" ht="20" customHeight="1">
      <c r="A990" t="s">
        <v>25</v>
      </c>
      <c r="B990" t="s">
        <v>3003</v>
      </c>
      <c r="C990">
        <v>221.4100036621094</v>
      </c>
      <c r="D990">
        <v>222.9199981689453</v>
      </c>
      <c r="E990">
        <v>220.3600006103516</v>
      </c>
      <c r="F990">
        <v>222.5200042724609</v>
      </c>
      <c r="G990">
        <v>222.5200042724609</v>
      </c>
      <c r="H990">
        <v>4939500</v>
      </c>
      <c r="I990" t="s">
        <v>3004</v>
      </c>
      <c r="J990" t="s">
        <v>3005</v>
      </c>
      <c r="K990" t="s">
        <v>41</v>
      </c>
    </row>
    <row r="991" spans="1:11" ht="20" customHeight="1">
      <c r="A991" t="s">
        <v>25</v>
      </c>
      <c r="B991" t="s">
        <v>3006</v>
      </c>
      <c r="C991">
        <v>223.7299957275391</v>
      </c>
      <c r="D991">
        <v>226.6000061035156</v>
      </c>
      <c r="E991">
        <v>223.6399993896484</v>
      </c>
      <c r="F991">
        <v>226.5500030517578</v>
      </c>
      <c r="G991">
        <v>226.5500030517578</v>
      </c>
      <c r="H991">
        <v>7316600</v>
      </c>
      <c r="I991" t="s">
        <v>3007</v>
      </c>
      <c r="J991" t="s">
        <v>3008</v>
      </c>
      <c r="K991" t="s">
        <v>41</v>
      </c>
    </row>
    <row r="992" spans="1:11" ht="20" customHeight="1">
      <c r="A992" t="s">
        <v>25</v>
      </c>
      <c r="B992" t="s">
        <v>3009</v>
      </c>
      <c r="C992">
        <v>226.7400054931641</v>
      </c>
      <c r="D992">
        <v>227.5700073242188</v>
      </c>
      <c r="E992">
        <v>225.0500030517578</v>
      </c>
      <c r="F992">
        <v>225.7700042724609</v>
      </c>
      <c r="G992">
        <v>225.7700042724609</v>
      </c>
      <c r="H992">
        <v>7217200</v>
      </c>
      <c r="I992" t="s">
        <v>3010</v>
      </c>
      <c r="J992" t="s">
        <v>3011</v>
      </c>
      <c r="K992" t="s">
        <v>41</v>
      </c>
    </row>
    <row r="993" spans="1:11" ht="20" customHeight="1">
      <c r="A993" t="s">
        <v>25</v>
      </c>
      <c r="B993" t="s">
        <v>3012</v>
      </c>
      <c r="C993">
        <v>227.9499969482422</v>
      </c>
      <c r="D993">
        <v>228.7599945068359</v>
      </c>
      <c r="E993">
        <v>222.8699951171875</v>
      </c>
      <c r="F993">
        <v>225.3399963378906</v>
      </c>
      <c r="G993">
        <v>225.3399963378906</v>
      </c>
      <c r="H993">
        <v>11109400</v>
      </c>
      <c r="I993" t="s">
        <v>3013</v>
      </c>
      <c r="J993" t="s">
        <v>3014</v>
      </c>
      <c r="K993" t="s">
        <v>41</v>
      </c>
    </row>
    <row r="994" spans="1:11" ht="20" customHeight="1">
      <c r="A994" t="s">
        <v>25</v>
      </c>
      <c r="B994" t="s">
        <v>3015</v>
      </c>
      <c r="C994">
        <v>220.5599975585938</v>
      </c>
      <c r="D994">
        <v>223.1000061035156</v>
      </c>
      <c r="E994">
        <v>220.2400054931641</v>
      </c>
      <c r="F994">
        <v>222.4799957275391</v>
      </c>
      <c r="G994">
        <v>222.4799957275391</v>
      </c>
      <c r="H994">
        <v>8939000</v>
      </c>
      <c r="I994" t="s">
        <v>3016</v>
      </c>
      <c r="J994" t="s">
        <v>3017</v>
      </c>
      <c r="K994" t="s">
        <v>41</v>
      </c>
    </row>
    <row r="995" spans="1:11" ht="20" customHeight="1">
      <c r="A995" t="s">
        <v>25</v>
      </c>
      <c r="B995" t="s">
        <v>3018</v>
      </c>
      <c r="C995">
        <v>221.5</v>
      </c>
      <c r="D995">
        <v>222.1399993896484</v>
      </c>
      <c r="E995">
        <v>220.1100006103516</v>
      </c>
      <c r="F995">
        <v>220.6999969482422</v>
      </c>
      <c r="G995">
        <v>220.6999969482422</v>
      </c>
      <c r="H995">
        <v>14362300</v>
      </c>
      <c r="I995" t="s">
        <v>3019</v>
      </c>
      <c r="J995" t="s">
        <v>3020</v>
      </c>
      <c r="K995" t="s">
        <v>41</v>
      </c>
    </row>
    <row r="996" spans="1:11" ht="20" customHeight="1">
      <c r="A996" t="s">
        <v>25</v>
      </c>
      <c r="B996" t="s">
        <v>3021</v>
      </c>
      <c r="C996">
        <v>221.9400024414062</v>
      </c>
      <c r="D996">
        <v>222.3099975585938</v>
      </c>
      <c r="E996">
        <v>220.3500061035156</v>
      </c>
      <c r="F996">
        <v>220.5500030517578</v>
      </c>
      <c r="G996">
        <v>220.5500030517578</v>
      </c>
      <c r="H996">
        <v>5287800</v>
      </c>
      <c r="I996" t="s">
        <v>3022</v>
      </c>
      <c r="J996" t="s">
        <v>3023</v>
      </c>
      <c r="K996" t="s">
        <v>41</v>
      </c>
    </row>
    <row r="997" spans="1:11" ht="20" customHeight="1">
      <c r="A997" t="s">
        <v>25</v>
      </c>
      <c r="B997" t="s">
        <v>3024</v>
      </c>
      <c r="C997">
        <v>222.7299957275391</v>
      </c>
      <c r="D997">
        <v>224.25</v>
      </c>
      <c r="E997">
        <v>222.5200042724609</v>
      </c>
      <c r="F997">
        <v>224.0099945068359</v>
      </c>
      <c r="G997">
        <v>224.0099945068359</v>
      </c>
      <c r="H997">
        <v>6327100</v>
      </c>
      <c r="I997" t="s">
        <v>3025</v>
      </c>
      <c r="J997" t="s">
        <v>3026</v>
      </c>
      <c r="K997" t="s">
        <v>41</v>
      </c>
    </row>
    <row r="998" spans="1:11" ht="20" customHeight="1">
      <c r="A998" t="s">
        <v>25</v>
      </c>
      <c r="B998" t="s">
        <v>3027</v>
      </c>
      <c r="C998">
        <v>224.8200073242188</v>
      </c>
      <c r="D998">
        <v>225.2799987792969</v>
      </c>
      <c r="E998">
        <v>223.8200073242188</v>
      </c>
      <c r="F998">
        <v>224.5599975585938</v>
      </c>
      <c r="G998">
        <v>224.5599975585938</v>
      </c>
      <c r="H998">
        <v>4441000</v>
      </c>
      <c r="I998" t="s">
        <v>3028</v>
      </c>
      <c r="J998" t="s">
        <v>3029</v>
      </c>
      <c r="K998" t="s">
        <v>41</v>
      </c>
    </row>
    <row r="999" spans="1:11" ht="20" customHeight="1">
      <c r="A999" t="s">
        <v>25</v>
      </c>
      <c r="B999" t="s">
        <v>3030</v>
      </c>
      <c r="C999">
        <v>226.1399993896484</v>
      </c>
      <c r="D999">
        <v>228.5399932861328</v>
      </c>
      <c r="E999">
        <v>225.9700012207031</v>
      </c>
      <c r="F999">
        <v>228.4100036621094</v>
      </c>
      <c r="G999">
        <v>228.4100036621094</v>
      </c>
      <c r="H999">
        <v>5561300</v>
      </c>
      <c r="I999" t="s">
        <v>3031</v>
      </c>
      <c r="J999" t="s">
        <v>3032</v>
      </c>
      <c r="K999" t="s">
        <v>41</v>
      </c>
    </row>
    <row r="1000" spans="1:11" ht="20" customHeight="1">
      <c r="A1000" t="s">
        <v>25</v>
      </c>
      <c r="B1000" t="s">
        <v>3033</v>
      </c>
      <c r="C1000">
        <v>228.0700073242188</v>
      </c>
      <c r="D1000">
        <v>228.8699951171875</v>
      </c>
      <c r="E1000">
        <v>227.5899963378906</v>
      </c>
      <c r="F1000">
        <v>228.0599975585938</v>
      </c>
      <c r="G1000">
        <v>228.0599975585938</v>
      </c>
      <c r="H1000">
        <v>6740200</v>
      </c>
      <c r="I1000" t="s">
        <v>3034</v>
      </c>
      <c r="J1000" t="s">
        <v>3035</v>
      </c>
      <c r="K1000" t="s">
        <v>41</v>
      </c>
    </row>
    <row r="1001" spans="1:11" ht="20" customHeight="1">
      <c r="A1001" t="s">
        <v>25</v>
      </c>
      <c r="B1001" t="s">
        <v>3036</v>
      </c>
      <c r="C1001">
        <v>226.5500030517578</v>
      </c>
      <c r="D1001">
        <v>227.4799957275391</v>
      </c>
      <c r="E1001">
        <v>225.3500061035156</v>
      </c>
      <c r="F1001">
        <v>226.1999969482422</v>
      </c>
      <c r="G1001">
        <v>226.1999969482422</v>
      </c>
      <c r="H1001">
        <v>5462500</v>
      </c>
      <c r="I1001" t="s">
        <v>3037</v>
      </c>
      <c r="J1001" t="s">
        <v>3038</v>
      </c>
      <c r="K1001" t="s">
        <v>41</v>
      </c>
    </row>
    <row r="1002" spans="1:11" ht="20" customHeight="1">
      <c r="A1002" t="s">
        <v>25</v>
      </c>
      <c r="B1002" t="s">
        <v>3039</v>
      </c>
      <c r="C1002">
        <v>226.5099945068359</v>
      </c>
      <c r="D1002">
        <v>227.5</v>
      </c>
      <c r="E1002">
        <v>225.1199951171875</v>
      </c>
      <c r="F1002">
        <v>226.9100036621094</v>
      </c>
      <c r="G1002">
        <v>226.9100036621094</v>
      </c>
      <c r="H1002">
        <v>5273300</v>
      </c>
      <c r="I1002" t="s">
        <v>3040</v>
      </c>
      <c r="J1002" t="s">
        <v>3041</v>
      </c>
      <c r="K1002" t="s">
        <v>41</v>
      </c>
    </row>
    <row r="1003" spans="1:11" ht="20" customHeight="1">
      <c r="A1003" t="s">
        <v>25</v>
      </c>
      <c r="B1003" t="s">
        <v>3042</v>
      </c>
      <c r="C1003">
        <v>229.9900054931641</v>
      </c>
      <c r="D1003">
        <v>232.0200042724609</v>
      </c>
      <c r="E1003">
        <v>229.0099945068359</v>
      </c>
      <c r="F1003">
        <v>231.9900054931641</v>
      </c>
      <c r="G1003">
        <v>231.9900054931641</v>
      </c>
      <c r="H1003">
        <v>11924500</v>
      </c>
      <c r="I1003" t="s">
        <v>3043</v>
      </c>
      <c r="J1003" t="s">
        <v>3044</v>
      </c>
      <c r="K1003" t="s">
        <v>41</v>
      </c>
    </row>
    <row r="1004" spans="1:11" ht="20" customHeight="1">
      <c r="A1004" t="s">
        <v>25</v>
      </c>
      <c r="B1004" t="s">
        <v>3045</v>
      </c>
      <c r="C1004">
        <v>230.1499938964844</v>
      </c>
      <c r="D1004">
        <v>231.7799987792969</v>
      </c>
      <c r="E1004">
        <v>229.7400054931641</v>
      </c>
      <c r="F1004">
        <v>231.6100006103516</v>
      </c>
      <c r="G1004">
        <v>231.6100006103516</v>
      </c>
      <c r="H1004">
        <v>5164800</v>
      </c>
      <c r="I1004" t="s">
        <v>3046</v>
      </c>
      <c r="J1004" t="s">
        <v>3047</v>
      </c>
      <c r="K1004" t="s">
        <v>41</v>
      </c>
    </row>
    <row r="1005" spans="1:11" ht="20" customHeight="1">
      <c r="A1005" t="s">
        <v>25</v>
      </c>
      <c r="B1005" t="s">
        <v>3048</v>
      </c>
      <c r="C1005">
        <v>233.7100067138672</v>
      </c>
      <c r="D1005">
        <v>234.0099945068359</v>
      </c>
      <c r="E1005">
        <v>231.1300048828125</v>
      </c>
      <c r="F1005">
        <v>232.4600067138672</v>
      </c>
      <c r="G1005">
        <v>232.4600067138672</v>
      </c>
      <c r="H1005">
        <v>9073600</v>
      </c>
      <c r="I1005" t="s">
        <v>3049</v>
      </c>
      <c r="J1005" t="s">
        <v>3050</v>
      </c>
      <c r="K1005" t="s">
        <v>41</v>
      </c>
    </row>
    <row r="1006" spans="1:11" ht="20" customHeight="1">
      <c r="A1006" t="s">
        <v>25</v>
      </c>
      <c r="B1006" t="s">
        <v>3051</v>
      </c>
      <c r="C1006">
        <v>231.6900024414062</v>
      </c>
      <c r="D1006">
        <v>232.8699951171875</v>
      </c>
      <c r="E1006">
        <v>230.4799957275391</v>
      </c>
      <c r="F1006">
        <v>232.1499938964844</v>
      </c>
      <c r="G1006">
        <v>232.1499938964844</v>
      </c>
      <c r="H1006">
        <v>5337400</v>
      </c>
      <c r="I1006" t="s">
        <v>3052</v>
      </c>
      <c r="J1006" t="s">
        <v>3053</v>
      </c>
      <c r="K1006" t="s">
        <v>41</v>
      </c>
    </row>
    <row r="1007" spans="1:11" ht="20" customHeight="1">
      <c r="A1007" t="s">
        <v>25</v>
      </c>
      <c r="B1007" t="s">
        <v>3054</v>
      </c>
      <c r="C1007">
        <v>230.3500061035156</v>
      </c>
      <c r="D1007">
        <v>230.3800048828125</v>
      </c>
      <c r="E1007">
        <v>228.2599945068359</v>
      </c>
      <c r="F1007">
        <v>229.3699951171875</v>
      </c>
      <c r="G1007">
        <v>229.3699951171875</v>
      </c>
      <c r="H1007">
        <v>5765400</v>
      </c>
      <c r="I1007" t="s">
        <v>3055</v>
      </c>
      <c r="J1007" t="s">
        <v>3056</v>
      </c>
      <c r="K1007" t="s">
        <v>41</v>
      </c>
    </row>
    <row r="1008" spans="1:11" ht="20" customHeight="1">
      <c r="A1008" t="s">
        <v>25</v>
      </c>
      <c r="B1008" t="s">
        <v>3057</v>
      </c>
      <c r="C1008">
        <v>231.0399932861328</v>
      </c>
      <c r="D1008">
        <v>232.7299957275391</v>
      </c>
      <c r="E1008">
        <v>230.5200042724609</v>
      </c>
      <c r="F1008">
        <v>232.0200042724609</v>
      </c>
      <c r="G1008">
        <v>232.0200042724609</v>
      </c>
      <c r="H1008">
        <v>5418200</v>
      </c>
      <c r="I1008" t="s">
        <v>3058</v>
      </c>
      <c r="J1008" t="s">
        <v>3059</v>
      </c>
      <c r="K1008" t="s">
        <v>41</v>
      </c>
    </row>
    <row r="1009" spans="1:11" ht="20" customHeight="1">
      <c r="A1009" t="s">
        <v>25</v>
      </c>
      <c r="B1009" t="s">
        <v>3060</v>
      </c>
      <c r="C1009">
        <v>233.4499969482422</v>
      </c>
      <c r="D1009">
        <v>233.5</v>
      </c>
      <c r="E1009">
        <v>232.0599975585938</v>
      </c>
      <c r="F1009">
        <v>232.7599945068359</v>
      </c>
      <c r="G1009">
        <v>232.7599945068359</v>
      </c>
      <c r="H1009">
        <v>3151400</v>
      </c>
      <c r="I1009" t="s">
        <v>3061</v>
      </c>
      <c r="J1009" t="s">
        <v>3062</v>
      </c>
      <c r="K1009" t="s">
        <v>41</v>
      </c>
    </row>
    <row r="1010" spans="1:11" ht="20" customHeight="1">
      <c r="A1010" t="s">
        <v>25</v>
      </c>
      <c r="B1010" t="s">
        <v>3063</v>
      </c>
      <c r="C1010">
        <v>231.6900024414062</v>
      </c>
      <c r="D1010">
        <v>233.4700012207031</v>
      </c>
      <c r="E1010">
        <v>231.5700073242188</v>
      </c>
      <c r="F1010">
        <v>233.3899993896484</v>
      </c>
      <c r="G1010">
        <v>233.3899993896484</v>
      </c>
      <c r="H1010">
        <v>4435600</v>
      </c>
      <c r="I1010" t="s">
        <v>3064</v>
      </c>
      <c r="J1010" t="s">
        <v>3065</v>
      </c>
      <c r="K1010" t="s">
        <v>41</v>
      </c>
    </row>
    <row r="1011" spans="1:11" ht="20" customHeight="1">
      <c r="A1011" t="s">
        <v>25</v>
      </c>
      <c r="B1011" t="s">
        <v>3066</v>
      </c>
      <c r="C1011">
        <v>232</v>
      </c>
      <c r="D1011">
        <v>232.0200042724609</v>
      </c>
      <c r="E1011">
        <v>230.7299957275391</v>
      </c>
      <c r="F1011">
        <v>231.75</v>
      </c>
      <c r="G1011">
        <v>231.75</v>
      </c>
      <c r="H1011">
        <v>4961500</v>
      </c>
      <c r="I1011" t="s">
        <v>3067</v>
      </c>
      <c r="J1011" t="s">
        <v>3068</v>
      </c>
      <c r="K1011" t="s">
        <v>41</v>
      </c>
    </row>
    <row r="1012" spans="1:11" ht="20" customHeight="1">
      <c r="A1012" t="s">
        <v>25</v>
      </c>
      <c r="B1012" t="s">
        <v>3069</v>
      </c>
      <c r="C1012">
        <v>231.9499969482422</v>
      </c>
      <c r="D1012">
        <v>233.6100006103516</v>
      </c>
      <c r="E1012">
        <v>231.9199981689453</v>
      </c>
      <c r="F1012">
        <v>232.9499969482422</v>
      </c>
      <c r="G1012">
        <v>232.9499969482422</v>
      </c>
      <c r="H1012">
        <v>5524200</v>
      </c>
      <c r="I1012" t="s">
        <v>3070</v>
      </c>
      <c r="J1012" t="s">
        <v>3071</v>
      </c>
      <c r="K1012" t="s">
        <v>41</v>
      </c>
    </row>
    <row r="1013" spans="1:11" ht="20" customHeight="1">
      <c r="A1013" t="s">
        <v>25</v>
      </c>
      <c r="B1013" t="s">
        <v>3072</v>
      </c>
      <c r="C1013">
        <v>232.5299987792969</v>
      </c>
      <c r="D1013">
        <v>232.8600006103516</v>
      </c>
      <c r="E1013">
        <v>230.5500030517578</v>
      </c>
      <c r="F1013">
        <v>231.2899932861328</v>
      </c>
      <c r="G1013">
        <v>231.2899932861328</v>
      </c>
      <c r="H1013">
        <v>5743000</v>
      </c>
      <c r="I1013" t="s">
        <v>3073</v>
      </c>
      <c r="J1013" t="s">
        <v>3074</v>
      </c>
      <c r="K1013" t="s">
        <v>41</v>
      </c>
    </row>
    <row r="1014" spans="1:11" ht="20" customHeight="1">
      <c r="A1014" t="s">
        <v>25</v>
      </c>
      <c r="B1014" t="s">
        <v>3075</v>
      </c>
      <c r="C1014">
        <v>230.3800048828125</v>
      </c>
      <c r="D1014">
        <v>230.5399932861328</v>
      </c>
      <c r="E1014">
        <v>228.5200042724609</v>
      </c>
      <c r="F1014">
        <v>230.2899932861328</v>
      </c>
      <c r="G1014">
        <v>230.2899932861328</v>
      </c>
      <c r="H1014">
        <v>6417900</v>
      </c>
      <c r="I1014" t="s">
        <v>3076</v>
      </c>
      <c r="J1014" t="s">
        <v>3077</v>
      </c>
      <c r="K1014" t="s">
        <v>41</v>
      </c>
    </row>
    <row r="1015" spans="1:11" ht="20" customHeight="1">
      <c r="A1015" t="s">
        <v>25</v>
      </c>
      <c r="B1015" t="s">
        <v>3078</v>
      </c>
      <c r="C1015">
        <v>229.7899932861328</v>
      </c>
      <c r="D1015">
        <v>231.0599975585938</v>
      </c>
      <c r="E1015">
        <v>229.3800048828125</v>
      </c>
      <c r="F1015">
        <v>230.4299926757812</v>
      </c>
      <c r="G1015">
        <v>230.4299926757812</v>
      </c>
      <c r="H1015">
        <v>4696000</v>
      </c>
      <c r="I1015" t="s">
        <v>3079</v>
      </c>
      <c r="J1015" t="s">
        <v>3080</v>
      </c>
      <c r="K1015" t="s">
        <v>41</v>
      </c>
    </row>
    <row r="1016" spans="1:11" ht="20" customHeight="1">
      <c r="A1016" t="s">
        <v>25</v>
      </c>
      <c r="B1016" t="s">
        <v>3081</v>
      </c>
      <c r="C1016">
        <v>232.7200012207031</v>
      </c>
      <c r="D1016">
        <v>232.8899993896484</v>
      </c>
      <c r="E1016">
        <v>231.3300018310547</v>
      </c>
      <c r="F1016">
        <v>232.3500061035156</v>
      </c>
      <c r="G1016">
        <v>232.3500061035156</v>
      </c>
      <c r="H1016">
        <v>4838100</v>
      </c>
      <c r="I1016" t="s">
        <v>3082</v>
      </c>
      <c r="J1016" t="s">
        <v>3083</v>
      </c>
      <c r="K1016" t="s">
        <v>41</v>
      </c>
    </row>
    <row r="1017" spans="1:11" ht="20" customHeight="1">
      <c r="A1017" t="s">
        <v>25</v>
      </c>
      <c r="B1017" t="s">
        <v>3084</v>
      </c>
      <c r="C1017">
        <v>231.8300018310547</v>
      </c>
      <c r="D1017">
        <v>232.7599945068359</v>
      </c>
      <c r="E1017">
        <v>229.6199951171875</v>
      </c>
      <c r="F1017">
        <v>230.6300048828125</v>
      </c>
      <c r="G1017">
        <v>230.6300048828125</v>
      </c>
      <c r="H1017">
        <v>6315800</v>
      </c>
      <c r="I1017" t="s">
        <v>3085</v>
      </c>
      <c r="J1017" t="s">
        <v>3086</v>
      </c>
      <c r="K1017" t="s">
        <v>41</v>
      </c>
    </row>
    <row r="1018" spans="1:11" ht="20" customHeight="1">
      <c r="A1018" t="s">
        <v>25</v>
      </c>
      <c r="B1018" t="s">
        <v>3087</v>
      </c>
      <c r="C1018">
        <v>231.2599945068359</v>
      </c>
      <c r="D1018">
        <v>231.6199951171875</v>
      </c>
      <c r="E1018">
        <v>230.3899993896484</v>
      </c>
      <c r="F1018">
        <v>231.6000061035156</v>
      </c>
      <c r="G1018">
        <v>231.6000061035156</v>
      </c>
      <c r="H1018">
        <v>3548800</v>
      </c>
      <c r="I1018" t="s">
        <v>3088</v>
      </c>
      <c r="J1018" t="s">
        <v>3089</v>
      </c>
      <c r="K1018" t="s">
        <v>41</v>
      </c>
    </row>
    <row r="1019" spans="1:11" ht="20" customHeight="1">
      <c r="A1019" t="s">
        <v>25</v>
      </c>
      <c r="B1019" t="s">
        <v>3090</v>
      </c>
      <c r="C1019">
        <v>232.3899993896484</v>
      </c>
      <c r="D1019">
        <v>232.7400054931641</v>
      </c>
      <c r="E1019">
        <v>231.1199951171875</v>
      </c>
      <c r="F1019">
        <v>232.6199951171875</v>
      </c>
      <c r="G1019">
        <v>232.6199951171875</v>
      </c>
      <c r="H1019">
        <v>4378300</v>
      </c>
      <c r="I1019" t="s">
        <v>3091</v>
      </c>
      <c r="J1019" t="s">
        <v>3092</v>
      </c>
      <c r="K1019" t="s">
        <v>41</v>
      </c>
    </row>
    <row r="1020" spans="1:11" ht="20" customHeight="1">
      <c r="A1020" t="s">
        <v>25</v>
      </c>
      <c r="B1020" t="s">
        <v>3093</v>
      </c>
      <c r="C1020">
        <v>231.7200012207031</v>
      </c>
      <c r="D1020">
        <v>232.8699951171875</v>
      </c>
      <c r="E1020">
        <v>231.0899963378906</v>
      </c>
      <c r="F1020">
        <v>232.25</v>
      </c>
      <c r="G1020">
        <v>232.25</v>
      </c>
      <c r="H1020">
        <v>4637300</v>
      </c>
      <c r="I1020" t="s">
        <v>3094</v>
      </c>
      <c r="J1020" t="s">
        <v>3095</v>
      </c>
      <c r="K1020" t="s">
        <v>41</v>
      </c>
    </row>
    <row r="1021" spans="1:11" ht="20" customHeight="1">
      <c r="A1021" t="s">
        <v>25</v>
      </c>
      <c r="B1021" t="s">
        <v>3096</v>
      </c>
      <c r="C1021">
        <v>234.6300048828125</v>
      </c>
      <c r="D1021">
        <v>236.4499969482422</v>
      </c>
      <c r="E1021">
        <v>234.4199981689453</v>
      </c>
      <c r="F1021">
        <v>236.3300018310547</v>
      </c>
      <c r="G1021">
        <v>236.3300018310547</v>
      </c>
      <c r="H1021">
        <v>9930200</v>
      </c>
      <c r="I1021" t="s">
        <v>3097</v>
      </c>
      <c r="J1021" t="s">
        <v>3098</v>
      </c>
      <c r="K1021" t="s">
        <v>41</v>
      </c>
    </row>
    <row r="1022" spans="1:11" ht="20" customHeight="1">
      <c r="A1022" t="s">
        <v>25</v>
      </c>
      <c r="B1022" t="s">
        <v>3099</v>
      </c>
      <c r="C1022">
        <v>238.1300048828125</v>
      </c>
      <c r="D1022">
        <v>238.9799957275391</v>
      </c>
      <c r="E1022">
        <v>237.7599945068359</v>
      </c>
      <c r="F1022">
        <v>238.6799926757812</v>
      </c>
      <c r="G1022">
        <v>238.6799926757812</v>
      </c>
      <c r="H1022">
        <v>7455100</v>
      </c>
      <c r="I1022" t="s">
        <v>3100</v>
      </c>
      <c r="J1022" t="s">
        <v>3101</v>
      </c>
      <c r="K1022" t="s">
        <v>41</v>
      </c>
    </row>
    <row r="1023" spans="1:11" ht="20" customHeight="1">
      <c r="A1023" t="s">
        <v>25</v>
      </c>
      <c r="B1023" t="s">
        <v>3102</v>
      </c>
      <c r="C1023">
        <v>238.7299957275391</v>
      </c>
      <c r="D1023">
        <v>239.2799987792969</v>
      </c>
      <c r="E1023">
        <v>238.0500030517578</v>
      </c>
      <c r="F1023">
        <v>238.6600036621094</v>
      </c>
      <c r="G1023">
        <v>238.6600036621094</v>
      </c>
      <c r="H1023">
        <v>4713500</v>
      </c>
      <c r="I1023" t="s">
        <v>3103</v>
      </c>
      <c r="J1023" t="s">
        <v>3104</v>
      </c>
      <c r="K1023" t="s">
        <v>41</v>
      </c>
    </row>
    <row r="1024" spans="1:11" ht="20" customHeight="1">
      <c r="A1024" t="s">
        <v>25</v>
      </c>
      <c r="B1024" t="s">
        <v>3105</v>
      </c>
      <c r="C1024">
        <v>238.0800018310547</v>
      </c>
      <c r="D1024">
        <v>238.6000061035156</v>
      </c>
      <c r="E1024">
        <v>236.6100006103516</v>
      </c>
      <c r="F1024">
        <v>237.3399963378906</v>
      </c>
      <c r="G1024">
        <v>237.3399963378906</v>
      </c>
      <c r="H1024">
        <v>5257100</v>
      </c>
      <c r="I1024" t="s">
        <v>3106</v>
      </c>
      <c r="J1024" t="s">
        <v>3107</v>
      </c>
      <c r="K1024" t="s">
        <v>41</v>
      </c>
    </row>
    <row r="1025" spans="1:11" ht="20" customHeight="1">
      <c r="A1025" t="s">
        <v>25</v>
      </c>
      <c r="B1025" t="s">
        <v>3108</v>
      </c>
      <c r="C1025">
        <v>238.1900024414062</v>
      </c>
      <c r="D1025">
        <v>240.2899932861328</v>
      </c>
      <c r="E1025">
        <v>235.3000030517578</v>
      </c>
      <c r="F1025">
        <v>235.5099945068359</v>
      </c>
      <c r="G1025">
        <v>235.5099945068359</v>
      </c>
      <c r="H1025">
        <v>11081100</v>
      </c>
      <c r="I1025" t="s">
        <v>3109</v>
      </c>
      <c r="J1025" t="s">
        <v>3110</v>
      </c>
      <c r="K1025" t="s">
        <v>41</v>
      </c>
    </row>
    <row r="1026" spans="1:11" ht="20" customHeight="1">
      <c r="A1026" t="s">
        <v>25</v>
      </c>
      <c r="B1026" t="s">
        <v>3111</v>
      </c>
      <c r="C1026">
        <v>238.2400054931641</v>
      </c>
      <c r="D1026">
        <v>239.5200042724609</v>
      </c>
      <c r="E1026">
        <v>237.3899993896484</v>
      </c>
      <c r="F1026">
        <v>239.1699981689453</v>
      </c>
      <c r="G1026">
        <v>239.1699981689453</v>
      </c>
      <c r="H1026">
        <v>6108200</v>
      </c>
      <c r="I1026" t="s">
        <v>3112</v>
      </c>
      <c r="J1026" t="s">
        <v>3113</v>
      </c>
      <c r="K1026" t="s">
        <v>41</v>
      </c>
    </row>
    <row r="1027" spans="1:11" ht="20" customHeight="1">
      <c r="A1027" t="s">
        <v>25</v>
      </c>
      <c r="B1027" t="s">
        <v>3114</v>
      </c>
      <c r="C1027">
        <v>241.1100006103516</v>
      </c>
      <c r="D1027">
        <v>242.6300048828125</v>
      </c>
      <c r="E1027">
        <v>240.4700012207031</v>
      </c>
      <c r="F1027">
        <v>242.2100067138672</v>
      </c>
      <c r="G1027">
        <v>242.2100067138672</v>
      </c>
      <c r="H1027">
        <v>7737400</v>
      </c>
      <c r="I1027" t="s">
        <v>3115</v>
      </c>
      <c r="J1027" t="s">
        <v>3116</v>
      </c>
      <c r="K1027" t="s">
        <v>41</v>
      </c>
    </row>
    <row r="1028" spans="1:11" ht="20" customHeight="1">
      <c r="A1028" t="s">
        <v>25</v>
      </c>
      <c r="B1028" t="s">
        <v>3117</v>
      </c>
      <c r="C1028">
        <v>242.9700012207031</v>
      </c>
      <c r="D1028">
        <v>243.4600067138672</v>
      </c>
      <c r="E1028">
        <v>242.5899963378906</v>
      </c>
      <c r="F1028">
        <v>242.6799926757812</v>
      </c>
      <c r="G1028">
        <v>242.6799926757812</v>
      </c>
      <c r="H1028">
        <v>5426200</v>
      </c>
      <c r="I1028" t="s">
        <v>3118</v>
      </c>
      <c r="J1028" t="s">
        <v>3119</v>
      </c>
      <c r="K1028" t="s">
        <v>41</v>
      </c>
    </row>
    <row r="1029" spans="1:11" ht="20" customHeight="1">
      <c r="A1029" t="s">
        <v>25</v>
      </c>
      <c r="B1029" t="s">
        <v>3120</v>
      </c>
      <c r="C1029">
        <v>243.3899993896484</v>
      </c>
      <c r="D1029">
        <v>246.1900024414062</v>
      </c>
      <c r="E1029">
        <v>243.1499938964844</v>
      </c>
      <c r="F1029">
        <v>246.0700073242188</v>
      </c>
      <c r="G1029">
        <v>246.0700073242188</v>
      </c>
      <c r="H1029">
        <v>8386300</v>
      </c>
      <c r="I1029" t="s">
        <v>3121</v>
      </c>
      <c r="J1029" t="s">
        <v>3122</v>
      </c>
      <c r="K1029" t="s">
        <v>41</v>
      </c>
    </row>
    <row r="1030" spans="1:11" ht="20" customHeight="1">
      <c r="A1030" t="s">
        <v>25</v>
      </c>
      <c r="B1030" t="s">
        <v>3123</v>
      </c>
      <c r="C1030">
        <v>246.1900024414062</v>
      </c>
      <c r="D1030">
        <v>246.4700012207031</v>
      </c>
      <c r="E1030">
        <v>244.7899932861328</v>
      </c>
      <c r="F1030">
        <v>245.7299957275391</v>
      </c>
      <c r="G1030">
        <v>245.7299957275391</v>
      </c>
      <c r="H1030">
        <v>7393400</v>
      </c>
      <c r="I1030" t="s">
        <v>3124</v>
      </c>
      <c r="J1030" t="s">
        <v>3125</v>
      </c>
      <c r="K1030" t="s">
        <v>41</v>
      </c>
    </row>
    <row r="1031" spans="1:11" ht="20" customHeight="1">
      <c r="A1031" t="s">
        <v>25</v>
      </c>
      <c r="B1031" t="s">
        <v>3126</v>
      </c>
      <c r="C1031">
        <v>246.4400024414062</v>
      </c>
      <c r="D1031">
        <v>247.3699951171875</v>
      </c>
      <c r="E1031">
        <v>245.1900024414062</v>
      </c>
      <c r="F1031">
        <v>246.9799957275391</v>
      </c>
      <c r="G1031">
        <v>246.9799957275391</v>
      </c>
      <c r="H1031">
        <v>7041100</v>
      </c>
      <c r="I1031" t="s">
        <v>3127</v>
      </c>
      <c r="J1031" t="s">
        <v>3128</v>
      </c>
      <c r="K1031" t="s">
        <v>41</v>
      </c>
    </row>
    <row r="1032" spans="1:11" ht="20" customHeight="1">
      <c r="A1032" t="s">
        <v>25</v>
      </c>
      <c r="B1032" t="s">
        <v>3129</v>
      </c>
      <c r="C1032">
        <v>246.3099975585938</v>
      </c>
      <c r="D1032">
        <v>246.75</v>
      </c>
      <c r="E1032">
        <v>244.1900024414062</v>
      </c>
      <c r="F1032">
        <v>245.0200042724609</v>
      </c>
      <c r="G1032">
        <v>245.0200042724609</v>
      </c>
      <c r="H1032">
        <v>8329600</v>
      </c>
      <c r="I1032" t="s">
        <v>3130</v>
      </c>
      <c r="J1032" t="s">
        <v>3131</v>
      </c>
      <c r="K1032" t="s">
        <v>41</v>
      </c>
    </row>
    <row r="1033" spans="1:11" ht="20" customHeight="1">
      <c r="A1033" t="s">
        <v>25</v>
      </c>
      <c r="B1033" t="s">
        <v>3132</v>
      </c>
      <c r="C1033">
        <v>243.9700012207031</v>
      </c>
      <c r="D1033">
        <v>244.0800018310547</v>
      </c>
      <c r="E1033">
        <v>242.5</v>
      </c>
      <c r="F1033">
        <v>243.0599975585938</v>
      </c>
      <c r="G1033">
        <v>243.0599975585938</v>
      </c>
      <c r="H1033">
        <v>6916700</v>
      </c>
      <c r="I1033" t="s">
        <v>3133</v>
      </c>
      <c r="J1033" t="s">
        <v>3134</v>
      </c>
      <c r="K1033" t="s">
        <v>41</v>
      </c>
    </row>
    <row r="1034" spans="1:11" ht="20" customHeight="1">
      <c r="A1034" t="s">
        <v>25</v>
      </c>
      <c r="B1034" t="s">
        <v>3135</v>
      </c>
      <c r="C1034">
        <v>245.1999969482422</v>
      </c>
      <c r="D1034">
        <v>246.9799957275391</v>
      </c>
      <c r="E1034">
        <v>245.0599975585938</v>
      </c>
      <c r="F1034">
        <v>245.6100006103516</v>
      </c>
      <c r="G1034">
        <v>245.6100006103516</v>
      </c>
      <c r="H1034">
        <v>10605500</v>
      </c>
      <c r="I1034" t="s">
        <v>3136</v>
      </c>
      <c r="J1034" t="s">
        <v>3137</v>
      </c>
      <c r="K1034" t="s">
        <v>41</v>
      </c>
    </row>
    <row r="1035" spans="1:11" ht="20" customHeight="1">
      <c r="A1035" t="s">
        <v>25</v>
      </c>
      <c r="B1035" t="s">
        <v>3138</v>
      </c>
      <c r="C1035">
        <v>245.6100006103516</v>
      </c>
      <c r="D1035">
        <v>246.0700073242188</v>
      </c>
      <c r="E1035">
        <v>243.9900054931641</v>
      </c>
      <c r="F1035">
        <v>245.6600036621094</v>
      </c>
      <c r="G1035">
        <v>245.6600036621094</v>
      </c>
      <c r="H1035">
        <v>6798800</v>
      </c>
      <c r="I1035" t="s">
        <v>3139</v>
      </c>
      <c r="J1035" t="s">
        <v>3140</v>
      </c>
      <c r="K1035" t="s">
        <v>41</v>
      </c>
    </row>
    <row r="1036" spans="1:11" ht="20" customHeight="1">
      <c r="A1036" t="s">
        <v>25</v>
      </c>
      <c r="B1036" t="s">
        <v>3141</v>
      </c>
      <c r="C1036">
        <v>244.7200012207031</v>
      </c>
      <c r="D1036">
        <v>245.9100036621094</v>
      </c>
      <c r="E1036">
        <v>243.6900024414062</v>
      </c>
      <c r="F1036">
        <v>245.4900054931641</v>
      </c>
      <c r="G1036">
        <v>245.4900054931641</v>
      </c>
      <c r="H1036">
        <v>5674500</v>
      </c>
      <c r="I1036" t="s">
        <v>3142</v>
      </c>
      <c r="J1036" t="s">
        <v>3143</v>
      </c>
      <c r="K1036" t="s">
        <v>41</v>
      </c>
    </row>
    <row r="1037" spans="1:11" ht="20" customHeight="1">
      <c r="A1037" t="s">
        <v>25</v>
      </c>
      <c r="B1037" t="s">
        <v>3144</v>
      </c>
      <c r="C1037">
        <v>245</v>
      </c>
      <c r="D1037">
        <v>246.6900024414062</v>
      </c>
      <c r="E1037">
        <v>244.0500030517578</v>
      </c>
      <c r="F1037">
        <v>245</v>
      </c>
      <c r="G1037">
        <v>245</v>
      </c>
      <c r="H1037">
        <v>5947800</v>
      </c>
      <c r="I1037" t="s">
        <v>3145</v>
      </c>
      <c r="J1037" t="s">
        <v>3146</v>
      </c>
      <c r="K1037" t="s">
        <v>41</v>
      </c>
    </row>
    <row r="1038" spans="1:11" ht="20" customHeight="1">
      <c r="A1038" t="s">
        <v>25</v>
      </c>
      <c r="B1038" t="s">
        <v>3147</v>
      </c>
      <c r="C1038">
        <v>244.5800018310547</v>
      </c>
      <c r="D1038">
        <v>244.8200073242188</v>
      </c>
      <c r="E1038">
        <v>243.8099975585938</v>
      </c>
      <c r="F1038">
        <v>244.1699981689453</v>
      </c>
      <c r="G1038">
        <v>244.1699981689453</v>
      </c>
      <c r="H1038">
        <v>3849000</v>
      </c>
      <c r="I1038" t="s">
        <v>3148</v>
      </c>
      <c r="J1038" t="s">
        <v>3149</v>
      </c>
      <c r="K1038" t="s">
        <v>41</v>
      </c>
    </row>
    <row r="1039" spans="1:11" ht="20" customHeight="1">
      <c r="A1039" t="s">
        <v>25</v>
      </c>
      <c r="B1039" t="s">
        <v>3150</v>
      </c>
      <c r="C1039">
        <v>243.7899932861328</v>
      </c>
      <c r="D1039">
        <v>244.0399932861328</v>
      </c>
      <c r="E1039">
        <v>240.6300048828125</v>
      </c>
      <c r="F1039">
        <v>242.3699951171875</v>
      </c>
      <c r="G1039">
        <v>242.3699951171875</v>
      </c>
      <c r="H1039">
        <v>7669800</v>
      </c>
      <c r="I1039" t="s">
        <v>3151</v>
      </c>
      <c r="J1039" t="s">
        <v>3152</v>
      </c>
      <c r="K1039" t="s">
        <v>41</v>
      </c>
    </row>
    <row r="1040" spans="1:11" ht="20" customHeight="1">
      <c r="A1040" t="s">
        <v>25</v>
      </c>
      <c r="B1040" t="s">
        <v>3153</v>
      </c>
      <c r="C1040">
        <v>241.1600036621094</v>
      </c>
      <c r="D1040">
        <v>241.8399963378906</v>
      </c>
      <c r="E1040">
        <v>240.6399993896484</v>
      </c>
      <c r="F1040">
        <v>241.0500030517578</v>
      </c>
      <c r="G1040">
        <v>241.0500030517578</v>
      </c>
      <c r="H1040">
        <v>4120500</v>
      </c>
      <c r="I1040" t="s">
        <v>3154</v>
      </c>
      <c r="J1040" t="s">
        <v>3155</v>
      </c>
      <c r="K1040" t="s">
        <v>41</v>
      </c>
    </row>
    <row r="1041" spans="1:11" ht="20" customHeight="1">
      <c r="A1041" t="s">
        <v>25</v>
      </c>
      <c r="B1041" t="s">
        <v>3156</v>
      </c>
      <c r="C1041">
        <v>241.7700042724609</v>
      </c>
      <c r="D1041">
        <v>243.0200042724609</v>
      </c>
      <c r="E1041">
        <v>241.5099945068359</v>
      </c>
      <c r="F1041">
        <v>242.8200073242188</v>
      </c>
      <c r="G1041">
        <v>242.8200073242188</v>
      </c>
      <c r="H1041">
        <v>4792700</v>
      </c>
      <c r="I1041" t="s">
        <v>3157</v>
      </c>
      <c r="J1041" t="s">
        <v>3158</v>
      </c>
      <c r="K1041" t="s">
        <v>41</v>
      </c>
    </row>
    <row r="1042" spans="1:11" ht="20" customHeight="1">
      <c r="A1042" t="s">
        <v>25</v>
      </c>
      <c r="B1042" t="s">
        <v>3159</v>
      </c>
      <c r="C1042">
        <v>244.5</v>
      </c>
      <c r="D1042">
        <v>245.9199981689453</v>
      </c>
      <c r="E1042">
        <v>244.4700012207031</v>
      </c>
      <c r="F1042">
        <v>245.4700012207031</v>
      </c>
      <c r="G1042">
        <v>245.4700012207031</v>
      </c>
      <c r="H1042">
        <v>5789500</v>
      </c>
      <c r="I1042" t="s">
        <v>3160</v>
      </c>
      <c r="J1042" t="s">
        <v>3161</v>
      </c>
      <c r="K1042" t="s">
        <v>41</v>
      </c>
    </row>
    <row r="1043" spans="1:11" ht="20" customHeight="1">
      <c r="A1043" t="s">
        <v>25</v>
      </c>
      <c r="B1043" t="s">
        <v>3162</v>
      </c>
      <c r="C1043">
        <v>245.1600036621094</v>
      </c>
      <c r="D1043">
        <v>245.8600006103516</v>
      </c>
      <c r="E1043">
        <v>244.2599945068359</v>
      </c>
      <c r="F1043">
        <v>245.0700073242188</v>
      </c>
      <c r="G1043">
        <v>245.0700073242188</v>
      </c>
      <c r="H1043">
        <v>3922900</v>
      </c>
      <c r="I1043" t="s">
        <v>3163</v>
      </c>
      <c r="J1043" t="s">
        <v>3164</v>
      </c>
      <c r="K1043" t="s">
        <v>41</v>
      </c>
    </row>
    <row r="1044" spans="1:11" ht="20" customHeight="1">
      <c r="A1044" t="s">
        <v>25</v>
      </c>
      <c r="B1044" t="s">
        <v>3165</v>
      </c>
      <c r="C1044">
        <v>244.9900054931641</v>
      </c>
      <c r="D1044">
        <v>246.5500030517578</v>
      </c>
      <c r="E1044">
        <v>244.5299987792969</v>
      </c>
      <c r="F1044">
        <v>245.9199981689453</v>
      </c>
      <c r="G1044">
        <v>245.9199981689453</v>
      </c>
      <c r="H1044">
        <v>5640800</v>
      </c>
      <c r="I1044" t="s">
        <v>3166</v>
      </c>
      <c r="J1044" t="s">
        <v>3167</v>
      </c>
      <c r="K1044" t="s">
        <v>41</v>
      </c>
    </row>
    <row r="1045" spans="1:11" ht="20" customHeight="1">
      <c r="A1045" t="s">
        <v>25</v>
      </c>
      <c r="B1045" t="s">
        <v>3168</v>
      </c>
      <c r="C1045">
        <v>247.6199951171875</v>
      </c>
      <c r="D1045">
        <v>248.0899963378906</v>
      </c>
      <c r="E1045">
        <v>246.3600006103516</v>
      </c>
      <c r="F1045">
        <v>247.1499938964844</v>
      </c>
      <c r="G1045">
        <v>247.1499938964844</v>
      </c>
      <c r="H1045">
        <v>5431900</v>
      </c>
      <c r="I1045" t="s">
        <v>3169</v>
      </c>
      <c r="J1045" t="s">
        <v>3170</v>
      </c>
      <c r="K1045" t="s">
        <v>41</v>
      </c>
    </row>
    <row r="1046" spans="1:11" ht="20" customHeight="1">
      <c r="A1046" t="s">
        <v>25</v>
      </c>
      <c r="B1046" t="s">
        <v>3171</v>
      </c>
      <c r="C1046">
        <v>247.75</v>
      </c>
      <c r="D1046">
        <v>249.0599975585938</v>
      </c>
      <c r="E1046">
        <v>247.6199951171875</v>
      </c>
      <c r="F1046">
        <v>248.6300048828125</v>
      </c>
      <c r="G1046">
        <v>248.6300048828125</v>
      </c>
      <c r="H1046">
        <v>5176200</v>
      </c>
      <c r="I1046" t="s">
        <v>3172</v>
      </c>
      <c r="J1046" t="s">
        <v>3173</v>
      </c>
      <c r="K1046" t="s">
        <v>41</v>
      </c>
    </row>
    <row r="1047" spans="1:11" ht="20" customHeight="1">
      <c r="A1047" t="s">
        <v>25</v>
      </c>
      <c r="B1047" t="s">
        <v>3174</v>
      </c>
      <c r="C1047">
        <v>250</v>
      </c>
      <c r="D1047">
        <v>251.3699951171875</v>
      </c>
      <c r="E1047">
        <v>249.8999938964844</v>
      </c>
      <c r="F1047">
        <v>251.2700042724609</v>
      </c>
      <c r="G1047">
        <v>251.2700042724609</v>
      </c>
      <c r="H1047">
        <v>7833600</v>
      </c>
      <c r="I1047" t="s">
        <v>3175</v>
      </c>
      <c r="J1047" t="s">
        <v>3176</v>
      </c>
      <c r="K1047" t="s">
        <v>41</v>
      </c>
    </row>
    <row r="1048" spans="1:11" ht="20" customHeight="1">
      <c r="A1048" t="s">
        <v>25</v>
      </c>
      <c r="B1048" t="s">
        <v>3177</v>
      </c>
      <c r="C1048">
        <v>252.7400054931641</v>
      </c>
      <c r="D1048">
        <v>253.1399993896484</v>
      </c>
      <c r="E1048">
        <v>250.7299957275391</v>
      </c>
      <c r="F1048">
        <v>251.2200012207031</v>
      </c>
      <c r="G1048">
        <v>251.2200012207031</v>
      </c>
      <c r="H1048">
        <v>9258600</v>
      </c>
      <c r="I1048" t="s">
        <v>3178</v>
      </c>
      <c r="J1048" t="s">
        <v>3179</v>
      </c>
      <c r="K1048" t="s">
        <v>41</v>
      </c>
    </row>
    <row r="1049" spans="1:11" ht="20" customHeight="1">
      <c r="A1049" t="s">
        <v>25</v>
      </c>
      <c r="B1049" t="s">
        <v>3180</v>
      </c>
      <c r="C1049">
        <v>253.0599975585938</v>
      </c>
      <c r="D1049">
        <v>253.9400024414062</v>
      </c>
      <c r="E1049">
        <v>252.5200042724609</v>
      </c>
      <c r="F1049">
        <v>253.9299926757812</v>
      </c>
      <c r="G1049">
        <v>253.9299926757812</v>
      </c>
      <c r="H1049">
        <v>5756300</v>
      </c>
      <c r="I1049" t="s">
        <v>3181</v>
      </c>
      <c r="J1049" t="s">
        <v>3182</v>
      </c>
      <c r="K1049" t="s">
        <v>41</v>
      </c>
    </row>
    <row r="1050" spans="1:11" ht="20" customHeight="1">
      <c r="A1050" t="s">
        <v>25</v>
      </c>
      <c r="B1050" t="s">
        <v>3183</v>
      </c>
      <c r="C1050">
        <v>253.0800018310547</v>
      </c>
      <c r="D1050">
        <v>253.1799926757812</v>
      </c>
      <c r="E1050">
        <v>250.1999969482422</v>
      </c>
      <c r="F1050">
        <v>250.8699951171875</v>
      </c>
      <c r="G1050">
        <v>250.8699951171875</v>
      </c>
      <c r="H1050">
        <v>8081000</v>
      </c>
      <c r="I1050" t="s">
        <v>3184</v>
      </c>
      <c r="J1050" t="s">
        <v>3185</v>
      </c>
      <c r="K1050" t="s">
        <v>41</v>
      </c>
    </row>
    <row r="1051" spans="1:11" ht="20" customHeight="1">
      <c r="A1051" t="s">
        <v>25</v>
      </c>
      <c r="B1051" t="s">
        <v>3186</v>
      </c>
      <c r="C1051">
        <v>253.2700042724609</v>
      </c>
      <c r="D1051">
        <v>253.3200073242188</v>
      </c>
      <c r="E1051">
        <v>251.3999938964844</v>
      </c>
      <c r="F1051">
        <v>252.8000030517578</v>
      </c>
      <c r="G1051">
        <v>252.8000030517578</v>
      </c>
      <c r="H1051">
        <v>5962200</v>
      </c>
      <c r="I1051" t="s">
        <v>3187</v>
      </c>
      <c r="J1051" t="s">
        <v>3188</v>
      </c>
      <c r="K1051" t="s">
        <v>41</v>
      </c>
    </row>
    <row r="1052" spans="1:11" ht="20" customHeight="1">
      <c r="A1052" t="s">
        <v>25</v>
      </c>
      <c r="B1052" t="s">
        <v>3189</v>
      </c>
      <c r="C1052">
        <v>252</v>
      </c>
      <c r="D1052">
        <v>253.5500030517578</v>
      </c>
      <c r="E1052">
        <v>251.7700042724609</v>
      </c>
      <c r="F1052">
        <v>253.3200073242188</v>
      </c>
      <c r="G1052">
        <v>253.3200073242188</v>
      </c>
      <c r="H1052">
        <v>4424500</v>
      </c>
      <c r="I1052" t="s">
        <v>3190</v>
      </c>
      <c r="J1052" t="s">
        <v>3191</v>
      </c>
      <c r="K1052" t="s">
        <v>41</v>
      </c>
    </row>
    <row r="1053" spans="1:11" ht="20" customHeight="1">
      <c r="A1053" t="s">
        <v>25</v>
      </c>
      <c r="B1053" t="s">
        <v>3192</v>
      </c>
      <c r="C1053">
        <v>253.0099945068359</v>
      </c>
      <c r="D1053">
        <v>253.6300048828125</v>
      </c>
      <c r="E1053">
        <v>252.9499969482422</v>
      </c>
      <c r="F1053">
        <v>253.3300018310547</v>
      </c>
      <c r="G1053">
        <v>253.3300018310547</v>
      </c>
      <c r="H1053">
        <v>4029100</v>
      </c>
      <c r="I1053" t="s">
        <v>3193</v>
      </c>
      <c r="J1053" t="s">
        <v>3194</v>
      </c>
      <c r="K1053" t="s">
        <v>41</v>
      </c>
    </row>
    <row r="1054" spans="1:11" ht="20" customHeight="1">
      <c r="A1054" t="s">
        <v>25</v>
      </c>
      <c r="B1054" t="s">
        <v>3195</v>
      </c>
      <c r="C1054">
        <v>254.4900054931641</v>
      </c>
      <c r="D1054">
        <v>256.2900085449219</v>
      </c>
      <c r="E1054">
        <v>254.2299957275391</v>
      </c>
      <c r="F1054">
        <v>256.0899963378906</v>
      </c>
      <c r="G1054">
        <v>256.0899963378906</v>
      </c>
      <c r="H1054">
        <v>8875500</v>
      </c>
      <c r="I1054" t="s">
        <v>3196</v>
      </c>
      <c r="J1054" t="s">
        <v>3197</v>
      </c>
      <c r="K1054" t="s">
        <v>41</v>
      </c>
    </row>
    <row r="1055" spans="1:11" ht="20" customHeight="1">
      <c r="A1055" t="s">
        <v>25</v>
      </c>
      <c r="B1055" t="s">
        <v>3198</v>
      </c>
      <c r="C1055">
        <v>256.760009765625</v>
      </c>
      <c r="D1055">
        <v>257.7099914550781</v>
      </c>
      <c r="E1055">
        <v>255.9100036621094</v>
      </c>
      <c r="F1055">
        <v>257.5</v>
      </c>
      <c r="G1055">
        <v>257.5</v>
      </c>
      <c r="H1055">
        <v>6386200</v>
      </c>
      <c r="I1055" t="s">
        <v>3199</v>
      </c>
      <c r="J1055" t="s">
        <v>3200</v>
      </c>
      <c r="K1055" t="s">
        <v>41</v>
      </c>
    </row>
    <row r="1056" spans="1:11" ht="20" customHeight="1">
      <c r="A1056" t="s">
        <v>25</v>
      </c>
      <c r="B1056" t="s">
        <v>3201</v>
      </c>
      <c r="C1056">
        <v>255.5200042724609</v>
      </c>
      <c r="D1056">
        <v>255.6000061035156</v>
      </c>
      <c r="E1056">
        <v>252.1999969482422</v>
      </c>
      <c r="F1056">
        <v>253.5099945068359</v>
      </c>
      <c r="G1056">
        <v>253.5099945068359</v>
      </c>
      <c r="H1056">
        <v>9930800</v>
      </c>
      <c r="I1056" t="s">
        <v>3202</v>
      </c>
      <c r="J1056" t="s">
        <v>3203</v>
      </c>
      <c r="K1056" t="s">
        <v>41</v>
      </c>
    </row>
    <row r="1057" spans="1:11" ht="20" customHeight="1">
      <c r="A1057" t="s">
        <v>25</v>
      </c>
      <c r="B1057" t="s">
        <v>3204</v>
      </c>
      <c r="C1057">
        <v>254.3300018310547</v>
      </c>
      <c r="D1057">
        <v>254.8600006103516</v>
      </c>
      <c r="E1057">
        <v>252.4400024414062</v>
      </c>
      <c r="F1057">
        <v>252.4700012207031</v>
      </c>
      <c r="G1057">
        <v>252.4700012207031</v>
      </c>
      <c r="H1057">
        <v>6473000</v>
      </c>
      <c r="I1057" t="s">
        <v>3205</v>
      </c>
      <c r="J1057" t="s">
        <v>3206</v>
      </c>
      <c r="K1057" t="s">
        <v>41</v>
      </c>
    </row>
    <row r="1058" spans="1:11" ht="20" customHeight="1">
      <c r="A1058" t="s">
        <v>25</v>
      </c>
      <c r="B1058" t="s">
        <v>3207</v>
      </c>
      <c r="C1058">
        <v>253.3200073242188</v>
      </c>
      <c r="D1058">
        <v>253.5800018310547</v>
      </c>
      <c r="E1058">
        <v>252.2700042724609</v>
      </c>
      <c r="F1058">
        <v>252.8300018310547</v>
      </c>
      <c r="G1058">
        <v>252.8300018310547</v>
      </c>
      <c r="H1058">
        <v>4581400</v>
      </c>
      <c r="I1058" t="s">
        <v>3208</v>
      </c>
      <c r="J1058" t="s">
        <v>3209</v>
      </c>
      <c r="K1058" t="s">
        <v>41</v>
      </c>
    </row>
    <row r="1059" spans="1:11" ht="20" customHeight="1">
      <c r="A1059" t="s">
        <v>25</v>
      </c>
      <c r="B1059" t="s">
        <v>3210</v>
      </c>
      <c r="C1059">
        <v>253.7799987792969</v>
      </c>
      <c r="D1059">
        <v>253.9900054931641</v>
      </c>
      <c r="E1059">
        <v>252.4100036621094</v>
      </c>
      <c r="F1059">
        <v>253.3999938964844</v>
      </c>
      <c r="G1059">
        <v>253.3999938964844</v>
      </c>
      <c r="H1059">
        <v>6029900</v>
      </c>
      <c r="I1059" t="s">
        <v>3211</v>
      </c>
      <c r="J1059" t="s">
        <v>3212</v>
      </c>
      <c r="K1059" t="s">
        <v>41</v>
      </c>
    </row>
    <row r="1060" spans="1:11" ht="20" customHeight="1">
      <c r="A1060" t="s">
        <v>25</v>
      </c>
      <c r="B1060" t="s">
        <v>3213</v>
      </c>
      <c r="C1060">
        <v>245.6399993896484</v>
      </c>
      <c r="D1060">
        <v>247.3500061035156</v>
      </c>
      <c r="E1060">
        <v>244.9499969482422</v>
      </c>
      <c r="F1060">
        <v>245.6999969482422</v>
      </c>
      <c r="G1060">
        <v>245.6999969482422</v>
      </c>
      <c r="H1060">
        <v>14600200</v>
      </c>
      <c r="I1060" t="s">
        <v>3214</v>
      </c>
      <c r="J1060" t="s">
        <v>3215</v>
      </c>
      <c r="K1060" t="s">
        <v>41</v>
      </c>
    </row>
    <row r="1061" spans="1:11" ht="20" customHeight="1">
      <c r="A1061" t="s">
        <v>25</v>
      </c>
      <c r="B1061" t="s">
        <v>3216</v>
      </c>
      <c r="C1061">
        <v>248.2899932861328</v>
      </c>
      <c r="D1061">
        <v>250.2400054931641</v>
      </c>
      <c r="E1061">
        <v>248.1199951171875</v>
      </c>
      <c r="F1061">
        <v>249.6499938964844</v>
      </c>
      <c r="G1061">
        <v>249.6499938964844</v>
      </c>
      <c r="H1061">
        <v>8821400</v>
      </c>
      <c r="I1061" t="s">
        <v>3217</v>
      </c>
      <c r="J1061" t="s">
        <v>3218</v>
      </c>
      <c r="K1061" t="s">
        <v>41</v>
      </c>
    </row>
    <row r="1062" spans="1:11" ht="20" customHeight="1">
      <c r="A1062" t="s">
        <v>25</v>
      </c>
      <c r="B1062" t="s">
        <v>3219</v>
      </c>
      <c r="C1062">
        <v>249.0700073242188</v>
      </c>
      <c r="D1062">
        <v>249.3500061035156</v>
      </c>
      <c r="E1062">
        <v>247.7799987792969</v>
      </c>
      <c r="F1062">
        <v>247.9600067138672</v>
      </c>
      <c r="G1062">
        <v>247.9600067138672</v>
      </c>
      <c r="H1062">
        <v>6267900</v>
      </c>
      <c r="I1062" t="s">
        <v>3220</v>
      </c>
      <c r="J1062" t="s">
        <v>3221</v>
      </c>
      <c r="K1062" t="s">
        <v>41</v>
      </c>
    </row>
    <row r="1063" spans="1:11" ht="20" customHeight="1">
      <c r="A1063" t="s">
        <v>25</v>
      </c>
      <c r="B1063" t="s">
        <v>3222</v>
      </c>
      <c r="C1063">
        <v>242.7299957275391</v>
      </c>
      <c r="D1063">
        <v>242.7299957275391</v>
      </c>
      <c r="E1063">
        <v>241.0599975585938</v>
      </c>
      <c r="F1063">
        <v>242.1399993896484</v>
      </c>
      <c r="G1063">
        <v>242.1399993896484</v>
      </c>
      <c r="H1063">
        <v>11653800</v>
      </c>
      <c r="I1063" t="s">
        <v>3223</v>
      </c>
      <c r="J1063" t="s">
        <v>3224</v>
      </c>
      <c r="K1063" t="s">
        <v>41</v>
      </c>
    </row>
    <row r="1064" spans="1:11" ht="20" customHeight="1">
      <c r="A1064" t="s">
        <v>25</v>
      </c>
      <c r="B1064" t="s">
        <v>3225</v>
      </c>
      <c r="C1064">
        <v>241.2899932861328</v>
      </c>
      <c r="D1064">
        <v>241.6600036621094</v>
      </c>
      <c r="E1064">
        <v>239.3899993896484</v>
      </c>
      <c r="F1064">
        <v>240.0500030517578</v>
      </c>
      <c r="G1064">
        <v>240.0500030517578</v>
      </c>
      <c r="H1064">
        <v>10145500</v>
      </c>
      <c r="I1064" t="s">
        <v>3226</v>
      </c>
      <c r="J1064" t="s">
        <v>3227</v>
      </c>
      <c r="K1064" t="s">
        <v>41</v>
      </c>
    </row>
    <row r="1065" spans="1:11" ht="20" customHeight="1">
      <c r="A1065" t="s">
        <v>25</v>
      </c>
      <c r="B1065" t="s">
        <v>3228</v>
      </c>
      <c r="C1065">
        <v>241.3099975585938</v>
      </c>
      <c r="D1065">
        <v>241.4700012207031</v>
      </c>
      <c r="E1065">
        <v>237.5899963378906</v>
      </c>
      <c r="F1065">
        <v>237.6300048828125</v>
      </c>
      <c r="G1065">
        <v>237.6300048828125</v>
      </c>
      <c r="H1065">
        <v>8431700</v>
      </c>
      <c r="I1065" t="s">
        <v>3229</v>
      </c>
      <c r="J1065" t="s">
        <v>3230</v>
      </c>
      <c r="K1065" t="s">
        <v>41</v>
      </c>
    </row>
    <row r="1066" spans="1:11" ht="20" customHeight="1">
      <c r="A1066" t="s">
        <v>25</v>
      </c>
      <c r="B1066" t="s">
        <v>3231</v>
      </c>
      <c r="C1066">
        <v>236.5700073242188</v>
      </c>
      <c r="D1066">
        <v>237.9900054931641</v>
      </c>
      <c r="E1066">
        <v>236.1300048828125</v>
      </c>
      <c r="F1066">
        <v>237.0099945068359</v>
      </c>
      <c r="G1066">
        <v>237.0099945068359</v>
      </c>
      <c r="H1066">
        <v>8262400</v>
      </c>
      <c r="I1066" t="s">
        <v>3232</v>
      </c>
      <c r="J1066" t="s">
        <v>3233</v>
      </c>
      <c r="K1066" t="s">
        <v>41</v>
      </c>
    </row>
    <row r="1067" spans="1:11" ht="20" customHeight="1">
      <c r="A1067" t="s">
        <v>25</v>
      </c>
      <c r="B1067" t="s">
        <v>3234</v>
      </c>
      <c r="C1067">
        <v>237.5700073242188</v>
      </c>
      <c r="D1067">
        <v>237.8800048828125</v>
      </c>
      <c r="E1067">
        <v>236.3300018310547</v>
      </c>
      <c r="F1067">
        <v>236.5899963378906</v>
      </c>
      <c r="G1067">
        <v>236.5899963378906</v>
      </c>
      <c r="H1067">
        <v>7299500</v>
      </c>
      <c r="I1067" t="s">
        <v>3235</v>
      </c>
      <c r="J1067" t="s">
        <v>3236</v>
      </c>
      <c r="K1067" t="s">
        <v>41</v>
      </c>
    </row>
    <row r="1068" spans="1:11" ht="20" customHeight="1">
      <c r="A1068" t="s">
        <v>25</v>
      </c>
      <c r="B1068" t="s">
        <v>3237</v>
      </c>
      <c r="C1068">
        <v>240.4600067138672</v>
      </c>
      <c r="D1068">
        <v>241.5</v>
      </c>
      <c r="E1068">
        <v>240.4499969482422</v>
      </c>
      <c r="F1068">
        <v>241.0899963378906</v>
      </c>
      <c r="G1068">
        <v>241.0899963378906</v>
      </c>
      <c r="H1068">
        <v>6323400</v>
      </c>
      <c r="I1068" t="s">
        <v>3238</v>
      </c>
      <c r="J1068" t="s">
        <v>3239</v>
      </c>
      <c r="K1068" t="s">
        <v>41</v>
      </c>
    </row>
    <row r="1069" spans="1:11" ht="20" customHeight="1">
      <c r="A1069" t="s">
        <v>25</v>
      </c>
      <c r="B1069" t="s">
        <v>3240</v>
      </c>
      <c r="C1069">
        <v>242.75</v>
      </c>
      <c r="D1069">
        <v>243.3099975585938</v>
      </c>
      <c r="E1069">
        <v>242.0299987792969</v>
      </c>
      <c r="F1069">
        <v>243.25</v>
      </c>
      <c r="G1069">
        <v>243.25</v>
      </c>
      <c r="H1069">
        <v>6579100</v>
      </c>
      <c r="I1069" t="s">
        <v>3241</v>
      </c>
      <c r="J1069" t="s">
        <v>3242</v>
      </c>
      <c r="K1069" t="s">
        <v>41</v>
      </c>
    </row>
    <row r="1070" spans="1:11" ht="20" customHeight="1">
      <c r="A1070" t="s">
        <v>25</v>
      </c>
      <c r="B1070" t="s">
        <v>3243</v>
      </c>
      <c r="C1070">
        <v>243.7400054931641</v>
      </c>
      <c r="D1070">
        <v>245.2100067138672</v>
      </c>
      <c r="E1070">
        <v>243.5099945068359</v>
      </c>
      <c r="F1070">
        <v>244.6199951171875</v>
      </c>
      <c r="G1070">
        <v>244.6199951171875</v>
      </c>
      <c r="H1070">
        <v>6630700</v>
      </c>
      <c r="I1070" t="s">
        <v>3244</v>
      </c>
      <c r="J1070" t="s">
        <v>3245</v>
      </c>
      <c r="K1070" t="s">
        <v>41</v>
      </c>
    </row>
    <row r="1071" spans="1:11" ht="20" customHeight="1">
      <c r="A1071" t="s">
        <v>25</v>
      </c>
      <c r="B1071" t="s">
        <v>3246</v>
      </c>
      <c r="C1071">
        <v>246.2299957275391</v>
      </c>
      <c r="D1071">
        <v>246.8099975585938</v>
      </c>
      <c r="E1071">
        <v>245.6900024414062</v>
      </c>
      <c r="F1071">
        <v>246.6600036621094</v>
      </c>
      <c r="G1071">
        <v>246.6600036621094</v>
      </c>
      <c r="H1071">
        <v>7646400</v>
      </c>
      <c r="I1071" t="s">
        <v>3247</v>
      </c>
      <c r="J1071" t="s">
        <v>3248</v>
      </c>
      <c r="K1071" t="s">
        <v>41</v>
      </c>
    </row>
    <row r="1072" spans="1:11" ht="20" customHeight="1">
      <c r="A1072" t="s">
        <v>25</v>
      </c>
      <c r="B1072" t="s">
        <v>3249</v>
      </c>
      <c r="C1072">
        <v>248.1999969482422</v>
      </c>
      <c r="D1072">
        <v>250.3899993896484</v>
      </c>
      <c r="E1072">
        <v>247.8600006103516</v>
      </c>
      <c r="F1072">
        <v>249.8399963378906</v>
      </c>
      <c r="G1072">
        <v>249.8399963378906</v>
      </c>
      <c r="H1072">
        <v>7503000</v>
      </c>
      <c r="I1072" t="s">
        <v>3250</v>
      </c>
      <c r="J1072" t="s">
        <v>3251</v>
      </c>
      <c r="K1072" t="s">
        <v>41</v>
      </c>
    </row>
    <row r="1073" spans="1:11" ht="20" customHeight="1">
      <c r="A1073" t="s">
        <v>25</v>
      </c>
      <c r="B1073" t="s">
        <v>3252</v>
      </c>
      <c r="C1073">
        <v>244.2700042724609</v>
      </c>
      <c r="D1073">
        <v>244.3999938964844</v>
      </c>
      <c r="E1073">
        <v>241.4799957275391</v>
      </c>
      <c r="F1073">
        <v>242.4799957275391</v>
      </c>
      <c r="G1073">
        <v>242.4799957275391</v>
      </c>
      <c r="H1073">
        <v>10733100</v>
      </c>
      <c r="I1073" t="s">
        <v>3253</v>
      </c>
      <c r="J1073" t="s">
        <v>3254</v>
      </c>
      <c r="K1073" t="s">
        <v>41</v>
      </c>
    </row>
    <row r="1074" spans="1:11" ht="20" customHeight="1">
      <c r="A1074" t="s">
        <v>25</v>
      </c>
      <c r="B1074" t="s">
        <v>3255</v>
      </c>
      <c r="C1074">
        <v>242.7100067138672</v>
      </c>
      <c r="D1074">
        <v>243.0899963378906</v>
      </c>
      <c r="E1074">
        <v>241.5800018310547</v>
      </c>
      <c r="F1074">
        <v>242.9499969482422</v>
      </c>
      <c r="G1074">
        <v>242.9499969482422</v>
      </c>
      <c r="H1074">
        <v>4945900</v>
      </c>
      <c r="I1074" t="s">
        <v>3256</v>
      </c>
      <c r="J1074" t="s">
        <v>3257</v>
      </c>
      <c r="K1074" t="s">
        <v>41</v>
      </c>
    </row>
    <row r="1075" spans="1:11" ht="20" customHeight="1">
      <c r="A1075" t="s">
        <v>25</v>
      </c>
      <c r="B1075" t="s">
        <v>3258</v>
      </c>
      <c r="C1075">
        <v>244.8500061035156</v>
      </c>
      <c r="D1075">
        <v>245.1799926757812</v>
      </c>
      <c r="E1075">
        <v>243.1999969482422</v>
      </c>
      <c r="F1075">
        <v>243.4900054931641</v>
      </c>
      <c r="G1075">
        <v>243.4900054931641</v>
      </c>
      <c r="H1075">
        <v>6930600</v>
      </c>
      <c r="I1075" t="s">
        <v>3259</v>
      </c>
      <c r="J1075" t="s">
        <v>3260</v>
      </c>
      <c r="K1075" t="s">
        <v>41</v>
      </c>
    </row>
    <row r="1076" spans="1:11" ht="20" customHeight="1">
      <c r="A1076" t="s">
        <v>25</v>
      </c>
      <c r="B1076" t="s">
        <v>3261</v>
      </c>
      <c r="C1076">
        <v>245.25</v>
      </c>
      <c r="D1076">
        <v>245.8099975585938</v>
      </c>
      <c r="E1076">
        <v>244.7299957275391</v>
      </c>
      <c r="F1076">
        <v>245.5899963378906</v>
      </c>
      <c r="G1076">
        <v>245.5899963378906</v>
      </c>
      <c r="H1076">
        <v>2708500</v>
      </c>
      <c r="I1076" t="s">
        <v>3262</v>
      </c>
      <c r="J1076" t="s">
        <v>3263</v>
      </c>
      <c r="K1076" t="s">
        <v>41</v>
      </c>
    </row>
    <row r="1077" spans="1:11" ht="20" customHeight="1">
      <c r="A1077" t="s">
        <v>25</v>
      </c>
      <c r="B1077" t="s">
        <v>3264</v>
      </c>
      <c r="C1077">
        <v>244.4600067138672</v>
      </c>
      <c r="D1077">
        <v>244.5800018310547</v>
      </c>
      <c r="E1077">
        <v>243.1399993896484</v>
      </c>
      <c r="F1077">
        <v>243.4400024414062</v>
      </c>
      <c r="G1077">
        <v>243.4400024414062</v>
      </c>
      <c r="H1077">
        <v>4765000</v>
      </c>
      <c r="I1077" t="s">
        <v>3265</v>
      </c>
      <c r="J1077" t="s">
        <v>3266</v>
      </c>
      <c r="K1077" t="s">
        <v>41</v>
      </c>
    </row>
    <row r="1078" spans="1:11" ht="20" customHeight="1">
      <c r="A1078" t="s">
        <v>25</v>
      </c>
      <c r="B1078" t="s">
        <v>3267</v>
      </c>
      <c r="C1078">
        <v>244.9600067138672</v>
      </c>
      <c r="D1078">
        <v>245.1799926757812</v>
      </c>
      <c r="E1078">
        <v>243.3000030517578</v>
      </c>
      <c r="F1078">
        <v>243.9299926757812</v>
      </c>
      <c r="G1078">
        <v>243.9299926757812</v>
      </c>
      <c r="H1078">
        <v>3557800</v>
      </c>
      <c r="I1078" t="s">
        <v>3268</v>
      </c>
      <c r="J1078" t="s">
        <v>3269</v>
      </c>
      <c r="K1078" t="s">
        <v>41</v>
      </c>
    </row>
    <row r="1079" spans="1:11" ht="20" customHeight="1">
      <c r="A1079" t="s">
        <v>25</v>
      </c>
      <c r="B1079" t="s">
        <v>3270</v>
      </c>
      <c r="C1079">
        <v>244.9299926757812</v>
      </c>
      <c r="D1079">
        <v>245.3399963378906</v>
      </c>
      <c r="E1079">
        <v>244.3699951171875</v>
      </c>
      <c r="F1079">
        <v>244.6699981689453</v>
      </c>
      <c r="G1079">
        <v>244.6699981689453</v>
      </c>
      <c r="H1079">
        <v>4608600</v>
      </c>
      <c r="I1079" t="s">
        <v>3271</v>
      </c>
      <c r="J1079" t="s">
        <v>3272</v>
      </c>
      <c r="K1079" t="s">
        <v>41</v>
      </c>
    </row>
    <row r="1080" spans="1:11" ht="20" customHeight="1">
      <c r="A1080" t="s">
        <v>25</v>
      </c>
      <c r="B1080" t="s">
        <v>3273</v>
      </c>
      <c r="C1080">
        <v>244.1600036621094</v>
      </c>
      <c r="D1080">
        <v>244.3800048828125</v>
      </c>
      <c r="E1080">
        <v>242.1499938964844</v>
      </c>
      <c r="F1080">
        <v>242.8600006103516</v>
      </c>
      <c r="G1080">
        <v>242.8600006103516</v>
      </c>
      <c r="H1080">
        <v>4806200</v>
      </c>
      <c r="I1080" t="s">
        <v>3274</v>
      </c>
      <c r="J1080" t="s">
        <v>3275</v>
      </c>
      <c r="K1080" t="s">
        <v>41</v>
      </c>
    </row>
    <row r="1081" spans="1:11" ht="20" customHeight="1">
      <c r="A1081" t="s">
        <v>25</v>
      </c>
      <c r="B1081" t="s">
        <v>3276</v>
      </c>
      <c r="C1081">
        <v>242.7899932861328</v>
      </c>
      <c r="D1081">
        <v>243.8600006103516</v>
      </c>
      <c r="E1081">
        <v>242.4400024414062</v>
      </c>
      <c r="F1081">
        <v>242.9499969482422</v>
      </c>
      <c r="G1081">
        <v>242.9499969482422</v>
      </c>
      <c r="H1081">
        <v>3540700</v>
      </c>
      <c r="I1081" t="s">
        <v>3277</v>
      </c>
      <c r="J1081" t="s">
        <v>3278</v>
      </c>
      <c r="K1081" t="s">
        <v>41</v>
      </c>
    </row>
    <row r="1082" spans="1:11" ht="20" customHeight="1">
      <c r="A1082" t="s">
        <v>25</v>
      </c>
      <c r="B1082" t="s">
        <v>3279</v>
      </c>
      <c r="C1082">
        <v>246.2799987792969</v>
      </c>
      <c r="D1082">
        <v>247.1100006103516</v>
      </c>
      <c r="E1082">
        <v>245.2599945068359</v>
      </c>
      <c r="F1082">
        <v>245.3600006103516</v>
      </c>
      <c r="G1082">
        <v>245.3600006103516</v>
      </c>
      <c r="H1082">
        <v>4711500</v>
      </c>
      <c r="I1082" t="s">
        <v>3280</v>
      </c>
      <c r="J1082" t="s">
        <v>3281</v>
      </c>
      <c r="K1082" t="s">
        <v>41</v>
      </c>
    </row>
    <row r="1083" spans="1:11" ht="20" customHeight="1">
      <c r="A1083" t="s">
        <v>25</v>
      </c>
      <c r="B1083" t="s">
        <v>3282</v>
      </c>
      <c r="C1083">
        <v>247.8600006103516</v>
      </c>
      <c r="D1083">
        <v>248.8600006103516</v>
      </c>
      <c r="E1083">
        <v>247.8300018310547</v>
      </c>
      <c r="F1083">
        <v>248.5899963378906</v>
      </c>
      <c r="G1083">
        <v>248.5899963378906</v>
      </c>
      <c r="H1083">
        <v>4642000</v>
      </c>
      <c r="I1083" t="s">
        <v>3283</v>
      </c>
      <c r="J1083" t="s">
        <v>3284</v>
      </c>
      <c r="K1083" t="s">
        <v>41</v>
      </c>
    </row>
    <row r="1084" spans="1:11" ht="20" customHeight="1">
      <c r="A1084" t="s">
        <v>25</v>
      </c>
      <c r="B1084" t="s">
        <v>3285</v>
      </c>
      <c r="C1084">
        <v>249.3500061035156</v>
      </c>
      <c r="D1084">
        <v>251.2599945068359</v>
      </c>
      <c r="E1084">
        <v>248.9700012207031</v>
      </c>
      <c r="F1084">
        <v>250.9600067138672</v>
      </c>
      <c r="G1084">
        <v>250.9600067138672</v>
      </c>
      <c r="H1084">
        <v>11033800</v>
      </c>
      <c r="I1084" t="s">
        <v>3286</v>
      </c>
      <c r="J1084" t="s">
        <v>3287</v>
      </c>
      <c r="K1084" t="s">
        <v>41</v>
      </c>
    </row>
    <row r="1085" spans="1:11" ht="20" customHeight="1">
      <c r="A1085" t="s">
        <v>25</v>
      </c>
      <c r="B1085" t="s">
        <v>3288</v>
      </c>
      <c r="C1085">
        <v>247.8099975585938</v>
      </c>
      <c r="D1085">
        <v>248.2400054931641</v>
      </c>
      <c r="E1085">
        <v>246.8699951171875</v>
      </c>
      <c r="F1085">
        <v>247.2799987792969</v>
      </c>
      <c r="G1085">
        <v>247.2799987792969</v>
      </c>
      <c r="H1085">
        <v>10149600</v>
      </c>
      <c r="I1085" t="s">
        <v>3289</v>
      </c>
      <c r="J1085" t="s">
        <v>3290</v>
      </c>
      <c r="K1085" t="s">
        <v>41</v>
      </c>
    </row>
    <row r="1086" spans="1:11" ht="20" customHeight="1">
      <c r="A1086" t="s">
        <v>25</v>
      </c>
      <c r="B1086" t="s">
        <v>3291</v>
      </c>
      <c r="C1086">
        <v>245.6699981689453</v>
      </c>
      <c r="D1086">
        <v>245.9400024414062</v>
      </c>
      <c r="E1086">
        <v>244.2700042724609</v>
      </c>
      <c r="F1086">
        <v>244.2899932861328</v>
      </c>
      <c r="G1086">
        <v>244.2899932861328</v>
      </c>
      <c r="H1086">
        <v>6602600</v>
      </c>
      <c r="I1086" t="s">
        <v>3292</v>
      </c>
      <c r="J1086" t="s">
        <v>3293</v>
      </c>
      <c r="K1086" t="s">
        <v>41</v>
      </c>
    </row>
    <row r="1087" spans="1:11" ht="20" customHeight="1">
      <c r="A1087" t="s">
        <v>25</v>
      </c>
      <c r="B1087" t="s">
        <v>3294</v>
      </c>
      <c r="C1087">
        <v>245.4100036621094</v>
      </c>
      <c r="D1087">
        <v>245.5399932861328</v>
      </c>
      <c r="E1087">
        <v>244.2899932861328</v>
      </c>
      <c r="F1087">
        <v>244.8800048828125</v>
      </c>
      <c r="G1087">
        <v>244.8800048828125</v>
      </c>
      <c r="H1087">
        <v>3310000</v>
      </c>
      <c r="I1087" t="s">
        <v>3295</v>
      </c>
      <c r="J1087" t="s">
        <v>3296</v>
      </c>
      <c r="K1087" t="s">
        <v>41</v>
      </c>
    </row>
    <row r="1088" spans="1:11" ht="20" customHeight="1">
      <c r="A1088" t="s">
        <v>25</v>
      </c>
      <c r="B1088" t="s">
        <v>3297</v>
      </c>
      <c r="C1088">
        <v>243.8000030517578</v>
      </c>
      <c r="D1088">
        <v>244.5500030517578</v>
      </c>
      <c r="E1088">
        <v>243.2299957275391</v>
      </c>
      <c r="F1088">
        <v>243.9400024414062</v>
      </c>
      <c r="G1088">
        <v>243.9400024414062</v>
      </c>
      <c r="H1088">
        <v>4421300</v>
      </c>
      <c r="I1088" t="s">
        <v>3298</v>
      </c>
      <c r="J1088" t="s">
        <v>3299</v>
      </c>
      <c r="K1088" t="s">
        <v>41</v>
      </c>
    </row>
    <row r="1089" spans="1:11" ht="20" customHeight="1">
      <c r="A1089" t="s">
        <v>25</v>
      </c>
      <c r="B1089" t="s">
        <v>3300</v>
      </c>
      <c r="C1089">
        <v>243.5700073242188</v>
      </c>
      <c r="D1089">
        <v>243.7100067138672</v>
      </c>
      <c r="E1089">
        <v>238.8200073242188</v>
      </c>
      <c r="F1089">
        <v>239.2599945068359</v>
      </c>
      <c r="G1089">
        <v>239.2599945068359</v>
      </c>
      <c r="H1089">
        <v>8015800</v>
      </c>
      <c r="I1089" t="s">
        <v>3301</v>
      </c>
      <c r="J1089" t="s">
        <v>3302</v>
      </c>
      <c r="K1089" t="s">
        <v>41</v>
      </c>
    </row>
    <row r="1090" spans="1:11" ht="20" customHeight="1">
      <c r="A1090" t="s">
        <v>25</v>
      </c>
      <c r="B1090" t="s">
        <v>3303</v>
      </c>
      <c r="C1090">
        <v>239.6699981689453</v>
      </c>
      <c r="D1090">
        <v>240.0500030517578</v>
      </c>
      <c r="E1090">
        <v>238.7299957275391</v>
      </c>
      <c r="F1090">
        <v>239.6000061035156</v>
      </c>
      <c r="G1090">
        <v>239.6000061035156</v>
      </c>
      <c r="H1090">
        <v>8111400</v>
      </c>
      <c r="I1090" t="s">
        <v>3304</v>
      </c>
      <c r="J1090" t="s">
        <v>3305</v>
      </c>
      <c r="K1090" t="s">
        <v>41</v>
      </c>
    </row>
    <row r="1091" spans="1:11" ht="20" customHeight="1">
      <c r="A1091" t="s">
        <v>25</v>
      </c>
      <c r="B1091" t="s">
        <v>3306</v>
      </c>
      <c r="C1091">
        <v>241.4100036621094</v>
      </c>
      <c r="D1091">
        <v>242.9600067138672</v>
      </c>
      <c r="E1091">
        <v>241.1699981689453</v>
      </c>
      <c r="F1091">
        <v>242.1000061035156</v>
      </c>
      <c r="G1091">
        <v>242.1000061035156</v>
      </c>
      <c r="H1091">
        <v>9527800</v>
      </c>
      <c r="I1091" t="s">
        <v>3307</v>
      </c>
      <c r="J1091" t="s">
        <v>3308</v>
      </c>
      <c r="K1091" t="s">
        <v>41</v>
      </c>
    </row>
    <row r="1092" spans="1:11" ht="20" customHeight="1">
      <c r="A1092" t="s">
        <v>25</v>
      </c>
      <c r="B1092" t="s">
        <v>3309</v>
      </c>
      <c r="C1092">
        <v>241.6000061035156</v>
      </c>
      <c r="D1092">
        <v>241.6699981689453</v>
      </c>
      <c r="E1092">
        <v>240.6499938964844</v>
      </c>
      <c r="F1092">
        <v>240.9600067138672</v>
      </c>
      <c r="G1092">
        <v>240.9600067138672</v>
      </c>
      <c r="H1092">
        <v>5835500</v>
      </c>
      <c r="I1092" t="s">
        <v>3310</v>
      </c>
      <c r="J1092" t="s">
        <v>3311</v>
      </c>
      <c r="K1092" t="s">
        <v>41</v>
      </c>
    </row>
    <row r="1093" spans="1:11" ht="20" customHeight="1">
      <c r="A1093" t="s">
        <v>25</v>
      </c>
      <c r="B1093" t="s">
        <v>3312</v>
      </c>
      <c r="C1093">
        <v>241.4900054931641</v>
      </c>
      <c r="D1093">
        <v>241.6600036621094</v>
      </c>
      <c r="E1093">
        <v>240.8200073242188</v>
      </c>
      <c r="F1093">
        <v>241.4400024414062</v>
      </c>
      <c r="G1093">
        <v>241.4400024414062</v>
      </c>
      <c r="H1093">
        <v>2421000</v>
      </c>
      <c r="I1093" t="s">
        <v>3313</v>
      </c>
      <c r="J1093" t="s">
        <v>3314</v>
      </c>
      <c r="K1093" t="s">
        <v>41</v>
      </c>
    </row>
    <row r="1094" spans="1:11" ht="20" customHeight="1">
      <c r="A1094" t="s">
        <v>25</v>
      </c>
      <c r="B1094" t="s">
        <v>3315</v>
      </c>
      <c r="C1094">
        <v>242.3899993896484</v>
      </c>
      <c r="D1094">
        <v>243.5599975585938</v>
      </c>
      <c r="E1094">
        <v>242.1999969482422</v>
      </c>
      <c r="F1094">
        <v>243.0700073242188</v>
      </c>
      <c r="G1094">
        <v>243.0700073242188</v>
      </c>
      <c r="H1094">
        <v>4645100</v>
      </c>
      <c r="I1094" t="s">
        <v>3316</v>
      </c>
      <c r="J1094" t="s">
        <v>3317</v>
      </c>
      <c r="K1094" t="s">
        <v>41</v>
      </c>
    </row>
    <row r="1095" spans="1:11" ht="20" customHeight="1">
      <c r="A1095" t="s">
        <v>25</v>
      </c>
      <c r="B1095" t="s">
        <v>3318</v>
      </c>
      <c r="C1095">
        <v>241.1999969482422</v>
      </c>
      <c r="D1095">
        <v>241.9499969482422</v>
      </c>
      <c r="E1095">
        <v>241.0500030517578</v>
      </c>
      <c r="F1095">
        <v>241.3999938964844</v>
      </c>
      <c r="G1095">
        <v>241.3999938964844</v>
      </c>
      <c r="H1095">
        <v>4728100</v>
      </c>
      <c r="I1095" t="s">
        <v>3319</v>
      </c>
      <c r="J1095" t="s">
        <v>3320</v>
      </c>
      <c r="K1095" t="s">
        <v>41</v>
      </c>
    </row>
    <row r="1096" spans="1:11" ht="20" customHeight="1">
      <c r="A1096" t="s">
        <v>25</v>
      </c>
      <c r="B1096" t="s">
        <v>3321</v>
      </c>
      <c r="C1096">
        <v>241.0800018310547</v>
      </c>
      <c r="D1096">
        <v>241.0800018310547</v>
      </c>
      <c r="E1096">
        <v>239.5800018310547</v>
      </c>
      <c r="F1096">
        <v>240.6300048828125</v>
      </c>
      <c r="G1096">
        <v>240.6300048828125</v>
      </c>
      <c r="H1096">
        <v>3522500</v>
      </c>
      <c r="I1096" t="s">
        <v>3322</v>
      </c>
      <c r="J1096" t="s">
        <v>3323</v>
      </c>
      <c r="K1096" t="s">
        <v>41</v>
      </c>
    </row>
    <row r="1097" spans="1:11" ht="20" customHeight="1">
      <c r="A1097" t="s">
        <v>25</v>
      </c>
      <c r="B1097" t="s">
        <v>3324</v>
      </c>
      <c r="C1097">
        <v>241.0500030517578</v>
      </c>
      <c r="D1097">
        <v>242.5200042724609</v>
      </c>
      <c r="E1097">
        <v>241.0500030517578</v>
      </c>
      <c r="F1097">
        <v>242.1300048828125</v>
      </c>
      <c r="G1097">
        <v>242.1300048828125</v>
      </c>
      <c r="H1097">
        <v>2522100</v>
      </c>
      <c r="I1097" t="s">
        <v>3325</v>
      </c>
      <c r="J1097" t="s">
        <v>3326</v>
      </c>
      <c r="K1097" t="s">
        <v>41</v>
      </c>
    </row>
    <row r="1098" spans="1:11" ht="20" customHeight="1">
      <c r="A1098" t="s">
        <v>25</v>
      </c>
      <c r="B1098" t="s">
        <v>3327</v>
      </c>
      <c r="C1098">
        <v>244.2200012207031</v>
      </c>
      <c r="D1098">
        <v>245.5299987792969</v>
      </c>
      <c r="E1098">
        <v>244.0800018310547</v>
      </c>
      <c r="F1098">
        <v>245.4199981689453</v>
      </c>
      <c r="G1098">
        <v>245.4199981689453</v>
      </c>
      <c r="H1098">
        <v>6241900</v>
      </c>
      <c r="I1098" t="s">
        <v>3328</v>
      </c>
      <c r="J1098" t="s">
        <v>3329</v>
      </c>
      <c r="K1098" t="s">
        <v>41</v>
      </c>
    </row>
    <row r="1099" spans="1:11" ht="20" customHeight="1">
      <c r="A1099" t="s">
        <v>25</v>
      </c>
      <c r="B1099" t="s">
        <v>3330</v>
      </c>
      <c r="C1099">
        <v>244.5599975585938</v>
      </c>
      <c r="D1099">
        <v>244.8200073242188</v>
      </c>
      <c r="E1099">
        <v>243.3600006103516</v>
      </c>
      <c r="F1099">
        <v>243.4900054931641</v>
      </c>
      <c r="G1099">
        <v>243.4900054931641</v>
      </c>
      <c r="H1099">
        <v>4872100</v>
      </c>
      <c r="I1099" t="s">
        <v>3331</v>
      </c>
      <c r="J1099" t="s">
        <v>3332</v>
      </c>
      <c r="K1099" t="s">
        <v>41</v>
      </c>
    </row>
    <row r="1100" spans="1:11" ht="20" customHeight="1">
      <c r="A1100" t="s">
        <v>25</v>
      </c>
      <c r="B1100" t="s">
        <v>3333</v>
      </c>
      <c r="C1100">
        <v>242.3300018310547</v>
      </c>
      <c r="D1100">
        <v>243.7899932861328</v>
      </c>
      <c r="E1100">
        <v>242.0500030517578</v>
      </c>
      <c r="F1100">
        <v>243.1900024414062</v>
      </c>
      <c r="G1100">
        <v>243.1900024414062</v>
      </c>
      <c r="H1100">
        <v>3758900</v>
      </c>
      <c r="I1100" t="s">
        <v>3334</v>
      </c>
      <c r="J1100" t="s">
        <v>3335</v>
      </c>
      <c r="K1100" t="s">
        <v>41</v>
      </c>
    </row>
    <row r="1101" spans="1:11" ht="20" customHeight="1">
      <c r="A1101" t="s">
        <v>25</v>
      </c>
      <c r="B1101" t="s">
        <v>3336</v>
      </c>
      <c r="C1101">
        <v>245.5200042724609</v>
      </c>
      <c r="D1101">
        <v>245.7700042724609</v>
      </c>
      <c r="E1101">
        <v>243.8099975585938</v>
      </c>
      <c r="F1101">
        <v>244.5599975585938</v>
      </c>
      <c r="G1101">
        <v>244.5599975585938</v>
      </c>
      <c r="H1101">
        <v>5090300</v>
      </c>
      <c r="I1101" t="s">
        <v>3337</v>
      </c>
      <c r="J1101" t="s">
        <v>3338</v>
      </c>
      <c r="K1101" t="s">
        <v>41</v>
      </c>
    </row>
    <row r="1102" spans="1:11" ht="20" customHeight="1">
      <c r="A1102" t="s">
        <v>25</v>
      </c>
      <c r="B1102" t="s">
        <v>3339</v>
      </c>
      <c r="C1102">
        <v>245.7200012207031</v>
      </c>
      <c r="D1102">
        <v>246.4499969482422</v>
      </c>
      <c r="E1102">
        <v>244.5099945068359</v>
      </c>
      <c r="F1102">
        <v>245.8600006103516</v>
      </c>
      <c r="G1102">
        <v>245.8600006103516</v>
      </c>
      <c r="H1102">
        <v>6303300</v>
      </c>
      <c r="I1102" t="s">
        <v>3340</v>
      </c>
      <c r="J1102" t="s">
        <v>3341</v>
      </c>
      <c r="K1102" t="s">
        <v>41</v>
      </c>
    </row>
    <row r="1103" spans="1:11" ht="20" customHeight="1">
      <c r="A1103" t="s">
        <v>25</v>
      </c>
      <c r="B1103" t="s">
        <v>3342</v>
      </c>
      <c r="C1103">
        <v>248.0099945068359</v>
      </c>
      <c r="D1103">
        <v>249.0399932861328</v>
      </c>
      <c r="E1103">
        <v>247.5500030517578</v>
      </c>
      <c r="F1103">
        <v>248.2100067138672</v>
      </c>
      <c r="G1103">
        <v>248.2100067138672</v>
      </c>
      <c r="H1103">
        <v>12380100</v>
      </c>
      <c r="I1103" t="s">
        <v>3343</v>
      </c>
      <c r="J1103" t="s">
        <v>3344</v>
      </c>
      <c r="K1103" t="s">
        <v>41</v>
      </c>
    </row>
    <row r="1104" spans="1:11" ht="20" customHeight="1">
      <c r="A1104" t="s">
        <v>25</v>
      </c>
      <c r="B1104" t="s">
        <v>3345</v>
      </c>
      <c r="C1104">
        <v>246.3399963378906</v>
      </c>
      <c r="D1104">
        <v>246.7899932861328</v>
      </c>
      <c r="E1104">
        <v>245.1499938964844</v>
      </c>
      <c r="F1104">
        <v>245.7400054931641</v>
      </c>
      <c r="G1104">
        <v>245.7400054931641</v>
      </c>
      <c r="H1104">
        <v>8448600</v>
      </c>
      <c r="I1104" t="s">
        <v>3346</v>
      </c>
      <c r="J1104" t="s">
        <v>3347</v>
      </c>
      <c r="K1104" t="s">
        <v>41</v>
      </c>
    </row>
    <row r="1105" spans="1:11" ht="20" customHeight="1">
      <c r="A1105" t="s">
        <v>25</v>
      </c>
      <c r="B1105" t="s">
        <v>3348</v>
      </c>
      <c r="C1105">
        <v>245.6199951171875</v>
      </c>
      <c r="D1105">
        <v>247.0399932861328</v>
      </c>
      <c r="E1105">
        <v>245.5200042724609</v>
      </c>
      <c r="F1105">
        <v>247.0299987792969</v>
      </c>
      <c r="G1105">
        <v>247.0299987792969</v>
      </c>
      <c r="H1105">
        <v>4914800</v>
      </c>
      <c r="I1105" t="s">
        <v>3349</v>
      </c>
      <c r="J1105" t="s">
        <v>3350</v>
      </c>
      <c r="K1105" t="s">
        <v>41</v>
      </c>
    </row>
    <row r="1106" spans="1:11" ht="20" customHeight="1">
      <c r="A1106" t="s">
        <v>25</v>
      </c>
      <c r="B1106" t="s">
        <v>3351</v>
      </c>
      <c r="C1106">
        <v>248.2100067138672</v>
      </c>
      <c r="D1106">
        <v>248.8999938964844</v>
      </c>
      <c r="E1106">
        <v>247.0099945068359</v>
      </c>
      <c r="F1106">
        <v>248.8800048828125</v>
      </c>
      <c r="G1106">
        <v>248.8800048828125</v>
      </c>
      <c r="H1106">
        <v>6345000</v>
      </c>
      <c r="I1106" t="s">
        <v>3352</v>
      </c>
      <c r="J1106" t="s">
        <v>3353</v>
      </c>
      <c r="K1106" t="s">
        <v>41</v>
      </c>
    </row>
    <row r="1107" spans="1:11" ht="20" customHeight="1">
      <c r="A1107" t="s">
        <v>25</v>
      </c>
      <c r="B1107" t="s">
        <v>3354</v>
      </c>
      <c r="C1107">
        <v>250.5599975585938</v>
      </c>
      <c r="D1107">
        <v>251.3899993896484</v>
      </c>
      <c r="E1107">
        <v>250.2700042724609</v>
      </c>
      <c r="F1107">
        <v>250.6000061035156</v>
      </c>
      <c r="G1107">
        <v>250.6000061035156</v>
      </c>
      <c r="H1107">
        <v>9236000</v>
      </c>
      <c r="I1107" t="s">
        <v>3355</v>
      </c>
      <c r="J1107" t="s">
        <v>3356</v>
      </c>
      <c r="K1107" t="s">
        <v>41</v>
      </c>
    </row>
    <row r="1108" spans="1:11" ht="20" customHeight="1">
      <c r="A1108" t="s">
        <v>25</v>
      </c>
      <c r="B1108" t="s">
        <v>3357</v>
      </c>
      <c r="C1108">
        <v>249.6999969482422</v>
      </c>
      <c r="D1108">
        <v>250.8099975585938</v>
      </c>
      <c r="E1108">
        <v>249.1499938964844</v>
      </c>
      <c r="F1108">
        <v>249.2700042724609</v>
      </c>
      <c r="G1108">
        <v>249.2700042724609</v>
      </c>
      <c r="H1108">
        <v>8312900</v>
      </c>
      <c r="I1108" t="s">
        <v>3358</v>
      </c>
      <c r="J1108" t="s">
        <v>3359</v>
      </c>
      <c r="K1108" t="s">
        <v>41</v>
      </c>
    </row>
    <row r="1109" spans="1:11" ht="20" customHeight="1">
      <c r="A1109" t="s">
        <v>25</v>
      </c>
      <c r="B1109" t="s">
        <v>3360</v>
      </c>
      <c r="C1109">
        <v>251.9499969482422</v>
      </c>
      <c r="D1109">
        <v>253.3600006103516</v>
      </c>
      <c r="E1109">
        <v>251.8300018310547</v>
      </c>
      <c r="F1109">
        <v>253.1300048828125</v>
      </c>
      <c r="G1109">
        <v>253.1300048828125</v>
      </c>
      <c r="H1109">
        <v>7668100</v>
      </c>
      <c r="I1109" t="s">
        <v>3361</v>
      </c>
      <c r="J1109" t="s">
        <v>3362</v>
      </c>
      <c r="K1109" t="s">
        <v>41</v>
      </c>
    </row>
    <row r="1110" spans="1:11" ht="20" customHeight="1">
      <c r="A1110" t="s">
        <v>25</v>
      </c>
      <c r="B1110" t="s">
        <v>3363</v>
      </c>
      <c r="C1110">
        <v>254.2899932861328</v>
      </c>
      <c r="D1110">
        <v>254.6799926757812</v>
      </c>
      <c r="E1110">
        <v>253.7799987792969</v>
      </c>
      <c r="F1110">
        <v>254.4299926757812</v>
      </c>
      <c r="G1110">
        <v>254.4299926757812</v>
      </c>
      <c r="H1110">
        <v>5213800</v>
      </c>
      <c r="I1110" t="s">
        <v>3364</v>
      </c>
      <c r="J1110" t="s">
        <v>3365</v>
      </c>
      <c r="K1110" t="s">
        <v>41</v>
      </c>
    </row>
    <row r="1111" spans="1:11" ht="20" customHeight="1">
      <c r="A1111" t="s">
        <v>25</v>
      </c>
      <c r="B1111" t="s">
        <v>3366</v>
      </c>
      <c r="C1111">
        <v>253.1900024414062</v>
      </c>
      <c r="D1111">
        <v>254.5399932861328</v>
      </c>
      <c r="E1111">
        <v>252.8200073242188</v>
      </c>
      <c r="F1111">
        <v>254.0700073242188</v>
      </c>
      <c r="G1111">
        <v>254.0700073242188</v>
      </c>
      <c r="H1111">
        <v>6511500</v>
      </c>
      <c r="I1111" t="s">
        <v>3367</v>
      </c>
      <c r="J1111" t="s">
        <v>3368</v>
      </c>
      <c r="K1111" t="s">
        <v>41</v>
      </c>
    </row>
    <row r="1112" spans="1:11" ht="20" customHeight="1">
      <c r="A1112" t="s">
        <v>25</v>
      </c>
      <c r="B1112" t="s">
        <v>3369</v>
      </c>
      <c r="C1112">
        <v>255.9600067138672</v>
      </c>
      <c r="D1112">
        <v>257.0700073242188</v>
      </c>
      <c r="E1112">
        <v>255.6100006103516</v>
      </c>
      <c r="F1112">
        <v>255.6499938964844</v>
      </c>
      <c r="G1112">
        <v>255.6499938964844</v>
      </c>
      <c r="H1112">
        <v>7341300</v>
      </c>
      <c r="I1112" t="s">
        <v>3370</v>
      </c>
      <c r="J1112" t="s">
        <v>3371</v>
      </c>
      <c r="K1112" t="s">
        <v>41</v>
      </c>
    </row>
    <row r="1113" spans="1:11" ht="20" customHeight="1">
      <c r="A1113" t="s">
        <v>25</v>
      </c>
      <c r="B1113" t="s">
        <v>3372</v>
      </c>
      <c r="C1113">
        <v>253.8600006103516</v>
      </c>
      <c r="D1113">
        <v>254.2599945068359</v>
      </c>
      <c r="E1113">
        <v>251.9199981689453</v>
      </c>
      <c r="F1113">
        <v>252.9900054931641</v>
      </c>
      <c r="G1113">
        <v>252.9900054931641</v>
      </c>
      <c r="H1113">
        <v>5799800</v>
      </c>
      <c r="I1113" t="s">
        <v>3373</v>
      </c>
      <c r="J1113" t="s">
        <v>3374</v>
      </c>
      <c r="K1113" t="s">
        <v>41</v>
      </c>
    </row>
    <row r="1114" spans="1:11" ht="20" customHeight="1">
      <c r="A1114" t="s">
        <v>25</v>
      </c>
      <c r="B1114" t="s">
        <v>3375</v>
      </c>
      <c r="C1114">
        <v>254.2299957275391</v>
      </c>
      <c r="D1114">
        <v>255.25</v>
      </c>
      <c r="E1114">
        <v>253.8899993896484</v>
      </c>
      <c r="F1114">
        <v>255.1799926757812</v>
      </c>
      <c r="G1114">
        <v>255.1799926757812</v>
      </c>
      <c r="H1114">
        <v>5332000</v>
      </c>
      <c r="I1114" t="s">
        <v>3376</v>
      </c>
      <c r="J1114" t="s">
        <v>3377</v>
      </c>
      <c r="K1114" t="s">
        <v>41</v>
      </c>
    </row>
    <row r="1115" spans="1:11" ht="20" customHeight="1">
      <c r="A1115" t="s">
        <v>25</v>
      </c>
      <c r="B1115" t="s">
        <v>3378</v>
      </c>
      <c r="C1115">
        <v>254.5500030517578</v>
      </c>
      <c r="D1115">
        <v>254.8200073242188</v>
      </c>
      <c r="E1115">
        <v>253.3000030517578</v>
      </c>
      <c r="F1115">
        <v>254.1999969482422</v>
      </c>
      <c r="G1115">
        <v>254.1999969482422</v>
      </c>
      <c r="H1115">
        <v>5671800</v>
      </c>
      <c r="I1115" t="s">
        <v>3379</v>
      </c>
      <c r="J1115" t="s">
        <v>3380</v>
      </c>
      <c r="K1115" t="s">
        <v>41</v>
      </c>
    </row>
    <row r="1116" spans="1:11" ht="20" customHeight="1">
      <c r="A1116" t="s">
        <v>25</v>
      </c>
      <c r="B1116" t="s">
        <v>3381</v>
      </c>
      <c r="C1116">
        <v>257.2000122070312</v>
      </c>
      <c r="D1116">
        <v>258.2900085449219</v>
      </c>
      <c r="E1116">
        <v>256.4500122070312</v>
      </c>
      <c r="F1116">
        <v>258.0499877929688</v>
      </c>
      <c r="G1116">
        <v>258.0499877929688</v>
      </c>
      <c r="H1116">
        <v>12981200</v>
      </c>
      <c r="I1116" t="s">
        <v>3382</v>
      </c>
      <c r="J1116" t="s">
        <v>3383</v>
      </c>
      <c r="K1116" t="s">
        <v>41</v>
      </c>
    </row>
    <row r="1117" spans="1:11" ht="20" customHeight="1">
      <c r="A1117" t="s">
        <v>25</v>
      </c>
      <c r="B1117" t="s">
        <v>3384</v>
      </c>
      <c r="C1117">
        <v>259.0799865722656</v>
      </c>
      <c r="D1117">
        <v>259.989990234375</v>
      </c>
      <c r="E1117">
        <v>257.8599853515625</v>
      </c>
      <c r="F1117">
        <v>258.5599975585938</v>
      </c>
      <c r="G1117">
        <v>258.5599975585938</v>
      </c>
      <c r="H1117">
        <v>8961100</v>
      </c>
      <c r="I1117" t="s">
        <v>3385</v>
      </c>
      <c r="J1117" t="s">
        <v>3386</v>
      </c>
      <c r="K1117" t="s">
        <v>41</v>
      </c>
    </row>
    <row r="1118" spans="1:11" ht="20" customHeight="1">
      <c r="A1118" t="s">
        <v>25</v>
      </c>
      <c r="B1118" t="s">
        <v>3387</v>
      </c>
      <c r="C1118">
        <v>259.75</v>
      </c>
      <c r="D1118">
        <v>261.3900146484375</v>
      </c>
      <c r="E1118">
        <v>259.5199890136719</v>
      </c>
      <c r="F1118">
        <v>259.9400024414062</v>
      </c>
      <c r="G1118">
        <v>259.9400024414062</v>
      </c>
      <c r="H1118">
        <v>11521100</v>
      </c>
      <c r="I1118" t="s">
        <v>3388</v>
      </c>
      <c r="J1118" t="s">
        <v>3389</v>
      </c>
      <c r="K1118" t="s">
        <v>41</v>
      </c>
    </row>
    <row r="1119" spans="1:11" ht="20" customHeight="1">
      <c r="A1119" t="s">
        <v>25</v>
      </c>
      <c r="B1119" t="s">
        <v>3390</v>
      </c>
      <c r="C1119">
        <v>261.8299865722656</v>
      </c>
      <c r="D1119">
        <v>262.5400085449219</v>
      </c>
      <c r="E1119">
        <v>261.3500061035156</v>
      </c>
      <c r="F1119">
        <v>262.5</v>
      </c>
      <c r="G1119">
        <v>262.5</v>
      </c>
      <c r="H1119">
        <v>9850400</v>
      </c>
      <c r="I1119" t="s">
        <v>3391</v>
      </c>
      <c r="J1119" t="s">
        <v>3392</v>
      </c>
      <c r="K1119" t="s">
        <v>41</v>
      </c>
    </row>
    <row r="1120" spans="1:11" ht="20" customHeight="1">
      <c r="A1120" t="s">
        <v>25</v>
      </c>
      <c r="B1120" t="s">
        <v>3393</v>
      </c>
      <c r="C1120">
        <v>264.4500122070312</v>
      </c>
      <c r="D1120">
        <v>265.989990234375</v>
      </c>
      <c r="E1120">
        <v>263.8900146484375</v>
      </c>
      <c r="F1120">
        <v>264.1300048828125</v>
      </c>
      <c r="G1120">
        <v>264.1300048828125</v>
      </c>
      <c r="H1120">
        <v>12681100</v>
      </c>
      <c r="I1120" t="s">
        <v>3394</v>
      </c>
      <c r="J1120" t="s">
        <v>3395</v>
      </c>
      <c r="K1120" t="s">
        <v>41</v>
      </c>
    </row>
    <row r="1121" spans="1:11" ht="20" customHeight="1">
      <c r="A1121" t="s">
        <v>25</v>
      </c>
      <c r="B1121" t="s">
        <v>3396</v>
      </c>
      <c r="C1121">
        <v>263.6600036621094</v>
      </c>
      <c r="D1121">
        <v>263.7200012207031</v>
      </c>
      <c r="E1121">
        <v>261.489990234375</v>
      </c>
      <c r="F1121">
        <v>263.4299926757812</v>
      </c>
      <c r="G1121">
        <v>263.4299926757812</v>
      </c>
      <c r="H1121">
        <v>8731400</v>
      </c>
      <c r="I1121" t="s">
        <v>3397</v>
      </c>
      <c r="J1121" t="s">
        <v>3398</v>
      </c>
      <c r="K1121" t="s">
        <v>41</v>
      </c>
    </row>
    <row r="1122" spans="1:11" ht="20" customHeight="1">
      <c r="A1122" t="s">
        <v>25</v>
      </c>
      <c r="B1122" t="s">
        <v>3399</v>
      </c>
      <c r="C1122">
        <v>265.2200012207031</v>
      </c>
      <c r="D1122">
        <v>266.3500061035156</v>
      </c>
      <c r="E1122">
        <v>263.260009765625</v>
      </c>
      <c r="F1122">
        <v>263.8999938964844</v>
      </c>
      <c r="G1122">
        <v>263.8999938964844</v>
      </c>
      <c r="H1122">
        <v>9154000</v>
      </c>
      <c r="I1122" t="s">
        <v>3400</v>
      </c>
      <c r="J1122" t="s">
        <v>3401</v>
      </c>
      <c r="K1122" t="s">
        <v>41</v>
      </c>
    </row>
    <row r="1123" spans="1:11" ht="20" customHeight="1">
      <c r="A1123" t="s">
        <v>25</v>
      </c>
      <c r="B1123" t="s">
        <v>3402</v>
      </c>
      <c r="C1123">
        <v>268</v>
      </c>
      <c r="D1123">
        <v>268.6600036621094</v>
      </c>
      <c r="E1123">
        <v>267.239990234375</v>
      </c>
      <c r="F1123">
        <v>268.3699951171875</v>
      </c>
      <c r="G1123">
        <v>268.3699951171875</v>
      </c>
      <c r="H1123">
        <v>13250300</v>
      </c>
      <c r="I1123" t="s">
        <v>3403</v>
      </c>
      <c r="J1123" t="s">
        <v>3404</v>
      </c>
      <c r="K1123" t="s">
        <v>41</v>
      </c>
    </row>
    <row r="1124" spans="1:11" ht="20" customHeight="1">
      <c r="A1124" t="s">
        <v>25</v>
      </c>
      <c r="B1124" t="s">
        <v>3405</v>
      </c>
      <c r="C1124">
        <v>267.7000122070312</v>
      </c>
      <c r="D1124">
        <v>268.3599853515625</v>
      </c>
      <c r="E1124">
        <v>266.7099914550781</v>
      </c>
      <c r="F1124">
        <v>267.3900146484375</v>
      </c>
      <c r="G1124">
        <v>267.3900146484375</v>
      </c>
      <c r="H1124">
        <v>7169500</v>
      </c>
      <c r="I1124" t="s">
        <v>3406</v>
      </c>
      <c r="J1124" t="s">
        <v>3407</v>
      </c>
      <c r="K1124" t="s">
        <v>41</v>
      </c>
    </row>
    <row r="1125" spans="1:11" ht="20" customHeight="1">
      <c r="A1125" t="s">
        <v>25</v>
      </c>
      <c r="B1125" t="s">
        <v>3408</v>
      </c>
      <c r="C1125">
        <v>267.1499938964844</v>
      </c>
      <c r="D1125">
        <v>268.4299926757812</v>
      </c>
      <c r="E1125">
        <v>266.3500061035156</v>
      </c>
      <c r="F1125">
        <v>267.6700134277344</v>
      </c>
      <c r="G1125">
        <v>267.6700134277344</v>
      </c>
      <c r="H1125">
        <v>9328600</v>
      </c>
      <c r="I1125" t="s">
        <v>3409</v>
      </c>
      <c r="J1125" t="s">
        <v>3410</v>
      </c>
      <c r="K1125" t="s">
        <v>41</v>
      </c>
    </row>
    <row r="1126" spans="1:11" ht="20" customHeight="1">
      <c r="A1126" t="s">
        <v>25</v>
      </c>
      <c r="B1126" t="s">
        <v>3411</v>
      </c>
      <c r="C1126">
        <v>268.3999938964844</v>
      </c>
      <c r="D1126">
        <v>270.3900146484375</v>
      </c>
      <c r="E1126">
        <v>268.2200012207031</v>
      </c>
      <c r="F1126">
        <v>270.3099975585938</v>
      </c>
      <c r="G1126">
        <v>270.3099975585938</v>
      </c>
      <c r="H1126">
        <v>8347500</v>
      </c>
      <c r="I1126" t="s">
        <v>3412</v>
      </c>
      <c r="J1126" t="s">
        <v>3413</v>
      </c>
      <c r="K1126" t="s">
        <v>41</v>
      </c>
    </row>
    <row r="1127" spans="1:11" ht="20" customHeight="1">
      <c r="A1127" t="s">
        <v>25</v>
      </c>
      <c r="B1127" t="s">
        <v>3414</v>
      </c>
      <c r="C1127">
        <v>270.0700073242188</v>
      </c>
      <c r="D1127">
        <v>270.2099914550781</v>
      </c>
      <c r="E1127">
        <v>265.4500122070312</v>
      </c>
      <c r="F1127">
        <v>266.2900085449219</v>
      </c>
      <c r="G1127">
        <v>266.2900085449219</v>
      </c>
      <c r="H1127">
        <v>11546700</v>
      </c>
      <c r="I1127" t="s">
        <v>3415</v>
      </c>
      <c r="J1127" t="s">
        <v>3416</v>
      </c>
      <c r="K1127" t="s">
        <v>41</v>
      </c>
    </row>
    <row r="1128" spans="1:11" ht="20" customHeight="1">
      <c r="A1128" t="s">
        <v>25</v>
      </c>
      <c r="B1128" t="s">
        <v>3417</v>
      </c>
      <c r="C1128">
        <v>269.6799926757812</v>
      </c>
      <c r="D1128">
        <v>271.010009765625</v>
      </c>
      <c r="E1128">
        <v>269.6000061035156</v>
      </c>
      <c r="F1128">
        <v>270.7000122070312</v>
      </c>
      <c r="G1128">
        <v>270.7000122070312</v>
      </c>
      <c r="H1128">
        <v>8185900</v>
      </c>
      <c r="I1128" t="s">
        <v>3418</v>
      </c>
      <c r="J1128" t="s">
        <v>3419</v>
      </c>
      <c r="K1128" t="s">
        <v>41</v>
      </c>
    </row>
    <row r="1129" spans="1:11" ht="20" customHeight="1">
      <c r="A1129" t="s">
        <v>25</v>
      </c>
      <c r="B1129" t="s">
        <v>3420</v>
      </c>
      <c r="C1129">
        <v>270.6799926757812</v>
      </c>
      <c r="D1129">
        <v>271.3299865722656</v>
      </c>
      <c r="E1129">
        <v>269.239990234375</v>
      </c>
      <c r="F1129">
        <v>270.8500061035156</v>
      </c>
      <c r="G1129">
        <v>270.8500061035156</v>
      </c>
      <c r="H1129">
        <v>9342500</v>
      </c>
      <c r="I1129" t="s">
        <v>3421</v>
      </c>
      <c r="J1129" t="s">
        <v>3422</v>
      </c>
      <c r="K1129" t="s">
        <v>41</v>
      </c>
    </row>
    <row r="1130" spans="1:11" ht="20" customHeight="1">
      <c r="A1130" t="s">
        <v>25</v>
      </c>
      <c r="B1130" t="s">
        <v>3423</v>
      </c>
      <c r="C1130">
        <v>270.2300109863281</v>
      </c>
      <c r="D1130">
        <v>271.8399963378906</v>
      </c>
      <c r="E1130">
        <v>270.1700134277344</v>
      </c>
      <c r="F1130">
        <v>270.989990234375</v>
      </c>
      <c r="G1130">
        <v>270.989990234375</v>
      </c>
      <c r="H1130">
        <v>7356900</v>
      </c>
      <c r="I1130" t="s">
        <v>3424</v>
      </c>
      <c r="J1130" t="s">
        <v>3425</v>
      </c>
      <c r="K1130" t="s">
        <v>41</v>
      </c>
    </row>
    <row r="1131" spans="1:11" ht="20" customHeight="1">
      <c r="A1131" t="s">
        <v>25</v>
      </c>
      <c r="B1131" t="s">
        <v>3426</v>
      </c>
      <c r="C1131">
        <v>270.7999877929688</v>
      </c>
      <c r="D1131">
        <v>271.510009765625</v>
      </c>
      <c r="E1131">
        <v>269.510009765625</v>
      </c>
      <c r="F1131">
        <v>270.739990234375</v>
      </c>
      <c r="G1131">
        <v>270.739990234375</v>
      </c>
      <c r="H1131">
        <v>8917400</v>
      </c>
      <c r="I1131" t="s">
        <v>3427</v>
      </c>
      <c r="J1131" t="s">
        <v>3428</v>
      </c>
      <c r="K1131" t="s">
        <v>41</v>
      </c>
    </row>
    <row r="1132" spans="1:11" ht="20" customHeight="1">
      <c r="A1132" t="s">
        <v>25</v>
      </c>
      <c r="B1132" t="s">
        <v>3429</v>
      </c>
      <c r="C1132">
        <v>271.4500122070312</v>
      </c>
      <c r="D1132">
        <v>272.3200073242188</v>
      </c>
      <c r="E1132">
        <v>270.3800048828125</v>
      </c>
      <c r="F1132">
        <v>272.2099914550781</v>
      </c>
      <c r="G1132">
        <v>272.2099914550781</v>
      </c>
      <c r="H1132">
        <v>5374400</v>
      </c>
      <c r="I1132" t="s">
        <v>3430</v>
      </c>
      <c r="J1132" t="s">
        <v>3431</v>
      </c>
      <c r="K1132" t="s">
        <v>41</v>
      </c>
    </row>
    <row r="1133" spans="1:11" ht="20" customHeight="1">
      <c r="A1133" t="s">
        <v>25</v>
      </c>
      <c r="B1133" t="s">
        <v>3432</v>
      </c>
      <c r="C1133">
        <v>271.4599914550781</v>
      </c>
      <c r="D1133">
        <v>271.6799926757812</v>
      </c>
      <c r="E1133">
        <v>266.4500122070312</v>
      </c>
      <c r="F1133">
        <v>268.6199951171875</v>
      </c>
      <c r="G1133">
        <v>268.6199951171875</v>
      </c>
      <c r="H1133">
        <v>10079800</v>
      </c>
      <c r="I1133" t="s">
        <v>3433</v>
      </c>
      <c r="J1133" t="s">
        <v>3434</v>
      </c>
      <c r="K1133" t="s">
        <v>41</v>
      </c>
    </row>
    <row r="1134" spans="1:11" ht="20" customHeight="1">
      <c r="A1134" t="s">
        <v>25</v>
      </c>
      <c r="B1134" t="s">
        <v>3435</v>
      </c>
      <c r="C1134">
        <v>267.0799865722656</v>
      </c>
      <c r="D1134">
        <v>269.0799865722656</v>
      </c>
      <c r="E1134">
        <v>266.6600036621094</v>
      </c>
      <c r="F1134">
        <v>269.0299987792969</v>
      </c>
      <c r="G1134">
        <v>269.0299987792969</v>
      </c>
      <c r="H1134">
        <v>7276000</v>
      </c>
      <c r="I1134" t="s">
        <v>3436</v>
      </c>
      <c r="J1134" t="s">
        <v>3437</v>
      </c>
      <c r="K1134" t="s">
        <v>41</v>
      </c>
    </row>
    <row r="1135" spans="1:11" ht="20" customHeight="1">
      <c r="A1135" t="s">
        <v>25</v>
      </c>
      <c r="B1135" t="s">
        <v>3438</v>
      </c>
      <c r="C1135">
        <v>266.489990234375</v>
      </c>
      <c r="D1135">
        <v>266.6700134277344</v>
      </c>
      <c r="E1135">
        <v>264.4500122070312</v>
      </c>
      <c r="F1135">
        <v>264.9299926757812</v>
      </c>
      <c r="G1135">
        <v>264.9299926757812</v>
      </c>
      <c r="H1135">
        <v>9374600</v>
      </c>
      <c r="I1135" t="s">
        <v>3439</v>
      </c>
      <c r="J1135" t="s">
        <v>3440</v>
      </c>
      <c r="K1135" t="s">
        <v>41</v>
      </c>
    </row>
    <row r="1136" spans="1:11" ht="20" customHeight="1">
      <c r="A1136" t="s">
        <v>25</v>
      </c>
      <c r="B1136" t="s">
        <v>3441</v>
      </c>
      <c r="C1136">
        <v>262.5599975585938</v>
      </c>
      <c r="D1136">
        <v>263.3999938964844</v>
      </c>
      <c r="E1136">
        <v>261.25</v>
      </c>
      <c r="F1136">
        <v>263.2699890136719</v>
      </c>
      <c r="G1136">
        <v>263.2699890136719</v>
      </c>
      <c r="H1136">
        <v>11504500</v>
      </c>
      <c r="I1136" t="s">
        <v>3442</v>
      </c>
      <c r="J1136" t="s">
        <v>3443</v>
      </c>
      <c r="K1136" t="s">
        <v>41</v>
      </c>
    </row>
    <row r="1137" spans="1:11" ht="20" customHeight="1">
      <c r="A1137" t="s">
        <v>25</v>
      </c>
      <c r="B1137" t="s">
        <v>3444</v>
      </c>
      <c r="C1137">
        <v>265.0700073242188</v>
      </c>
      <c r="D1137">
        <v>266.8800048828125</v>
      </c>
      <c r="E1137">
        <v>265.0700073242188</v>
      </c>
      <c r="F1137">
        <v>266.739990234375</v>
      </c>
      <c r="G1137">
        <v>266.739990234375</v>
      </c>
      <c r="H1137">
        <v>7725600</v>
      </c>
      <c r="I1137" t="s">
        <v>3445</v>
      </c>
      <c r="J1137" t="s">
        <v>3446</v>
      </c>
      <c r="K1137" t="s">
        <v>41</v>
      </c>
    </row>
    <row r="1138" spans="1:11" ht="20" customHeight="1">
      <c r="A1138" t="s">
        <v>25</v>
      </c>
      <c r="B1138" t="s">
        <v>3447</v>
      </c>
      <c r="C1138">
        <v>269.010009765625</v>
      </c>
      <c r="D1138">
        <v>269.3999938964844</v>
      </c>
      <c r="E1138">
        <v>267.5199890136719</v>
      </c>
      <c r="F1138">
        <v>269.0599975585938</v>
      </c>
      <c r="G1138">
        <v>269.0599975585938</v>
      </c>
      <c r="H1138">
        <v>8481300</v>
      </c>
      <c r="I1138" t="s">
        <v>3448</v>
      </c>
      <c r="J1138" t="s">
        <v>3449</v>
      </c>
      <c r="K1138" t="s">
        <v>41</v>
      </c>
    </row>
    <row r="1139" spans="1:11" ht="20" customHeight="1">
      <c r="A1139" t="s">
        <v>25</v>
      </c>
      <c r="B1139" t="s">
        <v>3450</v>
      </c>
      <c r="C1139">
        <v>267.9700012207031</v>
      </c>
      <c r="D1139">
        <v>270.260009765625</v>
      </c>
      <c r="E1139">
        <v>267.9599914550781</v>
      </c>
      <c r="F1139">
        <v>269.6199951171875</v>
      </c>
      <c r="G1139">
        <v>269.6199951171875</v>
      </c>
      <c r="H1139">
        <v>6990400</v>
      </c>
      <c r="I1139" t="s">
        <v>3451</v>
      </c>
      <c r="J1139" t="s">
        <v>3452</v>
      </c>
      <c r="K1139" t="s">
        <v>41</v>
      </c>
    </row>
    <row r="1140" spans="1:11" ht="20" customHeight="1">
      <c r="A1140" t="s">
        <v>25</v>
      </c>
      <c r="B1140" t="s">
        <v>3453</v>
      </c>
      <c r="C1140">
        <v>268.25</v>
      </c>
      <c r="D1140">
        <v>269.510009765625</v>
      </c>
      <c r="E1140">
        <v>268.1600036621094</v>
      </c>
      <c r="F1140">
        <v>268.25</v>
      </c>
      <c r="G1140">
        <v>268.25</v>
      </c>
      <c r="H1140">
        <v>6136400</v>
      </c>
      <c r="I1140" t="s">
        <v>3454</v>
      </c>
      <c r="J1140" t="s">
        <v>3455</v>
      </c>
      <c r="K1140" t="s">
        <v>41</v>
      </c>
    </row>
    <row r="1141" spans="1:11" ht="20" customHeight="1">
      <c r="A1141" t="s">
        <v>25</v>
      </c>
      <c r="B1141" t="s">
        <v>3456</v>
      </c>
      <c r="C1141">
        <v>269.0899963378906</v>
      </c>
      <c r="D1141">
        <v>270.3399963378906</v>
      </c>
      <c r="E1141">
        <v>267.6400146484375</v>
      </c>
      <c r="F1141">
        <v>268.3900146484375</v>
      </c>
      <c r="G1141">
        <v>268.3900146484375</v>
      </c>
      <c r="H1141">
        <v>10431200</v>
      </c>
      <c r="I1141" t="s">
        <v>3457</v>
      </c>
      <c r="J1141" t="s">
        <v>3458</v>
      </c>
      <c r="K1141" t="s">
        <v>41</v>
      </c>
    </row>
    <row r="1142" spans="1:11" ht="20" customHeight="1">
      <c r="A1142" t="s">
        <v>25</v>
      </c>
      <c r="B1142" t="s">
        <v>3459</v>
      </c>
      <c r="C1142">
        <v>267.6199951171875</v>
      </c>
      <c r="D1142">
        <v>268.4400024414062</v>
      </c>
      <c r="E1142">
        <v>265.6400146484375</v>
      </c>
      <c r="F1142">
        <v>266.0400085449219</v>
      </c>
      <c r="G1142">
        <v>266.0400085449219</v>
      </c>
      <c r="H1142">
        <v>7593900</v>
      </c>
      <c r="I1142" t="s">
        <v>3460</v>
      </c>
      <c r="J1142" t="s">
        <v>3461</v>
      </c>
      <c r="K1142" t="s">
        <v>41</v>
      </c>
    </row>
    <row r="1143" spans="1:11" ht="20" customHeight="1">
      <c r="A1143" t="s">
        <v>25</v>
      </c>
      <c r="B1143" t="s">
        <v>3462</v>
      </c>
      <c r="C1143">
        <v>268.4700012207031</v>
      </c>
      <c r="D1143">
        <v>269.7300109863281</v>
      </c>
      <c r="E1143">
        <v>268.4400024414062</v>
      </c>
      <c r="F1143">
        <v>269.1600036621094</v>
      </c>
      <c r="G1143">
        <v>269.1600036621094</v>
      </c>
      <c r="H1143">
        <v>8436600</v>
      </c>
      <c r="I1143" t="s">
        <v>3463</v>
      </c>
      <c r="J1143" t="s">
        <v>3464</v>
      </c>
      <c r="K1143" t="s">
        <v>41</v>
      </c>
    </row>
    <row r="1144" spans="1:11" ht="20" customHeight="1">
      <c r="A1144" t="s">
        <v>25</v>
      </c>
      <c r="B1144" t="s">
        <v>3465</v>
      </c>
      <c r="C1144">
        <v>268.4700012207031</v>
      </c>
      <c r="D1144">
        <v>271.2300109863281</v>
      </c>
      <c r="E1144">
        <v>268.3599853515625</v>
      </c>
      <c r="F1144">
        <v>270.3299865722656</v>
      </c>
      <c r="G1144">
        <v>270.3299865722656</v>
      </c>
      <c r="H1144">
        <v>7236200</v>
      </c>
      <c r="I1144" t="s">
        <v>3466</v>
      </c>
      <c r="J1144" t="s">
        <v>3467</v>
      </c>
      <c r="K1144" t="s">
        <v>41</v>
      </c>
    </row>
    <row r="1145" spans="1:11" ht="20" customHeight="1">
      <c r="A1145" t="s">
        <v>25</v>
      </c>
      <c r="B1145" t="s">
        <v>3468</v>
      </c>
      <c r="C1145">
        <v>271.5700073242188</v>
      </c>
      <c r="D1145">
        <v>275.3500061035156</v>
      </c>
      <c r="E1145">
        <v>271.5499877929688</v>
      </c>
      <c r="F1145">
        <v>275.1300048828125</v>
      </c>
      <c r="G1145">
        <v>275.1300048828125</v>
      </c>
      <c r="H1145">
        <v>13741500</v>
      </c>
      <c r="I1145" t="s">
        <v>3469</v>
      </c>
      <c r="J1145" t="s">
        <v>3470</v>
      </c>
      <c r="K1145" t="s">
        <v>41</v>
      </c>
    </row>
    <row r="1146" spans="1:11" ht="20" customHeight="1">
      <c r="A1146" t="s">
        <v>25</v>
      </c>
      <c r="B1146" t="s">
        <v>3471</v>
      </c>
      <c r="C1146">
        <v>276.2699890136719</v>
      </c>
      <c r="D1146">
        <v>276.2999877929688</v>
      </c>
      <c r="E1146">
        <v>274.6600036621094</v>
      </c>
      <c r="F1146">
        <v>275.239990234375</v>
      </c>
      <c r="G1146">
        <v>275.239990234375</v>
      </c>
      <c r="H1146">
        <v>13365000</v>
      </c>
      <c r="I1146" t="s">
        <v>3472</v>
      </c>
      <c r="J1146" t="s">
        <v>3473</v>
      </c>
      <c r="K1146" t="s">
        <v>41</v>
      </c>
    </row>
    <row r="1147" spans="1:11" ht="20" customHeight="1">
      <c r="A1147" t="s">
        <v>25</v>
      </c>
      <c r="B1147" t="s">
        <v>3474</v>
      </c>
      <c r="C1147">
        <v>275.5400085449219</v>
      </c>
      <c r="D1147">
        <v>276.7900085449219</v>
      </c>
      <c r="E1147">
        <v>275.3900146484375</v>
      </c>
      <c r="F1147">
        <v>276.7300109863281</v>
      </c>
      <c r="G1147">
        <v>276.7300109863281</v>
      </c>
      <c r="H1147">
        <v>8583400</v>
      </c>
      <c r="I1147" t="s">
        <v>3475</v>
      </c>
      <c r="J1147" t="s">
        <v>3476</v>
      </c>
      <c r="K1147" t="s">
        <v>41</v>
      </c>
    </row>
    <row r="1148" spans="1:11" ht="20" customHeight="1">
      <c r="A1148" t="s">
        <v>25</v>
      </c>
      <c r="B1148" t="s">
        <v>3477</v>
      </c>
      <c r="C1148">
        <v>279.8999938964844</v>
      </c>
      <c r="D1148">
        <v>280.2099914550781</v>
      </c>
      <c r="E1148">
        <v>278.9700012207031</v>
      </c>
      <c r="F1148">
        <v>279.9599914550781</v>
      </c>
      <c r="G1148">
        <v>279.9599914550781</v>
      </c>
      <c r="H1148">
        <v>9596500</v>
      </c>
      <c r="I1148" t="s">
        <v>3478</v>
      </c>
      <c r="J1148" t="s">
        <v>3479</v>
      </c>
      <c r="K1148" t="s">
        <v>41</v>
      </c>
    </row>
    <row r="1149" spans="1:11" ht="20" customHeight="1">
      <c r="A1149" t="s">
        <v>25</v>
      </c>
      <c r="B1149" t="s">
        <v>3480</v>
      </c>
      <c r="C1149">
        <v>279.8500061035156</v>
      </c>
      <c r="D1149">
        <v>281.4800109863281</v>
      </c>
      <c r="E1149">
        <v>279.0599975585938</v>
      </c>
      <c r="F1149">
        <v>281.1099853515625</v>
      </c>
      <c r="G1149">
        <v>281.1099853515625</v>
      </c>
      <c r="H1149">
        <v>8822200</v>
      </c>
      <c r="I1149" t="s">
        <v>3481</v>
      </c>
      <c r="J1149" t="s">
        <v>3482</v>
      </c>
      <c r="K1149" t="s">
        <v>41</v>
      </c>
    </row>
    <row r="1150" spans="1:11" ht="20" customHeight="1">
      <c r="A1150" t="s">
        <v>25</v>
      </c>
      <c r="B1150" t="s">
        <v>3483</v>
      </c>
      <c r="C1150">
        <v>279.489990234375</v>
      </c>
      <c r="D1150">
        <v>280.8999938964844</v>
      </c>
      <c r="E1150">
        <v>279.4299926757812</v>
      </c>
      <c r="F1150">
        <v>280.75</v>
      </c>
      <c r="G1150">
        <v>280.75</v>
      </c>
      <c r="H1150">
        <v>5863300</v>
      </c>
      <c r="I1150" t="s">
        <v>3484</v>
      </c>
      <c r="J1150" t="s">
        <v>3485</v>
      </c>
      <c r="K1150" t="s">
        <v>41</v>
      </c>
    </row>
    <row r="1151" spans="1:11" ht="20" customHeight="1">
      <c r="A1151" t="s">
        <v>25</v>
      </c>
      <c r="B1151" t="s">
        <v>3486</v>
      </c>
      <c r="C1151">
        <v>279.4599914550781</v>
      </c>
      <c r="D1151">
        <v>279.4599914550781</v>
      </c>
      <c r="E1151">
        <v>276.5899963378906</v>
      </c>
      <c r="F1151">
        <v>278.489990234375</v>
      </c>
      <c r="G1151">
        <v>278.489990234375</v>
      </c>
      <c r="H1151">
        <v>9359300</v>
      </c>
      <c r="I1151" t="s">
        <v>3487</v>
      </c>
      <c r="J1151" t="s">
        <v>3488</v>
      </c>
      <c r="K1151" t="s">
        <v>41</v>
      </c>
    </row>
    <row r="1152" spans="1:11" ht="20" customHeight="1">
      <c r="A1152" t="s">
        <v>25</v>
      </c>
      <c r="B1152" t="s">
        <v>3489</v>
      </c>
      <c r="C1152">
        <v>278.9100036621094</v>
      </c>
      <c r="D1152">
        <v>279.0899963378906</v>
      </c>
      <c r="E1152">
        <v>276.8599853515625</v>
      </c>
      <c r="F1152">
        <v>277.25</v>
      </c>
      <c r="G1152">
        <v>277.25</v>
      </c>
      <c r="H1152">
        <v>7870100</v>
      </c>
      <c r="I1152" t="s">
        <v>3490</v>
      </c>
      <c r="J1152" t="s">
        <v>3491</v>
      </c>
      <c r="K1152" t="s">
        <v>41</v>
      </c>
    </row>
    <row r="1153" spans="1:11" ht="20" customHeight="1">
      <c r="A1153" t="s">
        <v>25</v>
      </c>
      <c r="B1153" t="s">
        <v>3492</v>
      </c>
      <c r="C1153">
        <v>278.7799987792969</v>
      </c>
      <c r="D1153">
        <v>279.9599914550781</v>
      </c>
      <c r="E1153">
        <v>278.2699890136719</v>
      </c>
      <c r="F1153">
        <v>278.4700012207031</v>
      </c>
      <c r="G1153">
        <v>278.4700012207031</v>
      </c>
      <c r="H1153">
        <v>5090200</v>
      </c>
      <c r="I1153" t="s">
        <v>3493</v>
      </c>
      <c r="J1153" t="s">
        <v>3494</v>
      </c>
      <c r="K1153" t="s">
        <v>41</v>
      </c>
    </row>
    <row r="1154" spans="1:11" ht="20" customHeight="1">
      <c r="A1154" t="s">
        <v>25</v>
      </c>
      <c r="B1154" t="s">
        <v>3495</v>
      </c>
      <c r="C1154">
        <v>278.9299926757812</v>
      </c>
      <c r="D1154">
        <v>279.0199890136719</v>
      </c>
      <c r="E1154">
        <v>277.7799987792969</v>
      </c>
      <c r="F1154">
        <v>278.239990234375</v>
      </c>
      <c r="G1154">
        <v>278.239990234375</v>
      </c>
      <c r="H1154">
        <v>3717500</v>
      </c>
      <c r="I1154" t="s">
        <v>3496</v>
      </c>
      <c r="J1154" t="s">
        <v>3497</v>
      </c>
      <c r="K1154" t="s">
        <v>41</v>
      </c>
    </row>
    <row r="1155" spans="1:11" ht="20" customHeight="1">
      <c r="A1155" t="s">
        <v>25</v>
      </c>
      <c r="B1155" t="s">
        <v>3498</v>
      </c>
      <c r="C1155">
        <v>280.5499877929688</v>
      </c>
      <c r="D1155">
        <v>282.0700073242188</v>
      </c>
      <c r="E1155">
        <v>279.5899963378906</v>
      </c>
      <c r="F1155">
        <v>281.9700012207031</v>
      </c>
      <c r="G1155">
        <v>281.9700012207031</v>
      </c>
      <c r="H1155">
        <v>8476300</v>
      </c>
      <c r="I1155" t="s">
        <v>3499</v>
      </c>
      <c r="J1155" t="s">
        <v>3500</v>
      </c>
      <c r="K1155" t="s">
        <v>41</v>
      </c>
    </row>
    <row r="1156" spans="1:11" ht="20" customHeight="1">
      <c r="A1156" t="s">
        <v>25</v>
      </c>
      <c r="B1156" t="s">
        <v>3501</v>
      </c>
      <c r="C1156">
        <v>283.8200073242188</v>
      </c>
      <c r="D1156">
        <v>284.6400146484375</v>
      </c>
      <c r="E1156">
        <v>282.8599853515625</v>
      </c>
      <c r="F1156">
        <v>284.0599975585938</v>
      </c>
      <c r="G1156">
        <v>284.0599975585938</v>
      </c>
      <c r="H1156">
        <v>9563700</v>
      </c>
      <c r="I1156" t="s">
        <v>3502</v>
      </c>
      <c r="J1156" t="s">
        <v>3503</v>
      </c>
      <c r="K1156" t="s">
        <v>41</v>
      </c>
    </row>
    <row r="1157" spans="1:11" ht="20" customHeight="1">
      <c r="A1157" t="s">
        <v>25</v>
      </c>
      <c r="B1157" t="s">
        <v>3504</v>
      </c>
      <c r="C1157">
        <v>287.5299987792969</v>
      </c>
      <c r="D1157">
        <v>288.3900146484375</v>
      </c>
      <c r="E1157">
        <v>285.8500061035156</v>
      </c>
      <c r="F1157">
        <v>288.1400146484375</v>
      </c>
      <c r="G1157">
        <v>288.1400146484375</v>
      </c>
      <c r="H1157">
        <v>13925100</v>
      </c>
      <c r="I1157" t="s">
        <v>3505</v>
      </c>
      <c r="J1157" t="s">
        <v>3506</v>
      </c>
      <c r="K1157" t="s">
        <v>41</v>
      </c>
    </row>
    <row r="1158" spans="1:11" ht="20" customHeight="1">
      <c r="A1158" t="s">
        <v>25</v>
      </c>
      <c r="B1158" t="s">
        <v>3507</v>
      </c>
      <c r="C1158">
        <v>288.5400085449219</v>
      </c>
      <c r="D1158">
        <v>289.1300048828125</v>
      </c>
      <c r="E1158">
        <v>285.9100036621094</v>
      </c>
      <c r="F1158">
        <v>287.5700073242188</v>
      </c>
      <c r="G1158">
        <v>287.5700073242188</v>
      </c>
      <c r="H1158">
        <v>15923600</v>
      </c>
      <c r="I1158" t="s">
        <v>3508</v>
      </c>
      <c r="J1158" t="s">
        <v>3509</v>
      </c>
      <c r="K1158" t="s">
        <v>41</v>
      </c>
    </row>
    <row r="1159" spans="1:11" ht="20" customHeight="1">
      <c r="A1159" t="s">
        <v>25</v>
      </c>
      <c r="B1159" t="s">
        <v>3510</v>
      </c>
      <c r="C1159">
        <v>288.2799987792969</v>
      </c>
      <c r="D1159">
        <v>289.0299987792969</v>
      </c>
      <c r="E1159">
        <v>287.3599853515625</v>
      </c>
      <c r="F1159">
        <v>288.1600036621094</v>
      </c>
      <c r="G1159">
        <v>288.1600036621094</v>
      </c>
      <c r="H1159">
        <v>11074800</v>
      </c>
      <c r="I1159" t="s">
        <v>3511</v>
      </c>
      <c r="J1159" t="s">
        <v>3512</v>
      </c>
      <c r="K1159" t="s">
        <v>41</v>
      </c>
    </row>
    <row r="1160" spans="1:11" ht="20" customHeight="1">
      <c r="A1160" t="s">
        <v>25</v>
      </c>
      <c r="B1160" t="s">
        <v>3513</v>
      </c>
      <c r="C1160">
        <v>282.7799987792969</v>
      </c>
      <c r="D1160">
        <v>289.0899963378906</v>
      </c>
      <c r="E1160">
        <v>282.4500122070312</v>
      </c>
      <c r="F1160">
        <v>286.4200134277344</v>
      </c>
      <c r="G1160">
        <v>286.4200134277344</v>
      </c>
      <c r="H1160">
        <v>20524400</v>
      </c>
      <c r="I1160" t="s">
        <v>3514</v>
      </c>
      <c r="J1160" t="s">
        <v>3515</v>
      </c>
      <c r="K1160" t="s">
        <v>41</v>
      </c>
    </row>
    <row r="1161" spans="1:11" ht="20" customHeight="1">
      <c r="A1161" t="s">
        <v>25</v>
      </c>
      <c r="B1161" t="s">
        <v>3516</v>
      </c>
      <c r="C1161">
        <v>283.6400146484375</v>
      </c>
      <c r="D1161">
        <v>284.0299987792969</v>
      </c>
      <c r="E1161">
        <v>278.0199890136719</v>
      </c>
      <c r="F1161">
        <v>279.7200012207031</v>
      </c>
      <c r="G1161">
        <v>279.7200012207031</v>
      </c>
      <c r="H1161">
        <v>21517200</v>
      </c>
      <c r="I1161" t="s">
        <v>3517</v>
      </c>
      <c r="J1161" t="s">
        <v>3518</v>
      </c>
      <c r="K1161" t="s">
        <v>41</v>
      </c>
    </row>
    <row r="1162" spans="1:11" ht="20" customHeight="1">
      <c r="A1162" t="s">
        <v>25</v>
      </c>
      <c r="B1162" t="s">
        <v>3519</v>
      </c>
      <c r="C1162">
        <v>278.8599853515625</v>
      </c>
      <c r="D1162">
        <v>280.1400146484375</v>
      </c>
      <c r="E1162">
        <v>272.5799865722656</v>
      </c>
      <c r="F1162">
        <v>273.7099914550781</v>
      </c>
      <c r="G1162">
        <v>273.7099914550781</v>
      </c>
      <c r="H1162">
        <v>19807000</v>
      </c>
      <c r="I1162" t="s">
        <v>3520</v>
      </c>
      <c r="J1162" t="s">
        <v>3521</v>
      </c>
      <c r="K1162" t="s">
        <v>41</v>
      </c>
    </row>
    <row r="1163" spans="1:11" ht="20" customHeight="1">
      <c r="A1163" t="s">
        <v>25</v>
      </c>
      <c r="B1163" t="s">
        <v>3522</v>
      </c>
      <c r="C1163">
        <v>277.8699951171875</v>
      </c>
      <c r="D1163">
        <v>278.3200073242188</v>
      </c>
      <c r="E1163">
        <v>274.239990234375</v>
      </c>
      <c r="F1163">
        <v>275.2000122070312</v>
      </c>
      <c r="G1163">
        <v>275.2000122070312</v>
      </c>
      <c r="H1163">
        <v>12639500</v>
      </c>
      <c r="I1163" t="s">
        <v>3523</v>
      </c>
      <c r="J1163" t="s">
        <v>3524</v>
      </c>
      <c r="K1163" t="s">
        <v>41</v>
      </c>
    </row>
    <row r="1164" spans="1:11" ht="20" customHeight="1">
      <c r="A1164" t="s">
        <v>25</v>
      </c>
      <c r="B1164" t="s">
        <v>3525</v>
      </c>
      <c r="C1164">
        <v>282.2200012207031</v>
      </c>
      <c r="D1164">
        <v>285.8699951171875</v>
      </c>
      <c r="E1164">
        <v>281.0400085449219</v>
      </c>
      <c r="F1164">
        <v>285.3800048828125</v>
      </c>
      <c r="G1164">
        <v>285.3800048828125</v>
      </c>
      <c r="H1164">
        <v>25342200</v>
      </c>
      <c r="I1164" t="s">
        <v>3526</v>
      </c>
      <c r="J1164" t="s">
        <v>3527</v>
      </c>
      <c r="K1164" t="s">
        <v>41</v>
      </c>
    </row>
    <row r="1165" spans="1:11" ht="20" customHeight="1">
      <c r="A1165" t="s">
        <v>25</v>
      </c>
      <c r="B1165" t="s">
        <v>3528</v>
      </c>
      <c r="C1165">
        <v>288.8099975585938</v>
      </c>
      <c r="D1165">
        <v>292.8599853515625</v>
      </c>
      <c r="E1165">
        <v>287.2300109863281</v>
      </c>
      <c r="F1165">
        <v>292.3500061035156</v>
      </c>
      <c r="G1165">
        <v>292.3500061035156</v>
      </c>
      <c r="H1165">
        <v>19837800</v>
      </c>
      <c r="I1165" t="s">
        <v>3529</v>
      </c>
      <c r="J1165" t="s">
        <v>3530</v>
      </c>
      <c r="K1165" t="s">
        <v>41</v>
      </c>
    </row>
    <row r="1166" spans="1:11" ht="20" customHeight="1">
      <c r="A1166" t="s">
        <v>25</v>
      </c>
      <c r="B1166" t="s">
        <v>3531</v>
      </c>
      <c r="C1166">
        <v>297.9599914550781</v>
      </c>
      <c r="D1166">
        <v>299.2699890136719</v>
      </c>
      <c r="E1166">
        <v>296.8099975585938</v>
      </c>
      <c r="F1166">
        <v>297.9299926757812</v>
      </c>
      <c r="G1166">
        <v>297.9299926757812</v>
      </c>
      <c r="H1166">
        <v>21080100</v>
      </c>
      <c r="I1166" t="s">
        <v>3532</v>
      </c>
      <c r="J1166" t="s">
        <v>3533</v>
      </c>
      <c r="K1166" t="s">
        <v>41</v>
      </c>
    </row>
    <row r="1167" spans="1:11" ht="20" customHeight="1">
      <c r="A1167" t="s">
        <v>25</v>
      </c>
      <c r="B1167" t="s">
        <v>3534</v>
      </c>
      <c r="C1167">
        <v>295.5400085449219</v>
      </c>
      <c r="D1167">
        <v>296.5799865722656</v>
      </c>
      <c r="E1167">
        <v>294.5299987792969</v>
      </c>
      <c r="F1167">
        <v>296.2300109863281</v>
      </c>
      <c r="G1167">
        <v>296.2300109863281</v>
      </c>
      <c r="H1167">
        <v>12427600</v>
      </c>
      <c r="I1167" t="s">
        <v>3535</v>
      </c>
      <c r="J1167" t="s">
        <v>3536</v>
      </c>
      <c r="K1167" t="s">
        <v>41</v>
      </c>
    </row>
    <row r="1168" spans="1:11" ht="20" customHeight="1">
      <c r="A1168" t="s">
        <v>25</v>
      </c>
      <c r="B1168" t="s">
        <v>3537</v>
      </c>
      <c r="C1168">
        <v>296.9299926757812</v>
      </c>
      <c r="D1168">
        <v>298.0199890136719</v>
      </c>
      <c r="E1168">
        <v>296.0899963378906</v>
      </c>
      <c r="F1168">
        <v>297.7799987792969</v>
      </c>
      <c r="G1168">
        <v>297.7799987792969</v>
      </c>
      <c r="H1168">
        <v>7924100</v>
      </c>
      <c r="I1168" t="s">
        <v>3538</v>
      </c>
      <c r="J1168" t="s">
        <v>3539</v>
      </c>
      <c r="K1168" t="s">
        <v>41</v>
      </c>
    </row>
    <row r="1169" spans="1:11" ht="20" customHeight="1">
      <c r="A1169" t="s">
        <v>25</v>
      </c>
      <c r="B1169" t="s">
        <v>3540</v>
      </c>
      <c r="C1169">
        <v>304.6499938964844</v>
      </c>
      <c r="D1169">
        <v>308.0599975585938</v>
      </c>
      <c r="E1169">
        <v>303.7999877929688</v>
      </c>
      <c r="F1169">
        <v>307.4700012207031</v>
      </c>
      <c r="G1169">
        <v>307.4700012207031</v>
      </c>
      <c r="H1169">
        <v>20778100</v>
      </c>
      <c r="I1169" t="s">
        <v>3541</v>
      </c>
      <c r="J1169" t="s">
        <v>3542</v>
      </c>
      <c r="K1169" t="s">
        <v>41</v>
      </c>
    </row>
    <row r="1170" spans="1:11" ht="20" customHeight="1">
      <c r="A1170" t="s">
        <v>25</v>
      </c>
      <c r="B1170" t="s">
        <v>3543</v>
      </c>
      <c r="C1170">
        <v>306.3099975585938</v>
      </c>
      <c r="D1170">
        <v>307.1300048828125</v>
      </c>
      <c r="E1170">
        <v>302.7300109863281</v>
      </c>
      <c r="F1170">
        <v>306.1199951171875</v>
      </c>
      <c r="G1170">
        <v>306.1199951171875</v>
      </c>
      <c r="H1170">
        <v>18287800</v>
      </c>
      <c r="I1170" t="s">
        <v>3544</v>
      </c>
      <c r="J1170" t="s">
        <v>3545</v>
      </c>
      <c r="K1170" t="s">
        <v>41</v>
      </c>
    </row>
    <row r="1171" spans="1:11" ht="20" customHeight="1">
      <c r="A1171" t="s">
        <v>25</v>
      </c>
      <c r="B1171" t="s">
        <v>3546</v>
      </c>
      <c r="C1171">
        <v>315.0199890136719</v>
      </c>
      <c r="D1171">
        <v>316.4100036621094</v>
      </c>
      <c r="E1171">
        <v>313.9500122070312</v>
      </c>
      <c r="F1171">
        <v>315.5899963378906</v>
      </c>
      <c r="G1171">
        <v>315.5899963378906</v>
      </c>
      <c r="H1171">
        <v>20372300</v>
      </c>
      <c r="I1171" t="s">
        <v>3547</v>
      </c>
      <c r="J1171" t="s">
        <v>3548</v>
      </c>
      <c r="K1171" t="s">
        <v>41</v>
      </c>
    </row>
    <row r="1172" spans="1:11" ht="20" customHeight="1">
      <c r="A1172" t="s">
        <v>25</v>
      </c>
      <c r="B1172" t="s">
        <v>3549</v>
      </c>
      <c r="C1172">
        <v>317.489990234375</v>
      </c>
      <c r="D1172">
        <v>317.6300048828125</v>
      </c>
      <c r="E1172">
        <v>310.3599853515625</v>
      </c>
      <c r="F1172">
        <v>311.1099853515625</v>
      </c>
      <c r="G1172">
        <v>311.1099853515625</v>
      </c>
      <c r="H1172">
        <v>35242300</v>
      </c>
      <c r="I1172" t="s">
        <v>3550</v>
      </c>
      <c r="J1172" t="s">
        <v>3551</v>
      </c>
      <c r="K1172" t="s">
        <v>41</v>
      </c>
    </row>
    <row r="1173" spans="1:11" ht="20" customHeight="1">
      <c r="A1173" t="s">
        <v>25</v>
      </c>
      <c r="B1173" t="s">
        <v>3552</v>
      </c>
      <c r="C1173">
        <v>304.1799926757812</v>
      </c>
      <c r="D1173">
        <v>304.739990234375</v>
      </c>
      <c r="E1173">
        <v>300.5899963378906</v>
      </c>
      <c r="F1173">
        <v>303.6499938964844</v>
      </c>
      <c r="G1173">
        <v>303.6499938964844</v>
      </c>
      <c r="H1173">
        <v>25421500</v>
      </c>
      <c r="I1173" t="s">
        <v>3553</v>
      </c>
      <c r="J1173" t="s">
        <v>3554</v>
      </c>
      <c r="K1173" t="s">
        <v>41</v>
      </c>
    </row>
    <row r="1174" spans="1:11" ht="20" customHeight="1">
      <c r="A1174" t="s">
        <v>25</v>
      </c>
      <c r="B1174" t="s">
        <v>3555</v>
      </c>
      <c r="C1174">
        <v>306.9800109863281</v>
      </c>
      <c r="D1174">
        <v>308.5</v>
      </c>
      <c r="E1174">
        <v>304.7099914550781</v>
      </c>
      <c r="F1174">
        <v>308.0700073242188</v>
      </c>
      <c r="G1174">
        <v>308.0700073242188</v>
      </c>
      <c r="H1174">
        <v>10845000</v>
      </c>
      <c r="I1174" t="s">
        <v>3556</v>
      </c>
      <c r="J1174" t="s">
        <v>3557</v>
      </c>
      <c r="K1174" t="s">
        <v>41</v>
      </c>
    </row>
    <row r="1175" spans="1:11" ht="20" customHeight="1">
      <c r="A1175" t="s">
        <v>25</v>
      </c>
      <c r="B1175" t="s">
        <v>3558</v>
      </c>
      <c r="C1175">
        <v>301.7799987792969</v>
      </c>
      <c r="D1175">
        <v>305.3699951171875</v>
      </c>
      <c r="E1175">
        <v>301.010009765625</v>
      </c>
      <c r="F1175">
        <v>304.7300109863281</v>
      </c>
      <c r="G1175">
        <v>304.7300109863281</v>
      </c>
      <c r="H1175">
        <v>10691600</v>
      </c>
      <c r="I1175" t="s">
        <v>3559</v>
      </c>
      <c r="J1175" t="s">
        <v>3560</v>
      </c>
      <c r="K1175" t="s">
        <v>41</v>
      </c>
    </row>
    <row r="1176" spans="1:11" ht="20" customHeight="1">
      <c r="A1176" t="s">
        <v>25</v>
      </c>
      <c r="B1176" t="s">
        <v>3561</v>
      </c>
      <c r="C1176">
        <v>304.1499938964844</v>
      </c>
      <c r="D1176">
        <v>309.1099853515625</v>
      </c>
      <c r="E1176">
        <v>302.9700012207031</v>
      </c>
      <c r="F1176">
        <v>309.0700073242188</v>
      </c>
      <c r="G1176">
        <v>309.0700073242188</v>
      </c>
      <c r="H1176">
        <v>9375500</v>
      </c>
      <c r="I1176" t="s">
        <v>3562</v>
      </c>
      <c r="J1176" t="s">
        <v>3563</v>
      </c>
      <c r="K1176" t="s">
        <v>41</v>
      </c>
    </row>
    <row r="1177" spans="1:11" ht="20" customHeight="1">
      <c r="A1177" t="s">
        <v>25</v>
      </c>
      <c r="B1177" t="s">
        <v>3564</v>
      </c>
      <c r="C1177">
        <v>305.8099975585938</v>
      </c>
      <c r="D1177">
        <v>306.9500122070312</v>
      </c>
      <c r="E1177">
        <v>304</v>
      </c>
      <c r="F1177">
        <v>306.0599975585938</v>
      </c>
      <c r="G1177">
        <v>306.0599975585938</v>
      </c>
      <c r="H1177">
        <v>6852100</v>
      </c>
      <c r="I1177" t="s">
        <v>3565</v>
      </c>
      <c r="J1177" t="s">
        <v>3566</v>
      </c>
      <c r="K1177" t="s">
        <v>41</v>
      </c>
    </row>
    <row r="1178" spans="1:11" ht="20" customHeight="1">
      <c r="A1178" t="s">
        <v>25</v>
      </c>
      <c r="B1178" t="s">
        <v>3567</v>
      </c>
      <c r="C1178">
        <v>304.6099853515625</v>
      </c>
      <c r="D1178">
        <v>306.0700073242188</v>
      </c>
      <c r="E1178">
        <v>303.4400024414062</v>
      </c>
      <c r="F1178">
        <v>303.7699890136719</v>
      </c>
      <c r="G1178">
        <v>303.7699890136719</v>
      </c>
      <c r="H1178">
        <v>8331900</v>
      </c>
      <c r="I1178" t="s">
        <v>3568</v>
      </c>
      <c r="J1178" t="s">
        <v>3569</v>
      </c>
      <c r="K1178" t="s">
        <v>41</v>
      </c>
    </row>
    <row r="1179" spans="1:11" ht="20" customHeight="1">
      <c r="A1179" t="s">
        <v>25</v>
      </c>
      <c r="B1179" t="s">
        <v>3570</v>
      </c>
      <c r="C1179">
        <v>297.4100036621094</v>
      </c>
      <c r="D1179">
        <v>297.9400024414062</v>
      </c>
      <c r="E1179">
        <v>295.3200073242188</v>
      </c>
      <c r="F1179">
        <v>297.4599914550781</v>
      </c>
      <c r="G1179">
        <v>297.4599914550781</v>
      </c>
      <c r="H1179">
        <v>14969100</v>
      </c>
      <c r="I1179" t="s">
        <v>3571</v>
      </c>
      <c r="J1179" t="s">
        <v>3572</v>
      </c>
      <c r="K1179" t="s">
        <v>41</v>
      </c>
    </row>
    <row r="1180" spans="1:11" ht="20" customHeight="1">
      <c r="A1180" t="s">
        <v>25</v>
      </c>
      <c r="B1180" t="s">
        <v>3573</v>
      </c>
      <c r="C1180">
        <v>300.1700134277344</v>
      </c>
      <c r="D1180">
        <v>300.8500061035156</v>
      </c>
      <c r="E1180">
        <v>297.0299987792969</v>
      </c>
      <c r="F1180">
        <v>297.9800109863281</v>
      </c>
      <c r="G1180">
        <v>297.9800109863281</v>
      </c>
      <c r="H1180">
        <v>8678400</v>
      </c>
      <c r="I1180" t="s">
        <v>3574</v>
      </c>
      <c r="J1180" t="s">
        <v>3575</v>
      </c>
      <c r="K1180" t="s">
        <v>41</v>
      </c>
    </row>
    <row r="1181" spans="1:11" ht="20" customHeight="1">
      <c r="A1181" t="s">
        <v>25</v>
      </c>
      <c r="B1181" t="s">
        <v>3576</v>
      </c>
      <c r="C1181">
        <v>305.9200134277344</v>
      </c>
      <c r="D1181">
        <v>307.6499938964844</v>
      </c>
      <c r="E1181">
        <v>304.6799926757812</v>
      </c>
      <c r="F1181">
        <v>306.8800048828125</v>
      </c>
      <c r="G1181">
        <v>306.8800048828125</v>
      </c>
      <c r="H1181">
        <v>8924000</v>
      </c>
      <c r="I1181" t="s">
        <v>3577</v>
      </c>
      <c r="J1181" t="s">
        <v>3578</v>
      </c>
      <c r="K1181" t="s">
        <v>41</v>
      </c>
    </row>
    <row r="1182" spans="1:11" ht="20" customHeight="1">
      <c r="A1182" t="s">
        <v>25</v>
      </c>
      <c r="B1182" t="s">
        <v>3579</v>
      </c>
      <c r="C1182">
        <v>313.1199951171875</v>
      </c>
      <c r="D1182">
        <v>315.6199951171875</v>
      </c>
      <c r="E1182">
        <v>311.3999938964844</v>
      </c>
      <c r="F1182">
        <v>315.4800109863281</v>
      </c>
      <c r="G1182">
        <v>315.4800109863281</v>
      </c>
      <c r="H1182">
        <v>11445300</v>
      </c>
      <c r="I1182" t="s">
        <v>3580</v>
      </c>
      <c r="J1182" t="s">
        <v>3581</v>
      </c>
      <c r="K1182" t="s">
        <v>41</v>
      </c>
    </row>
    <row r="1183" spans="1:11" ht="20" customHeight="1">
      <c r="A1183" t="s">
        <v>25</v>
      </c>
      <c r="B1183" t="s">
        <v>3582</v>
      </c>
      <c r="C1183">
        <v>312.1000061035156</v>
      </c>
      <c r="D1183">
        <v>313.260009765625</v>
      </c>
      <c r="E1183">
        <v>310.0799865722656</v>
      </c>
      <c r="F1183">
        <v>310.75</v>
      </c>
      <c r="G1183">
        <v>310.75</v>
      </c>
      <c r="H1183">
        <v>7888300</v>
      </c>
      <c r="I1183" t="s">
        <v>3583</v>
      </c>
      <c r="J1183" t="s">
        <v>3584</v>
      </c>
      <c r="K1183" t="s">
        <v>41</v>
      </c>
    </row>
    <row r="1184" spans="1:11" ht="20" customHeight="1">
      <c r="A1184" t="s">
        <v>25</v>
      </c>
      <c r="B1184" t="s">
        <v>3585</v>
      </c>
      <c r="C1184">
        <v>309.760009765625</v>
      </c>
      <c r="D1184">
        <v>310.4800109863281</v>
      </c>
      <c r="E1184">
        <v>303.0499877929688</v>
      </c>
      <c r="F1184">
        <v>304.6300048828125</v>
      </c>
      <c r="G1184">
        <v>304.6300048828125</v>
      </c>
      <c r="H1184">
        <v>11927600</v>
      </c>
      <c r="I1184" t="s">
        <v>3586</v>
      </c>
      <c r="J1184" t="s">
        <v>3587</v>
      </c>
      <c r="K1184" t="s">
        <v>41</v>
      </c>
    </row>
    <row r="1185" spans="1:11" ht="20" customHeight="1">
      <c r="A1185" t="s">
        <v>25</v>
      </c>
      <c r="B1185" t="s">
        <v>3588</v>
      </c>
      <c r="C1185">
        <v>307.7900085449219</v>
      </c>
      <c r="D1185">
        <v>308.5700073242188</v>
      </c>
      <c r="E1185">
        <v>306.010009765625</v>
      </c>
      <c r="F1185">
        <v>306.8399963378906</v>
      </c>
      <c r="G1185">
        <v>306.8399963378906</v>
      </c>
      <c r="H1185">
        <v>6913100</v>
      </c>
      <c r="I1185" t="s">
        <v>3589</v>
      </c>
      <c r="J1185" t="s">
        <v>3590</v>
      </c>
      <c r="K1185" t="s">
        <v>41</v>
      </c>
    </row>
    <row r="1186" spans="1:11" ht="20" customHeight="1">
      <c r="A1186" t="s">
        <v>25</v>
      </c>
      <c r="B1186" t="s">
        <v>3591</v>
      </c>
      <c r="C1186">
        <v>298.3299865722656</v>
      </c>
      <c r="D1186">
        <v>299.4700012207031</v>
      </c>
      <c r="E1186">
        <v>296.8200073242188</v>
      </c>
      <c r="F1186">
        <v>298.1900024414062</v>
      </c>
      <c r="G1186">
        <v>298.1900024414062</v>
      </c>
      <c r="H1186">
        <v>14375900</v>
      </c>
      <c r="I1186" t="s">
        <v>3592</v>
      </c>
      <c r="J1186" t="s">
        <v>3593</v>
      </c>
      <c r="K1186" t="s">
        <v>41</v>
      </c>
    </row>
    <row r="1187" spans="1:11" ht="20" customHeight="1">
      <c r="A1187" t="s">
        <v>25</v>
      </c>
      <c r="B1187" t="s">
        <v>3594</v>
      </c>
      <c r="C1187">
        <v>299.0199890136719</v>
      </c>
      <c r="D1187">
        <v>300.2999877929688</v>
      </c>
      <c r="E1187">
        <v>297.239990234375</v>
      </c>
      <c r="F1187">
        <v>299.4599914550781</v>
      </c>
      <c r="G1187">
        <v>299.4599914550781</v>
      </c>
      <c r="H1187">
        <v>10233600</v>
      </c>
      <c r="I1187" t="s">
        <v>3595</v>
      </c>
      <c r="J1187" t="s">
        <v>3596</v>
      </c>
      <c r="K1187" t="s">
        <v>41</v>
      </c>
    </row>
    <row r="1188" spans="1:11" ht="20" customHeight="1">
      <c r="A1188" t="s">
        <v>25</v>
      </c>
      <c r="B1188" t="s">
        <v>3597</v>
      </c>
      <c r="C1188">
        <v>293.6700134277344</v>
      </c>
      <c r="D1188">
        <v>294.7999877929688</v>
      </c>
      <c r="E1188">
        <v>291.9599914550781</v>
      </c>
      <c r="F1188">
        <v>293.1600036621094</v>
      </c>
      <c r="G1188">
        <v>293.1600036621094</v>
      </c>
      <c r="H1188">
        <v>14800600</v>
      </c>
      <c r="I1188" t="s">
        <v>3598</v>
      </c>
      <c r="J1188" t="s">
        <v>3599</v>
      </c>
      <c r="K1188" t="s">
        <v>41</v>
      </c>
    </row>
    <row r="1189" spans="1:11" ht="20" customHeight="1">
      <c r="A1189" t="s">
        <v>25</v>
      </c>
      <c r="B1189" t="s">
        <v>3600</v>
      </c>
      <c r="C1189">
        <v>294.1000061035156</v>
      </c>
      <c r="D1189">
        <v>297.8999938964844</v>
      </c>
      <c r="E1189">
        <v>293.75</v>
      </c>
      <c r="F1189">
        <v>297.8399963378906</v>
      </c>
      <c r="G1189">
        <v>297.8399963378906</v>
      </c>
      <c r="H1189">
        <v>13497700</v>
      </c>
      <c r="I1189" t="s">
        <v>3601</v>
      </c>
      <c r="J1189" t="s">
        <v>3602</v>
      </c>
      <c r="K1189" t="s">
        <v>41</v>
      </c>
    </row>
    <row r="1190" spans="1:11" ht="20" customHeight="1">
      <c r="A1190" t="s">
        <v>25</v>
      </c>
      <c r="B1190" t="s">
        <v>3603</v>
      </c>
      <c r="C1190">
        <v>292.6199951171875</v>
      </c>
      <c r="D1190">
        <v>294.5799865722656</v>
      </c>
      <c r="E1190">
        <v>291.7799987792969</v>
      </c>
      <c r="F1190">
        <v>294.239990234375</v>
      </c>
      <c r="G1190">
        <v>294.239990234375</v>
      </c>
      <c r="H1190">
        <v>14173000</v>
      </c>
      <c r="I1190" t="s">
        <v>3604</v>
      </c>
      <c r="J1190" t="s">
        <v>3605</v>
      </c>
      <c r="K1190" t="s">
        <v>41</v>
      </c>
    </row>
    <row r="1191" spans="1:11" ht="20" customHeight="1">
      <c r="A1191" t="s">
        <v>25</v>
      </c>
      <c r="B1191" t="s">
        <v>3606</v>
      </c>
      <c r="C1191">
        <v>297.8500061035156</v>
      </c>
      <c r="D1191">
        <v>298.5799865722656</v>
      </c>
      <c r="E1191">
        <v>296.4800109863281</v>
      </c>
      <c r="F1191">
        <v>298.0299987792969</v>
      </c>
      <c r="G1191">
        <v>298.0299987792969</v>
      </c>
      <c r="H1191">
        <v>11656300</v>
      </c>
      <c r="I1191" t="s">
        <v>3607</v>
      </c>
      <c r="J1191" t="s">
        <v>3608</v>
      </c>
      <c r="K1191" t="s">
        <v>41</v>
      </c>
    </row>
    <row r="1192" spans="1:11" ht="20" customHeight="1">
      <c r="A1192" t="s">
        <v>25</v>
      </c>
      <c r="B1192" t="s">
        <v>3609</v>
      </c>
      <c r="C1192">
        <v>298.3500061035156</v>
      </c>
      <c r="D1192">
        <v>303.6799926757812</v>
      </c>
      <c r="E1192">
        <v>298.2999877929688</v>
      </c>
      <c r="F1192">
        <v>303.5799865722656</v>
      </c>
      <c r="G1192">
        <v>303.5799865722656</v>
      </c>
      <c r="H1192">
        <v>12851000</v>
      </c>
      <c r="I1192" t="s">
        <v>3610</v>
      </c>
      <c r="J1192" t="s">
        <v>3611</v>
      </c>
      <c r="K1192" t="s">
        <v>41</v>
      </c>
    </row>
    <row r="1193" spans="1:11" ht="20" customHeight="1">
      <c r="A1193" t="s">
        <v>25</v>
      </c>
      <c r="B1193" t="s">
        <v>3612</v>
      </c>
      <c r="C1193">
        <v>304.5499877929688</v>
      </c>
      <c r="D1193">
        <v>306.4599914550781</v>
      </c>
      <c r="E1193">
        <v>303.6700134277344</v>
      </c>
      <c r="F1193">
        <v>305.8200073242188</v>
      </c>
      <c r="G1193">
        <v>305.8200073242188</v>
      </c>
      <c r="H1193">
        <v>12414500</v>
      </c>
      <c r="I1193" t="s">
        <v>3613</v>
      </c>
      <c r="J1193" t="s">
        <v>3614</v>
      </c>
      <c r="K1193" t="s">
        <v>41</v>
      </c>
    </row>
    <row r="1194" spans="1:11" ht="20" customHeight="1">
      <c r="A1194" t="s">
        <v>25</v>
      </c>
      <c r="B1194" t="s">
        <v>3615</v>
      </c>
      <c r="C1194">
        <v>305.0899963378906</v>
      </c>
      <c r="D1194">
        <v>305.2799987792969</v>
      </c>
      <c r="E1194">
        <v>302.1000061035156</v>
      </c>
      <c r="F1194">
        <v>303.1099853515625</v>
      </c>
      <c r="G1194">
        <v>303.1099853515625</v>
      </c>
      <c r="H1194">
        <v>9704200</v>
      </c>
      <c r="I1194" t="s">
        <v>3616</v>
      </c>
      <c r="J1194" t="s">
        <v>3617</v>
      </c>
      <c r="K1194" t="s">
        <v>41</v>
      </c>
    </row>
    <row r="1195" spans="1:11" ht="20" customHeight="1">
      <c r="A1195" t="s">
        <v>25</v>
      </c>
      <c r="B1195" t="s">
        <v>3618</v>
      </c>
      <c r="C1195">
        <v>308.8599853515625</v>
      </c>
      <c r="D1195">
        <v>310.25</v>
      </c>
      <c r="E1195">
        <v>307.4700012207031</v>
      </c>
      <c r="F1195">
        <v>309.75</v>
      </c>
      <c r="G1195">
        <v>309.75</v>
      </c>
      <c r="H1195">
        <v>13339500</v>
      </c>
      <c r="I1195" t="s">
        <v>3619</v>
      </c>
      <c r="J1195" t="s">
        <v>3620</v>
      </c>
      <c r="K1195" t="s">
        <v>41</v>
      </c>
    </row>
    <row r="1196" spans="1:11" ht="20" customHeight="1">
      <c r="A1196" t="s">
        <v>25</v>
      </c>
      <c r="B1196" t="s">
        <v>3621</v>
      </c>
      <c r="C1196">
        <v>303.8099975585938</v>
      </c>
      <c r="D1196">
        <v>304.8800048828125</v>
      </c>
      <c r="E1196">
        <v>302.739990234375</v>
      </c>
      <c r="F1196">
        <v>304.5</v>
      </c>
      <c r="G1196">
        <v>304.5</v>
      </c>
      <c r="H1196">
        <v>9578500</v>
      </c>
      <c r="I1196" t="s">
        <v>3622</v>
      </c>
      <c r="J1196" t="s">
        <v>3623</v>
      </c>
      <c r="K1196" t="s">
        <v>41</v>
      </c>
    </row>
    <row r="1197" spans="1:11" ht="20" customHeight="1">
      <c r="A1197" t="s">
        <v>25</v>
      </c>
      <c r="B1197" t="s">
        <v>3624</v>
      </c>
      <c r="C1197">
        <v>304.6400146484375</v>
      </c>
      <c r="D1197">
        <v>304.989990234375</v>
      </c>
      <c r="E1197">
        <v>303.0599975585938</v>
      </c>
      <c r="F1197">
        <v>303.8099975585938</v>
      </c>
      <c r="G1197">
        <v>303.8099975585938</v>
      </c>
      <c r="H1197">
        <v>8803300</v>
      </c>
      <c r="I1197" t="s">
        <v>3625</v>
      </c>
      <c r="J1197" t="s">
        <v>3626</v>
      </c>
      <c r="K1197" t="s">
        <v>41</v>
      </c>
    </row>
    <row r="1198" spans="1:11" ht="20" customHeight="1">
      <c r="A1198" t="s">
        <v>25</v>
      </c>
      <c r="B1198" t="s">
        <v>3627</v>
      </c>
      <c r="C1198">
        <v>305.739990234375</v>
      </c>
      <c r="D1198">
        <v>306.8900146484375</v>
      </c>
      <c r="E1198">
        <v>304.4599914550781</v>
      </c>
      <c r="F1198">
        <v>305.6099853515625</v>
      </c>
      <c r="G1198">
        <v>305.6099853515625</v>
      </c>
      <c r="H1198">
        <v>9487900</v>
      </c>
      <c r="I1198" t="s">
        <v>3628</v>
      </c>
      <c r="J1198" t="s">
        <v>3629</v>
      </c>
      <c r="K1198" t="s">
        <v>41</v>
      </c>
    </row>
    <row r="1199" spans="1:11" ht="20" customHeight="1">
      <c r="A1199" t="s">
        <v>25</v>
      </c>
      <c r="B1199" t="s">
        <v>3630</v>
      </c>
      <c r="C1199">
        <v>303.6400146484375</v>
      </c>
      <c r="D1199">
        <v>304.0199890136719</v>
      </c>
      <c r="E1199">
        <v>301.5</v>
      </c>
      <c r="F1199">
        <v>303.6000061035156</v>
      </c>
      <c r="G1199">
        <v>303.6000061035156</v>
      </c>
      <c r="H1199">
        <v>9553300</v>
      </c>
      <c r="I1199" t="s">
        <v>3631</v>
      </c>
      <c r="J1199" t="s">
        <v>3632</v>
      </c>
      <c r="K1199" t="s">
        <v>41</v>
      </c>
    </row>
    <row r="1200" spans="1:11" ht="20" customHeight="1">
      <c r="A1200" t="s">
        <v>25</v>
      </c>
      <c r="B1200" t="s">
        <v>3633</v>
      </c>
      <c r="C1200">
        <v>309.2099914550781</v>
      </c>
      <c r="D1200">
        <v>311.7200012207031</v>
      </c>
      <c r="E1200">
        <v>308.7200012207031</v>
      </c>
      <c r="F1200">
        <v>311.6700134277344</v>
      </c>
      <c r="G1200">
        <v>311.6700134277344</v>
      </c>
      <c r="H1200">
        <v>13593200</v>
      </c>
      <c r="I1200" t="s">
        <v>3634</v>
      </c>
      <c r="J1200" t="s">
        <v>3635</v>
      </c>
      <c r="K1200" t="s">
        <v>41</v>
      </c>
    </row>
    <row r="1201" spans="1:11" ht="20" customHeight="1">
      <c r="A1201" t="s">
        <v>25</v>
      </c>
      <c r="B1201" t="s">
        <v>3636</v>
      </c>
      <c r="C1201">
        <v>309.5599975585938</v>
      </c>
      <c r="D1201">
        <v>309.5599975585938</v>
      </c>
      <c r="E1201">
        <v>307.1499938964844</v>
      </c>
      <c r="F1201">
        <v>308.9100036621094</v>
      </c>
      <c r="G1201">
        <v>308.9100036621094</v>
      </c>
      <c r="H1201">
        <v>9315100</v>
      </c>
      <c r="I1201" t="s">
        <v>3637</v>
      </c>
      <c r="J1201" t="s">
        <v>3638</v>
      </c>
      <c r="K1201" t="s">
        <v>41</v>
      </c>
    </row>
    <row r="1202" spans="1:11" ht="20" customHeight="1">
      <c r="A1202" t="s">
        <v>25</v>
      </c>
      <c r="B1202" t="s">
        <v>3639</v>
      </c>
      <c r="C1202">
        <v>309.4100036621094</v>
      </c>
      <c r="D1202">
        <v>311.8800048828125</v>
      </c>
      <c r="E1202">
        <v>308.739990234375</v>
      </c>
      <c r="F1202">
        <v>310.8999938964844</v>
      </c>
      <c r="G1202">
        <v>310.8999938964844</v>
      </c>
      <c r="H1202">
        <v>7462500</v>
      </c>
      <c r="I1202" t="s">
        <v>3640</v>
      </c>
      <c r="J1202" t="s">
        <v>3641</v>
      </c>
      <c r="K1202" t="s">
        <v>41</v>
      </c>
    </row>
    <row r="1203" spans="1:11" ht="20" customHeight="1">
      <c r="A1203" t="s">
        <v>25</v>
      </c>
      <c r="B1203" t="s">
        <v>3642</v>
      </c>
      <c r="C1203">
        <v>311.239990234375</v>
      </c>
      <c r="D1203">
        <v>312.2000122070312</v>
      </c>
      <c r="E1203">
        <v>307.6499938964844</v>
      </c>
      <c r="F1203">
        <v>309.3299865722656</v>
      </c>
      <c r="G1203">
        <v>309.3299865722656</v>
      </c>
      <c r="H1203">
        <v>10817800</v>
      </c>
      <c r="I1203" t="s">
        <v>3643</v>
      </c>
      <c r="J1203" t="s">
        <v>3644</v>
      </c>
      <c r="K1203" t="s">
        <v>41</v>
      </c>
    </row>
    <row r="1204" spans="1:11" ht="20" customHeight="1">
      <c r="A1204" t="s">
        <v>25</v>
      </c>
      <c r="B1204" t="s">
        <v>3645</v>
      </c>
      <c r="C1204">
        <v>309.0899963378906</v>
      </c>
      <c r="D1204">
        <v>309.2000122070312</v>
      </c>
      <c r="E1204">
        <v>305.1000061035156</v>
      </c>
      <c r="F1204">
        <v>305.1799926757812</v>
      </c>
      <c r="G1204">
        <v>305.1799926757812</v>
      </c>
      <c r="H1204">
        <v>7787500</v>
      </c>
      <c r="I1204" t="s">
        <v>3646</v>
      </c>
      <c r="J1204" t="s">
        <v>3647</v>
      </c>
      <c r="K1204" t="s">
        <v>41</v>
      </c>
    </row>
    <row r="1205" spans="1:11" ht="20" customHeight="1">
      <c r="A1205" t="s">
        <v>25</v>
      </c>
      <c r="B1205" t="s">
        <v>3648</v>
      </c>
      <c r="C1205">
        <v>305.3900146484375</v>
      </c>
      <c r="D1205">
        <v>307.6099853515625</v>
      </c>
      <c r="E1205">
        <v>305.0599975585938</v>
      </c>
      <c r="F1205">
        <v>306.6199951171875</v>
      </c>
      <c r="G1205">
        <v>306.6199951171875</v>
      </c>
      <c r="H1205">
        <v>7159000</v>
      </c>
      <c r="I1205" t="s">
        <v>3649</v>
      </c>
      <c r="J1205" t="s">
        <v>3650</v>
      </c>
      <c r="K1205" t="s">
        <v>41</v>
      </c>
    </row>
    <row r="1206" spans="1:11" ht="20" customHeight="1">
      <c r="A1206" t="s">
        <v>25</v>
      </c>
      <c r="B1206" t="s">
        <v>3651</v>
      </c>
      <c r="C1206">
        <v>308.3099975585938</v>
      </c>
      <c r="D1206">
        <v>308.6000061035156</v>
      </c>
      <c r="E1206">
        <v>305.8699951171875</v>
      </c>
      <c r="F1206">
        <v>306.7099914550781</v>
      </c>
      <c r="G1206">
        <v>306.7099914550781</v>
      </c>
      <c r="H1206">
        <v>7071700</v>
      </c>
      <c r="I1206" t="s">
        <v>3652</v>
      </c>
      <c r="J1206" t="s">
        <v>3653</v>
      </c>
      <c r="K1206" t="s">
        <v>41</v>
      </c>
    </row>
    <row r="1207" spans="1:11" ht="20" customHeight="1">
      <c r="A1207" t="s">
        <v>25</v>
      </c>
      <c r="B1207" t="s">
        <v>3654</v>
      </c>
      <c r="C1207">
        <v>307.5</v>
      </c>
      <c r="D1207">
        <v>308.6199951171875</v>
      </c>
      <c r="E1207">
        <v>305.8500061035156</v>
      </c>
      <c r="F1207">
        <v>308.3699951171875</v>
      </c>
      <c r="G1207">
        <v>308.3699951171875</v>
      </c>
      <c r="H1207">
        <v>9248800</v>
      </c>
      <c r="I1207" t="s">
        <v>3655</v>
      </c>
      <c r="J1207" t="s">
        <v>3656</v>
      </c>
      <c r="K1207" t="s">
        <v>41</v>
      </c>
    </row>
    <row r="1208" spans="1:11" ht="20" customHeight="1">
      <c r="A1208" t="s">
        <v>25</v>
      </c>
      <c r="B1208" t="s">
        <v>3657</v>
      </c>
      <c r="C1208">
        <v>311.739990234375</v>
      </c>
      <c r="D1208">
        <v>313.1000061035156</v>
      </c>
      <c r="E1208">
        <v>311.1499938964844</v>
      </c>
      <c r="F1208">
        <v>312.2000122070312</v>
      </c>
      <c r="G1208">
        <v>312.2000122070312</v>
      </c>
      <c r="H1208">
        <v>11531400</v>
      </c>
      <c r="I1208" t="s">
        <v>3658</v>
      </c>
      <c r="J1208" t="s">
        <v>3659</v>
      </c>
      <c r="K1208" t="s">
        <v>41</v>
      </c>
    </row>
    <row r="1209" spans="1:11" ht="20" customHeight="1">
      <c r="A1209" t="s">
        <v>25</v>
      </c>
      <c r="B1209" t="s">
        <v>3660</v>
      </c>
      <c r="C1209">
        <v>317.260009765625</v>
      </c>
      <c r="D1209">
        <v>317.6000061035156</v>
      </c>
      <c r="E1209">
        <v>315.0400085449219</v>
      </c>
      <c r="F1209">
        <v>316.2900085449219</v>
      </c>
      <c r="G1209">
        <v>316.2900085449219</v>
      </c>
      <c r="H1209">
        <v>16592900</v>
      </c>
      <c r="I1209" t="s">
        <v>3661</v>
      </c>
      <c r="J1209" t="s">
        <v>3662</v>
      </c>
      <c r="K1209" t="s">
        <v>41</v>
      </c>
    </row>
    <row r="1210" spans="1:11" ht="20" customHeight="1">
      <c r="A1210" t="s">
        <v>25</v>
      </c>
      <c r="B1210" t="s">
        <v>3663</v>
      </c>
      <c r="C1210">
        <v>314.7999877929688</v>
      </c>
      <c r="D1210">
        <v>314.8699951171875</v>
      </c>
      <c r="E1210">
        <v>311.6499938964844</v>
      </c>
      <c r="F1210">
        <v>311.7799987792969</v>
      </c>
      <c r="G1210">
        <v>311.7799987792969</v>
      </c>
      <c r="H1210">
        <v>12848400</v>
      </c>
      <c r="I1210" t="s">
        <v>3664</v>
      </c>
      <c r="J1210" t="s">
        <v>3665</v>
      </c>
      <c r="K1210" t="s">
        <v>41</v>
      </c>
    </row>
    <row r="1211" spans="1:11" ht="20" customHeight="1">
      <c r="A1211" t="s">
        <v>25</v>
      </c>
      <c r="B1211" t="s">
        <v>3666</v>
      </c>
      <c r="C1211">
        <v>312.6600036621094</v>
      </c>
      <c r="D1211">
        <v>313</v>
      </c>
      <c r="E1211">
        <v>310.1199951171875</v>
      </c>
      <c r="F1211">
        <v>311.9400024414062</v>
      </c>
      <c r="G1211">
        <v>311.9400024414062</v>
      </c>
      <c r="H1211">
        <v>8234100</v>
      </c>
      <c r="I1211" t="s">
        <v>3667</v>
      </c>
      <c r="J1211" t="s">
        <v>3668</v>
      </c>
      <c r="K1211" t="s">
        <v>41</v>
      </c>
    </row>
    <row r="1212" spans="1:11" ht="20" customHeight="1">
      <c r="A1212" t="s">
        <v>25</v>
      </c>
      <c r="B1212" t="s">
        <v>3669</v>
      </c>
      <c r="C1212">
        <v>312.8900146484375</v>
      </c>
      <c r="D1212">
        <v>312.9800109863281</v>
      </c>
      <c r="E1212">
        <v>309.8599853515625</v>
      </c>
      <c r="F1212">
        <v>310.260009765625</v>
      </c>
      <c r="G1212">
        <v>310.260009765625</v>
      </c>
      <c r="H1212">
        <v>9370800</v>
      </c>
      <c r="I1212" t="s">
        <v>3670</v>
      </c>
      <c r="J1212" t="s">
        <v>3671</v>
      </c>
      <c r="K1212" t="s">
        <v>41</v>
      </c>
    </row>
    <row r="1213" spans="1:11" ht="20" customHeight="1">
      <c r="A1213" t="s">
        <v>25</v>
      </c>
      <c r="B1213" t="s">
        <v>3672</v>
      </c>
      <c r="C1213">
        <v>309.3299865722656</v>
      </c>
      <c r="D1213">
        <v>310.8900146484375</v>
      </c>
      <c r="E1213">
        <v>309.25</v>
      </c>
      <c r="F1213">
        <v>310.1300048828125</v>
      </c>
      <c r="G1213">
        <v>310.1300048828125</v>
      </c>
      <c r="H1213">
        <v>8794700</v>
      </c>
      <c r="I1213" t="s">
        <v>3673</v>
      </c>
      <c r="J1213" t="s">
        <v>3674</v>
      </c>
      <c r="K1213" t="s">
        <v>41</v>
      </c>
    </row>
    <row r="1214" spans="1:11" ht="20" customHeight="1">
      <c r="A1214" t="s">
        <v>25</v>
      </c>
      <c r="B1214" t="s">
        <v>3675</v>
      </c>
      <c r="C1214">
        <v>310.3399963378906</v>
      </c>
      <c r="D1214">
        <v>312.6700134277344</v>
      </c>
      <c r="E1214">
        <v>310.3099975585938</v>
      </c>
      <c r="F1214">
        <v>311.0799865722656</v>
      </c>
      <c r="G1214">
        <v>311.0799865722656</v>
      </c>
      <c r="H1214">
        <v>12687900</v>
      </c>
      <c r="I1214" t="s">
        <v>3676</v>
      </c>
      <c r="J1214" t="s">
        <v>3677</v>
      </c>
      <c r="K1214" t="s">
        <v>41</v>
      </c>
    </row>
    <row r="1215" spans="1:11" ht="20" customHeight="1">
      <c r="A1215" t="s">
        <v>25</v>
      </c>
      <c r="B1215" t="s">
        <v>3678</v>
      </c>
      <c r="C1215">
        <v>305.0700073242188</v>
      </c>
      <c r="D1215">
        <v>306.3399963378906</v>
      </c>
      <c r="E1215">
        <v>303.5400085449219</v>
      </c>
      <c r="F1215">
        <v>306.1900024414062</v>
      </c>
      <c r="G1215">
        <v>306.1900024414062</v>
      </c>
      <c r="H1215">
        <v>12035200</v>
      </c>
      <c r="I1215" t="s">
        <v>3679</v>
      </c>
      <c r="J1215" t="s">
        <v>3680</v>
      </c>
      <c r="K1215" t="s">
        <v>41</v>
      </c>
    </row>
    <row r="1216" spans="1:11" ht="20" customHeight="1">
      <c r="A1216" t="s">
        <v>25</v>
      </c>
      <c r="B1216" t="s">
        <v>3681</v>
      </c>
      <c r="C1216">
        <v>305.3099975585938</v>
      </c>
      <c r="D1216">
        <v>307.3599853515625</v>
      </c>
      <c r="E1216">
        <v>305.1199951171875</v>
      </c>
      <c r="F1216">
        <v>307.1199951171875</v>
      </c>
      <c r="G1216">
        <v>307.1199951171875</v>
      </c>
      <c r="H1216">
        <v>6733200</v>
      </c>
      <c r="I1216" t="s">
        <v>3682</v>
      </c>
      <c r="J1216" t="s">
        <v>3683</v>
      </c>
      <c r="K1216" t="s">
        <v>41</v>
      </c>
    </row>
    <row r="1217" spans="1:11" ht="20" customHeight="1">
      <c r="A1217" t="s">
        <v>25</v>
      </c>
      <c r="B1217" t="s">
        <v>3684</v>
      </c>
      <c r="C1217">
        <v>305.7699890136719</v>
      </c>
      <c r="D1217">
        <v>307.2799987792969</v>
      </c>
      <c r="E1217">
        <v>304.8599853515625</v>
      </c>
      <c r="F1217">
        <v>306.7799987792969</v>
      </c>
      <c r="G1217">
        <v>306.7799987792969</v>
      </c>
      <c r="H1217">
        <v>6787500</v>
      </c>
      <c r="I1217" t="s">
        <v>3685</v>
      </c>
      <c r="J1217" t="s">
        <v>3686</v>
      </c>
      <c r="K1217" t="s">
        <v>41</v>
      </c>
    </row>
    <row r="1218" spans="1:11" ht="20" customHeight="1">
      <c r="A1218" t="s">
        <v>25</v>
      </c>
      <c r="B1218" t="s">
        <v>3687</v>
      </c>
      <c r="C1218">
        <v>300.0299987792969</v>
      </c>
      <c r="D1218">
        <v>302.3599853515625</v>
      </c>
      <c r="E1218">
        <v>299.8900146484375</v>
      </c>
      <c r="F1218">
        <v>301.2200012207031</v>
      </c>
      <c r="G1218">
        <v>301.2200012207031</v>
      </c>
      <c r="H1218">
        <v>13301300</v>
      </c>
      <c r="I1218" t="s">
        <v>3688</v>
      </c>
      <c r="J1218" t="s">
        <v>3689</v>
      </c>
      <c r="K1218" t="s">
        <v>41</v>
      </c>
    </row>
    <row r="1219" spans="1:11" ht="20" customHeight="1">
      <c r="A1219" t="s">
        <v>25</v>
      </c>
      <c r="B1219" t="s">
        <v>3690</v>
      </c>
      <c r="C1219">
        <v>302.3900146484375</v>
      </c>
      <c r="D1219">
        <v>304.9200134277344</v>
      </c>
      <c r="E1219">
        <v>301.9500122070312</v>
      </c>
      <c r="F1219">
        <v>304.8299865722656</v>
      </c>
      <c r="G1219">
        <v>304.8299865722656</v>
      </c>
      <c r="H1219">
        <v>8192100</v>
      </c>
      <c r="I1219" t="s">
        <v>3691</v>
      </c>
      <c r="J1219" t="s">
        <v>3692</v>
      </c>
      <c r="K1219" t="s">
        <v>41</v>
      </c>
    </row>
    <row r="1220" spans="1:11" ht="20" customHeight="1">
      <c r="A1220" t="s">
        <v>25</v>
      </c>
      <c r="B1220" t="s">
        <v>3693</v>
      </c>
      <c r="C1220">
        <v>308.5599975585938</v>
      </c>
      <c r="D1220">
        <v>309</v>
      </c>
      <c r="E1220">
        <v>307.3599853515625</v>
      </c>
      <c r="F1220">
        <v>307.5499877929688</v>
      </c>
      <c r="G1220">
        <v>307.5499877929688</v>
      </c>
      <c r="H1220">
        <v>9335600</v>
      </c>
      <c r="I1220" t="s">
        <v>3694</v>
      </c>
      <c r="J1220" t="s">
        <v>3695</v>
      </c>
      <c r="K1220" t="s">
        <v>41</v>
      </c>
    </row>
    <row r="1221" spans="1:11" ht="20" customHeight="1">
      <c r="A1221" t="s">
        <v>25</v>
      </c>
      <c r="B1221" t="s">
        <v>3696</v>
      </c>
      <c r="C1221">
        <v>308.0400085449219</v>
      </c>
      <c r="D1221">
        <v>309.3999938964844</v>
      </c>
      <c r="E1221">
        <v>306.9599914550781</v>
      </c>
      <c r="F1221">
        <v>309.25</v>
      </c>
      <c r="G1221">
        <v>309.25</v>
      </c>
      <c r="H1221">
        <v>8316400</v>
      </c>
      <c r="I1221" t="s">
        <v>3697</v>
      </c>
      <c r="J1221" t="s">
        <v>3698</v>
      </c>
      <c r="K1221" t="s">
        <v>41</v>
      </c>
    </row>
    <row r="1222" spans="1:11" ht="20" customHeight="1">
      <c r="A1222" t="s">
        <v>25</v>
      </c>
      <c r="B1222" t="s">
        <v>3699</v>
      </c>
      <c r="C1222">
        <v>307.0499877929688</v>
      </c>
      <c r="D1222">
        <v>307.5700073242188</v>
      </c>
      <c r="E1222">
        <v>306.1499938964844</v>
      </c>
      <c r="F1222">
        <v>307.1400146484375</v>
      </c>
      <c r="G1222">
        <v>307.1400146484375</v>
      </c>
      <c r="H1222">
        <v>5275800</v>
      </c>
      <c r="I1222" t="s">
        <v>3700</v>
      </c>
      <c r="J1222" t="s">
        <v>3701</v>
      </c>
      <c r="K1222" t="s">
        <v>41</v>
      </c>
    </row>
    <row r="1223" spans="1:11" ht="20" customHeight="1">
      <c r="A1223" t="s">
        <v>25</v>
      </c>
      <c r="B1223" t="s">
        <v>3702</v>
      </c>
      <c r="C1223">
        <v>305.0700073242188</v>
      </c>
      <c r="D1223">
        <v>307.7099914550781</v>
      </c>
      <c r="E1223">
        <v>304.5299987792969</v>
      </c>
      <c r="F1223">
        <v>307.3699951171875</v>
      </c>
      <c r="G1223">
        <v>307.3699951171875</v>
      </c>
      <c r="H1223">
        <v>7351600</v>
      </c>
      <c r="I1223" t="s">
        <v>3703</v>
      </c>
      <c r="J1223" t="s">
        <v>3704</v>
      </c>
      <c r="K1223" t="s">
        <v>41</v>
      </c>
    </row>
    <row r="1224" spans="1:11" ht="20" customHeight="1">
      <c r="A1224" t="s">
        <v>25</v>
      </c>
      <c r="B1224" t="s">
        <v>3705</v>
      </c>
      <c r="C1224">
        <v>306.2999877929688</v>
      </c>
      <c r="D1224">
        <v>306.4500122070312</v>
      </c>
      <c r="E1224">
        <v>302.7699890136719</v>
      </c>
      <c r="F1224">
        <v>304.1600036621094</v>
      </c>
      <c r="G1224">
        <v>304.1600036621094</v>
      </c>
      <c r="H1224">
        <v>11840500</v>
      </c>
      <c r="I1224" t="s">
        <v>3706</v>
      </c>
      <c r="J1224" t="s">
        <v>3707</v>
      </c>
      <c r="K1224" t="s">
        <v>41</v>
      </c>
    </row>
    <row r="1225" spans="1:11" ht="20" customHeight="1">
      <c r="A1225" t="s">
        <v>25</v>
      </c>
      <c r="B1225" t="s">
        <v>3708</v>
      </c>
      <c r="C1225">
        <v>303.5799865722656</v>
      </c>
      <c r="D1225">
        <v>305.5400085449219</v>
      </c>
      <c r="E1225">
        <v>303.2300109863281</v>
      </c>
      <c r="F1225">
        <v>305.5199890136719</v>
      </c>
      <c r="G1225">
        <v>305.5199890136719</v>
      </c>
      <c r="H1225">
        <v>10644100</v>
      </c>
      <c r="I1225" t="s">
        <v>3709</v>
      </c>
      <c r="J1225" t="s">
        <v>3710</v>
      </c>
      <c r="K1225" t="s">
        <v>41</v>
      </c>
    </row>
    <row r="1226" spans="1:11" ht="20" customHeight="1">
      <c r="A1226" t="s">
        <v>25</v>
      </c>
      <c r="B1226" t="s">
        <v>3711</v>
      </c>
      <c r="C1226">
        <v>306.1099853515625</v>
      </c>
      <c r="D1226">
        <v>306.510009765625</v>
      </c>
      <c r="E1226">
        <v>304.8200073242188</v>
      </c>
      <c r="F1226">
        <v>306.2000122070312</v>
      </c>
      <c r="G1226">
        <v>306.2000122070312</v>
      </c>
      <c r="H1226">
        <v>7053700</v>
      </c>
      <c r="I1226" t="s">
        <v>3712</v>
      </c>
      <c r="J1226" t="s">
        <v>3713</v>
      </c>
      <c r="K1226" t="s">
        <v>41</v>
      </c>
    </row>
    <row r="1227" spans="1:11" ht="20" customHeight="1">
      <c r="A1227" t="s">
        <v>25</v>
      </c>
      <c r="B1227" t="s">
        <v>3714</v>
      </c>
      <c r="C1227">
        <v>308.8599853515625</v>
      </c>
      <c r="D1227">
        <v>310.2799987792969</v>
      </c>
      <c r="E1227">
        <v>308.5199890136719</v>
      </c>
      <c r="F1227">
        <v>309.1400146484375</v>
      </c>
      <c r="G1227">
        <v>309.1400146484375</v>
      </c>
      <c r="H1227">
        <v>9187300</v>
      </c>
      <c r="I1227" t="s">
        <v>3715</v>
      </c>
      <c r="J1227" t="s">
        <v>3716</v>
      </c>
      <c r="K1227" t="s">
        <v>41</v>
      </c>
    </row>
    <row r="1228" spans="1:11" ht="20" customHeight="1">
      <c r="A1228" t="s">
        <v>25</v>
      </c>
      <c r="B1228" t="s">
        <v>3717</v>
      </c>
      <c r="C1228">
        <v>309.0700073242188</v>
      </c>
      <c r="D1228">
        <v>309.3800048828125</v>
      </c>
      <c r="E1228">
        <v>307.7300109863281</v>
      </c>
      <c r="F1228">
        <v>308.010009765625</v>
      </c>
      <c r="G1228">
        <v>308.010009765625</v>
      </c>
      <c r="H1228">
        <v>5772900</v>
      </c>
      <c r="I1228" t="s">
        <v>3718</v>
      </c>
      <c r="J1228" t="s">
        <v>3719</v>
      </c>
      <c r="K1228" t="s">
        <v>41</v>
      </c>
    </row>
    <row r="1229" spans="1:11" ht="20" customHeight="1">
      <c r="A1229" t="s">
        <v>25</v>
      </c>
      <c r="B1229" t="s">
        <v>3720</v>
      </c>
      <c r="C1229">
        <v>307.7300109863281</v>
      </c>
      <c r="D1229">
        <v>308.739990234375</v>
      </c>
      <c r="E1229">
        <v>305.7900085449219</v>
      </c>
      <c r="F1229">
        <v>306.7300109863281</v>
      </c>
      <c r="G1229">
        <v>306.7300109863281</v>
      </c>
      <c r="H1229">
        <v>8149000</v>
      </c>
      <c r="I1229" t="s">
        <v>3721</v>
      </c>
      <c r="J1229" t="s">
        <v>3722</v>
      </c>
      <c r="K1229" t="s">
        <v>41</v>
      </c>
    </row>
    <row r="1230" spans="1:11" ht="20" customHeight="1">
      <c r="A1230" t="s">
        <v>25</v>
      </c>
      <c r="B1230" t="s">
        <v>3723</v>
      </c>
      <c r="C1230">
        <v>307.1099853515625</v>
      </c>
      <c r="D1230">
        <v>311.0899963378906</v>
      </c>
      <c r="E1230">
        <v>305.7300109863281</v>
      </c>
      <c r="F1230">
        <v>308.260009765625</v>
      </c>
      <c r="G1230">
        <v>308.260009765625</v>
      </c>
      <c r="H1230">
        <v>17693100</v>
      </c>
      <c r="I1230" t="s">
        <v>3724</v>
      </c>
      <c r="J1230" t="s">
        <v>3725</v>
      </c>
      <c r="K1230" t="s">
        <v>41</v>
      </c>
    </row>
    <row r="1231" spans="1:11" ht="20" customHeight="1">
      <c r="A1231" t="s">
        <v>25</v>
      </c>
      <c r="B1231" t="s">
        <v>3726</v>
      </c>
      <c r="C1231">
        <v>305.5</v>
      </c>
      <c r="D1231">
        <v>307.6700134277344</v>
      </c>
      <c r="E1231">
        <v>305.1199951171875</v>
      </c>
      <c r="F1231">
        <v>307.5899963378906</v>
      </c>
      <c r="G1231">
        <v>307.5899963378906</v>
      </c>
      <c r="H1231">
        <v>6642300</v>
      </c>
      <c r="I1231" t="s">
        <v>3727</v>
      </c>
      <c r="J1231" t="s">
        <v>3728</v>
      </c>
      <c r="K1231" t="s">
        <v>41</v>
      </c>
    </row>
    <row r="1232" spans="1:11" ht="20" customHeight="1">
      <c r="A1232" t="s">
        <v>25</v>
      </c>
      <c r="B1232" t="s">
        <v>3729</v>
      </c>
      <c r="C1232">
        <v>309.239990234375</v>
      </c>
      <c r="D1232">
        <v>309.3699951171875</v>
      </c>
      <c r="E1232">
        <v>308.3200073242188</v>
      </c>
      <c r="F1232">
        <v>308.3900146484375</v>
      </c>
      <c r="G1232">
        <v>308.3900146484375</v>
      </c>
      <c r="H1232">
        <v>5574300</v>
      </c>
      <c r="I1232" t="s">
        <v>3730</v>
      </c>
      <c r="J1232" t="s">
        <v>3731</v>
      </c>
      <c r="K1232" t="s">
        <v>41</v>
      </c>
    </row>
    <row r="1233" spans="1:11" ht="20" customHeight="1">
      <c r="A1233" t="s">
        <v>25</v>
      </c>
      <c r="B1233" t="s">
        <v>3732</v>
      </c>
      <c r="C1233">
        <v>311.8800048828125</v>
      </c>
      <c r="D1233">
        <v>313.3099975585938</v>
      </c>
      <c r="E1233">
        <v>311.6099853515625</v>
      </c>
      <c r="F1233">
        <v>313.1300048828125</v>
      </c>
      <c r="G1233">
        <v>313.1300048828125</v>
      </c>
      <c r="H1233">
        <v>10995800</v>
      </c>
      <c r="I1233" t="s">
        <v>3733</v>
      </c>
      <c r="J1233" t="s">
        <v>3734</v>
      </c>
      <c r="K1233" t="s">
        <v>41</v>
      </c>
    </row>
    <row r="1234" spans="1:11" ht="20" customHeight="1">
      <c r="A1234" t="s">
        <v>25</v>
      </c>
      <c r="B1234" t="s">
        <v>3735</v>
      </c>
      <c r="C1234">
        <v>314.4800109863281</v>
      </c>
      <c r="D1234">
        <v>316.239990234375</v>
      </c>
      <c r="E1234">
        <v>313.6199951171875</v>
      </c>
      <c r="F1234">
        <v>316.1000061035156</v>
      </c>
      <c r="G1234">
        <v>316.1000061035156</v>
      </c>
      <c r="H1234">
        <v>13691800</v>
      </c>
      <c r="I1234" t="s">
        <v>3736</v>
      </c>
      <c r="J1234" t="s">
        <v>3737</v>
      </c>
      <c r="K1234" t="s">
        <v>41</v>
      </c>
    </row>
    <row r="1235" spans="1:11" ht="20" customHeight="1">
      <c r="A1235" t="s">
        <v>25</v>
      </c>
      <c r="B1235" t="s">
        <v>3738</v>
      </c>
      <c r="C1235">
        <v>314</v>
      </c>
      <c r="D1235">
        <v>314.9599914550781</v>
      </c>
      <c r="E1235">
        <v>311.4200134277344</v>
      </c>
      <c r="F1235">
        <v>312.1799926757812</v>
      </c>
      <c r="G1235">
        <v>312.1799926757812</v>
      </c>
      <c r="H1235">
        <v>10547500</v>
      </c>
      <c r="I1235" t="s">
        <v>3739</v>
      </c>
      <c r="J1235" t="s">
        <v>3740</v>
      </c>
      <c r="K1235" t="s">
        <v>41</v>
      </c>
    </row>
    <row r="1236" spans="1:11" ht="20" customHeight="1">
      <c r="A1236" t="s">
        <v>25</v>
      </c>
      <c r="B1236" t="s">
        <v>3741</v>
      </c>
      <c r="C1236">
        <v>309.2900085449219</v>
      </c>
      <c r="D1236">
        <v>310.989990234375</v>
      </c>
      <c r="E1236">
        <v>309.0599975585938</v>
      </c>
      <c r="F1236">
        <v>310.2699890136719</v>
      </c>
      <c r="G1236">
        <v>310.2699890136719</v>
      </c>
      <c r="H1236">
        <v>7698800</v>
      </c>
      <c r="I1236" t="s">
        <v>3742</v>
      </c>
      <c r="J1236" t="s">
        <v>3743</v>
      </c>
      <c r="K1236" t="s">
        <v>41</v>
      </c>
    </row>
    <row r="1237" spans="1:11" ht="20" customHeight="1">
      <c r="A1237" t="s">
        <v>25</v>
      </c>
      <c r="B1237" t="s">
        <v>3744</v>
      </c>
      <c r="C1237">
        <v>307.8200073242188</v>
      </c>
      <c r="D1237">
        <v>308.3099975585938</v>
      </c>
      <c r="E1237">
        <v>306.2000122070312</v>
      </c>
      <c r="F1237">
        <v>307.3999938964844</v>
      </c>
      <c r="G1237">
        <v>307.3999938964844</v>
      </c>
      <c r="H1237">
        <v>9376400</v>
      </c>
      <c r="I1237" t="s">
        <v>3745</v>
      </c>
      <c r="J1237" t="s">
        <v>3746</v>
      </c>
      <c r="K1237" t="s">
        <v>41</v>
      </c>
    </row>
    <row r="1238" spans="1:11" ht="20" customHeight="1">
      <c r="A1238" t="s">
        <v>25</v>
      </c>
      <c r="B1238" t="s">
        <v>3747</v>
      </c>
      <c r="C1238">
        <v>306.4400024414062</v>
      </c>
      <c r="D1238">
        <v>306.5799865722656</v>
      </c>
      <c r="E1238">
        <v>304.0499877929688</v>
      </c>
      <c r="F1238">
        <v>305.4100036621094</v>
      </c>
      <c r="G1238">
        <v>305.4100036621094</v>
      </c>
      <c r="H1238">
        <v>9275400</v>
      </c>
      <c r="I1238" t="s">
        <v>3748</v>
      </c>
      <c r="J1238" t="s">
        <v>3749</v>
      </c>
      <c r="K1238" t="s">
        <v>41</v>
      </c>
    </row>
    <row r="1239" spans="1:11" ht="20" customHeight="1">
      <c r="A1239" t="s">
        <v>25</v>
      </c>
      <c r="B1239" t="s">
        <v>3750</v>
      </c>
      <c r="C1239">
        <v>305.7999877929688</v>
      </c>
      <c r="D1239">
        <v>307.0299987792969</v>
      </c>
      <c r="E1239">
        <v>304.989990234375</v>
      </c>
      <c r="F1239">
        <v>306.25</v>
      </c>
      <c r="G1239">
        <v>306.25</v>
      </c>
      <c r="H1239">
        <v>5741100</v>
      </c>
      <c r="I1239" t="s">
        <v>3751</v>
      </c>
      <c r="J1239" t="s">
        <v>3752</v>
      </c>
      <c r="K1239" t="s">
        <v>41</v>
      </c>
    </row>
    <row r="1240" spans="1:11" ht="20" customHeight="1">
      <c r="A1240" t="s">
        <v>25</v>
      </c>
      <c r="B1240" t="s">
        <v>3753</v>
      </c>
      <c r="C1240">
        <v>304.4200134277344</v>
      </c>
      <c r="D1240">
        <v>304.6499938964844</v>
      </c>
      <c r="E1240">
        <v>300.9599914550781</v>
      </c>
      <c r="F1240">
        <v>300.9599914550781</v>
      </c>
      <c r="G1240">
        <v>300.9599914550781</v>
      </c>
      <c r="H1240">
        <v>13459600</v>
      </c>
      <c r="I1240" t="s">
        <v>3754</v>
      </c>
      <c r="J1240" t="s">
        <v>3755</v>
      </c>
      <c r="K1240" t="s">
        <v>41</v>
      </c>
    </row>
    <row r="1241" spans="1:11" ht="20" customHeight="1">
      <c r="A1241" t="s">
        <v>25</v>
      </c>
      <c r="B1241" t="s">
        <v>3756</v>
      </c>
      <c r="C1241">
        <v>304.5899963378906</v>
      </c>
      <c r="D1241">
        <v>304.6099853515625</v>
      </c>
      <c r="E1241">
        <v>302.8599853515625</v>
      </c>
      <c r="F1241">
        <v>302.9599914550781</v>
      </c>
      <c r="G1241">
        <v>302.9599914550781</v>
      </c>
      <c r="H1241">
        <v>8981000</v>
      </c>
      <c r="I1241" t="s">
        <v>3757</v>
      </c>
      <c r="J1241" t="s">
        <v>3758</v>
      </c>
      <c r="K1241" t="s">
        <v>41</v>
      </c>
    </row>
    <row r="1242" spans="1:11" ht="20" customHeight="1">
      <c r="A1242" t="s">
        <v>25</v>
      </c>
      <c r="B1242" t="s">
        <v>3759</v>
      </c>
      <c r="C1242">
        <v>308.6099853515625</v>
      </c>
      <c r="D1242">
        <v>309.5499877929688</v>
      </c>
      <c r="E1242">
        <v>307.4500122070312</v>
      </c>
      <c r="F1242">
        <v>309.1099853515625</v>
      </c>
      <c r="G1242">
        <v>309.1099853515625</v>
      </c>
      <c r="H1242">
        <v>12843400</v>
      </c>
      <c r="I1242" t="s">
        <v>3760</v>
      </c>
      <c r="J1242" t="s">
        <v>3761</v>
      </c>
      <c r="K1242" t="s">
        <v>41</v>
      </c>
    </row>
    <row r="1243" spans="1:11" ht="20" customHeight="1">
      <c r="A1243" t="s">
        <v>25</v>
      </c>
      <c r="B1243" t="s">
        <v>3762</v>
      </c>
      <c r="C1243">
        <v>310.7999877929688</v>
      </c>
      <c r="D1243">
        <v>311.739990234375</v>
      </c>
      <c r="E1243">
        <v>310.3699951171875</v>
      </c>
      <c r="F1243">
        <v>310.9100036621094</v>
      </c>
      <c r="G1243">
        <v>310.9100036621094</v>
      </c>
      <c r="H1243">
        <v>7639000</v>
      </c>
      <c r="I1243" t="s">
        <v>3763</v>
      </c>
      <c r="J1243" t="s">
        <v>3764</v>
      </c>
      <c r="K1243" t="s">
        <v>41</v>
      </c>
    </row>
    <row r="1244" spans="1:11" ht="20" customHeight="1">
      <c r="A1244" t="s">
        <v>25</v>
      </c>
      <c r="B1244" t="s">
        <v>3765</v>
      </c>
      <c r="C1244">
        <v>310.3699951171875</v>
      </c>
      <c r="D1244">
        <v>312.239990234375</v>
      </c>
      <c r="E1244">
        <v>310.2200012207031</v>
      </c>
      <c r="F1244">
        <v>311.1600036621094</v>
      </c>
      <c r="G1244">
        <v>311.1600036621094</v>
      </c>
      <c r="H1244">
        <v>6997700</v>
      </c>
      <c r="I1244" t="s">
        <v>3766</v>
      </c>
      <c r="J1244" t="s">
        <v>3767</v>
      </c>
      <c r="K1244" t="s">
        <v>41</v>
      </c>
    </row>
    <row r="1245" spans="1:11" ht="20" customHeight="1">
      <c r="A1245" t="s">
        <v>25</v>
      </c>
      <c r="B1245" t="s">
        <v>3768</v>
      </c>
      <c r="C1245">
        <v>310.3200073242188</v>
      </c>
      <c r="D1245">
        <v>311.239990234375</v>
      </c>
      <c r="E1245">
        <v>309.8399963378906</v>
      </c>
      <c r="F1245">
        <v>310.5</v>
      </c>
      <c r="G1245">
        <v>310.5</v>
      </c>
      <c r="H1245">
        <v>7418200</v>
      </c>
      <c r="I1245" t="s">
        <v>3769</v>
      </c>
      <c r="J1245" t="s">
        <v>3770</v>
      </c>
      <c r="K1245" t="s">
        <v>41</v>
      </c>
    </row>
    <row r="1246" spans="1:11" ht="20" customHeight="1">
      <c r="A1246" t="s">
        <v>25</v>
      </c>
      <c r="B1246" t="s">
        <v>3771</v>
      </c>
      <c r="C1246">
        <v>311.7200012207031</v>
      </c>
      <c r="D1246">
        <v>313.1400146484375</v>
      </c>
      <c r="E1246">
        <v>310.7000122070312</v>
      </c>
      <c r="F1246">
        <v>313.1199951171875</v>
      </c>
      <c r="G1246">
        <v>313.1199951171875</v>
      </c>
      <c r="H1246">
        <v>10891500</v>
      </c>
      <c r="I1246" t="s">
        <v>3772</v>
      </c>
      <c r="J1246" t="s">
        <v>3773</v>
      </c>
      <c r="K1246" t="s">
        <v>41</v>
      </c>
    </row>
    <row r="1247" spans="1:11" ht="20" customHeight="1">
      <c r="A1247" t="s">
        <v>25</v>
      </c>
      <c r="B1247" t="s">
        <v>3774</v>
      </c>
      <c r="C1247">
        <v>312.3500061035156</v>
      </c>
      <c r="D1247">
        <v>313.5299987792969</v>
      </c>
      <c r="E1247">
        <v>311</v>
      </c>
      <c r="F1247">
        <v>313.0499877929688</v>
      </c>
      <c r="G1247">
        <v>313.0499877929688</v>
      </c>
      <c r="H1247">
        <v>19886800</v>
      </c>
      <c r="I1247" t="s">
        <v>3775</v>
      </c>
      <c r="J1247" t="s">
        <v>3776</v>
      </c>
      <c r="K1247" t="s">
        <v>41</v>
      </c>
    </row>
    <row r="1248" spans="1:11" ht="20" customHeight="1">
      <c r="A1248" t="s">
        <v>25</v>
      </c>
      <c r="B1248" t="s">
        <v>3777</v>
      </c>
      <c r="C1248">
        <v>308.6199951171875</v>
      </c>
      <c r="D1248">
        <v>309.6600036621094</v>
      </c>
      <c r="E1248">
        <v>307.6300048828125</v>
      </c>
      <c r="F1248">
        <v>308.5499877929688</v>
      </c>
      <c r="G1248">
        <v>308.5499877929688</v>
      </c>
      <c r="H1248">
        <v>10326700</v>
      </c>
      <c r="I1248" t="s">
        <v>3778</v>
      </c>
      <c r="J1248" t="s">
        <v>3779</v>
      </c>
      <c r="K1248" t="s">
        <v>41</v>
      </c>
    </row>
    <row r="1249" spans="1:11" ht="20" customHeight="1">
      <c r="A1249" t="s">
        <v>25</v>
      </c>
      <c r="B1249" t="s">
        <v>3780</v>
      </c>
      <c r="C1249">
        <v>308.2200012207031</v>
      </c>
      <c r="D1249">
        <v>309.3099975585938</v>
      </c>
      <c r="E1249">
        <v>306.7099914550781</v>
      </c>
      <c r="F1249">
        <v>308.2699890136719</v>
      </c>
      <c r="G1249">
        <v>308.2699890136719</v>
      </c>
      <c r="H1249">
        <v>9697400</v>
      </c>
      <c r="I1249" t="s">
        <v>3781</v>
      </c>
      <c r="J1249" t="s">
        <v>3782</v>
      </c>
      <c r="K1249" t="s">
        <v>41</v>
      </c>
    </row>
    <row r="1250" spans="1:11" ht="20" customHeight="1">
      <c r="A1250" t="s">
        <v>25</v>
      </c>
      <c r="B1250" t="s">
        <v>3783</v>
      </c>
      <c r="C1250">
        <v>309.1000061035156</v>
      </c>
      <c r="D1250">
        <v>310.3900146484375</v>
      </c>
      <c r="E1250">
        <v>308.4500122070312</v>
      </c>
      <c r="F1250">
        <v>309.2099914550781</v>
      </c>
      <c r="G1250">
        <v>309.2099914550781</v>
      </c>
      <c r="H1250">
        <v>4718600</v>
      </c>
      <c r="I1250" t="s">
        <v>3784</v>
      </c>
      <c r="J1250" t="s">
        <v>3785</v>
      </c>
      <c r="K1250" t="s">
        <v>41</v>
      </c>
    </row>
    <row r="1251" spans="1:11" ht="20" customHeight="1">
      <c r="A1251" t="s">
        <v>25</v>
      </c>
      <c r="B1251" t="s">
        <v>3786</v>
      </c>
      <c r="C1251">
        <v>307.9299926757812</v>
      </c>
      <c r="D1251">
        <v>308.3399963378906</v>
      </c>
      <c r="E1251">
        <v>306.5199890136719</v>
      </c>
      <c r="F1251">
        <v>307.25</v>
      </c>
      <c r="G1251">
        <v>307.25</v>
      </c>
      <c r="H1251">
        <v>5817700</v>
      </c>
      <c r="I1251" t="s">
        <v>3787</v>
      </c>
      <c r="J1251" t="s">
        <v>3788</v>
      </c>
      <c r="K1251" t="s">
        <v>41</v>
      </c>
    </row>
    <row r="1252" spans="1:11" ht="20" customHeight="1">
      <c r="A1252" t="s">
        <v>25</v>
      </c>
      <c r="B1252" t="s">
        <v>3789</v>
      </c>
      <c r="C1252">
        <v>307.3399963378906</v>
      </c>
      <c r="D1252">
        <v>308</v>
      </c>
      <c r="E1252">
        <v>306.8699951171875</v>
      </c>
      <c r="F1252">
        <v>307.4299926757812</v>
      </c>
      <c r="G1252">
        <v>307.4299926757812</v>
      </c>
      <c r="H1252">
        <v>5990100</v>
      </c>
      <c r="I1252" t="s">
        <v>3790</v>
      </c>
      <c r="J1252" t="s">
        <v>3791</v>
      </c>
      <c r="K1252" t="s">
        <v>41</v>
      </c>
    </row>
    <row r="1253" spans="1:11" ht="20" customHeight="1">
      <c r="A1253" t="s">
        <v>25</v>
      </c>
      <c r="B1253" t="s">
        <v>3792</v>
      </c>
      <c r="C1253">
        <v>307.7900085449219</v>
      </c>
      <c r="D1253">
        <v>307.8900146484375</v>
      </c>
      <c r="E1253">
        <v>306.6300048828125</v>
      </c>
      <c r="F1253">
        <v>306.9500122070312</v>
      </c>
      <c r="G1253">
        <v>306.9500122070312</v>
      </c>
      <c r="H1253">
        <v>6150100</v>
      </c>
      <c r="I1253" t="s">
        <v>3793</v>
      </c>
      <c r="J1253" t="s">
        <v>3794</v>
      </c>
      <c r="K1253" t="s">
        <v>41</v>
      </c>
    </row>
    <row r="1254" spans="1:11" ht="20" customHeight="1">
      <c r="A1254" t="s">
        <v>25</v>
      </c>
      <c r="B1254" t="s">
        <v>3795</v>
      </c>
      <c r="C1254">
        <v>306.760009765625</v>
      </c>
      <c r="D1254">
        <v>307.4800109863281</v>
      </c>
      <c r="E1254">
        <v>305.1900024414062</v>
      </c>
      <c r="F1254">
        <v>305.2699890136719</v>
      </c>
      <c r="G1254">
        <v>305.2699890136719</v>
      </c>
      <c r="H1254">
        <v>5029900</v>
      </c>
      <c r="I1254" t="s">
        <v>3796</v>
      </c>
      <c r="J1254" t="s">
        <v>3797</v>
      </c>
      <c r="K1254" t="s">
        <v>41</v>
      </c>
    </row>
    <row r="1255" spans="1:11" ht="20" customHeight="1">
      <c r="A1255" t="s">
        <v>25</v>
      </c>
      <c r="B1255" t="s">
        <v>3798</v>
      </c>
      <c r="C1255">
        <v>307.5400085449219</v>
      </c>
      <c r="D1255">
        <v>308.4700012207031</v>
      </c>
      <c r="E1255">
        <v>307.3999938964844</v>
      </c>
      <c r="F1255">
        <v>308.3599853515625</v>
      </c>
      <c r="G1255">
        <v>308.3599853515625</v>
      </c>
      <c r="H1255">
        <v>6515400</v>
      </c>
      <c r="I1255" t="s">
        <v>3799</v>
      </c>
      <c r="J1255" t="s">
        <v>3800</v>
      </c>
      <c r="K1255" t="s">
        <v>41</v>
      </c>
    </row>
    <row r="1256" spans="1:11" ht="20" customHeight="1">
      <c r="A1256" t="s">
        <v>25</v>
      </c>
      <c r="B1256" t="s">
        <v>3801</v>
      </c>
      <c r="C1256">
        <v>307.8599853515625</v>
      </c>
      <c r="D1256">
        <v>308.1499938964844</v>
      </c>
      <c r="E1256">
        <v>307.0299987792969</v>
      </c>
      <c r="F1256">
        <v>307.2900085449219</v>
      </c>
      <c r="G1256">
        <v>307.2900085449219</v>
      </c>
      <c r="H1256">
        <v>4809000</v>
      </c>
      <c r="I1256" t="s">
        <v>3802</v>
      </c>
      <c r="J1256" t="s">
        <v>3803</v>
      </c>
      <c r="K1256" t="s">
        <v>41</v>
      </c>
    </row>
    <row r="1257" spans="1:11" ht="20" customHeight="1">
      <c r="A1257" t="s">
        <v>25</v>
      </c>
      <c r="B1257" t="s">
        <v>3804</v>
      </c>
      <c r="C1257">
        <v>306.5199890136719</v>
      </c>
      <c r="D1257">
        <v>311.0199890136719</v>
      </c>
      <c r="E1257">
        <v>306.4299926757812</v>
      </c>
      <c r="F1257">
        <v>310.5799865722656</v>
      </c>
      <c r="G1257">
        <v>310.5799865722656</v>
      </c>
      <c r="H1257">
        <v>8526500</v>
      </c>
      <c r="I1257" t="s">
        <v>3805</v>
      </c>
      <c r="J1257" t="s">
        <v>3806</v>
      </c>
      <c r="K1257" t="s">
        <v>41</v>
      </c>
    </row>
    <row r="1258" spans="1:11" ht="20" customHeight="1">
      <c r="A1258" t="s">
        <v>25</v>
      </c>
      <c r="B1258" t="s">
        <v>3807</v>
      </c>
      <c r="C1258">
        <v>309.6700134277344</v>
      </c>
      <c r="D1258">
        <v>310.8399963378906</v>
      </c>
      <c r="E1258">
        <v>309.6700134277344</v>
      </c>
      <c r="F1258">
        <v>309.8299865722656</v>
      </c>
      <c r="G1258">
        <v>309.8299865722656</v>
      </c>
      <c r="H1258">
        <v>4044400</v>
      </c>
      <c r="I1258" t="s">
        <v>3808</v>
      </c>
      <c r="J1258" t="s">
        <v>3809</v>
      </c>
      <c r="K1258" t="s">
        <v>41</v>
      </c>
    </row>
    <row r="1259" spans="1:11" ht="20" customHeight="1">
      <c r="A1259" t="s">
        <v>25</v>
      </c>
      <c r="B1259" t="s">
        <v>3810</v>
      </c>
      <c r="C1259">
        <v>310.6199951171875</v>
      </c>
      <c r="D1259">
        <v>312.2099914550781</v>
      </c>
      <c r="E1259">
        <v>310.3099975585938</v>
      </c>
      <c r="F1259">
        <v>312.0799865722656</v>
      </c>
      <c r="G1259">
        <v>312.0799865722656</v>
      </c>
      <c r="H1259">
        <v>11698500</v>
      </c>
      <c r="I1259" t="s">
        <v>3811</v>
      </c>
      <c r="J1259" t="s">
        <v>3812</v>
      </c>
      <c r="K1259" t="s">
        <v>41</v>
      </c>
    </row>
    <row r="1260" spans="1:11" ht="20" customHeight="1">
      <c r="A1260" t="s">
        <v>25</v>
      </c>
      <c r="B1260" t="s">
        <v>3813</v>
      </c>
      <c r="C1260">
        <v>311.3900146484375</v>
      </c>
      <c r="D1260">
        <v>312.9100036621094</v>
      </c>
      <c r="E1260">
        <v>310.7699890136719</v>
      </c>
      <c r="F1260">
        <v>312.7099914550781</v>
      </c>
      <c r="G1260">
        <v>312.7099914550781</v>
      </c>
      <c r="H1260">
        <v>4320100</v>
      </c>
      <c r="I1260" t="s">
        <v>3814</v>
      </c>
      <c r="J1260" t="s">
        <v>3815</v>
      </c>
      <c r="K1260" t="s">
        <v>41</v>
      </c>
    </row>
    <row r="1261" spans="1:11" ht="20" customHeight="1">
      <c r="A1261" t="s">
        <v>25</v>
      </c>
      <c r="B1261" t="s">
        <v>3816</v>
      </c>
      <c r="C1261">
        <v>313.3200073242188</v>
      </c>
      <c r="D1261">
        <v>315.0799865722656</v>
      </c>
      <c r="E1261">
        <v>313.0700073242188</v>
      </c>
      <c r="F1261">
        <v>315.0299987792969</v>
      </c>
      <c r="G1261">
        <v>315.0299987792969</v>
      </c>
      <c r="H1261">
        <v>9610200</v>
      </c>
      <c r="I1261" t="s">
        <v>3817</v>
      </c>
      <c r="J1261" t="s">
        <v>3818</v>
      </c>
      <c r="K1261" t="s">
        <v>41</v>
      </c>
    </row>
    <row r="1262" spans="1:11" ht="20" customHeight="1">
      <c r="A1262" t="s">
        <v>25</v>
      </c>
      <c r="B1262" t="s">
        <v>3819</v>
      </c>
      <c r="C1262">
        <v>314.7200012207031</v>
      </c>
      <c r="D1262">
        <v>318.0899963378906</v>
      </c>
      <c r="E1262">
        <v>314.6400146484375</v>
      </c>
      <c r="F1262">
        <v>318.0700073242188</v>
      </c>
      <c r="G1262">
        <v>318.0700073242188</v>
      </c>
      <c r="H1262">
        <v>15642600</v>
      </c>
      <c r="I1262" t="s">
        <v>3820</v>
      </c>
      <c r="J1262" t="s">
        <v>3821</v>
      </c>
      <c r="K1262" t="s">
        <v>41</v>
      </c>
    </row>
    <row r="1263" spans="1:11" ht="20" customHeight="1">
      <c r="A1263" t="s">
        <v>25</v>
      </c>
      <c r="B1263" t="s">
        <v>3822</v>
      </c>
      <c r="C1263">
        <v>320.8200073242188</v>
      </c>
      <c r="D1263">
        <v>325.9200134277344</v>
      </c>
      <c r="E1263">
        <v>320.239990234375</v>
      </c>
      <c r="F1263">
        <v>325.5899963378906</v>
      </c>
      <c r="G1263">
        <v>325.5899963378906</v>
      </c>
      <c r="H1263">
        <v>21247500</v>
      </c>
      <c r="I1263" t="s">
        <v>3823</v>
      </c>
      <c r="J1263" t="s">
        <v>3824</v>
      </c>
      <c r="K1263" t="s">
        <v>41</v>
      </c>
    </row>
    <row r="1264" spans="1:11" ht="20" customHeight="1">
      <c r="A1264" t="s">
        <v>25</v>
      </c>
      <c r="B1264" t="s">
        <v>3825</v>
      </c>
      <c r="C1264">
        <v>327.760009765625</v>
      </c>
      <c r="D1264">
        <v>329.4500122070312</v>
      </c>
      <c r="E1264">
        <v>326.7300109863281</v>
      </c>
      <c r="F1264">
        <v>328.1400146484375</v>
      </c>
      <c r="G1264">
        <v>328.1400146484375</v>
      </c>
      <c r="H1264">
        <v>16062200</v>
      </c>
      <c r="I1264" t="s">
        <v>3826</v>
      </c>
      <c r="J1264" t="s">
        <v>3827</v>
      </c>
      <c r="K1264" t="s">
        <v>41</v>
      </c>
    </row>
    <row r="1265" spans="1:11" ht="20" customHeight="1">
      <c r="A1265" t="s">
        <v>25</v>
      </c>
      <c r="B1265" t="s">
        <v>3828</v>
      </c>
      <c r="C1265">
        <v>327.0299987792969</v>
      </c>
      <c r="D1265">
        <v>327.5599975585938</v>
      </c>
      <c r="E1265">
        <v>325.3500061035156</v>
      </c>
      <c r="F1265">
        <v>326.6900024414062</v>
      </c>
      <c r="G1265">
        <v>326.6900024414062</v>
      </c>
      <c r="H1265">
        <v>11703100</v>
      </c>
      <c r="I1265" t="s">
        <v>3829</v>
      </c>
      <c r="J1265" t="s">
        <v>3830</v>
      </c>
      <c r="K1265" t="s">
        <v>41</v>
      </c>
    </row>
    <row r="1266" spans="1:11" ht="20" customHeight="1">
      <c r="A1266" t="s">
        <v>25</v>
      </c>
      <c r="B1266" t="s">
        <v>3831</v>
      </c>
      <c r="C1266">
        <v>329.5299987792969</v>
      </c>
      <c r="D1266">
        <v>331.4400024414062</v>
      </c>
      <c r="E1266">
        <v>328.9299926757812</v>
      </c>
      <c r="F1266">
        <v>331.0499877929688</v>
      </c>
      <c r="G1266">
        <v>331.0499877929688</v>
      </c>
      <c r="H1266">
        <v>16065200</v>
      </c>
      <c r="I1266" t="s">
        <v>3832</v>
      </c>
      <c r="J1266" t="s">
        <v>3833</v>
      </c>
      <c r="K1266" t="s">
        <v>41</v>
      </c>
    </row>
    <row r="1267" spans="1:11" ht="20" customHeight="1">
      <c r="A1267" t="s">
        <v>25</v>
      </c>
      <c r="B1267" t="s">
        <v>3834</v>
      </c>
      <c r="C1267">
        <v>333.6600036621094</v>
      </c>
      <c r="D1267">
        <v>335.6700134277344</v>
      </c>
      <c r="E1267">
        <v>333.2300109863281</v>
      </c>
      <c r="F1267">
        <v>334.8200073242188</v>
      </c>
      <c r="G1267">
        <v>334.8200073242188</v>
      </c>
      <c r="H1267">
        <v>18617300</v>
      </c>
      <c r="I1267" t="s">
        <v>3835</v>
      </c>
      <c r="J1267" t="s">
        <v>3836</v>
      </c>
      <c r="K1267" t="s">
        <v>41</v>
      </c>
    </row>
    <row r="1268" spans="1:11" ht="20" customHeight="1">
      <c r="A1268" t="s">
        <v>25</v>
      </c>
      <c r="B1268" t="s">
        <v>3837</v>
      </c>
      <c r="C1268">
        <v>337.0299987792969</v>
      </c>
      <c r="D1268">
        <v>338.3099975585938</v>
      </c>
      <c r="E1268">
        <v>333.8500061035156</v>
      </c>
      <c r="F1268">
        <v>334.0599975585938</v>
      </c>
      <c r="G1268">
        <v>334.0599975585938</v>
      </c>
      <c r="H1268">
        <v>21641900</v>
      </c>
      <c r="I1268" t="s">
        <v>3838</v>
      </c>
      <c r="J1268" t="s">
        <v>3839</v>
      </c>
      <c r="K1268" t="s">
        <v>41</v>
      </c>
    </row>
    <row r="1269" spans="1:11" ht="20" customHeight="1">
      <c r="A1269" t="s">
        <v>25</v>
      </c>
      <c r="B1269" t="s">
        <v>3840</v>
      </c>
      <c r="C1269">
        <v>335.7300109863281</v>
      </c>
      <c r="D1269">
        <v>336.5</v>
      </c>
      <c r="E1269">
        <v>326.1900024414062</v>
      </c>
      <c r="F1269">
        <v>335.260009765625</v>
      </c>
      <c r="G1269">
        <v>335.260009765625</v>
      </c>
      <c r="H1269">
        <v>11945700</v>
      </c>
      <c r="I1269" t="s">
        <v>3841</v>
      </c>
      <c r="J1269" t="s">
        <v>3842</v>
      </c>
      <c r="K1269" t="s">
        <v>41</v>
      </c>
    </row>
    <row r="1270" spans="1:11" ht="20" customHeight="1">
      <c r="A1270" t="s">
        <v>25</v>
      </c>
      <c r="B1270" t="s">
        <v>3843</v>
      </c>
      <c r="C1270">
        <v>333.3699951171875</v>
      </c>
      <c r="D1270">
        <v>335.1600036621094</v>
      </c>
      <c r="E1270">
        <v>332.9700012207031</v>
      </c>
      <c r="F1270">
        <v>334.760009765625</v>
      </c>
      <c r="G1270">
        <v>334.760009765625</v>
      </c>
      <c r="H1270">
        <v>9082600</v>
      </c>
      <c r="I1270" t="s">
        <v>3844</v>
      </c>
      <c r="J1270" t="s">
        <v>3845</v>
      </c>
      <c r="K1270" t="s">
        <v>41</v>
      </c>
    </row>
    <row r="1271" spans="1:11" ht="20" customHeight="1">
      <c r="A1271" t="s">
        <v>25</v>
      </c>
      <c r="B1271" t="s">
        <v>3846</v>
      </c>
      <c r="C1271">
        <v>335.8800048828125</v>
      </c>
      <c r="D1271">
        <v>336.3900146484375</v>
      </c>
      <c r="E1271">
        <v>335.2300109863281</v>
      </c>
      <c r="F1271">
        <v>335.4200134277344</v>
      </c>
      <c r="G1271">
        <v>335.4200134277344</v>
      </c>
      <c r="H1271">
        <v>9619700</v>
      </c>
      <c r="I1271" t="s">
        <v>3847</v>
      </c>
      <c r="J1271" t="s">
        <v>3848</v>
      </c>
      <c r="K1271" t="s">
        <v>41</v>
      </c>
    </row>
    <row r="1272" spans="1:11" ht="20" customHeight="1">
      <c r="A1272" t="s">
        <v>25</v>
      </c>
      <c r="B1272" t="s">
        <v>3849</v>
      </c>
      <c r="C1272">
        <v>336.3099975585938</v>
      </c>
      <c r="D1272">
        <v>339.2799987792969</v>
      </c>
      <c r="E1272">
        <v>336.2300109863281</v>
      </c>
      <c r="F1272">
        <v>338.9100036621094</v>
      </c>
      <c r="G1272">
        <v>338.9100036621094</v>
      </c>
      <c r="H1272">
        <v>10569900</v>
      </c>
      <c r="I1272" t="s">
        <v>3850</v>
      </c>
      <c r="J1272" t="s">
        <v>3851</v>
      </c>
      <c r="K1272" t="s">
        <v>41</v>
      </c>
    </row>
    <row r="1273" spans="1:11" ht="20" customHeight="1">
      <c r="A1273" t="s">
        <v>25</v>
      </c>
      <c r="B1273" t="s">
        <v>3852</v>
      </c>
      <c r="C1273">
        <v>340.0899963378906</v>
      </c>
      <c r="D1273">
        <v>340.8800048828125</v>
      </c>
      <c r="E1273">
        <v>338.6199951171875</v>
      </c>
      <c r="F1273">
        <v>339.5899963378906</v>
      </c>
      <c r="G1273">
        <v>339.5899963378906</v>
      </c>
      <c r="H1273">
        <v>12161500</v>
      </c>
      <c r="I1273" t="s">
        <v>3853</v>
      </c>
      <c r="J1273" t="s">
        <v>3854</v>
      </c>
      <c r="K1273" t="s">
        <v>41</v>
      </c>
    </row>
    <row r="1274" spans="1:11" ht="20" customHeight="1">
      <c r="A1274" t="s">
        <v>25</v>
      </c>
      <c r="B1274" t="s">
        <v>3855</v>
      </c>
      <c r="C1274">
        <v>338.5299987792969</v>
      </c>
      <c r="D1274">
        <v>341.239990234375</v>
      </c>
      <c r="E1274">
        <v>335.5199890136719</v>
      </c>
      <c r="F1274">
        <v>336.9700012207031</v>
      </c>
      <c r="G1274">
        <v>336.9700012207031</v>
      </c>
      <c r="H1274">
        <v>16535300</v>
      </c>
      <c r="I1274" t="s">
        <v>3856</v>
      </c>
      <c r="J1274" t="s">
        <v>3857</v>
      </c>
      <c r="K1274" t="s">
        <v>41</v>
      </c>
    </row>
    <row r="1275" spans="1:11" ht="20" customHeight="1">
      <c r="A1275" t="s">
        <v>25</v>
      </c>
      <c r="B1275" t="s">
        <v>3858</v>
      </c>
      <c r="C1275">
        <v>336.2200012207031</v>
      </c>
      <c r="D1275">
        <v>336.3200073242188</v>
      </c>
      <c r="E1275">
        <v>333.8099975585938</v>
      </c>
      <c r="F1275">
        <v>335.6199951171875</v>
      </c>
      <c r="G1275">
        <v>335.6199951171875</v>
      </c>
      <c r="H1275">
        <v>14913300</v>
      </c>
      <c r="I1275" t="s">
        <v>3859</v>
      </c>
      <c r="J1275" t="s">
        <v>3860</v>
      </c>
      <c r="K1275" t="s">
        <v>41</v>
      </c>
    </row>
    <row r="1276" spans="1:11" ht="20" customHeight="1">
      <c r="A1276" t="s">
        <v>25</v>
      </c>
      <c r="B1276" t="s">
        <v>3861</v>
      </c>
      <c r="C1276">
        <v>336.510009765625</v>
      </c>
      <c r="D1276">
        <v>339.2300109863281</v>
      </c>
      <c r="E1276">
        <v>336.3099975585938</v>
      </c>
      <c r="F1276">
        <v>339.1799926757812</v>
      </c>
      <c r="G1276">
        <v>339.1799926757812</v>
      </c>
      <c r="H1276">
        <v>14982600</v>
      </c>
      <c r="I1276" t="s">
        <v>3862</v>
      </c>
      <c r="J1276" t="s">
        <v>3863</v>
      </c>
      <c r="K1276" t="s">
        <v>41</v>
      </c>
    </row>
    <row r="1277" spans="1:11" ht="20" customHeight="1">
      <c r="A1277" t="s">
        <v>25</v>
      </c>
      <c r="B1277" t="s">
        <v>3864</v>
      </c>
      <c r="C1277">
        <v>342.75</v>
      </c>
      <c r="D1277">
        <v>345.0700073242188</v>
      </c>
      <c r="E1277">
        <v>341.8399963378906</v>
      </c>
      <c r="F1277">
        <v>345.0499877929688</v>
      </c>
      <c r="G1277">
        <v>345.0499877929688</v>
      </c>
      <c r="H1277">
        <v>12386400</v>
      </c>
      <c r="I1277" t="s">
        <v>3865</v>
      </c>
      <c r="J1277" t="s">
        <v>3866</v>
      </c>
      <c r="K1277" t="s">
        <v>41</v>
      </c>
    </row>
    <row r="1278" spans="1:11" ht="20" customHeight="1">
      <c r="A1278" t="s">
        <v>25</v>
      </c>
      <c r="B1278" t="s">
        <v>3867</v>
      </c>
      <c r="C1278">
        <v>348.2300109863281</v>
      </c>
      <c r="D1278">
        <v>348.75</v>
      </c>
      <c r="E1278">
        <v>345.3200073242188</v>
      </c>
      <c r="F1278">
        <v>346.4599914550781</v>
      </c>
      <c r="G1278">
        <v>346.4599914550781</v>
      </c>
      <c r="H1278">
        <v>18384000</v>
      </c>
      <c r="I1278" t="s">
        <v>3868</v>
      </c>
      <c r="J1278" t="s">
        <v>3869</v>
      </c>
      <c r="K1278" t="s">
        <v>41</v>
      </c>
    </row>
    <row r="1279" spans="1:11" ht="20" customHeight="1">
      <c r="A1279" t="s">
        <v>25</v>
      </c>
      <c r="B1279" t="s">
        <v>3870</v>
      </c>
      <c r="C1279">
        <v>346.7000122070312</v>
      </c>
      <c r="D1279">
        <v>346.8299865722656</v>
      </c>
      <c r="E1279">
        <v>342.1400146484375</v>
      </c>
      <c r="F1279">
        <v>343.3200073242188</v>
      </c>
      <c r="G1279">
        <v>343.3200073242188</v>
      </c>
      <c r="H1279">
        <v>12709100</v>
      </c>
      <c r="I1279" t="s">
        <v>3871</v>
      </c>
      <c r="J1279" t="s">
        <v>3872</v>
      </c>
      <c r="K1279" t="s">
        <v>41</v>
      </c>
    </row>
    <row r="1280" spans="1:11" ht="20" customHeight="1">
      <c r="A1280" t="s">
        <v>25</v>
      </c>
      <c r="B1280" t="s">
        <v>3873</v>
      </c>
      <c r="C1280">
        <v>344.3900146484375</v>
      </c>
      <c r="D1280">
        <v>345.8299865722656</v>
      </c>
      <c r="E1280">
        <v>342.4700012207031</v>
      </c>
      <c r="F1280">
        <v>344.75</v>
      </c>
      <c r="G1280">
        <v>344.75</v>
      </c>
      <c r="H1280">
        <v>12639600</v>
      </c>
      <c r="I1280" t="s">
        <v>3874</v>
      </c>
      <c r="J1280" t="s">
        <v>3875</v>
      </c>
      <c r="K1280" t="s">
        <v>41</v>
      </c>
    </row>
    <row r="1281" spans="1:11" ht="20" customHeight="1">
      <c r="A1281" t="s">
        <v>25</v>
      </c>
      <c r="B1281" t="s">
        <v>3876</v>
      </c>
      <c r="C1281">
        <v>345.8299865722656</v>
      </c>
      <c r="D1281">
        <v>348.25</v>
      </c>
      <c r="E1281">
        <v>345.3099975585938</v>
      </c>
      <c r="F1281">
        <v>346.739990234375</v>
      </c>
      <c r="G1281">
        <v>346.739990234375</v>
      </c>
      <c r="H1281">
        <v>11698200</v>
      </c>
      <c r="I1281" t="s">
        <v>3877</v>
      </c>
      <c r="J1281" t="s">
        <v>3878</v>
      </c>
      <c r="K1281" t="s">
        <v>41</v>
      </c>
    </row>
    <row r="1282" spans="1:11" ht="20" customHeight="1">
      <c r="A1282" t="s">
        <v>25</v>
      </c>
      <c r="B1282" t="s">
        <v>3879</v>
      </c>
      <c r="C1282">
        <v>351.7900085449219</v>
      </c>
      <c r="D1282">
        <v>352.8299865722656</v>
      </c>
      <c r="E1282">
        <v>351.2799987792969</v>
      </c>
      <c r="F1282">
        <v>352.4599914550781</v>
      </c>
      <c r="G1282">
        <v>352.4599914550781</v>
      </c>
      <c r="H1282">
        <v>15719600</v>
      </c>
      <c r="I1282" t="s">
        <v>3880</v>
      </c>
      <c r="J1282" t="s">
        <v>3881</v>
      </c>
      <c r="K1282" t="s">
        <v>41</v>
      </c>
    </row>
    <row r="1283" spans="1:11" ht="20" customHeight="1">
      <c r="A1283" t="s">
        <v>25</v>
      </c>
      <c r="B1283" t="s">
        <v>3882</v>
      </c>
      <c r="C1283">
        <v>351.1300048828125</v>
      </c>
      <c r="D1283">
        <v>355.5700073242188</v>
      </c>
      <c r="E1283">
        <v>350.8699951171875</v>
      </c>
      <c r="F1283">
        <v>355.4700012207031</v>
      </c>
      <c r="G1283">
        <v>355.4700012207031</v>
      </c>
      <c r="H1283">
        <v>13312400</v>
      </c>
      <c r="I1283" t="s">
        <v>3883</v>
      </c>
      <c r="J1283" t="s">
        <v>3884</v>
      </c>
      <c r="K1283" t="s">
        <v>41</v>
      </c>
    </row>
    <row r="1284" spans="1:11" ht="20" customHeight="1">
      <c r="A1284" t="s">
        <v>25</v>
      </c>
      <c r="B1284" t="s">
        <v>3885</v>
      </c>
      <c r="C1284">
        <v>356.1700134277344</v>
      </c>
      <c r="D1284">
        <v>356.9700012207031</v>
      </c>
      <c r="E1284">
        <v>354.7900085449219</v>
      </c>
      <c r="F1284">
        <v>356.0299987792969</v>
      </c>
      <c r="G1284">
        <v>356.0299987792969</v>
      </c>
      <c r="H1284">
        <v>15573600</v>
      </c>
      <c r="I1284" t="s">
        <v>3886</v>
      </c>
      <c r="J1284" t="s">
        <v>3887</v>
      </c>
      <c r="K1284" t="s">
        <v>41</v>
      </c>
    </row>
    <row r="1285" spans="1:11" ht="20" customHeight="1">
      <c r="A1285" t="s">
        <v>25</v>
      </c>
      <c r="B1285" t="s">
        <v>3888</v>
      </c>
      <c r="C1285">
        <v>358.260009765625</v>
      </c>
      <c r="D1285">
        <v>358.6700134277344</v>
      </c>
      <c r="E1285">
        <v>351.3999938964844</v>
      </c>
      <c r="F1285">
        <v>354.7900085449219</v>
      </c>
      <c r="G1285">
        <v>354.7900085449219</v>
      </c>
      <c r="H1285">
        <v>16162100</v>
      </c>
      <c r="I1285" t="s">
        <v>3889</v>
      </c>
      <c r="J1285" t="s">
        <v>3890</v>
      </c>
      <c r="K1285" t="s">
        <v>41</v>
      </c>
    </row>
    <row r="1286" spans="1:11" ht="20" customHeight="1">
      <c r="A1286" t="s">
        <v>25</v>
      </c>
      <c r="B1286" t="s">
        <v>3891</v>
      </c>
      <c r="C1286">
        <v>357.1199951171875</v>
      </c>
      <c r="D1286">
        <v>358.1400146484375</v>
      </c>
      <c r="E1286">
        <v>355.7999877929688</v>
      </c>
      <c r="F1286">
        <v>357.6400146484375</v>
      </c>
      <c r="G1286">
        <v>357.6400146484375</v>
      </c>
      <c r="H1286">
        <v>14464000</v>
      </c>
      <c r="I1286" t="s">
        <v>3892</v>
      </c>
      <c r="J1286" t="s">
        <v>3893</v>
      </c>
      <c r="K1286" t="s">
        <v>41</v>
      </c>
    </row>
    <row r="1287" spans="1:11" ht="20" customHeight="1">
      <c r="A1287" t="s">
        <v>25</v>
      </c>
      <c r="B1287" t="s">
        <v>3894</v>
      </c>
      <c r="C1287">
        <v>362.1600036621094</v>
      </c>
      <c r="D1287">
        <v>365.2999877929688</v>
      </c>
      <c r="E1287">
        <v>361.3699951171875</v>
      </c>
      <c r="F1287">
        <v>364.3800048828125</v>
      </c>
      <c r="G1287">
        <v>364.3800048828125</v>
      </c>
      <c r="H1287">
        <v>17093700</v>
      </c>
      <c r="I1287" t="s">
        <v>3895</v>
      </c>
      <c r="J1287" t="s">
        <v>3896</v>
      </c>
      <c r="K1287" t="s">
        <v>41</v>
      </c>
    </row>
    <row r="1288" spans="1:11" ht="20" customHeight="1">
      <c r="A1288" t="s">
        <v>25</v>
      </c>
      <c r="B1288" t="s">
        <v>3897</v>
      </c>
      <c r="C1288">
        <v>366.510009765625</v>
      </c>
      <c r="D1288">
        <v>367.2699890136719</v>
      </c>
      <c r="E1288">
        <v>364.5499877929688</v>
      </c>
      <c r="F1288">
        <v>366.260009765625</v>
      </c>
      <c r="G1288">
        <v>366.260009765625</v>
      </c>
      <c r="H1288">
        <v>16836800</v>
      </c>
      <c r="I1288" t="s">
        <v>3898</v>
      </c>
      <c r="J1288" t="s">
        <v>3899</v>
      </c>
      <c r="K1288" t="s">
        <v>41</v>
      </c>
    </row>
    <row r="1289" spans="1:11" ht="20" customHeight="1">
      <c r="A1289" t="s">
        <v>25</v>
      </c>
      <c r="B1289" t="s">
        <v>3900</v>
      </c>
      <c r="C1289">
        <v>371.6499938964844</v>
      </c>
      <c r="D1289">
        <v>373.5700073242188</v>
      </c>
      <c r="E1289">
        <v>370.5</v>
      </c>
      <c r="F1289">
        <v>372.2999877929688</v>
      </c>
      <c r="G1289">
        <v>372.2999877929688</v>
      </c>
      <c r="H1289">
        <v>28052300</v>
      </c>
      <c r="I1289" t="s">
        <v>3901</v>
      </c>
      <c r="J1289" t="s">
        <v>3902</v>
      </c>
      <c r="K1289" t="s">
        <v>41</v>
      </c>
    </row>
    <row r="1290" spans="1:11" ht="20" customHeight="1">
      <c r="A1290" t="s">
        <v>25</v>
      </c>
      <c r="B1290" t="s">
        <v>3903</v>
      </c>
      <c r="C1290">
        <v>373.1400146484375</v>
      </c>
      <c r="D1290">
        <v>373.2200012207031</v>
      </c>
      <c r="E1290">
        <v>362.8299865722656</v>
      </c>
      <c r="F1290">
        <v>365.4299926757812</v>
      </c>
      <c r="G1290">
        <v>365.4299926757812</v>
      </c>
      <c r="H1290">
        <v>33674800</v>
      </c>
      <c r="I1290" t="s">
        <v>3904</v>
      </c>
      <c r="J1290" t="s">
        <v>3905</v>
      </c>
      <c r="K1290" t="s">
        <v>41</v>
      </c>
    </row>
    <row r="1291" spans="1:11" ht="20" customHeight="1">
      <c r="A1291" t="s">
        <v>25</v>
      </c>
      <c r="B1291" t="s">
        <v>3906</v>
      </c>
      <c r="C1291">
        <v>367.5400085449219</v>
      </c>
      <c r="D1291">
        <v>370.3099975585938</v>
      </c>
      <c r="E1291">
        <v>365.4400024414062</v>
      </c>
      <c r="F1291">
        <v>369.1199951171875</v>
      </c>
      <c r="G1291">
        <v>369.1199951171875</v>
      </c>
      <c r="H1291">
        <v>24192800</v>
      </c>
      <c r="I1291" t="s">
        <v>3907</v>
      </c>
      <c r="J1291" t="s">
        <v>3908</v>
      </c>
      <c r="K1291" t="s">
        <v>41</v>
      </c>
    </row>
    <row r="1292" spans="1:11" ht="20" customHeight="1">
      <c r="A1292" t="s">
        <v>25</v>
      </c>
      <c r="B1292" t="s">
        <v>3909</v>
      </c>
      <c r="C1292">
        <v>376.5</v>
      </c>
      <c r="D1292">
        <v>378.8599853515625</v>
      </c>
      <c r="E1292">
        <v>375.5799865722656</v>
      </c>
      <c r="F1292">
        <v>378.0899963378906</v>
      </c>
      <c r="G1292">
        <v>378.0899963378906</v>
      </c>
      <c r="H1292">
        <v>18514400</v>
      </c>
      <c r="I1292" t="s">
        <v>3910</v>
      </c>
      <c r="J1292" t="s">
        <v>3911</v>
      </c>
      <c r="K1292" t="s">
        <v>41</v>
      </c>
    </row>
    <row r="1293" spans="1:11" ht="20" customHeight="1">
      <c r="A1293" t="s">
        <v>25</v>
      </c>
      <c r="B1293" t="s">
        <v>3912</v>
      </c>
      <c r="C1293">
        <v>378.2099914550781</v>
      </c>
      <c r="D1293">
        <v>382.3800048828125</v>
      </c>
      <c r="E1293">
        <v>377.8999938964844</v>
      </c>
      <c r="F1293">
        <v>380.7900085449219</v>
      </c>
      <c r="G1293">
        <v>380.7900085449219</v>
      </c>
      <c r="H1293">
        <v>18409600</v>
      </c>
      <c r="I1293" t="s">
        <v>3913</v>
      </c>
      <c r="J1293" t="s">
        <v>3914</v>
      </c>
      <c r="K1293" t="s">
        <v>41</v>
      </c>
    </row>
    <row r="1294" spans="1:11" ht="20" customHeight="1">
      <c r="A1294" t="s">
        <v>25</v>
      </c>
      <c r="B1294" t="s">
        <v>3915</v>
      </c>
      <c r="C1294">
        <v>385.9299926757812</v>
      </c>
      <c r="D1294">
        <v>387.760009765625</v>
      </c>
      <c r="E1294">
        <v>384.5899963378906</v>
      </c>
      <c r="F1294">
        <v>387.3900146484375</v>
      </c>
      <c r="G1294">
        <v>387.3900146484375</v>
      </c>
      <c r="H1294">
        <v>20598300</v>
      </c>
      <c r="I1294" t="s">
        <v>3916</v>
      </c>
      <c r="J1294" t="s">
        <v>3917</v>
      </c>
      <c r="K1294" t="s">
        <v>41</v>
      </c>
    </row>
    <row r="1295" spans="1:11" ht="20" customHeight="1">
      <c r="A1295" t="s">
        <v>25</v>
      </c>
      <c r="B1295" t="s">
        <v>3918</v>
      </c>
      <c r="C1295">
        <v>391.1499938964844</v>
      </c>
      <c r="D1295">
        <v>396.8699951171875</v>
      </c>
      <c r="E1295">
        <v>390.3999938964844</v>
      </c>
      <c r="F1295">
        <v>396.4500122070312</v>
      </c>
      <c r="G1295">
        <v>396.4500122070312</v>
      </c>
      <c r="H1295">
        <v>33621400</v>
      </c>
      <c r="I1295" t="s">
        <v>3919</v>
      </c>
      <c r="J1295" t="s">
        <v>3920</v>
      </c>
      <c r="K1295" t="s">
        <v>41</v>
      </c>
    </row>
    <row r="1296" spans="1:11" ht="20" customHeight="1">
      <c r="A1296" t="s">
        <v>25</v>
      </c>
      <c r="B1296" t="s">
        <v>3921</v>
      </c>
      <c r="C1296">
        <v>397.1400146484375</v>
      </c>
      <c r="D1296">
        <v>397.2799987792969</v>
      </c>
      <c r="E1296">
        <v>385.2200012207031</v>
      </c>
      <c r="F1296">
        <v>388.989990234375</v>
      </c>
      <c r="G1296">
        <v>388.989990234375</v>
      </c>
      <c r="H1296">
        <v>62025000</v>
      </c>
      <c r="I1296" t="s">
        <v>3922</v>
      </c>
      <c r="J1296" t="s">
        <v>3923</v>
      </c>
      <c r="K1296" t="s">
        <v>41</v>
      </c>
    </row>
    <row r="1297" spans="1:11" ht="20" customHeight="1">
      <c r="A1297" t="s">
        <v>25</v>
      </c>
      <c r="B1297" t="s">
        <v>3924</v>
      </c>
      <c r="C1297">
        <v>397.4500122070312</v>
      </c>
      <c r="D1297">
        <v>403.2999877929688</v>
      </c>
      <c r="E1297">
        <v>394.2000122070312</v>
      </c>
      <c r="F1297">
        <v>403.1499938964844</v>
      </c>
      <c r="G1297">
        <v>403.1499938964844</v>
      </c>
      <c r="H1297">
        <v>34523000</v>
      </c>
      <c r="I1297" t="s">
        <v>3925</v>
      </c>
      <c r="J1297" t="s">
        <v>3926</v>
      </c>
      <c r="K1297" t="s">
        <v>41</v>
      </c>
    </row>
    <row r="1298" spans="1:11" ht="20" customHeight="1">
      <c r="A1298" t="s">
        <v>25</v>
      </c>
      <c r="B1298" t="s">
        <v>3927</v>
      </c>
      <c r="C1298">
        <v>386.5400085449219</v>
      </c>
      <c r="D1298">
        <v>388.8900146484375</v>
      </c>
      <c r="E1298">
        <v>375.6499938964844</v>
      </c>
      <c r="F1298">
        <v>377.239990234375</v>
      </c>
      <c r="G1298">
        <v>377.239990234375</v>
      </c>
      <c r="H1298">
        <v>54101400</v>
      </c>
      <c r="I1298" t="s">
        <v>3928</v>
      </c>
      <c r="J1298" t="s">
        <v>3929</v>
      </c>
      <c r="K1298" t="s">
        <v>41</v>
      </c>
    </row>
    <row r="1299" spans="1:11" ht="20" customHeight="1">
      <c r="A1299" t="s">
        <v>25</v>
      </c>
      <c r="B1299" t="s">
        <v>3930</v>
      </c>
      <c r="C1299">
        <v>372.75</v>
      </c>
      <c r="D1299">
        <v>378.4700012207031</v>
      </c>
      <c r="E1299">
        <v>368.9299926757812</v>
      </c>
      <c r="F1299">
        <v>377.2799987792969</v>
      </c>
      <c r="G1299">
        <v>377.2799987792969</v>
      </c>
      <c r="H1299">
        <v>30524100</v>
      </c>
      <c r="I1299" t="s">
        <v>3931</v>
      </c>
      <c r="J1299" t="s">
        <v>3932</v>
      </c>
      <c r="K1299" t="s">
        <v>41</v>
      </c>
    </row>
    <row r="1300" spans="1:11" ht="20" customHeight="1">
      <c r="A1300" t="s">
        <v>25</v>
      </c>
      <c r="B1300" t="s">
        <v>3933</v>
      </c>
      <c r="C1300">
        <v>381.4599914550781</v>
      </c>
      <c r="D1300">
        <v>382.25</v>
      </c>
      <c r="E1300">
        <v>378.6499938964844</v>
      </c>
      <c r="F1300">
        <v>378.7900085449219</v>
      </c>
      <c r="G1300">
        <v>378.7900085449219</v>
      </c>
      <c r="H1300">
        <v>13695500</v>
      </c>
      <c r="I1300" t="s">
        <v>3934</v>
      </c>
      <c r="J1300" t="s">
        <v>3935</v>
      </c>
      <c r="K1300" t="s">
        <v>41</v>
      </c>
    </row>
    <row r="1301" spans="1:11" ht="20" customHeight="1">
      <c r="A1301" t="s">
        <v>25</v>
      </c>
      <c r="B1301" t="s">
        <v>3936</v>
      </c>
      <c r="C1301">
        <v>378.510009765625</v>
      </c>
      <c r="D1301">
        <v>380.7699890136719</v>
      </c>
      <c r="E1301">
        <v>376.8099975585938</v>
      </c>
      <c r="F1301">
        <v>377.5199890136719</v>
      </c>
      <c r="G1301">
        <v>377.5199890136719</v>
      </c>
      <c r="H1301">
        <v>13263800</v>
      </c>
      <c r="I1301" t="s">
        <v>3937</v>
      </c>
      <c r="J1301" t="s">
        <v>3938</v>
      </c>
      <c r="K1301" t="s">
        <v>41</v>
      </c>
    </row>
    <row r="1302" spans="1:11" ht="20" customHeight="1">
      <c r="A1302" t="s">
        <v>25</v>
      </c>
      <c r="B1302" t="s">
        <v>3939</v>
      </c>
      <c r="C1302">
        <v>371.1300048828125</v>
      </c>
      <c r="D1302">
        <v>371.5899963378906</v>
      </c>
      <c r="E1302">
        <v>365.3399963378906</v>
      </c>
      <c r="F1302">
        <v>367.010009765625</v>
      </c>
      <c r="G1302">
        <v>367.010009765625</v>
      </c>
      <c r="H1302">
        <v>23657600</v>
      </c>
      <c r="I1302" t="s">
        <v>3940</v>
      </c>
      <c r="J1302" t="s">
        <v>3941</v>
      </c>
      <c r="K1302" t="s">
        <v>41</v>
      </c>
    </row>
    <row r="1303" spans="1:11" ht="20" customHeight="1">
      <c r="A1303" t="s">
        <v>25</v>
      </c>
      <c r="B1303" t="s">
        <v>3942</v>
      </c>
      <c r="C1303">
        <v>361.8099975585938</v>
      </c>
      <c r="D1303">
        <v>365.2999877929688</v>
      </c>
      <c r="E1303">
        <v>360.1199951171875</v>
      </c>
      <c r="F1303">
        <v>364.3800048828125</v>
      </c>
      <c r="G1303">
        <v>364.3800048828125</v>
      </c>
      <c r="H1303">
        <v>19257600</v>
      </c>
      <c r="I1303" t="s">
        <v>3943</v>
      </c>
      <c r="J1303" t="s">
        <v>3944</v>
      </c>
      <c r="K1303" t="s">
        <v>41</v>
      </c>
    </row>
    <row r="1304" spans="1:11" ht="20" customHeight="1">
      <c r="A1304" t="s">
        <v>25</v>
      </c>
      <c r="B1304" t="s">
        <v>3945</v>
      </c>
      <c r="C1304">
        <v>369.6499938964844</v>
      </c>
      <c r="D1304">
        <v>370.0799865722656</v>
      </c>
      <c r="E1304">
        <v>361.3599853515625</v>
      </c>
      <c r="F1304">
        <v>363</v>
      </c>
      <c r="G1304">
        <v>363</v>
      </c>
      <c r="H1304">
        <v>18891800</v>
      </c>
      <c r="I1304" t="s">
        <v>3946</v>
      </c>
      <c r="J1304" t="s">
        <v>3947</v>
      </c>
      <c r="K1304" t="s">
        <v>41</v>
      </c>
    </row>
    <row r="1305" spans="1:11" ht="20" customHeight="1">
      <c r="A1305" t="s">
        <v>25</v>
      </c>
      <c r="B1305" t="s">
        <v>3948</v>
      </c>
      <c r="C1305">
        <v>365.0899963378906</v>
      </c>
      <c r="D1305">
        <v>370.3599853515625</v>
      </c>
      <c r="E1305">
        <v>364.5</v>
      </c>
      <c r="F1305">
        <v>370.1300048828125</v>
      </c>
      <c r="G1305">
        <v>370.1300048828125</v>
      </c>
      <c r="H1305">
        <v>14812800</v>
      </c>
      <c r="I1305" t="s">
        <v>3949</v>
      </c>
      <c r="J1305" t="s">
        <v>3950</v>
      </c>
      <c r="K1305" t="s">
        <v>41</v>
      </c>
    </row>
    <row r="1306" spans="1:11" ht="20" customHeight="1">
      <c r="A1306" t="s">
        <v>25</v>
      </c>
      <c r="B1306" t="s">
        <v>3951</v>
      </c>
      <c r="C1306">
        <v>370.4700012207031</v>
      </c>
      <c r="D1306">
        <v>370.6600036621094</v>
      </c>
      <c r="E1306">
        <v>365.5</v>
      </c>
      <c r="F1306">
        <v>368.1199951171875</v>
      </c>
      <c r="G1306">
        <v>368.1199951171875</v>
      </c>
      <c r="H1306">
        <v>11077900</v>
      </c>
      <c r="I1306" t="s">
        <v>3952</v>
      </c>
      <c r="J1306" t="s">
        <v>3953</v>
      </c>
      <c r="K1306" t="s">
        <v>41</v>
      </c>
    </row>
    <row r="1307" spans="1:11" ht="20" customHeight="1">
      <c r="A1307" t="s">
        <v>25</v>
      </c>
      <c r="B1307" t="s">
        <v>3954</v>
      </c>
      <c r="C1307">
        <v>368.9100036621094</v>
      </c>
      <c r="D1307">
        <v>370.8399963378906</v>
      </c>
      <c r="E1307">
        <v>367.5400085449219</v>
      </c>
      <c r="F1307">
        <v>368.7799987792969</v>
      </c>
      <c r="G1307">
        <v>368.7799987792969</v>
      </c>
      <c r="H1307">
        <v>7254300</v>
      </c>
      <c r="I1307" t="s">
        <v>3955</v>
      </c>
      <c r="J1307" t="s">
        <v>3956</v>
      </c>
      <c r="K1307" t="s">
        <v>41</v>
      </c>
    </row>
    <row r="1308" spans="1:11" ht="20" customHeight="1">
      <c r="A1308" t="s">
        <v>25</v>
      </c>
      <c r="B1308" t="s">
        <v>3957</v>
      </c>
      <c r="C1308">
        <v>363.4800109863281</v>
      </c>
      <c r="D1308">
        <v>365.739990234375</v>
      </c>
      <c r="E1308">
        <v>361.3900146484375</v>
      </c>
      <c r="F1308">
        <v>362.3200073242188</v>
      </c>
      <c r="G1308">
        <v>362.3200073242188</v>
      </c>
      <c r="H1308">
        <v>11540100</v>
      </c>
      <c r="I1308" t="s">
        <v>3958</v>
      </c>
      <c r="J1308" t="s">
        <v>3959</v>
      </c>
      <c r="K1308" t="s">
        <v>41</v>
      </c>
    </row>
    <row r="1309" spans="1:11" ht="20" customHeight="1">
      <c r="A1309" t="s">
        <v>25</v>
      </c>
      <c r="B1309" t="s">
        <v>3960</v>
      </c>
      <c r="C1309">
        <v>366.3900146484375</v>
      </c>
      <c r="D1309">
        <v>367.1000061035156</v>
      </c>
      <c r="E1309">
        <v>364.6499938964844</v>
      </c>
      <c r="F1309">
        <v>366.510009765625</v>
      </c>
      <c r="G1309">
        <v>366.510009765625</v>
      </c>
      <c r="H1309">
        <v>8357300</v>
      </c>
      <c r="I1309" t="s">
        <v>3961</v>
      </c>
      <c r="J1309" t="s">
        <v>3962</v>
      </c>
      <c r="K1309" t="s">
        <v>41</v>
      </c>
    </row>
    <row r="1310" spans="1:11" ht="20" customHeight="1">
      <c r="A1310" t="s">
        <v>25</v>
      </c>
      <c r="B1310" t="s">
        <v>3963</v>
      </c>
      <c r="C1310">
        <v>367.1600036621094</v>
      </c>
      <c r="D1310">
        <v>368.1799926757812</v>
      </c>
      <c r="E1310">
        <v>364.7000122070312</v>
      </c>
      <c r="F1310">
        <v>366.0700073242188</v>
      </c>
      <c r="G1310">
        <v>366.0700073242188</v>
      </c>
      <c r="H1310">
        <v>6891100</v>
      </c>
      <c r="I1310" t="s">
        <v>3964</v>
      </c>
      <c r="J1310" t="s">
        <v>3965</v>
      </c>
      <c r="K1310" t="s">
        <v>41</v>
      </c>
    </row>
    <row r="1311" spans="1:11" ht="20" customHeight="1">
      <c r="A1311" t="s">
        <v>25</v>
      </c>
      <c r="B1311" t="s">
        <v>3966</v>
      </c>
      <c r="C1311">
        <v>367.9400024414062</v>
      </c>
      <c r="D1311">
        <v>370.4200134277344</v>
      </c>
      <c r="E1311">
        <v>366.4200134277344</v>
      </c>
      <c r="F1311">
        <v>368.3099975585938</v>
      </c>
      <c r="G1311">
        <v>368.3099975585938</v>
      </c>
      <c r="H1311">
        <v>11060400</v>
      </c>
      <c r="I1311" t="s">
        <v>3967</v>
      </c>
      <c r="J1311" t="s">
        <v>3968</v>
      </c>
      <c r="K1311" t="s">
        <v>41</v>
      </c>
    </row>
    <row r="1312" spans="1:11" ht="20" customHeight="1">
      <c r="A1312" t="s">
        <v>25</v>
      </c>
      <c r="B1312" t="s">
        <v>3969</v>
      </c>
      <c r="C1312">
        <v>375.9299926757812</v>
      </c>
      <c r="D1312">
        <v>378.6600036621094</v>
      </c>
      <c r="E1312">
        <v>374.7799987792969</v>
      </c>
      <c r="F1312">
        <v>378.3800048828125</v>
      </c>
      <c r="G1312">
        <v>378.3800048828125</v>
      </c>
      <c r="H1312">
        <v>13456200</v>
      </c>
      <c r="I1312" t="s">
        <v>3970</v>
      </c>
      <c r="J1312" t="s">
        <v>3971</v>
      </c>
      <c r="K1312" t="s">
        <v>41</v>
      </c>
    </row>
    <row r="1313" spans="1:11" ht="20" customHeight="1">
      <c r="A1313" t="s">
        <v>25</v>
      </c>
      <c r="B1313" t="s">
        <v>3972</v>
      </c>
      <c r="C1313">
        <v>379.9800109863281</v>
      </c>
      <c r="D1313">
        <v>380.3999938964844</v>
      </c>
      <c r="E1313">
        <v>376.8699951171875</v>
      </c>
      <c r="F1313">
        <v>379.8699951171875</v>
      </c>
      <c r="G1313">
        <v>379.8699951171875</v>
      </c>
      <c r="H1313">
        <v>10753200</v>
      </c>
      <c r="I1313" t="s">
        <v>3973</v>
      </c>
      <c r="J1313" t="s">
        <v>3974</v>
      </c>
      <c r="K1313" t="s">
        <v>41</v>
      </c>
    </row>
    <row r="1314" spans="1:11" ht="20" customHeight="1">
      <c r="A1314" t="s">
        <v>25</v>
      </c>
      <c r="B1314" t="s">
        <v>3975</v>
      </c>
      <c r="C1314">
        <v>380.0700073242188</v>
      </c>
      <c r="D1314">
        <v>387.4599914550781</v>
      </c>
      <c r="E1314">
        <v>379.4400024414062</v>
      </c>
      <c r="F1314">
        <v>385.989990234375</v>
      </c>
      <c r="G1314">
        <v>385.989990234375</v>
      </c>
      <c r="H1314">
        <v>16203700</v>
      </c>
      <c r="I1314" t="s">
        <v>3976</v>
      </c>
      <c r="J1314" t="s">
        <v>3977</v>
      </c>
      <c r="K1314" t="s">
        <v>41</v>
      </c>
    </row>
    <row r="1315" spans="1:11" ht="20" customHeight="1">
      <c r="A1315" t="s">
        <v>25</v>
      </c>
      <c r="B1315" t="s">
        <v>3978</v>
      </c>
      <c r="C1315">
        <v>387.2900085449219</v>
      </c>
      <c r="D1315">
        <v>388.1799926757812</v>
      </c>
      <c r="E1315">
        <v>381.2099914550781</v>
      </c>
      <c r="F1315">
        <v>382.8699951171875</v>
      </c>
      <c r="G1315">
        <v>382.8699951171875</v>
      </c>
      <c r="H1315">
        <v>15867900</v>
      </c>
      <c r="I1315" t="s">
        <v>3979</v>
      </c>
      <c r="J1315" t="s">
        <v>3980</v>
      </c>
      <c r="K1315" t="s">
        <v>41</v>
      </c>
    </row>
    <row r="1316" spans="1:11" ht="20" customHeight="1">
      <c r="A1316" t="s">
        <v>25</v>
      </c>
      <c r="B1316" t="s">
        <v>3981</v>
      </c>
      <c r="C1316">
        <v>372.8699951171875</v>
      </c>
      <c r="D1316">
        <v>378.2000122070312</v>
      </c>
      <c r="E1316">
        <v>370.8900146484375</v>
      </c>
      <c r="F1316">
        <v>375.9599914550781</v>
      </c>
      <c r="G1316">
        <v>375.9599914550781</v>
      </c>
      <c r="H1316">
        <v>15198000</v>
      </c>
      <c r="I1316" t="s">
        <v>3982</v>
      </c>
      <c r="J1316" t="s">
        <v>3983</v>
      </c>
      <c r="K1316" t="s">
        <v>41</v>
      </c>
    </row>
    <row r="1317" spans="1:11" ht="20" customHeight="1">
      <c r="A1317" t="s">
        <v>25</v>
      </c>
      <c r="B1317" t="s">
        <v>3984</v>
      </c>
      <c r="C1317">
        <v>374.0400085449219</v>
      </c>
      <c r="D1317">
        <v>375.4599914550781</v>
      </c>
      <c r="E1317">
        <v>368.5199890136719</v>
      </c>
      <c r="F1317">
        <v>371.6499938964844</v>
      </c>
      <c r="G1317">
        <v>371.6499938964844</v>
      </c>
      <c r="H1317">
        <v>13295200</v>
      </c>
      <c r="I1317" t="s">
        <v>3985</v>
      </c>
      <c r="J1317" t="s">
        <v>3986</v>
      </c>
      <c r="K1317" t="s">
        <v>41</v>
      </c>
    </row>
    <row r="1318" spans="1:11" ht="20" customHeight="1">
      <c r="A1318" t="s">
        <v>25</v>
      </c>
      <c r="B1318" t="s">
        <v>3987</v>
      </c>
      <c r="C1318">
        <v>374.8299865722656</v>
      </c>
      <c r="D1318">
        <v>375.5400085449219</v>
      </c>
      <c r="E1318">
        <v>371.6199951171875</v>
      </c>
      <c r="F1318">
        <v>374.3500061035156</v>
      </c>
      <c r="G1318">
        <v>374.3500061035156</v>
      </c>
      <c r="H1318">
        <v>7818800</v>
      </c>
      <c r="I1318" t="s">
        <v>3988</v>
      </c>
      <c r="J1318" t="s">
        <v>3989</v>
      </c>
      <c r="K1318" t="s">
        <v>41</v>
      </c>
    </row>
    <row r="1319" spans="1:11" ht="20" customHeight="1">
      <c r="A1319" t="s">
        <v>25</v>
      </c>
      <c r="B1319" t="s">
        <v>3990</v>
      </c>
      <c r="C1319">
        <v>377.7799987792969</v>
      </c>
      <c r="D1319">
        <v>380.1700134277344</v>
      </c>
      <c r="E1319">
        <v>373.0299987792969</v>
      </c>
      <c r="F1319">
        <v>374.9599914550781</v>
      </c>
      <c r="G1319">
        <v>374.9599914550781</v>
      </c>
      <c r="H1319">
        <v>10980400</v>
      </c>
      <c r="I1319" t="s">
        <v>3991</v>
      </c>
      <c r="J1319" t="s">
        <v>3992</v>
      </c>
      <c r="K1319" t="s">
        <v>41</v>
      </c>
    </row>
    <row r="1320" spans="1:11" ht="20" customHeight="1">
      <c r="A1320" t="s">
        <v>25</v>
      </c>
      <c r="B1320" t="s">
        <v>3993</v>
      </c>
      <c r="C1320">
        <v>375.2900085449219</v>
      </c>
      <c r="D1320">
        <v>377.6900024414062</v>
      </c>
      <c r="E1320">
        <v>371.8500061035156</v>
      </c>
      <c r="F1320">
        <v>374.8500061035156</v>
      </c>
      <c r="G1320">
        <v>374.8500061035156</v>
      </c>
      <c r="H1320">
        <v>10506500</v>
      </c>
      <c r="I1320" t="s">
        <v>3994</v>
      </c>
      <c r="J1320" t="s">
        <v>3995</v>
      </c>
      <c r="K1320" t="s">
        <v>41</v>
      </c>
    </row>
    <row r="1321" spans="1:11" ht="20" customHeight="1">
      <c r="A1321" t="s">
        <v>25</v>
      </c>
      <c r="B1321" t="s">
        <v>3996</v>
      </c>
      <c r="C1321">
        <v>374.0299987792969</v>
      </c>
      <c r="D1321">
        <v>377.2300109863281</v>
      </c>
      <c r="E1321">
        <v>372.9400024414062</v>
      </c>
      <c r="F1321">
        <v>374.2699890136719</v>
      </c>
      <c r="G1321">
        <v>374.2699890136719</v>
      </c>
      <c r="H1321">
        <v>13194600</v>
      </c>
      <c r="I1321" t="s">
        <v>3997</v>
      </c>
      <c r="J1321" t="s">
        <v>3998</v>
      </c>
      <c r="K1321" t="s">
        <v>41</v>
      </c>
    </row>
    <row r="1322" spans="1:11" ht="20" customHeight="1">
      <c r="A1322" t="s">
        <v>25</v>
      </c>
      <c r="B1322" t="s">
        <v>3999</v>
      </c>
      <c r="C1322">
        <v>374.8800048828125</v>
      </c>
      <c r="D1322">
        <v>380.2799987792969</v>
      </c>
      <c r="E1322">
        <v>374.1900024414062</v>
      </c>
      <c r="F1322">
        <v>380.2000122070312</v>
      </c>
      <c r="G1322">
        <v>380.2000122070312</v>
      </c>
      <c r="H1322">
        <v>10085300</v>
      </c>
      <c r="I1322" t="s">
        <v>4000</v>
      </c>
      <c r="J1322" t="s">
        <v>4001</v>
      </c>
      <c r="K1322" t="s">
        <v>41</v>
      </c>
    </row>
    <row r="1323" spans="1:11" ht="20" customHeight="1">
      <c r="A1323" t="s">
        <v>25</v>
      </c>
      <c r="B1323" t="s">
        <v>4002</v>
      </c>
      <c r="C1323">
        <v>380.260009765625</v>
      </c>
      <c r="D1323">
        <v>382.5199890136719</v>
      </c>
      <c r="E1323">
        <v>378.0599975585938</v>
      </c>
      <c r="F1323">
        <v>380.0799865722656</v>
      </c>
      <c r="G1323">
        <v>380.0799865722656</v>
      </c>
      <c r="H1323">
        <v>10462800</v>
      </c>
      <c r="I1323" t="s">
        <v>4003</v>
      </c>
      <c r="J1323" t="s">
        <v>4004</v>
      </c>
      <c r="K1323" t="s">
        <v>41</v>
      </c>
    </row>
    <row r="1324" spans="1:11" ht="20" customHeight="1">
      <c r="A1324" t="s">
        <v>25</v>
      </c>
      <c r="B1324" t="s">
        <v>4005</v>
      </c>
      <c r="C1324">
        <v>381.0599975585938</v>
      </c>
      <c r="D1324">
        <v>383.7799987792969</v>
      </c>
      <c r="E1324">
        <v>380.4599914550781</v>
      </c>
      <c r="F1324">
        <v>383.1199951171875</v>
      </c>
      <c r="G1324">
        <v>383.1199951171875</v>
      </c>
      <c r="H1324">
        <v>9184100</v>
      </c>
      <c r="I1324" t="s">
        <v>4006</v>
      </c>
      <c r="J1324" t="s">
        <v>4007</v>
      </c>
      <c r="K1324" t="s">
        <v>41</v>
      </c>
    </row>
    <row r="1325" spans="1:11" ht="20" customHeight="1">
      <c r="A1325" t="s">
        <v>25</v>
      </c>
      <c r="B1325" t="s">
        <v>4008</v>
      </c>
      <c r="C1325">
        <v>385.9800109863281</v>
      </c>
      <c r="D1325">
        <v>388</v>
      </c>
      <c r="E1325">
        <v>384.989990234375</v>
      </c>
      <c r="F1325">
        <v>387.8800048828125</v>
      </c>
      <c r="G1325">
        <v>387.8800048828125</v>
      </c>
      <c r="H1325">
        <v>7175400</v>
      </c>
      <c r="I1325" t="s">
        <v>4009</v>
      </c>
      <c r="J1325" t="s">
        <v>4010</v>
      </c>
      <c r="K1325" t="s">
        <v>41</v>
      </c>
    </row>
    <row r="1326" spans="1:11" ht="20" customHeight="1">
      <c r="A1326" t="s">
        <v>25</v>
      </c>
      <c r="B1326" t="s">
        <v>4011</v>
      </c>
      <c r="C1326">
        <v>390.6099853515625</v>
      </c>
      <c r="D1326">
        <v>390.7000122070312</v>
      </c>
      <c r="E1326">
        <v>388.0599975585938</v>
      </c>
      <c r="F1326">
        <v>389.75</v>
      </c>
      <c r="G1326">
        <v>389.75</v>
      </c>
      <c r="H1326">
        <v>11177100</v>
      </c>
      <c r="I1326" t="s">
        <v>4012</v>
      </c>
      <c r="J1326" t="s">
        <v>4013</v>
      </c>
      <c r="K1326" t="s">
        <v>41</v>
      </c>
    </row>
    <row r="1327" spans="1:11" ht="20" customHeight="1">
      <c r="A1327" t="s">
        <v>25</v>
      </c>
      <c r="B1327" t="s">
        <v>4014</v>
      </c>
      <c r="C1327">
        <v>388.8699951171875</v>
      </c>
      <c r="D1327">
        <v>388.9800109863281</v>
      </c>
      <c r="E1327">
        <v>382.9100036621094</v>
      </c>
      <c r="F1327">
        <v>387.239990234375</v>
      </c>
      <c r="G1327">
        <v>387.239990234375</v>
      </c>
      <c r="H1327">
        <v>8103900</v>
      </c>
      <c r="I1327" t="s">
        <v>4015</v>
      </c>
      <c r="J1327" t="s">
        <v>4016</v>
      </c>
      <c r="K1327" t="s">
        <v>41</v>
      </c>
    </row>
    <row r="1328" spans="1:11" ht="20" customHeight="1">
      <c r="A1328" t="s">
        <v>25</v>
      </c>
      <c r="B1328" t="s">
        <v>4017</v>
      </c>
      <c r="C1328">
        <v>388.4599914550781</v>
      </c>
      <c r="D1328">
        <v>390.1300048828125</v>
      </c>
      <c r="E1328">
        <v>385.8299865722656</v>
      </c>
      <c r="F1328">
        <v>386.8800048828125</v>
      </c>
      <c r="G1328">
        <v>386.8800048828125</v>
      </c>
      <c r="H1328">
        <v>7886800</v>
      </c>
      <c r="I1328" t="s">
        <v>4018</v>
      </c>
      <c r="J1328" t="s">
        <v>4019</v>
      </c>
      <c r="K1328" t="s">
        <v>41</v>
      </c>
    </row>
    <row r="1329" spans="1:11" ht="20" customHeight="1">
      <c r="A1329" t="s">
        <v>25</v>
      </c>
      <c r="B1329" t="s">
        <v>4020</v>
      </c>
      <c r="C1329">
        <v>386.9200134277344</v>
      </c>
      <c r="D1329">
        <v>388</v>
      </c>
      <c r="E1329">
        <v>385.3999938964844</v>
      </c>
      <c r="F1329">
        <v>387.1300048828125</v>
      </c>
      <c r="G1329">
        <v>387.1300048828125</v>
      </c>
      <c r="H1329">
        <v>6754400</v>
      </c>
      <c r="I1329" t="s">
        <v>4021</v>
      </c>
      <c r="J1329" t="s">
        <v>4022</v>
      </c>
      <c r="K1329" t="s">
        <v>41</v>
      </c>
    </row>
    <row r="1330" spans="1:11" ht="20" customHeight="1">
      <c r="A1330" t="s">
        <v>25</v>
      </c>
      <c r="B1330" t="s">
        <v>4023</v>
      </c>
      <c r="C1330">
        <v>389.1199951171875</v>
      </c>
      <c r="D1330">
        <v>391.739990234375</v>
      </c>
      <c r="E1330">
        <v>386.1799926757812</v>
      </c>
      <c r="F1330">
        <v>386.4400024414062</v>
      </c>
      <c r="G1330">
        <v>386.4400024414062</v>
      </c>
      <c r="H1330">
        <v>9449800</v>
      </c>
      <c r="I1330" t="s">
        <v>4024</v>
      </c>
      <c r="J1330" t="s">
        <v>4025</v>
      </c>
      <c r="K1330" t="s">
        <v>41</v>
      </c>
    </row>
    <row r="1331" spans="1:11" ht="20" customHeight="1">
      <c r="A1331" t="s">
        <v>25</v>
      </c>
      <c r="B1331" t="s">
        <v>4026</v>
      </c>
      <c r="C1331">
        <v>387.0199890136719</v>
      </c>
      <c r="D1331">
        <v>387.239990234375</v>
      </c>
      <c r="E1331">
        <v>384.010009765625</v>
      </c>
      <c r="F1331">
        <v>385.4200134277344</v>
      </c>
      <c r="G1331">
        <v>385.4200134277344</v>
      </c>
      <c r="H1331">
        <v>6822100</v>
      </c>
      <c r="I1331" t="s">
        <v>4027</v>
      </c>
      <c r="J1331" t="s">
        <v>4028</v>
      </c>
      <c r="K1331" t="s">
        <v>41</v>
      </c>
    </row>
    <row r="1332" spans="1:11" ht="20" customHeight="1">
      <c r="A1332" t="s">
        <v>25</v>
      </c>
      <c r="B1332" t="s">
        <v>4029</v>
      </c>
      <c r="C1332">
        <v>385.6199951171875</v>
      </c>
      <c r="D1332">
        <v>388.2099914550781</v>
      </c>
      <c r="E1332">
        <v>385.2699890136719</v>
      </c>
      <c r="F1332">
        <v>387.3999938964844</v>
      </c>
      <c r="G1332">
        <v>387.3999938964844</v>
      </c>
      <c r="H1332">
        <v>6358700</v>
      </c>
      <c r="I1332" t="s">
        <v>4030</v>
      </c>
      <c r="J1332" t="s">
        <v>4031</v>
      </c>
      <c r="K1332" t="s">
        <v>41</v>
      </c>
    </row>
    <row r="1333" spans="1:11" ht="20" customHeight="1">
      <c r="A1333" t="s">
        <v>25</v>
      </c>
      <c r="B1333" t="s">
        <v>4032</v>
      </c>
      <c r="C1333">
        <v>385.9500122070312</v>
      </c>
      <c r="D1333">
        <v>389.760009765625</v>
      </c>
      <c r="E1333">
        <v>384.5</v>
      </c>
      <c r="F1333">
        <v>389.0499877929688</v>
      </c>
      <c r="G1333">
        <v>389.0499877929688</v>
      </c>
      <c r="H1333">
        <v>9120500</v>
      </c>
      <c r="I1333" t="s">
        <v>4033</v>
      </c>
      <c r="J1333" t="s">
        <v>4034</v>
      </c>
      <c r="K1333" t="s">
        <v>41</v>
      </c>
    </row>
    <row r="1334" spans="1:11" ht="20" customHeight="1">
      <c r="A1334" t="s">
        <v>25</v>
      </c>
      <c r="B1334" t="s">
        <v>4035</v>
      </c>
      <c r="C1334">
        <v>389.0199890136719</v>
      </c>
      <c r="D1334">
        <v>394.0899963378906</v>
      </c>
      <c r="E1334">
        <v>388.5</v>
      </c>
      <c r="F1334">
        <v>393.239990234375</v>
      </c>
      <c r="G1334">
        <v>393.239990234375</v>
      </c>
      <c r="H1334">
        <v>11240600</v>
      </c>
      <c r="I1334" t="s">
        <v>4036</v>
      </c>
      <c r="J1334" t="s">
        <v>4037</v>
      </c>
      <c r="K1334" t="s">
        <v>41</v>
      </c>
    </row>
    <row r="1335" spans="1:11" ht="20" customHeight="1">
      <c r="A1335" t="s">
        <v>25</v>
      </c>
      <c r="B1335" t="s">
        <v>4038</v>
      </c>
      <c r="C1335">
        <v>399.1600036621094</v>
      </c>
      <c r="D1335">
        <v>400.3900146484375</v>
      </c>
      <c r="E1335">
        <v>391.4700012207031</v>
      </c>
      <c r="F1335">
        <v>395.4400024414062</v>
      </c>
      <c r="G1335">
        <v>395.4400024414062</v>
      </c>
      <c r="H1335">
        <v>16792100</v>
      </c>
      <c r="I1335" t="s">
        <v>4039</v>
      </c>
      <c r="J1335" t="s">
        <v>4040</v>
      </c>
      <c r="K1335" t="s">
        <v>41</v>
      </c>
    </row>
    <row r="1336" spans="1:11" ht="20" customHeight="1">
      <c r="A1336" t="s">
        <v>25</v>
      </c>
      <c r="B1336" t="s">
        <v>4041</v>
      </c>
      <c r="C1336">
        <v>397.760009765625</v>
      </c>
      <c r="D1336">
        <v>398.7099914550781</v>
      </c>
      <c r="E1336">
        <v>394.0700073242188</v>
      </c>
      <c r="F1336">
        <v>395.7999877929688</v>
      </c>
      <c r="G1336">
        <v>395.7999877929688</v>
      </c>
      <c r="H1336">
        <v>11345000</v>
      </c>
      <c r="I1336" t="s">
        <v>4042</v>
      </c>
      <c r="J1336" t="s">
        <v>4043</v>
      </c>
      <c r="K1336" t="s">
        <v>41</v>
      </c>
    </row>
    <row r="1337" spans="1:11" ht="20" customHeight="1">
      <c r="A1337" t="s">
        <v>25</v>
      </c>
      <c r="B1337" t="s">
        <v>4044</v>
      </c>
      <c r="C1337">
        <v>397.75</v>
      </c>
      <c r="D1337">
        <v>398.7099914550781</v>
      </c>
      <c r="E1337">
        <v>394.5899963378906</v>
      </c>
      <c r="F1337">
        <v>395.8900146484375</v>
      </c>
      <c r="G1337">
        <v>395.8900146484375</v>
      </c>
      <c r="H1337">
        <v>9201600</v>
      </c>
      <c r="I1337" t="s">
        <v>4045</v>
      </c>
      <c r="J1337" t="s">
        <v>4046</v>
      </c>
      <c r="K1337" t="s">
        <v>41</v>
      </c>
    </row>
    <row r="1338" spans="1:11" ht="20" customHeight="1">
      <c r="A1338" t="s">
        <v>25</v>
      </c>
      <c r="B1338" t="s">
        <v>4047</v>
      </c>
      <c r="C1338">
        <v>398.0799865722656</v>
      </c>
      <c r="D1338">
        <v>399.9800109863281</v>
      </c>
      <c r="E1338">
        <v>397.25</v>
      </c>
      <c r="F1338">
        <v>399.2900085449219</v>
      </c>
      <c r="G1338">
        <v>399.2900085449219</v>
      </c>
      <c r="H1338">
        <v>10456900</v>
      </c>
      <c r="I1338" t="s">
        <v>4048</v>
      </c>
      <c r="J1338" t="s">
        <v>4049</v>
      </c>
      <c r="K1338" t="s">
        <v>41</v>
      </c>
    </row>
    <row r="1339" spans="1:11" ht="20" customHeight="1">
      <c r="A1339" t="s">
        <v>25</v>
      </c>
      <c r="B1339" t="s">
        <v>4050</v>
      </c>
      <c r="C1339">
        <v>398.2799987792969</v>
      </c>
      <c r="D1339">
        <v>402.2099914550781</v>
      </c>
      <c r="E1339">
        <v>396.0499877929688</v>
      </c>
      <c r="F1339">
        <v>398.5700073242188</v>
      </c>
      <c r="G1339">
        <v>398.5700073242188</v>
      </c>
      <c r="H1339">
        <v>11837600</v>
      </c>
      <c r="I1339" t="s">
        <v>4051</v>
      </c>
      <c r="J1339" t="s">
        <v>4052</v>
      </c>
      <c r="K1339" t="s">
        <v>41</v>
      </c>
    </row>
    <row r="1340" spans="1:11" ht="20" customHeight="1">
      <c r="A1340" t="s">
        <v>25</v>
      </c>
      <c r="B1340" t="s">
        <v>4053</v>
      </c>
      <c r="C1340">
        <v>397.9200134277344</v>
      </c>
      <c r="D1340">
        <v>400.6300048828125</v>
      </c>
      <c r="E1340">
        <v>397.1700134277344</v>
      </c>
      <c r="F1340">
        <v>399.0199890136719</v>
      </c>
      <c r="G1340">
        <v>399.0199890136719</v>
      </c>
      <c r="H1340">
        <v>9894800</v>
      </c>
      <c r="I1340" t="s">
        <v>4054</v>
      </c>
      <c r="J1340" t="s">
        <v>4055</v>
      </c>
      <c r="K1340" t="s">
        <v>41</v>
      </c>
    </row>
    <row r="1341" spans="1:11" ht="20" customHeight="1">
      <c r="A1341" t="s">
        <v>25</v>
      </c>
      <c r="B1341" t="s">
        <v>4056</v>
      </c>
      <c r="C1341">
        <v>406.9800109863281</v>
      </c>
      <c r="D1341">
        <v>408.5199890136719</v>
      </c>
      <c r="E1341">
        <v>405.7200012207031</v>
      </c>
      <c r="F1341">
        <v>408.2300109863281</v>
      </c>
      <c r="G1341">
        <v>408.2300109863281</v>
      </c>
      <c r="H1341">
        <v>14202100</v>
      </c>
      <c r="I1341" t="s">
        <v>4057</v>
      </c>
      <c r="J1341" t="s">
        <v>4058</v>
      </c>
      <c r="K1341" t="s">
        <v>41</v>
      </c>
    </row>
    <row r="1342" spans="1:11" ht="20" customHeight="1">
      <c r="A1342" t="s">
        <v>25</v>
      </c>
      <c r="B1342" t="s">
        <v>4059</v>
      </c>
      <c r="C1342">
        <v>410.2999877929688</v>
      </c>
      <c r="D1342">
        <v>413.760009765625</v>
      </c>
      <c r="E1342">
        <v>407.1000061035156</v>
      </c>
      <c r="F1342">
        <v>413.6400146484375</v>
      </c>
      <c r="G1342">
        <v>413.6400146484375</v>
      </c>
      <c r="H1342">
        <v>13193300</v>
      </c>
      <c r="I1342" t="s">
        <v>4060</v>
      </c>
      <c r="J1342" t="s">
        <v>4061</v>
      </c>
      <c r="K1342" t="s">
        <v>41</v>
      </c>
    </row>
    <row r="1343" spans="1:11" ht="20" customHeight="1">
      <c r="A1343" t="s">
        <v>25</v>
      </c>
      <c r="B1343" t="s">
        <v>4062</v>
      </c>
      <c r="C1343">
        <v>412.25</v>
      </c>
      <c r="D1343">
        <v>412.6300048828125</v>
      </c>
      <c r="E1343">
        <v>408.8299865722656</v>
      </c>
      <c r="F1343">
        <v>411.9299926757812</v>
      </c>
      <c r="G1343">
        <v>411.9299926757812</v>
      </c>
      <c r="H1343">
        <v>6718400</v>
      </c>
      <c r="I1343" t="s">
        <v>4063</v>
      </c>
      <c r="J1343" t="s">
        <v>4064</v>
      </c>
      <c r="K1343" t="s">
        <v>41</v>
      </c>
    </row>
    <row r="1344" spans="1:11" ht="20" customHeight="1">
      <c r="A1344" t="s">
        <v>25</v>
      </c>
      <c r="B1344" t="s">
        <v>4065</v>
      </c>
      <c r="C1344">
        <v>416.4800109863281</v>
      </c>
      <c r="D1344">
        <v>418.4500122070312</v>
      </c>
      <c r="E1344">
        <v>414.75</v>
      </c>
      <c r="F1344">
        <v>416.739990234375</v>
      </c>
      <c r="G1344">
        <v>416.739990234375</v>
      </c>
      <c r="H1344">
        <v>10476200</v>
      </c>
      <c r="I1344" t="s">
        <v>4066</v>
      </c>
      <c r="J1344" t="s">
        <v>4067</v>
      </c>
      <c r="K1344" t="s">
        <v>41</v>
      </c>
    </row>
    <row r="1345" spans="1:11" ht="20" customHeight="1">
      <c r="A1345" t="s">
        <v>25</v>
      </c>
      <c r="B1345" t="s">
        <v>4068</v>
      </c>
      <c r="C1345">
        <v>403.6600036621094</v>
      </c>
      <c r="D1345">
        <v>403.760009765625</v>
      </c>
      <c r="E1345">
        <v>395.3299865722656</v>
      </c>
      <c r="F1345">
        <v>398.6000061035156</v>
      </c>
      <c r="G1345">
        <v>398.6000061035156</v>
      </c>
      <c r="H1345">
        <v>20679200</v>
      </c>
      <c r="I1345" t="s">
        <v>4069</v>
      </c>
      <c r="J1345" t="s">
        <v>4070</v>
      </c>
      <c r="K1345" t="s">
        <v>41</v>
      </c>
    </row>
    <row r="1346" spans="1:11" ht="20" customHeight="1">
      <c r="A1346" t="s">
        <v>25</v>
      </c>
      <c r="B1346" t="s">
        <v>4071</v>
      </c>
      <c r="C1346">
        <v>403.6000061035156</v>
      </c>
      <c r="D1346">
        <v>403.7999877929688</v>
      </c>
      <c r="E1346">
        <v>398.5599975585938</v>
      </c>
      <c r="F1346">
        <v>398.8900146484375</v>
      </c>
      <c r="G1346">
        <v>398.8900146484375</v>
      </c>
      <c r="H1346">
        <v>10179000</v>
      </c>
      <c r="I1346" t="s">
        <v>4072</v>
      </c>
      <c r="J1346" t="s">
        <v>4073</v>
      </c>
      <c r="K1346" t="s">
        <v>41</v>
      </c>
    </row>
    <row r="1347" spans="1:11" ht="20" customHeight="1">
      <c r="A1347" t="s">
        <v>25</v>
      </c>
      <c r="B1347" t="s">
        <v>4074</v>
      </c>
      <c r="C1347">
        <v>398.6000061035156</v>
      </c>
      <c r="D1347">
        <v>400.1300048828125</v>
      </c>
      <c r="E1347">
        <v>395.5899963378906</v>
      </c>
      <c r="F1347">
        <v>396.3099975585938</v>
      </c>
      <c r="G1347">
        <v>396.3099975585938</v>
      </c>
      <c r="H1347">
        <v>10194700</v>
      </c>
      <c r="I1347" t="s">
        <v>4075</v>
      </c>
      <c r="J1347" t="s">
        <v>4076</v>
      </c>
      <c r="K1347" t="s">
        <v>41</v>
      </c>
    </row>
    <row r="1348" spans="1:11" ht="20" customHeight="1">
      <c r="A1348" t="s">
        <v>25</v>
      </c>
      <c r="B1348" t="s">
        <v>4077</v>
      </c>
      <c r="C1348">
        <v>401.6199951171875</v>
      </c>
      <c r="D1348">
        <v>401.8200073242188</v>
      </c>
      <c r="E1348">
        <v>396.25</v>
      </c>
      <c r="F1348">
        <v>398.2799987792969</v>
      </c>
      <c r="G1348">
        <v>398.2799987792969</v>
      </c>
      <c r="H1348">
        <v>10372600</v>
      </c>
      <c r="I1348" t="s">
        <v>4078</v>
      </c>
      <c r="J1348" t="s">
        <v>4079</v>
      </c>
      <c r="K1348" t="s">
        <v>41</v>
      </c>
    </row>
    <row r="1349" spans="1:11" ht="20" customHeight="1">
      <c r="A1349" t="s">
        <v>25</v>
      </c>
      <c r="B1349" t="s">
        <v>4080</v>
      </c>
      <c r="C1349">
        <v>406.3900146484375</v>
      </c>
      <c r="D1349">
        <v>409.7200012207031</v>
      </c>
      <c r="E1349">
        <v>406.1499938964844</v>
      </c>
      <c r="F1349">
        <v>408.760009765625</v>
      </c>
      <c r="G1349">
        <v>408.760009765625</v>
      </c>
      <c r="H1349">
        <v>13410600</v>
      </c>
      <c r="I1349" t="s">
        <v>4081</v>
      </c>
      <c r="J1349" t="s">
        <v>4082</v>
      </c>
      <c r="K1349" t="s">
        <v>41</v>
      </c>
    </row>
    <row r="1350" spans="1:11" ht="20" customHeight="1">
      <c r="A1350" t="s">
        <v>25</v>
      </c>
      <c r="B1350" t="s">
        <v>4083</v>
      </c>
      <c r="C1350">
        <v>410.6700134277344</v>
      </c>
      <c r="D1350">
        <v>413.4800109863281</v>
      </c>
      <c r="E1350">
        <v>410.3099975585938</v>
      </c>
      <c r="F1350">
        <v>413.1799926757812</v>
      </c>
      <c r="G1350">
        <v>413.1799926757812</v>
      </c>
      <c r="H1350">
        <v>11640900</v>
      </c>
      <c r="I1350" t="s">
        <v>4084</v>
      </c>
      <c r="J1350" t="s">
        <v>4085</v>
      </c>
      <c r="K1350" t="s">
        <v>41</v>
      </c>
    </row>
    <row r="1351" spans="1:11" ht="20" customHeight="1">
      <c r="A1351" t="s">
        <v>25</v>
      </c>
      <c r="B1351" t="s">
        <v>4086</v>
      </c>
      <c r="C1351">
        <v>408.6300048828125</v>
      </c>
      <c r="D1351">
        <v>410.8099975585938</v>
      </c>
      <c r="E1351">
        <v>406.6499938964844</v>
      </c>
      <c r="F1351">
        <v>409.2300109863281</v>
      </c>
      <c r="G1351">
        <v>409.2300109863281</v>
      </c>
      <c r="H1351">
        <v>10589500</v>
      </c>
      <c r="I1351" t="s">
        <v>4087</v>
      </c>
      <c r="J1351" t="s">
        <v>4088</v>
      </c>
      <c r="K1351" t="s">
        <v>41</v>
      </c>
    </row>
    <row r="1352" spans="1:11" ht="20" customHeight="1">
      <c r="A1352" t="s">
        <v>25</v>
      </c>
      <c r="B1352" t="s">
        <v>4089</v>
      </c>
      <c r="C1352">
        <v>406.9700012207031</v>
      </c>
      <c r="D1352">
        <v>411.6400146484375</v>
      </c>
      <c r="E1352">
        <v>406.3999938964844</v>
      </c>
      <c r="F1352">
        <v>411.489990234375</v>
      </c>
      <c r="G1352">
        <v>411.489990234375</v>
      </c>
      <c r="H1352">
        <v>8705900</v>
      </c>
      <c r="I1352" t="s">
        <v>4090</v>
      </c>
      <c r="J1352" t="s">
        <v>4091</v>
      </c>
      <c r="K1352" t="s">
        <v>41</v>
      </c>
    </row>
    <row r="1353" spans="1:11" ht="20" customHeight="1">
      <c r="A1353" t="s">
        <v>25</v>
      </c>
      <c r="B1353" t="s">
        <v>4092</v>
      </c>
      <c r="C1353">
        <v>413.2200012207031</v>
      </c>
      <c r="D1353">
        <v>415.2900085449219</v>
      </c>
      <c r="E1353">
        <v>411.7999877929688</v>
      </c>
      <c r="F1353">
        <v>414.4700012207031</v>
      </c>
      <c r="G1353">
        <v>414.4700012207031</v>
      </c>
      <c r="H1353">
        <v>14011200</v>
      </c>
      <c r="I1353" t="s">
        <v>4093</v>
      </c>
      <c r="J1353" t="s">
        <v>4094</v>
      </c>
      <c r="K1353" t="s">
        <v>41</v>
      </c>
    </row>
    <row r="1354" spans="1:11" ht="20" customHeight="1">
      <c r="A1354" t="s">
        <v>25</v>
      </c>
      <c r="B1354" t="s">
        <v>4095</v>
      </c>
      <c r="C1354">
        <v>421.5199890136719</v>
      </c>
      <c r="D1354">
        <v>425.739990234375</v>
      </c>
      <c r="E1354">
        <v>421.5199890136719</v>
      </c>
      <c r="F1354">
        <v>422.2300109863281</v>
      </c>
      <c r="G1354">
        <v>422.2300109863281</v>
      </c>
      <c r="H1354">
        <v>20904100</v>
      </c>
      <c r="I1354" t="s">
        <v>4096</v>
      </c>
      <c r="J1354" t="s">
        <v>4097</v>
      </c>
      <c r="K1354" t="s">
        <v>41</v>
      </c>
    </row>
    <row r="1355" spans="1:11" ht="20" customHeight="1">
      <c r="A1355" t="s">
        <v>25</v>
      </c>
      <c r="B1355" t="s">
        <v>4098</v>
      </c>
      <c r="C1355">
        <v>424.5899963378906</v>
      </c>
      <c r="D1355">
        <v>426.1199951171875</v>
      </c>
      <c r="E1355">
        <v>420.0700073242188</v>
      </c>
      <c r="F1355">
        <v>421.6300048828125</v>
      </c>
      <c r="G1355">
        <v>421.6300048828125</v>
      </c>
      <c r="H1355">
        <v>16681200</v>
      </c>
      <c r="I1355" t="s">
        <v>4099</v>
      </c>
      <c r="J1355" t="s">
        <v>4100</v>
      </c>
      <c r="K1355" t="s">
        <v>41</v>
      </c>
    </row>
    <row r="1356" spans="1:11" ht="20" customHeight="1">
      <c r="A1356" t="s">
        <v>25</v>
      </c>
      <c r="B1356" t="s">
        <v>4101</v>
      </c>
      <c r="C1356">
        <v>426.0299987792969</v>
      </c>
      <c r="D1356">
        <v>426.8599853515625</v>
      </c>
      <c r="E1356">
        <v>422.8399963378906</v>
      </c>
      <c r="F1356">
        <v>425.9400024414062</v>
      </c>
      <c r="G1356">
        <v>425.9400024414062</v>
      </c>
      <c r="H1356">
        <v>18305500</v>
      </c>
      <c r="I1356" t="s">
        <v>4102</v>
      </c>
      <c r="J1356" t="s">
        <v>4103</v>
      </c>
      <c r="K1356" t="s">
        <v>41</v>
      </c>
    </row>
    <row r="1357" spans="1:11" ht="20" customHeight="1">
      <c r="A1357" t="s">
        <v>25</v>
      </c>
      <c r="B1357" t="s">
        <v>4104</v>
      </c>
      <c r="C1357">
        <v>423.0199890136719</v>
      </c>
      <c r="D1357">
        <v>425.0599975585938</v>
      </c>
      <c r="E1357">
        <v>422.7900085449219</v>
      </c>
      <c r="F1357">
        <v>423.3299865722656</v>
      </c>
      <c r="G1357">
        <v>423.3299865722656</v>
      </c>
      <c r="H1357">
        <v>14253200</v>
      </c>
      <c r="I1357" t="s">
        <v>4105</v>
      </c>
      <c r="J1357" t="s">
        <v>4106</v>
      </c>
      <c r="K1357" t="s">
        <v>41</v>
      </c>
    </row>
    <row r="1358" spans="1:11" ht="20" customHeight="1">
      <c r="A1358" t="s">
        <v>25</v>
      </c>
      <c r="B1358" t="s">
        <v>4107</v>
      </c>
      <c r="C1358">
        <v>422.7999877929688</v>
      </c>
      <c r="D1358">
        <v>424.7999877929688</v>
      </c>
      <c r="E1358">
        <v>417.0400085449219</v>
      </c>
      <c r="F1358">
        <v>421.2900085449219</v>
      </c>
      <c r="G1358">
        <v>421.2900085449219</v>
      </c>
      <c r="H1358">
        <v>20951600</v>
      </c>
      <c r="I1358" t="s">
        <v>4108</v>
      </c>
      <c r="J1358" t="s">
        <v>4109</v>
      </c>
      <c r="K1358" t="s">
        <v>41</v>
      </c>
    </row>
    <row r="1359" spans="1:11" ht="20" customHeight="1">
      <c r="A1359" t="s">
        <v>25</v>
      </c>
      <c r="B1359" t="s">
        <v>4110</v>
      </c>
      <c r="C1359">
        <v>436.6900024414062</v>
      </c>
      <c r="D1359">
        <v>438.1400146484375</v>
      </c>
      <c r="E1359">
        <v>434.1000061035156</v>
      </c>
      <c r="F1359">
        <v>437.2300109863281</v>
      </c>
      <c r="G1359">
        <v>437.2300109863281</v>
      </c>
      <c r="H1359">
        <v>21308100</v>
      </c>
      <c r="I1359" t="s">
        <v>4111</v>
      </c>
      <c r="J1359" t="s">
        <v>4112</v>
      </c>
      <c r="K1359" t="s">
        <v>41</v>
      </c>
    </row>
    <row r="1360" spans="1:11" ht="20" customHeight="1">
      <c r="A1360" t="s">
        <v>25</v>
      </c>
      <c r="B1360" t="s">
        <v>4113</v>
      </c>
      <c r="C1360">
        <v>446.8699951171875</v>
      </c>
      <c r="D1360">
        <v>448</v>
      </c>
      <c r="E1360">
        <v>437.1099853515625</v>
      </c>
      <c r="F1360">
        <v>443.6000061035156</v>
      </c>
      <c r="G1360">
        <v>443.6000061035156</v>
      </c>
      <c r="H1360">
        <v>38830200</v>
      </c>
      <c r="I1360" t="s">
        <v>4114</v>
      </c>
      <c r="J1360" t="s">
        <v>4115</v>
      </c>
      <c r="K1360" t="s">
        <v>41</v>
      </c>
    </row>
    <row r="1361" spans="1:11" ht="20" customHeight="1">
      <c r="A1361" t="s">
        <v>25</v>
      </c>
      <c r="B1361" t="s">
        <v>4116</v>
      </c>
      <c r="C1361">
        <v>443.8399963378906</v>
      </c>
      <c r="D1361">
        <v>452.9800109863281</v>
      </c>
      <c r="E1361">
        <v>443.5599975585938</v>
      </c>
      <c r="F1361">
        <v>451.7900085449219</v>
      </c>
      <c r="G1361">
        <v>451.7900085449219</v>
      </c>
      <c r="H1361">
        <v>19251200</v>
      </c>
      <c r="I1361" t="s">
        <v>4117</v>
      </c>
      <c r="J1361" t="s">
        <v>4118</v>
      </c>
      <c r="K1361" t="s">
        <v>41</v>
      </c>
    </row>
    <row r="1362" spans="1:11" ht="20" customHeight="1">
      <c r="A1362" t="s">
        <v>25</v>
      </c>
      <c r="B1362" t="s">
        <v>4119</v>
      </c>
      <c r="C1362">
        <v>454.1099853515625</v>
      </c>
      <c r="D1362">
        <v>458.75</v>
      </c>
      <c r="E1362">
        <v>453.4500122070312</v>
      </c>
      <c r="F1362">
        <v>458</v>
      </c>
      <c r="G1362">
        <v>458</v>
      </c>
      <c r="H1362">
        <v>21531900</v>
      </c>
      <c r="I1362" t="s">
        <v>4120</v>
      </c>
      <c r="J1362" t="s">
        <v>4121</v>
      </c>
      <c r="K1362" t="s">
        <v>41</v>
      </c>
    </row>
    <row r="1363" spans="1:11" ht="20" customHeight="1">
      <c r="A1363" t="s">
        <v>25</v>
      </c>
      <c r="B1363" t="s">
        <v>4122</v>
      </c>
      <c r="C1363">
        <v>466.7799987792969</v>
      </c>
      <c r="D1363">
        <v>469.2799987792969</v>
      </c>
      <c r="E1363">
        <v>460.3599853515625</v>
      </c>
      <c r="F1363">
        <v>464.7000122070312</v>
      </c>
      <c r="G1363">
        <v>464.7000122070312</v>
      </c>
      <c r="H1363">
        <v>34156000</v>
      </c>
      <c r="I1363" t="s">
        <v>4123</v>
      </c>
      <c r="J1363" t="s">
        <v>4124</v>
      </c>
      <c r="K1363" t="s">
        <v>41</v>
      </c>
    </row>
    <row r="1364" spans="1:11" ht="20" customHeight="1">
      <c r="A1364" t="s">
        <v>25</v>
      </c>
      <c r="B1364" t="s">
        <v>4125</v>
      </c>
      <c r="C1364">
        <v>465.0700073242188</v>
      </c>
      <c r="D1364">
        <v>476.489990234375</v>
      </c>
      <c r="E1364">
        <v>463.9500122070312</v>
      </c>
      <c r="F1364">
        <v>476.1000061035156</v>
      </c>
      <c r="G1364">
        <v>476.1000061035156</v>
      </c>
      <c r="H1364">
        <v>28386200</v>
      </c>
      <c r="I1364" t="s">
        <v>4126</v>
      </c>
      <c r="J1364" t="s">
        <v>4127</v>
      </c>
      <c r="K1364" t="s">
        <v>41</v>
      </c>
    </row>
    <row r="1365" spans="1:11" ht="20" customHeight="1">
      <c r="A1365" t="s">
        <v>25</v>
      </c>
      <c r="B1365" t="s">
        <v>4128</v>
      </c>
      <c r="C1365">
        <v>483.3900146484375</v>
      </c>
      <c r="D1365">
        <v>495.8800048828125</v>
      </c>
      <c r="E1365">
        <v>481.25</v>
      </c>
      <c r="F1365">
        <v>494.5599975585938</v>
      </c>
      <c r="G1365">
        <v>494.5599975585938</v>
      </c>
      <c r="H1365">
        <v>44154600</v>
      </c>
      <c r="I1365" t="s">
        <v>4129</v>
      </c>
      <c r="J1365" t="s">
        <v>4130</v>
      </c>
      <c r="K1365" t="s">
        <v>41</v>
      </c>
    </row>
    <row r="1366" spans="1:11" ht="20" customHeight="1">
      <c r="A1366" t="s">
        <v>25</v>
      </c>
      <c r="B1366" t="s">
        <v>4131</v>
      </c>
      <c r="C1366">
        <v>509.510009765625</v>
      </c>
      <c r="D1366">
        <v>509.7000122070312</v>
      </c>
      <c r="E1366">
        <v>468.510009765625</v>
      </c>
      <c r="F1366">
        <v>495.8999938964844</v>
      </c>
      <c r="G1366">
        <v>495.8999938964844</v>
      </c>
      <c r="H1366">
        <v>69970900</v>
      </c>
      <c r="I1366" t="s">
        <v>4132</v>
      </c>
      <c r="J1366" t="s">
        <v>4133</v>
      </c>
      <c r="K1366" t="s">
        <v>41</v>
      </c>
    </row>
    <row r="1367" spans="1:11" ht="20" customHeight="1">
      <c r="A1367" t="s">
        <v>25</v>
      </c>
      <c r="B1367" t="s">
        <v>4134</v>
      </c>
      <c r="C1367">
        <v>466.25</v>
      </c>
      <c r="D1367">
        <v>470.0599975585938</v>
      </c>
      <c r="E1367">
        <v>430.7999877929688</v>
      </c>
      <c r="F1367">
        <v>444.9500122070312</v>
      </c>
      <c r="G1367">
        <v>444.9500122070312</v>
      </c>
      <c r="H1367">
        <v>86593500</v>
      </c>
      <c r="I1367" t="s">
        <v>4135</v>
      </c>
      <c r="J1367" t="s">
        <v>4136</v>
      </c>
      <c r="K1367" t="s">
        <v>41</v>
      </c>
    </row>
    <row r="1368" spans="1:11" ht="20" customHeight="1">
      <c r="A1368" t="s">
        <v>25</v>
      </c>
      <c r="B1368" t="s">
        <v>4137</v>
      </c>
      <c r="C1368">
        <v>434.010009765625</v>
      </c>
      <c r="D1368">
        <v>440.7799987792969</v>
      </c>
      <c r="E1368">
        <v>422.5499877929688</v>
      </c>
      <c r="F1368">
        <v>427.1300048828125</v>
      </c>
      <c r="G1368">
        <v>427.1300048828125</v>
      </c>
      <c r="H1368">
        <v>41626200</v>
      </c>
      <c r="I1368" t="s">
        <v>4138</v>
      </c>
      <c r="J1368" t="s">
        <v>4139</v>
      </c>
      <c r="K1368" t="s">
        <v>41</v>
      </c>
    </row>
    <row r="1369" spans="1:11" ht="20" customHeight="1">
      <c r="A1369" t="s">
        <v>25</v>
      </c>
      <c r="B1369" t="s">
        <v>4140</v>
      </c>
      <c r="C1369">
        <v>452.6300048828125</v>
      </c>
      <c r="D1369">
        <v>459</v>
      </c>
      <c r="E1369">
        <v>448.3099975585938</v>
      </c>
      <c r="F1369">
        <v>454.2900085449219</v>
      </c>
      <c r="G1369">
        <v>454.2900085449219</v>
      </c>
      <c r="H1369">
        <v>28703500</v>
      </c>
      <c r="I1369" t="s">
        <v>4141</v>
      </c>
      <c r="J1369" t="s">
        <v>4142</v>
      </c>
      <c r="K1369" t="s">
        <v>41</v>
      </c>
    </row>
    <row r="1370" spans="1:11" ht="20" customHeight="1">
      <c r="A1370" t="s">
        <v>25</v>
      </c>
      <c r="B1370" t="s">
        <v>4143</v>
      </c>
      <c r="C1370">
        <v>462.4700012207031</v>
      </c>
      <c r="D1370">
        <v>463.1000061035156</v>
      </c>
      <c r="E1370">
        <v>445.7099914550781</v>
      </c>
      <c r="F1370">
        <v>453.9700012207031</v>
      </c>
      <c r="G1370">
        <v>453.9700012207031</v>
      </c>
      <c r="H1370">
        <v>24427900</v>
      </c>
      <c r="I1370" t="s">
        <v>4144</v>
      </c>
      <c r="J1370" t="s">
        <v>4145</v>
      </c>
      <c r="K1370" t="s">
        <v>41</v>
      </c>
    </row>
    <row r="1371" spans="1:11" ht="20" customHeight="1">
      <c r="A1371" t="s">
        <v>25</v>
      </c>
      <c r="B1371" t="s">
        <v>4146</v>
      </c>
      <c r="C1371">
        <v>444.2900085449219</v>
      </c>
      <c r="D1371">
        <v>450.8999938964844</v>
      </c>
      <c r="E1371">
        <v>440.3500061035156</v>
      </c>
      <c r="F1371">
        <v>441.8800048828125</v>
      </c>
      <c r="G1371">
        <v>441.8800048828125</v>
      </c>
      <c r="H1371">
        <v>17718100</v>
      </c>
      <c r="I1371" t="s">
        <v>4147</v>
      </c>
      <c r="J1371" t="s">
        <v>4148</v>
      </c>
      <c r="K1371" t="s">
        <v>41</v>
      </c>
    </row>
    <row r="1372" spans="1:11" ht="20" customHeight="1">
      <c r="A1372" t="s">
        <v>25</v>
      </c>
      <c r="B1372" t="s">
        <v>4149</v>
      </c>
      <c r="C1372">
        <v>450.7300109863281</v>
      </c>
      <c r="D1372">
        <v>456.9299926757812</v>
      </c>
      <c r="E1372">
        <v>450.0299987792969</v>
      </c>
      <c r="F1372">
        <v>455.4599914550781</v>
      </c>
      <c r="G1372">
        <v>455.4599914550781</v>
      </c>
      <c r="H1372">
        <v>12663900</v>
      </c>
      <c r="I1372" t="s">
        <v>4150</v>
      </c>
      <c r="J1372" t="s">
        <v>4151</v>
      </c>
      <c r="K1372" t="s">
        <v>41</v>
      </c>
    </row>
    <row r="1373" spans="1:11" ht="20" customHeight="1">
      <c r="A1373" t="s">
        <v>25</v>
      </c>
      <c r="B1373" t="s">
        <v>4152</v>
      </c>
      <c r="C1373">
        <v>461.3900146484375</v>
      </c>
      <c r="D1373">
        <v>467.5599975585938</v>
      </c>
      <c r="E1373">
        <v>460.8500061035156</v>
      </c>
      <c r="F1373">
        <v>467.0299987792969</v>
      </c>
      <c r="G1373">
        <v>467.0299987792969</v>
      </c>
      <c r="H1373">
        <v>12330900</v>
      </c>
      <c r="I1373" t="s">
        <v>4153</v>
      </c>
      <c r="J1373" t="s">
        <v>4154</v>
      </c>
      <c r="K1373" t="s">
        <v>41</v>
      </c>
    </row>
    <row r="1374" spans="1:11" ht="20" customHeight="1">
      <c r="A1374" t="s">
        <v>25</v>
      </c>
      <c r="B1374" t="s">
        <v>4155</v>
      </c>
      <c r="C1374">
        <v>465.9599914550781</v>
      </c>
      <c r="D1374">
        <v>466.75</v>
      </c>
      <c r="E1374">
        <v>459.5199890136719</v>
      </c>
      <c r="F1374">
        <v>462.3999938964844</v>
      </c>
      <c r="G1374">
        <v>462.3999938964844</v>
      </c>
      <c r="H1374">
        <v>7861600</v>
      </c>
      <c r="I1374" t="s">
        <v>4156</v>
      </c>
      <c r="J1374" t="s">
        <v>4157</v>
      </c>
      <c r="K1374" t="s">
        <v>41</v>
      </c>
    </row>
    <row r="1375" spans="1:11" ht="20" customHeight="1">
      <c r="A1375" t="s">
        <v>25</v>
      </c>
      <c r="B1375" t="s">
        <v>4158</v>
      </c>
      <c r="C1375">
        <v>466</v>
      </c>
      <c r="D1375">
        <v>468.6099853515625</v>
      </c>
      <c r="E1375">
        <v>462.8200073242188</v>
      </c>
      <c r="F1375">
        <v>467.6300048828125</v>
      </c>
      <c r="G1375">
        <v>467.6300048828125</v>
      </c>
      <c r="H1375">
        <v>11209600</v>
      </c>
      <c r="I1375" t="s">
        <v>4159</v>
      </c>
      <c r="J1375" t="s">
        <v>4160</v>
      </c>
      <c r="K1375" t="s">
        <v>41</v>
      </c>
    </row>
    <row r="1376" spans="1:11" ht="20" customHeight="1">
      <c r="A1376" t="s">
        <v>25</v>
      </c>
      <c r="B1376" t="s">
        <v>4161</v>
      </c>
      <c r="C1376">
        <v>464.8999938964844</v>
      </c>
      <c r="D1376">
        <v>466.3800048828125</v>
      </c>
      <c r="E1376">
        <v>448.0599975585938</v>
      </c>
      <c r="F1376">
        <v>451.3900146484375</v>
      </c>
      <c r="G1376">
        <v>451.3900146484375</v>
      </c>
      <c r="H1376">
        <v>20488800</v>
      </c>
      <c r="I1376" t="s">
        <v>4162</v>
      </c>
      <c r="J1376" t="s">
        <v>4163</v>
      </c>
      <c r="K1376" t="s">
        <v>41</v>
      </c>
    </row>
    <row r="1377" spans="1:11" ht="20" customHeight="1">
      <c r="A1377" t="s">
        <v>25</v>
      </c>
      <c r="B1377" t="s">
        <v>4164</v>
      </c>
      <c r="C1377">
        <v>459.7300109863281</v>
      </c>
      <c r="D1377">
        <v>463.8399963378906</v>
      </c>
      <c r="E1377">
        <v>456.25</v>
      </c>
      <c r="F1377">
        <v>462.6199951171875</v>
      </c>
      <c r="G1377">
        <v>462.6199951171875</v>
      </c>
      <c r="H1377">
        <v>12359300</v>
      </c>
      <c r="I1377" t="s">
        <v>4165</v>
      </c>
      <c r="J1377" t="s">
        <v>4166</v>
      </c>
      <c r="K1377" t="s">
        <v>41</v>
      </c>
    </row>
    <row r="1378" spans="1:11" ht="20" customHeight="1">
      <c r="A1378" t="s">
        <v>25</v>
      </c>
      <c r="B1378" t="s">
        <v>4167</v>
      </c>
      <c r="C1378">
        <v>450.260009765625</v>
      </c>
      <c r="D1378">
        <v>451.3699951171875</v>
      </c>
      <c r="E1378">
        <v>445.5299987792969</v>
      </c>
      <c r="F1378">
        <v>448.2000122070312</v>
      </c>
      <c r="G1378">
        <v>448.2000122070312</v>
      </c>
      <c r="H1378">
        <v>10976100</v>
      </c>
      <c r="I1378" t="s">
        <v>4168</v>
      </c>
      <c r="J1378" t="s">
        <v>4169</v>
      </c>
      <c r="K1378" t="s">
        <v>41</v>
      </c>
    </row>
    <row r="1379" spans="1:11" ht="20" customHeight="1">
      <c r="A1379" t="s">
        <v>25</v>
      </c>
      <c r="B1379" t="s">
        <v>4170</v>
      </c>
      <c r="C1379">
        <v>455.8099975585938</v>
      </c>
      <c r="D1379">
        <v>460.510009765625</v>
      </c>
      <c r="E1379">
        <v>455.3200073242188</v>
      </c>
      <c r="F1379">
        <v>458.2799987792969</v>
      </c>
      <c r="G1379">
        <v>458.2799987792969</v>
      </c>
      <c r="H1379">
        <v>10226300</v>
      </c>
      <c r="I1379" t="s">
        <v>4171</v>
      </c>
      <c r="J1379" t="s">
        <v>4172</v>
      </c>
      <c r="K1379" t="s">
        <v>41</v>
      </c>
    </row>
    <row r="1380" spans="1:11" ht="20" customHeight="1">
      <c r="A1380" t="s">
        <v>25</v>
      </c>
      <c r="B1380" t="s">
        <v>4173</v>
      </c>
      <c r="C1380">
        <v>457.3399963378906</v>
      </c>
      <c r="D1380">
        <v>461.510009765625</v>
      </c>
      <c r="E1380">
        <v>456.0299987792969</v>
      </c>
      <c r="F1380">
        <v>459.5599975585938</v>
      </c>
      <c r="G1380">
        <v>459.5599975585938</v>
      </c>
      <c r="H1380">
        <v>8411400</v>
      </c>
      <c r="I1380" t="s">
        <v>4174</v>
      </c>
      <c r="J1380" t="s">
        <v>4175</v>
      </c>
      <c r="K1380" t="s">
        <v>41</v>
      </c>
    </row>
    <row r="1381" spans="1:11" ht="20" customHeight="1">
      <c r="A1381" t="s">
        <v>25</v>
      </c>
      <c r="B1381" t="s">
        <v>4176</v>
      </c>
      <c r="C1381">
        <v>463.25</v>
      </c>
      <c r="D1381">
        <v>468.6199951171875</v>
      </c>
      <c r="E1381">
        <v>458.3399963378906</v>
      </c>
      <c r="F1381">
        <v>468.6199951171875</v>
      </c>
      <c r="G1381">
        <v>468.6199951171875</v>
      </c>
      <c r="H1381">
        <v>14316300</v>
      </c>
      <c r="I1381" t="s">
        <v>4177</v>
      </c>
      <c r="J1381" t="s">
        <v>4178</v>
      </c>
      <c r="K1381" t="s">
        <v>41</v>
      </c>
    </row>
    <row r="1382" spans="1:11" ht="20" customHeight="1">
      <c r="A1382" t="s">
        <v>25</v>
      </c>
      <c r="B1382" t="s">
        <v>4179</v>
      </c>
      <c r="C1382">
        <v>474.6499938964844</v>
      </c>
      <c r="D1382">
        <v>481.4599914550781</v>
      </c>
      <c r="E1382">
        <v>474.6099853515625</v>
      </c>
      <c r="F1382">
        <v>481.2799987792969</v>
      </c>
      <c r="G1382">
        <v>481.2799987792969</v>
      </c>
      <c r="H1382">
        <v>17441600</v>
      </c>
      <c r="I1382" t="s">
        <v>4180</v>
      </c>
      <c r="J1382" t="s">
        <v>4181</v>
      </c>
      <c r="K1382" t="s">
        <v>41</v>
      </c>
    </row>
    <row r="1383" spans="1:11" ht="20" customHeight="1">
      <c r="A1383" t="s">
        <v>25</v>
      </c>
      <c r="B1383" t="s">
        <v>4182</v>
      </c>
      <c r="C1383">
        <v>470.0899963378906</v>
      </c>
      <c r="D1383">
        <v>475.4400024414062</v>
      </c>
      <c r="E1383">
        <v>469.5499877929688</v>
      </c>
      <c r="F1383">
        <v>474.6099853515625</v>
      </c>
      <c r="G1383">
        <v>474.6099853515625</v>
      </c>
      <c r="H1383">
        <v>14147100</v>
      </c>
      <c r="I1383" t="s">
        <v>4183</v>
      </c>
      <c r="J1383" t="s">
        <v>4184</v>
      </c>
      <c r="K1383" t="s">
        <v>41</v>
      </c>
    </row>
    <row r="1384" spans="1:11" ht="20" customHeight="1">
      <c r="A1384" t="s">
        <v>25</v>
      </c>
      <c r="B1384" t="s">
        <v>4185</v>
      </c>
      <c r="C1384">
        <v>475.739990234375</v>
      </c>
      <c r="D1384">
        <v>479.5299987792969</v>
      </c>
      <c r="E1384">
        <v>472.8999938964844</v>
      </c>
      <c r="F1384">
        <v>473.4200134277344</v>
      </c>
      <c r="G1384">
        <v>473.4200134277344</v>
      </c>
      <c r="H1384">
        <v>12954300</v>
      </c>
      <c r="I1384" t="s">
        <v>4186</v>
      </c>
      <c r="J1384" t="s">
        <v>4187</v>
      </c>
      <c r="K1384" t="s">
        <v>41</v>
      </c>
    </row>
    <row r="1385" spans="1:11" ht="20" customHeight="1">
      <c r="A1385" t="s">
        <v>25</v>
      </c>
      <c r="B1385" t="s">
        <v>4188</v>
      </c>
      <c r="C1385">
        <v>474.9500122070312</v>
      </c>
      <c r="D1385">
        <v>477.8299865722656</v>
      </c>
      <c r="E1385">
        <v>442.0400085449219</v>
      </c>
      <c r="F1385">
        <v>477.4800109863281</v>
      </c>
      <c r="G1385">
        <v>477.4800109863281</v>
      </c>
      <c r="H1385">
        <v>12375000</v>
      </c>
      <c r="I1385" t="s">
        <v>4189</v>
      </c>
      <c r="J1385" t="s">
        <v>4190</v>
      </c>
      <c r="K1385" t="s">
        <v>41</v>
      </c>
    </row>
    <row r="1386" spans="1:11" ht="20" customHeight="1">
      <c r="A1386" t="s">
        <v>25</v>
      </c>
      <c r="B1386" t="s">
        <v>4191</v>
      </c>
      <c r="C1386">
        <v>480.75</v>
      </c>
      <c r="D1386">
        <v>483.8999938964844</v>
      </c>
      <c r="E1386">
        <v>479.1099853515625</v>
      </c>
      <c r="F1386">
        <v>483.75</v>
      </c>
      <c r="G1386">
        <v>483.75</v>
      </c>
      <c r="H1386">
        <v>16795100</v>
      </c>
      <c r="I1386" t="s">
        <v>4192</v>
      </c>
      <c r="J1386" t="s">
        <v>4193</v>
      </c>
      <c r="K1386" t="s">
        <v>41</v>
      </c>
    </row>
    <row r="1387" spans="1:11" ht="20" customHeight="1">
      <c r="A1387" t="s">
        <v>25</v>
      </c>
      <c r="B1387" t="s">
        <v>4194</v>
      </c>
      <c r="C1387">
        <v>490.1000061035156</v>
      </c>
      <c r="D1387">
        <v>492.1499938964844</v>
      </c>
      <c r="E1387">
        <v>483.2799987792969</v>
      </c>
      <c r="F1387">
        <v>490</v>
      </c>
      <c r="G1387">
        <v>490</v>
      </c>
      <c r="H1387">
        <v>19916600</v>
      </c>
      <c r="I1387" t="s">
        <v>4195</v>
      </c>
      <c r="J1387" t="s">
        <v>4196</v>
      </c>
      <c r="K1387" t="s">
        <v>41</v>
      </c>
    </row>
    <row r="1388" spans="1:11" ht="20" customHeight="1">
      <c r="A1388" t="s">
        <v>25</v>
      </c>
      <c r="B1388" t="s">
        <v>4197</v>
      </c>
      <c r="C1388">
        <v>472.8299865722656</v>
      </c>
      <c r="D1388">
        <v>473.2000122070312</v>
      </c>
      <c r="E1388">
        <v>458.9299926757812</v>
      </c>
      <c r="F1388">
        <v>468.1400146484375</v>
      </c>
      <c r="G1388">
        <v>468.1400146484375</v>
      </c>
      <c r="H1388">
        <v>22591500</v>
      </c>
      <c r="I1388" t="s">
        <v>4198</v>
      </c>
      <c r="J1388" t="s">
        <v>4199</v>
      </c>
      <c r="K1388" t="s">
        <v>41</v>
      </c>
    </row>
    <row r="1389" spans="1:11" ht="20" customHeight="1">
      <c r="A1389" t="s">
        <v>25</v>
      </c>
      <c r="B1389" t="s">
        <v>4200</v>
      </c>
      <c r="C1389">
        <v>474.8200073242188</v>
      </c>
      <c r="D1389">
        <v>476.4200134277344</v>
      </c>
      <c r="E1389">
        <v>469.3900146484375</v>
      </c>
      <c r="F1389">
        <v>471.7999877929688</v>
      </c>
      <c r="G1389">
        <v>471.7999877929688</v>
      </c>
      <c r="H1389">
        <v>9985900</v>
      </c>
      <c r="I1389" t="s">
        <v>4201</v>
      </c>
      <c r="J1389" t="s">
        <v>4202</v>
      </c>
      <c r="K1389" t="s">
        <v>41</v>
      </c>
    </row>
    <row r="1390" spans="1:11" ht="20" customHeight="1">
      <c r="A1390" t="s">
        <v>25</v>
      </c>
      <c r="B1390" t="s">
        <v>4203</v>
      </c>
      <c r="C1390">
        <v>470.4500122070312</v>
      </c>
      <c r="D1390">
        <v>470.6700134277344</v>
      </c>
      <c r="E1390">
        <v>463.9100036621094</v>
      </c>
      <c r="F1390">
        <v>466.1300048828125</v>
      </c>
      <c r="G1390">
        <v>466.1300048828125</v>
      </c>
      <c r="H1390">
        <v>11674800</v>
      </c>
      <c r="I1390" t="s">
        <v>4204</v>
      </c>
      <c r="J1390" t="s">
        <v>4205</v>
      </c>
      <c r="K1390" t="s">
        <v>41</v>
      </c>
    </row>
    <row r="1391" spans="1:11" ht="20" customHeight="1">
      <c r="A1391" t="s">
        <v>25</v>
      </c>
      <c r="B1391" t="s">
        <v>4206</v>
      </c>
      <c r="C1391">
        <v>469.0400085449219</v>
      </c>
      <c r="D1391">
        <v>475.4599914550781</v>
      </c>
      <c r="E1391">
        <v>467.0700073242188</v>
      </c>
      <c r="F1391">
        <v>473.510009765625</v>
      </c>
      <c r="G1391">
        <v>473.510009765625</v>
      </c>
      <c r="H1391">
        <v>10489800</v>
      </c>
      <c r="I1391" t="s">
        <v>4207</v>
      </c>
      <c r="J1391" t="s">
        <v>4208</v>
      </c>
      <c r="K1391" t="s">
        <v>41</v>
      </c>
    </row>
    <row r="1392" spans="1:11" ht="20" customHeight="1">
      <c r="A1392" t="s">
        <v>25</v>
      </c>
      <c r="B1392" t="s">
        <v>4209</v>
      </c>
      <c r="C1392">
        <v>468.0899963378906</v>
      </c>
      <c r="D1392">
        <v>472.6799926757812</v>
      </c>
      <c r="E1392">
        <v>464.7900085449219</v>
      </c>
      <c r="F1392">
        <v>472.5299987792969</v>
      </c>
      <c r="G1392">
        <v>472.5299987792969</v>
      </c>
      <c r="H1392">
        <v>8829800</v>
      </c>
      <c r="I1392" t="s">
        <v>4210</v>
      </c>
      <c r="J1392" t="s">
        <v>4211</v>
      </c>
      <c r="K1392" t="s">
        <v>41</v>
      </c>
    </row>
    <row r="1393" spans="1:11" ht="20" customHeight="1">
      <c r="A1393" t="s">
        <v>25</v>
      </c>
      <c r="B1393" t="s">
        <v>4212</v>
      </c>
      <c r="C1393">
        <v>479.739990234375</v>
      </c>
      <c r="D1393">
        <v>481.3099975585938</v>
      </c>
      <c r="E1393">
        <v>474.2099914550781</v>
      </c>
      <c r="F1393">
        <v>477.8599853515625</v>
      </c>
      <c r="G1393">
        <v>477.8599853515625</v>
      </c>
      <c r="H1393">
        <v>9616800</v>
      </c>
      <c r="I1393" t="s">
        <v>4213</v>
      </c>
      <c r="J1393" t="s">
        <v>4214</v>
      </c>
      <c r="K1393" t="s">
        <v>41</v>
      </c>
    </row>
    <row r="1394" spans="1:11" ht="20" customHeight="1">
      <c r="A1394" t="s">
        <v>25</v>
      </c>
      <c r="B1394" t="s">
        <v>4215</v>
      </c>
      <c r="C1394">
        <v>476.1300048828125</v>
      </c>
      <c r="D1394">
        <v>477.4500122070312</v>
      </c>
      <c r="E1394">
        <v>473.1300048828125</v>
      </c>
      <c r="F1394">
        <v>476.239990234375</v>
      </c>
      <c r="G1394">
        <v>476.239990234375</v>
      </c>
      <c r="H1394">
        <v>7522900</v>
      </c>
      <c r="I1394" t="s">
        <v>4216</v>
      </c>
      <c r="J1394" t="s">
        <v>4217</v>
      </c>
      <c r="K1394" t="s">
        <v>41</v>
      </c>
    </row>
    <row r="1395" spans="1:11" ht="20" customHeight="1">
      <c r="A1395" t="s">
        <v>25</v>
      </c>
      <c r="B1395" t="s">
        <v>4218</v>
      </c>
      <c r="C1395">
        <v>475.0199890136719</v>
      </c>
      <c r="D1395">
        <v>475.0199890136719</v>
      </c>
      <c r="E1395">
        <v>466.6000061035156</v>
      </c>
      <c r="F1395">
        <v>466.8800048828125</v>
      </c>
      <c r="G1395">
        <v>466.8800048828125</v>
      </c>
      <c r="H1395">
        <v>11900600</v>
      </c>
      <c r="I1395" t="s">
        <v>4219</v>
      </c>
      <c r="J1395" t="s">
        <v>4220</v>
      </c>
      <c r="K1395" t="s">
        <v>41</v>
      </c>
    </row>
    <row r="1396" spans="1:11" ht="20" customHeight="1">
      <c r="A1396" t="s">
        <v>25</v>
      </c>
      <c r="B1396" t="s">
        <v>4221</v>
      </c>
      <c r="C1396">
        <v>469.3099975585938</v>
      </c>
      <c r="D1396">
        <v>470.1000061035156</v>
      </c>
      <c r="E1396">
        <v>460.2200012207031</v>
      </c>
      <c r="F1396">
        <v>460.8399963378906</v>
      </c>
      <c r="G1396">
        <v>460.8399963378906</v>
      </c>
      <c r="H1396">
        <v>11741600</v>
      </c>
      <c r="I1396" t="s">
        <v>4222</v>
      </c>
      <c r="J1396" t="s">
        <v>4223</v>
      </c>
      <c r="K1396" t="s">
        <v>41</v>
      </c>
    </row>
    <row r="1397" spans="1:11" ht="20" customHeight="1">
      <c r="A1397" t="s">
        <v>25</v>
      </c>
      <c r="B1397" t="s">
        <v>4224</v>
      </c>
      <c r="C1397">
        <v>461.2699890136719</v>
      </c>
      <c r="D1397">
        <v>462.7999877929688</v>
      </c>
      <c r="E1397">
        <v>456.9100036621094</v>
      </c>
      <c r="F1397">
        <v>460.4299926757812</v>
      </c>
      <c r="G1397">
        <v>460.4299926757812</v>
      </c>
      <c r="H1397">
        <v>8964100</v>
      </c>
      <c r="I1397" t="s">
        <v>4225</v>
      </c>
      <c r="J1397" t="s">
        <v>4226</v>
      </c>
      <c r="K1397" t="s">
        <v>41</v>
      </c>
    </row>
    <row r="1398" spans="1:11" ht="20" customHeight="1">
      <c r="A1398" t="s">
        <v>25</v>
      </c>
      <c r="B1398" t="s">
        <v>4227</v>
      </c>
      <c r="C1398">
        <v>460.510009765625</v>
      </c>
      <c r="D1398">
        <v>462.2099914550781</v>
      </c>
      <c r="E1398">
        <v>456.8699951171875</v>
      </c>
      <c r="F1398">
        <v>459.2699890136719</v>
      </c>
      <c r="G1398">
        <v>459.2699890136719</v>
      </c>
      <c r="H1398">
        <v>7610100</v>
      </c>
      <c r="I1398" t="s">
        <v>4228</v>
      </c>
      <c r="J1398" t="s">
        <v>4229</v>
      </c>
      <c r="K1398" t="s">
        <v>41</v>
      </c>
    </row>
    <row r="1399" spans="1:11" ht="20" customHeight="1">
      <c r="A1399" t="s">
        <v>25</v>
      </c>
      <c r="B1399" t="s">
        <v>4230</v>
      </c>
      <c r="C1399">
        <v>446.6600036621094</v>
      </c>
      <c r="D1399">
        <v>450.0599975585938</v>
      </c>
      <c r="E1399">
        <v>444.3900146484375</v>
      </c>
      <c r="F1399">
        <v>444.739990234375</v>
      </c>
      <c r="G1399">
        <v>444.739990234375</v>
      </c>
      <c r="H1399">
        <v>18375600</v>
      </c>
      <c r="I1399" t="s">
        <v>4231</v>
      </c>
      <c r="J1399" t="s">
        <v>4232</v>
      </c>
      <c r="K1399" t="s">
        <v>41</v>
      </c>
    </row>
    <row r="1400" spans="1:11" ht="20" customHeight="1">
      <c r="A1400" t="s">
        <v>25</v>
      </c>
      <c r="B1400" t="s">
        <v>4233</v>
      </c>
      <c r="C1400">
        <v>420.3599853515625</v>
      </c>
      <c r="D1400">
        <v>428.2699890136719</v>
      </c>
      <c r="E1400">
        <v>416.7999877929688</v>
      </c>
      <c r="F1400">
        <v>426.4100036621094</v>
      </c>
      <c r="G1400">
        <v>426.4100036621094</v>
      </c>
      <c r="H1400">
        <v>30206000</v>
      </c>
      <c r="I1400" t="s">
        <v>4234</v>
      </c>
      <c r="J1400" t="s">
        <v>4235</v>
      </c>
      <c r="K1400" t="s">
        <v>41</v>
      </c>
    </row>
    <row r="1401" spans="1:11" ht="20" customHeight="1">
      <c r="A1401" t="s">
        <v>25</v>
      </c>
      <c r="B1401" t="s">
        <v>4236</v>
      </c>
      <c r="C1401">
        <v>428.0899963378906</v>
      </c>
      <c r="D1401">
        <v>428.5899963378906</v>
      </c>
      <c r="E1401">
        <v>411.2300109863281</v>
      </c>
      <c r="F1401">
        <v>413.3800048828125</v>
      </c>
      <c r="G1401">
        <v>413.3800048828125</v>
      </c>
      <c r="H1401">
        <v>27204900</v>
      </c>
      <c r="I1401" t="s">
        <v>4237</v>
      </c>
      <c r="J1401" t="s">
        <v>4238</v>
      </c>
      <c r="K1401" t="s">
        <v>41</v>
      </c>
    </row>
    <row r="1402" spans="1:11" ht="20" customHeight="1">
      <c r="A1402" t="s">
        <v>25</v>
      </c>
      <c r="B1402" t="s">
        <v>4239</v>
      </c>
      <c r="C1402">
        <v>405.1199951171875</v>
      </c>
      <c r="D1402">
        <v>414.5400085449219</v>
      </c>
      <c r="E1402">
        <v>399.6400146484375</v>
      </c>
      <c r="F1402">
        <v>404.0400085449219</v>
      </c>
      <c r="G1402">
        <v>404.0400085449219</v>
      </c>
      <c r="H1402">
        <v>36796800</v>
      </c>
      <c r="I1402" t="s">
        <v>4240</v>
      </c>
      <c r="J1402" t="s">
        <v>4241</v>
      </c>
      <c r="K1402" t="s">
        <v>41</v>
      </c>
    </row>
    <row r="1403" spans="1:11" ht="20" customHeight="1">
      <c r="A1403" t="s">
        <v>25</v>
      </c>
      <c r="B1403" t="s">
        <v>4242</v>
      </c>
      <c r="C1403">
        <v>400.239990234375</v>
      </c>
      <c r="D1403">
        <v>407.2900085449219</v>
      </c>
      <c r="E1403">
        <v>399.2000122070312</v>
      </c>
      <c r="F1403">
        <v>404.1300048828125</v>
      </c>
      <c r="G1403">
        <v>404.1300048828125</v>
      </c>
      <c r="H1403">
        <v>17478500</v>
      </c>
      <c r="I1403" t="s">
        <v>4243</v>
      </c>
      <c r="J1403" t="s">
        <v>4244</v>
      </c>
      <c r="K1403" t="s">
        <v>41</v>
      </c>
    </row>
    <row r="1404" spans="1:11" ht="20" customHeight="1">
      <c r="A1404" t="s">
        <v>25</v>
      </c>
      <c r="B1404" t="s">
        <v>4245</v>
      </c>
      <c r="C1404">
        <v>419.7099914550781</v>
      </c>
      <c r="D1404">
        <v>420.6600036621094</v>
      </c>
      <c r="E1404">
        <v>412.25</v>
      </c>
      <c r="F1404">
        <v>416.2900085449219</v>
      </c>
      <c r="G1404">
        <v>416.2900085449219</v>
      </c>
      <c r="H1404">
        <v>15713200</v>
      </c>
      <c r="I1404" t="s">
        <v>4246</v>
      </c>
      <c r="J1404" t="s">
        <v>4247</v>
      </c>
      <c r="K1404" t="s">
        <v>41</v>
      </c>
    </row>
    <row r="1405" spans="1:11" ht="20" customHeight="1">
      <c r="A1405" t="s">
        <v>25</v>
      </c>
      <c r="B1405" t="s">
        <v>4248</v>
      </c>
      <c r="C1405">
        <v>408.5299987792969</v>
      </c>
      <c r="D1405">
        <v>411.3699951171875</v>
      </c>
      <c r="E1405">
        <v>400.260009765625</v>
      </c>
      <c r="F1405">
        <v>400.6400146484375</v>
      </c>
      <c r="G1405">
        <v>400.6400146484375</v>
      </c>
      <c r="H1405">
        <v>15756300</v>
      </c>
      <c r="I1405" t="s">
        <v>4249</v>
      </c>
      <c r="J1405" t="s">
        <v>4250</v>
      </c>
      <c r="K1405" t="s">
        <v>41</v>
      </c>
    </row>
    <row r="1406" spans="1:11" ht="20" customHeight="1">
      <c r="A1406" t="s">
        <v>25</v>
      </c>
      <c r="B1406" t="s">
        <v>4251</v>
      </c>
      <c r="C1406">
        <v>406.2000122070312</v>
      </c>
      <c r="D1406">
        <v>418.3999938964844</v>
      </c>
      <c r="E1406">
        <v>405.4100036621094</v>
      </c>
      <c r="F1406">
        <v>414.7000122070312</v>
      </c>
      <c r="G1406">
        <v>414.7000122070312</v>
      </c>
      <c r="H1406">
        <v>16580700</v>
      </c>
      <c r="I1406" t="s">
        <v>4252</v>
      </c>
      <c r="J1406" t="s">
        <v>4253</v>
      </c>
      <c r="K1406" t="s">
        <v>41</v>
      </c>
    </row>
    <row r="1407" spans="1:11" ht="20" customHeight="1">
      <c r="A1407" t="s">
        <v>25</v>
      </c>
      <c r="B1407" t="s">
        <v>4254</v>
      </c>
      <c r="C1407">
        <v>419.5400085449219</v>
      </c>
      <c r="D1407">
        <v>420.1000061035156</v>
      </c>
      <c r="E1407">
        <v>412.6600036621094</v>
      </c>
      <c r="F1407">
        <v>414.5799865722656</v>
      </c>
      <c r="G1407">
        <v>414.5799865722656</v>
      </c>
      <c r="H1407">
        <v>13172100</v>
      </c>
      <c r="I1407" t="s">
        <v>4255</v>
      </c>
      <c r="J1407" t="s">
        <v>4256</v>
      </c>
      <c r="K1407" t="s">
        <v>41</v>
      </c>
    </row>
    <row r="1408" spans="1:11" ht="20" customHeight="1">
      <c r="A1408" t="s">
        <v>25</v>
      </c>
      <c r="B1408" t="s">
        <v>4257</v>
      </c>
      <c r="C1408">
        <v>420.0799865722656</v>
      </c>
      <c r="D1408">
        <v>430.5700073242188</v>
      </c>
      <c r="E1408">
        <v>419.5899963378906</v>
      </c>
      <c r="F1408">
        <v>430.2900085449219</v>
      </c>
      <c r="G1408">
        <v>430.2900085449219</v>
      </c>
      <c r="H1408">
        <v>14534300</v>
      </c>
      <c r="I1408" t="s">
        <v>4258</v>
      </c>
      <c r="J1408" t="s">
        <v>4259</v>
      </c>
      <c r="K1408" t="s">
        <v>41</v>
      </c>
    </row>
    <row r="1409" spans="1:11" ht="20" customHeight="1">
      <c r="A1409" t="s">
        <v>25</v>
      </c>
      <c r="B1409" t="s">
        <v>4260</v>
      </c>
      <c r="C1409">
        <v>435</v>
      </c>
      <c r="D1409">
        <v>440.1900024414062</v>
      </c>
      <c r="E1409">
        <v>433.760009765625</v>
      </c>
      <c r="F1409">
        <v>437.8200073242188</v>
      </c>
      <c r="G1409">
        <v>437.8200073242188</v>
      </c>
      <c r="H1409">
        <v>14133100</v>
      </c>
      <c r="I1409" t="s">
        <v>4261</v>
      </c>
      <c r="J1409" t="s">
        <v>4262</v>
      </c>
      <c r="K1409" t="s">
        <v>41</v>
      </c>
    </row>
    <row r="1410" spans="1:11" ht="20" customHeight="1">
      <c r="A1410" t="s">
        <v>25</v>
      </c>
      <c r="B1410" t="s">
        <v>4263</v>
      </c>
      <c r="C1410">
        <v>422.2900085449219</v>
      </c>
      <c r="D1410">
        <v>431.6700134277344</v>
      </c>
      <c r="E1410">
        <v>421.1700134277344</v>
      </c>
      <c r="F1410">
        <v>429.4100036621094</v>
      </c>
      <c r="G1410">
        <v>429.4100036621094</v>
      </c>
      <c r="H1410">
        <v>10838600</v>
      </c>
      <c r="I1410" t="s">
        <v>4264</v>
      </c>
      <c r="J1410" t="s">
        <v>4265</v>
      </c>
      <c r="K1410" t="s">
        <v>41</v>
      </c>
    </row>
    <row r="1411" spans="1:11" ht="20" customHeight="1">
      <c r="A1411" t="s">
        <v>25</v>
      </c>
      <c r="B1411" t="s">
        <v>4266</v>
      </c>
      <c r="C1411">
        <v>428.8699951171875</v>
      </c>
      <c r="D1411">
        <v>431.489990234375</v>
      </c>
      <c r="E1411">
        <v>426.7099914550781</v>
      </c>
      <c r="F1411">
        <v>427.6499938964844</v>
      </c>
      <c r="G1411">
        <v>427.6499938964844</v>
      </c>
      <c r="H1411">
        <v>5417300</v>
      </c>
      <c r="I1411" t="s">
        <v>4267</v>
      </c>
      <c r="J1411" t="s">
        <v>4268</v>
      </c>
      <c r="K1411" t="s">
        <v>41</v>
      </c>
    </row>
    <row r="1412" spans="1:11" ht="20" customHeight="1">
      <c r="A1412" t="s">
        <v>25</v>
      </c>
      <c r="B1412" t="s">
        <v>4269</v>
      </c>
      <c r="C1412">
        <v>427.8999938964844</v>
      </c>
      <c r="D1412">
        <v>433.4299926757812</v>
      </c>
      <c r="E1412">
        <v>423.1000061035156</v>
      </c>
      <c r="F1412">
        <v>431.8099975585938</v>
      </c>
      <c r="G1412">
        <v>431.8099975585938</v>
      </c>
      <c r="H1412">
        <v>7263500</v>
      </c>
      <c r="I1412" t="s">
        <v>4270</v>
      </c>
      <c r="J1412" t="s">
        <v>4271</v>
      </c>
      <c r="K1412" t="s">
        <v>41</v>
      </c>
    </row>
    <row r="1413" spans="1:11" ht="20" customHeight="1">
      <c r="A1413" t="s">
        <v>25</v>
      </c>
      <c r="B1413" t="s">
        <v>4272</v>
      </c>
      <c r="C1413">
        <v>439.9800109863281</v>
      </c>
      <c r="D1413">
        <v>440.4400024414062</v>
      </c>
      <c r="E1413">
        <v>431.3099975585938</v>
      </c>
      <c r="F1413">
        <v>434.5299987792969</v>
      </c>
      <c r="G1413">
        <v>434.5299987792969</v>
      </c>
      <c r="H1413">
        <v>9689700</v>
      </c>
      <c r="I1413" t="s">
        <v>4273</v>
      </c>
      <c r="J1413" t="s">
        <v>4274</v>
      </c>
      <c r="K1413" t="s">
        <v>41</v>
      </c>
    </row>
    <row r="1414" spans="1:11" ht="20" customHeight="1">
      <c r="A1414" t="s">
        <v>25</v>
      </c>
      <c r="B1414" t="s">
        <v>4275</v>
      </c>
      <c r="C1414">
        <v>436.4700012207031</v>
      </c>
      <c r="D1414">
        <v>440.9100036621094</v>
      </c>
      <c r="E1414">
        <v>435.8699951171875</v>
      </c>
      <c r="F1414">
        <v>437.9100036621094</v>
      </c>
      <c r="G1414">
        <v>437.9100036621094</v>
      </c>
      <c r="H1414">
        <v>6748500</v>
      </c>
      <c r="I1414" t="s">
        <v>4276</v>
      </c>
      <c r="J1414" t="s">
        <v>4277</v>
      </c>
      <c r="K1414" t="s">
        <v>41</v>
      </c>
    </row>
    <row r="1415" spans="1:11" ht="20" customHeight="1">
      <c r="A1415" t="s">
        <v>25</v>
      </c>
      <c r="B1415" t="s">
        <v>4278</v>
      </c>
      <c r="C1415">
        <v>438.5899963378906</v>
      </c>
      <c r="D1415">
        <v>440.3500061035156</v>
      </c>
      <c r="E1415">
        <v>436</v>
      </c>
      <c r="F1415">
        <v>437.1300048828125</v>
      </c>
      <c r="G1415">
        <v>437.1300048828125</v>
      </c>
      <c r="H1415">
        <v>6193300</v>
      </c>
      <c r="I1415" t="s">
        <v>4279</v>
      </c>
      <c r="J1415" t="s">
        <v>4280</v>
      </c>
      <c r="K1415" t="s">
        <v>41</v>
      </c>
    </row>
    <row r="1416" spans="1:11" ht="20" customHeight="1">
      <c r="A1416" t="s">
        <v>25</v>
      </c>
      <c r="B1416" t="s">
        <v>4281</v>
      </c>
      <c r="C1416">
        <v>434.7799987792969</v>
      </c>
      <c r="D1416">
        <v>436.2200012207031</v>
      </c>
      <c r="E1416">
        <v>431.6300048828125</v>
      </c>
      <c r="F1416">
        <v>435.3599853515625</v>
      </c>
      <c r="G1416">
        <v>435.3599853515625</v>
      </c>
      <c r="H1416">
        <v>5549400</v>
      </c>
      <c r="I1416" t="s">
        <v>4282</v>
      </c>
      <c r="J1416" t="s">
        <v>4283</v>
      </c>
      <c r="K1416" t="s">
        <v>41</v>
      </c>
    </row>
    <row r="1417" spans="1:11" ht="20" customHeight="1">
      <c r="A1417" t="s">
        <v>25</v>
      </c>
      <c r="B1417" t="s">
        <v>4284</v>
      </c>
      <c r="C1417">
        <v>439.3200073242188</v>
      </c>
      <c r="D1417">
        <v>445.1799926757812</v>
      </c>
      <c r="E1417">
        <v>439.0199890136719</v>
      </c>
      <c r="F1417">
        <v>445.0899963378906</v>
      </c>
      <c r="G1417">
        <v>445.0899963378906</v>
      </c>
      <c r="H1417">
        <v>8731700</v>
      </c>
      <c r="I1417" t="s">
        <v>4285</v>
      </c>
      <c r="J1417" t="s">
        <v>4286</v>
      </c>
      <c r="K1417" t="s">
        <v>41</v>
      </c>
    </row>
    <row r="1418" spans="1:11" ht="20" customHeight="1">
      <c r="A1418" t="s">
        <v>25</v>
      </c>
      <c r="B1418" t="s">
        <v>4287</v>
      </c>
      <c r="C1418">
        <v>442.8800048828125</v>
      </c>
      <c r="D1418">
        <v>443.739990234375</v>
      </c>
      <c r="E1418">
        <v>439.6000061035156</v>
      </c>
      <c r="F1418">
        <v>440.4599914550781</v>
      </c>
      <c r="G1418">
        <v>440.4599914550781</v>
      </c>
      <c r="H1418">
        <v>6455900</v>
      </c>
      <c r="I1418" t="s">
        <v>4288</v>
      </c>
      <c r="J1418" t="s">
        <v>4289</v>
      </c>
      <c r="K1418" t="s">
        <v>41</v>
      </c>
    </row>
    <row r="1419" spans="1:11" ht="20" customHeight="1">
      <c r="A1419" t="s">
        <v>25</v>
      </c>
      <c r="B1419" t="s">
        <v>4290</v>
      </c>
      <c r="C1419">
        <v>442.1499938964844</v>
      </c>
      <c r="D1419">
        <v>442.9800109863281</v>
      </c>
      <c r="E1419">
        <v>438.1799926757812</v>
      </c>
      <c r="F1419">
        <v>440.0799865722656</v>
      </c>
      <c r="G1419">
        <v>440.0799865722656</v>
      </c>
      <c r="H1419">
        <v>5350100</v>
      </c>
      <c r="I1419" t="s">
        <v>4291</v>
      </c>
      <c r="J1419" t="s">
        <v>4292</v>
      </c>
      <c r="K1419" t="s">
        <v>41</v>
      </c>
    </row>
    <row r="1420" spans="1:11" ht="20" customHeight="1">
      <c r="A1420" t="s">
        <v>25</v>
      </c>
      <c r="B1420" t="s">
        <v>4293</v>
      </c>
      <c r="C1420">
        <v>445.6499938964844</v>
      </c>
      <c r="D1420">
        <v>448.7000122070312</v>
      </c>
      <c r="E1420">
        <v>445.3200073242188</v>
      </c>
      <c r="F1420">
        <v>445.9299926757812</v>
      </c>
      <c r="G1420">
        <v>445.9299926757812</v>
      </c>
      <c r="H1420">
        <v>9712000</v>
      </c>
      <c r="I1420" t="s">
        <v>4294</v>
      </c>
      <c r="J1420" t="s">
        <v>4295</v>
      </c>
      <c r="K1420" t="s">
        <v>41</v>
      </c>
    </row>
    <row r="1421" spans="1:11" ht="20" customHeight="1">
      <c r="A1421" t="s">
        <v>25</v>
      </c>
      <c r="B1421" t="s">
        <v>4296</v>
      </c>
      <c r="C1421">
        <v>443.1300048828125</v>
      </c>
      <c r="D1421">
        <v>443.4200134277344</v>
      </c>
      <c r="E1421">
        <v>440.0499877929688</v>
      </c>
      <c r="F1421">
        <v>442.0899963378906</v>
      </c>
      <c r="G1421">
        <v>442.0899963378906</v>
      </c>
      <c r="H1421">
        <v>8473000</v>
      </c>
      <c r="I1421" t="s">
        <v>4297</v>
      </c>
      <c r="J1421" t="s">
        <v>4298</v>
      </c>
      <c r="K1421" t="s">
        <v>41</v>
      </c>
    </row>
    <row r="1422" spans="1:11" ht="20" customHeight="1">
      <c r="A1422" t="s">
        <v>25</v>
      </c>
      <c r="B1422" t="s">
        <v>4299</v>
      </c>
      <c r="C1422">
        <v>438.5499877929688</v>
      </c>
      <c r="D1422">
        <v>440.25</v>
      </c>
      <c r="E1422">
        <v>428.7099914550781</v>
      </c>
      <c r="F1422">
        <v>429.5700073242188</v>
      </c>
      <c r="G1422">
        <v>429.5700073242188</v>
      </c>
      <c r="H1422">
        <v>9480000</v>
      </c>
      <c r="I1422" t="s">
        <v>4300</v>
      </c>
      <c r="J1422" t="s">
        <v>4301</v>
      </c>
      <c r="K1422" t="s">
        <v>41</v>
      </c>
    </row>
    <row r="1423" spans="1:11" ht="20" customHeight="1">
      <c r="A1423" t="s">
        <v>25</v>
      </c>
      <c r="B1423" t="s">
        <v>4302</v>
      </c>
      <c r="C1423">
        <v>436.2699890136719</v>
      </c>
      <c r="D1423">
        <v>437.1700134277344</v>
      </c>
      <c r="E1423">
        <v>433.7799987792969</v>
      </c>
      <c r="F1423">
        <v>435.260009765625</v>
      </c>
      <c r="G1423">
        <v>435.260009765625</v>
      </c>
      <c r="H1423">
        <v>5178100</v>
      </c>
      <c r="I1423" t="s">
        <v>4303</v>
      </c>
      <c r="J1423" t="s">
        <v>4304</v>
      </c>
      <c r="K1423" t="s">
        <v>41</v>
      </c>
    </row>
    <row r="1424" spans="1:11" ht="20" customHeight="1">
      <c r="A1424" t="s">
        <v>25</v>
      </c>
      <c r="B1424" t="s">
        <v>4305</v>
      </c>
      <c r="C1424">
        <v>433.9599914550781</v>
      </c>
      <c r="D1424">
        <v>435.2900085449219</v>
      </c>
      <c r="E1424">
        <v>428.2200012207031</v>
      </c>
      <c r="F1424">
        <v>431.0400085449219</v>
      </c>
      <c r="G1424">
        <v>431.0400085449219</v>
      </c>
      <c r="H1424">
        <v>4976400</v>
      </c>
      <c r="I1424" t="s">
        <v>4306</v>
      </c>
      <c r="J1424" t="s">
        <v>4307</v>
      </c>
      <c r="K1424" t="s">
        <v>41</v>
      </c>
    </row>
    <row r="1425" spans="1:11" ht="20" customHeight="1">
      <c r="A1425" t="s">
        <v>25</v>
      </c>
      <c r="B1425" t="s">
        <v>4308</v>
      </c>
      <c r="C1425">
        <v>431.3399963378906</v>
      </c>
      <c r="D1425">
        <v>435.2799987792969</v>
      </c>
      <c r="E1425">
        <v>430.6499938964844</v>
      </c>
      <c r="F1425">
        <v>433.25</v>
      </c>
      <c r="G1425">
        <v>433.25</v>
      </c>
      <c r="H1425">
        <v>5924100</v>
      </c>
      <c r="I1425" t="s">
        <v>4309</v>
      </c>
      <c r="J1425" t="s">
        <v>4310</v>
      </c>
      <c r="K1425" t="s">
        <v>41</v>
      </c>
    </row>
    <row r="1426" spans="1:11" ht="20" customHeight="1">
      <c r="A1426" t="s">
        <v>25</v>
      </c>
      <c r="B1426" t="s">
        <v>4311</v>
      </c>
      <c r="C1426">
        <v>431.6600036621094</v>
      </c>
      <c r="D1426">
        <v>431.7999877929688</v>
      </c>
      <c r="E1426">
        <v>428.5199890136719</v>
      </c>
      <c r="F1426">
        <v>429.8900146484375</v>
      </c>
      <c r="G1426">
        <v>429.8900146484375</v>
      </c>
      <c r="H1426">
        <v>6105200</v>
      </c>
      <c r="I1426" t="s">
        <v>4312</v>
      </c>
      <c r="J1426" t="s">
        <v>4313</v>
      </c>
      <c r="K1426" t="s">
        <v>41</v>
      </c>
    </row>
    <row r="1427" spans="1:11" ht="20" customHeight="1">
      <c r="A1427" t="s">
        <v>25</v>
      </c>
      <c r="B1427" t="s">
        <v>4314</v>
      </c>
      <c r="C1427">
        <v>420.7200012207031</v>
      </c>
      <c r="D1427">
        <v>422.5199890136719</v>
      </c>
      <c r="E1427">
        <v>418.3999938964844</v>
      </c>
      <c r="F1427">
        <v>421.9100036621094</v>
      </c>
      <c r="G1427">
        <v>421.9100036621094</v>
      </c>
      <c r="H1427">
        <v>7723400</v>
      </c>
      <c r="I1427" t="s">
        <v>4315</v>
      </c>
      <c r="J1427" t="s">
        <v>4316</v>
      </c>
      <c r="K1427" t="s">
        <v>41</v>
      </c>
    </row>
    <row r="1428" spans="1:11" ht="20" customHeight="1">
      <c r="A1428" t="s">
        <v>25</v>
      </c>
      <c r="B1428" t="s">
        <v>4317</v>
      </c>
      <c r="C1428">
        <v>416.739990234375</v>
      </c>
      <c r="D1428">
        <v>419.1700134277344</v>
      </c>
      <c r="E1428">
        <v>414.1600036621094</v>
      </c>
      <c r="F1428">
        <v>417.4100036621094</v>
      </c>
      <c r="G1428">
        <v>417.4100036621094</v>
      </c>
      <c r="H1428">
        <v>6452600</v>
      </c>
      <c r="I1428" t="s">
        <v>4318</v>
      </c>
      <c r="J1428" t="s">
        <v>4319</v>
      </c>
      <c r="K1428" t="s">
        <v>41</v>
      </c>
    </row>
    <row r="1429" spans="1:11" ht="20" customHeight="1">
      <c r="A1429" t="s">
        <v>25</v>
      </c>
      <c r="B1429" t="s">
        <v>4320</v>
      </c>
      <c r="C1429">
        <v>425.3399963378906</v>
      </c>
      <c r="D1429">
        <v>425.4599914550781</v>
      </c>
      <c r="E1429">
        <v>422.739990234375</v>
      </c>
      <c r="F1429">
        <v>423.6600036621094</v>
      </c>
      <c r="G1429">
        <v>423.6600036621094</v>
      </c>
      <c r="H1429">
        <v>6732800</v>
      </c>
      <c r="I1429" t="s">
        <v>4321</v>
      </c>
      <c r="J1429" t="s">
        <v>4322</v>
      </c>
      <c r="K1429" t="s">
        <v>41</v>
      </c>
    </row>
    <row r="1430" spans="1:11" ht="20" customHeight="1">
      <c r="A1430" t="s">
        <v>25</v>
      </c>
      <c r="B1430" t="s">
        <v>4323</v>
      </c>
      <c r="C1430">
        <v>421.4100036621094</v>
      </c>
      <c r="D1430">
        <v>427.9299926757812</v>
      </c>
      <c r="E1430">
        <v>421.0799865722656</v>
      </c>
      <c r="F1430">
        <v>423.1799926757812</v>
      </c>
      <c r="G1430">
        <v>423.1799926757812</v>
      </c>
      <c r="H1430">
        <v>5911500</v>
      </c>
      <c r="I1430" t="s">
        <v>4324</v>
      </c>
      <c r="J1430" t="s">
        <v>4325</v>
      </c>
      <c r="K1430" t="s">
        <v>41</v>
      </c>
    </row>
    <row r="1431" spans="1:11" ht="20" customHeight="1">
      <c r="A1431" t="s">
        <v>25</v>
      </c>
      <c r="B1431" t="s">
        <v>4326</v>
      </c>
      <c r="C1431">
        <v>418.8399963378906</v>
      </c>
      <c r="D1431">
        <v>420.8599853515625</v>
      </c>
      <c r="E1431">
        <v>413.2799987792969</v>
      </c>
      <c r="F1431">
        <v>414.7099914550781</v>
      </c>
      <c r="G1431">
        <v>414.7099914550781</v>
      </c>
      <c r="H1431">
        <v>7285700</v>
      </c>
      <c r="I1431" t="s">
        <v>4327</v>
      </c>
      <c r="J1431" t="s">
        <v>4328</v>
      </c>
      <c r="K1431" t="s">
        <v>41</v>
      </c>
    </row>
    <row r="1432" spans="1:11" ht="20" customHeight="1">
      <c r="A1432" t="s">
        <v>25</v>
      </c>
      <c r="B1432" t="s">
        <v>4329</v>
      </c>
      <c r="C1432">
        <v>420.1499938964844</v>
      </c>
      <c r="D1432">
        <v>421.1600036621094</v>
      </c>
      <c r="E1432">
        <v>417.9100036621094</v>
      </c>
      <c r="F1432">
        <v>418.2699890136719</v>
      </c>
      <c r="G1432">
        <v>418.2699890136719</v>
      </c>
      <c r="H1432">
        <v>4279900</v>
      </c>
      <c r="I1432" t="s">
        <v>4330</v>
      </c>
      <c r="J1432" t="s">
        <v>4331</v>
      </c>
      <c r="K1432" t="s">
        <v>41</v>
      </c>
    </row>
    <row r="1433" spans="1:11" ht="20" customHeight="1">
      <c r="A1433" t="s">
        <v>25</v>
      </c>
      <c r="B1433" t="s">
        <v>4332</v>
      </c>
      <c r="C1433">
        <v>430.1499938964844</v>
      </c>
      <c r="D1433">
        <v>433.1900024414062</v>
      </c>
      <c r="E1433">
        <v>429.6000061035156</v>
      </c>
      <c r="F1433">
        <v>430.9599914550781</v>
      </c>
      <c r="G1433">
        <v>430.9599914550781</v>
      </c>
      <c r="H1433">
        <v>7013900</v>
      </c>
      <c r="I1433" t="s">
        <v>4333</v>
      </c>
      <c r="J1433" t="s">
        <v>4334</v>
      </c>
      <c r="K1433" t="s">
        <v>41</v>
      </c>
    </row>
    <row r="1434" spans="1:11" ht="20" customHeight="1">
      <c r="A1434" t="s">
        <v>25</v>
      </c>
      <c r="B1434" t="s">
        <v>4335</v>
      </c>
      <c r="C1434">
        <v>435.6099853515625</v>
      </c>
      <c r="D1434">
        <v>437.4200134277344</v>
      </c>
      <c r="E1434">
        <v>430.25</v>
      </c>
      <c r="F1434">
        <v>431.6799926757812</v>
      </c>
      <c r="G1434">
        <v>431.6799926757812</v>
      </c>
      <c r="H1434">
        <v>6816200</v>
      </c>
      <c r="I1434" t="s">
        <v>4336</v>
      </c>
      <c r="J1434" t="s">
        <v>4337</v>
      </c>
      <c r="K1434" t="s">
        <v>41</v>
      </c>
    </row>
    <row r="1435" spans="1:11" ht="20" customHeight="1">
      <c r="A1435" t="s">
        <v>25</v>
      </c>
      <c r="B1435" t="s">
        <v>4338</v>
      </c>
      <c r="C1435">
        <v>434.0499877929688</v>
      </c>
      <c r="D1435">
        <v>436.2000122070312</v>
      </c>
      <c r="E1435">
        <v>431.7000122070312</v>
      </c>
      <c r="F1435">
        <v>433.7699890136719</v>
      </c>
      <c r="G1435">
        <v>433.7699890136719</v>
      </c>
      <c r="H1435">
        <v>5380800</v>
      </c>
      <c r="I1435" t="s">
        <v>4339</v>
      </c>
      <c r="J1435" t="s">
        <v>4340</v>
      </c>
      <c r="K1435" t="s">
        <v>41</v>
      </c>
    </row>
    <row r="1436" spans="1:11" ht="20" customHeight="1">
      <c r="A1436" t="s">
        <v>25</v>
      </c>
      <c r="B1436" t="s">
        <v>4341</v>
      </c>
      <c r="C1436">
        <v>434.1799926757812</v>
      </c>
      <c r="D1436">
        <v>436.0400085449219</v>
      </c>
      <c r="E1436">
        <v>432.2099914550781</v>
      </c>
      <c r="F1436">
        <v>434.6499938964844</v>
      </c>
      <c r="G1436">
        <v>434.6499938964844</v>
      </c>
      <c r="H1436">
        <v>5569100</v>
      </c>
      <c r="I1436" t="s">
        <v>4342</v>
      </c>
      <c r="J1436" t="s">
        <v>4343</v>
      </c>
      <c r="K1436" t="s">
        <v>41</v>
      </c>
    </row>
    <row r="1437" spans="1:11" ht="20" customHeight="1">
      <c r="A1437" t="s">
        <v>25</v>
      </c>
      <c r="B1437" t="s">
        <v>4344</v>
      </c>
      <c r="C1437">
        <v>430.7000122070312</v>
      </c>
      <c r="D1437">
        <v>432.9800109863281</v>
      </c>
      <c r="E1437">
        <v>425.8500061035156</v>
      </c>
      <c r="F1437">
        <v>432.9299926757812</v>
      </c>
      <c r="G1437">
        <v>432.9299926757812</v>
      </c>
      <c r="H1437">
        <v>6660900</v>
      </c>
      <c r="I1437" t="s">
        <v>4345</v>
      </c>
      <c r="J1437" t="s">
        <v>4346</v>
      </c>
      <c r="K1437" t="s">
        <v>41</v>
      </c>
    </row>
    <row r="1438" spans="1:11" ht="20" customHeight="1">
      <c r="A1438" t="s">
        <v>25</v>
      </c>
      <c r="B1438" t="s">
        <v>4347</v>
      </c>
      <c r="C1438">
        <v>430.5199890136719</v>
      </c>
      <c r="D1438">
        <v>432.489990234375</v>
      </c>
      <c r="E1438">
        <v>428.75</v>
      </c>
      <c r="F1438">
        <v>430.5</v>
      </c>
      <c r="G1438">
        <v>430.5</v>
      </c>
      <c r="H1438">
        <v>4180300</v>
      </c>
      <c r="I1438" t="s">
        <v>4348</v>
      </c>
      <c r="J1438" t="s">
        <v>4349</v>
      </c>
      <c r="K1438" t="s">
        <v>41</v>
      </c>
    </row>
    <row r="1439" spans="1:11" ht="20" customHeight="1">
      <c r="A1439" t="s">
        <v>25</v>
      </c>
      <c r="B1439" t="s">
        <v>4350</v>
      </c>
      <c r="C1439">
        <v>430.2999877929688</v>
      </c>
      <c r="D1439">
        <v>431.5400085449219</v>
      </c>
      <c r="E1439">
        <v>427.1000061035156</v>
      </c>
      <c r="F1439">
        <v>427.2099914550781</v>
      </c>
      <c r="G1439">
        <v>427.2099914550781</v>
      </c>
      <c r="H1439">
        <v>4021400</v>
      </c>
      <c r="I1439" t="s">
        <v>4351</v>
      </c>
      <c r="J1439" t="s">
        <v>4352</v>
      </c>
      <c r="K1439" t="s">
        <v>41</v>
      </c>
    </row>
    <row r="1440" spans="1:11" ht="20" customHeight="1">
      <c r="A1440" t="s">
        <v>25</v>
      </c>
      <c r="B1440" t="s">
        <v>4353</v>
      </c>
      <c r="C1440">
        <v>417.6400146484375</v>
      </c>
      <c r="D1440">
        <v>419.25</v>
      </c>
      <c r="E1440">
        <v>414.1199951171875</v>
      </c>
      <c r="F1440">
        <v>417.2900085449219</v>
      </c>
      <c r="G1440">
        <v>417.2900085449219</v>
      </c>
      <c r="H1440">
        <v>9360400</v>
      </c>
      <c r="I1440" t="s">
        <v>4354</v>
      </c>
      <c r="J1440" t="s">
        <v>4355</v>
      </c>
      <c r="K1440" t="s">
        <v>41</v>
      </c>
    </row>
    <row r="1441" spans="1:11" ht="20" customHeight="1">
      <c r="A1441" t="s">
        <v>25</v>
      </c>
      <c r="B1441" t="s">
        <v>4356</v>
      </c>
      <c r="C1441">
        <v>419.8200073242188</v>
      </c>
      <c r="D1441">
        <v>420.9299926757812</v>
      </c>
      <c r="E1441">
        <v>416.0599975585938</v>
      </c>
      <c r="F1441">
        <v>418.4299926757812</v>
      </c>
      <c r="G1441">
        <v>418.4299926757812</v>
      </c>
      <c r="H1441">
        <v>5628300</v>
      </c>
      <c r="I1441" t="s">
        <v>4357</v>
      </c>
      <c r="J1441" t="s">
        <v>4358</v>
      </c>
      <c r="K1441" t="s">
        <v>41</v>
      </c>
    </row>
    <row r="1442" spans="1:11" ht="20" customHeight="1">
      <c r="A1442" t="s">
        <v>25</v>
      </c>
      <c r="B1442" t="s">
        <v>4359</v>
      </c>
      <c r="C1442">
        <v>412.4500122070312</v>
      </c>
      <c r="D1442">
        <v>414.4700012207031</v>
      </c>
      <c r="E1442">
        <v>409.8800048828125</v>
      </c>
      <c r="F1442">
        <v>411.5</v>
      </c>
      <c r="G1442">
        <v>411.5</v>
      </c>
      <c r="H1442">
        <v>5419400</v>
      </c>
      <c r="I1442" t="s">
        <v>4360</v>
      </c>
      <c r="J1442" t="s">
        <v>4361</v>
      </c>
      <c r="K1442" t="s">
        <v>41</v>
      </c>
    </row>
    <row r="1443" spans="1:11" ht="20" customHeight="1">
      <c r="A1443" t="s">
        <v>25</v>
      </c>
      <c r="B1443" t="s">
        <v>4362</v>
      </c>
      <c r="C1443">
        <v>412.1400146484375</v>
      </c>
      <c r="D1443">
        <v>417.989990234375</v>
      </c>
      <c r="E1443">
        <v>410.0799865722656</v>
      </c>
      <c r="F1443">
        <v>417.3999938964844</v>
      </c>
      <c r="G1443">
        <v>417.3999938964844</v>
      </c>
      <c r="H1443">
        <v>6005000</v>
      </c>
      <c r="I1443" t="s">
        <v>4363</v>
      </c>
      <c r="J1443" t="s">
        <v>4364</v>
      </c>
      <c r="K1443" t="s">
        <v>41</v>
      </c>
    </row>
    <row r="1444" spans="1:11" ht="20" customHeight="1">
      <c r="A1444" t="s">
        <v>25</v>
      </c>
      <c r="B1444" t="s">
        <v>4365</v>
      </c>
      <c r="C1444">
        <v>413.1400146484375</v>
      </c>
      <c r="D1444">
        <v>418.4200134277344</v>
      </c>
      <c r="E1444">
        <v>411.9500122070312</v>
      </c>
      <c r="F1444">
        <v>416.989990234375</v>
      </c>
      <c r="G1444">
        <v>416.989990234375</v>
      </c>
      <c r="H1444">
        <v>4679900</v>
      </c>
      <c r="I1444" t="s">
        <v>4366</v>
      </c>
      <c r="J1444" t="s">
        <v>4367</v>
      </c>
      <c r="K1444" t="s">
        <v>41</v>
      </c>
    </row>
    <row r="1445" spans="1:11" ht="20" customHeight="1">
      <c r="A1445" t="s">
        <v>25</v>
      </c>
      <c r="B1445" t="s">
        <v>4368</v>
      </c>
      <c r="C1445">
        <v>415.1700134277344</v>
      </c>
      <c r="D1445">
        <v>415.6799926757812</v>
      </c>
      <c r="E1445">
        <v>412</v>
      </c>
      <c r="F1445">
        <v>413.8200073242188</v>
      </c>
      <c r="G1445">
        <v>413.8200073242188</v>
      </c>
      <c r="H1445">
        <v>5528400</v>
      </c>
      <c r="I1445" t="s">
        <v>4369</v>
      </c>
      <c r="J1445" t="s">
        <v>4370</v>
      </c>
      <c r="K1445" t="s">
        <v>41</v>
      </c>
    </row>
    <row r="1446" spans="1:11" ht="20" customHeight="1">
      <c r="A1446" t="s">
        <v>25</v>
      </c>
      <c r="B1446" t="s">
        <v>4371</v>
      </c>
      <c r="C1446">
        <v>415.1600036621094</v>
      </c>
      <c r="D1446">
        <v>415.9800109863281</v>
      </c>
      <c r="E1446">
        <v>411.5</v>
      </c>
      <c r="F1446">
        <v>414</v>
      </c>
      <c r="G1446">
        <v>414</v>
      </c>
      <c r="H1446">
        <v>5098400</v>
      </c>
      <c r="I1446" t="s">
        <v>4372</v>
      </c>
      <c r="J1446" t="s">
        <v>4373</v>
      </c>
      <c r="K1446" t="s">
        <v>41</v>
      </c>
    </row>
    <row r="1447" spans="1:11" ht="20" customHeight="1">
      <c r="A1447" t="s">
        <v>25</v>
      </c>
      <c r="B1447" t="s">
        <v>4374</v>
      </c>
      <c r="C1447">
        <v>404.3399963378906</v>
      </c>
      <c r="D1447">
        <v>409.25</v>
      </c>
      <c r="E1447">
        <v>404.2999877929688</v>
      </c>
      <c r="F1447">
        <v>408.489990234375</v>
      </c>
      <c r="G1447">
        <v>408.489990234375</v>
      </c>
      <c r="H1447">
        <v>6624600</v>
      </c>
      <c r="I1447" t="s">
        <v>4375</v>
      </c>
      <c r="J1447" t="s">
        <v>4376</v>
      </c>
      <c r="K1447" t="s">
        <v>41</v>
      </c>
    </row>
    <row r="1448" spans="1:11" ht="20" customHeight="1">
      <c r="A1448" t="s">
        <v>25</v>
      </c>
      <c r="B1448" t="s">
        <v>4377</v>
      </c>
      <c r="C1448">
        <v>406.4800109863281</v>
      </c>
      <c r="D1448">
        <v>414.510009765625</v>
      </c>
      <c r="E1448">
        <v>405.4100036621094</v>
      </c>
      <c r="F1448">
        <v>412.7699890136719</v>
      </c>
      <c r="G1448">
        <v>412.7699890136719</v>
      </c>
      <c r="H1448">
        <v>7184100</v>
      </c>
      <c r="I1448" t="s">
        <v>4378</v>
      </c>
      <c r="J1448" t="s">
        <v>4379</v>
      </c>
      <c r="K1448" t="s">
        <v>41</v>
      </c>
    </row>
    <row r="1449" spans="1:11" ht="20" customHeight="1">
      <c r="A1449" t="s">
        <v>25</v>
      </c>
      <c r="B1449" t="s">
        <v>4380</v>
      </c>
      <c r="C1449">
        <v>415.6199951171875</v>
      </c>
      <c r="D1449">
        <v>421.8200073242188</v>
      </c>
      <c r="E1449">
        <v>415.0799865722656</v>
      </c>
      <c r="F1449">
        <v>417.1199951171875</v>
      </c>
      <c r="G1449">
        <v>417.1199951171875</v>
      </c>
      <c r="H1449">
        <v>7705700</v>
      </c>
      <c r="I1449" t="s">
        <v>4381</v>
      </c>
      <c r="J1449" t="s">
        <v>4382</v>
      </c>
      <c r="K1449" t="s">
        <v>41</v>
      </c>
    </row>
    <row r="1450" spans="1:11" ht="20" customHeight="1">
      <c r="A1450" t="s">
        <v>25</v>
      </c>
      <c r="B1450" t="s">
        <v>4383</v>
      </c>
      <c r="C1450">
        <v>409.8599853515625</v>
      </c>
      <c r="D1450">
        <v>412.6099853515625</v>
      </c>
      <c r="E1450">
        <v>408.239990234375</v>
      </c>
      <c r="F1450">
        <v>411.260009765625</v>
      </c>
      <c r="G1450">
        <v>411.260009765625</v>
      </c>
      <c r="H1450">
        <v>6158900</v>
      </c>
      <c r="I1450" t="s">
        <v>4384</v>
      </c>
      <c r="J1450" t="s">
        <v>4385</v>
      </c>
      <c r="K1450" t="s">
        <v>41</v>
      </c>
    </row>
    <row r="1451" spans="1:11" ht="20" customHeight="1">
      <c r="A1451" t="s">
        <v>25</v>
      </c>
      <c r="B1451" t="s">
        <v>4386</v>
      </c>
      <c r="C1451">
        <v>414.0799865722656</v>
      </c>
      <c r="D1451">
        <v>414.3999938964844</v>
      </c>
      <c r="E1451">
        <v>411.1000061035156</v>
      </c>
      <c r="F1451">
        <v>411.9500122070312</v>
      </c>
      <c r="G1451">
        <v>411.9500122070312</v>
      </c>
      <c r="H1451">
        <v>3823900</v>
      </c>
      <c r="I1451" t="s">
        <v>4387</v>
      </c>
      <c r="J1451" t="s">
        <v>4388</v>
      </c>
      <c r="K1451" t="s">
        <v>41</v>
      </c>
    </row>
    <row r="1452" spans="1:11" ht="20" customHeight="1">
      <c r="A1452" t="s">
        <v>25</v>
      </c>
      <c r="B1452" t="s">
        <v>4389</v>
      </c>
      <c r="C1452">
        <v>408.3800048828125</v>
      </c>
      <c r="D1452">
        <v>409.3800048828125</v>
      </c>
      <c r="E1452">
        <v>406.2300109863281</v>
      </c>
      <c r="F1452">
        <v>407.8699951171875</v>
      </c>
      <c r="G1452">
        <v>407.8699951171875</v>
      </c>
      <c r="H1452">
        <v>5038000</v>
      </c>
      <c r="I1452" t="s">
        <v>4390</v>
      </c>
      <c r="J1452" t="s">
        <v>4391</v>
      </c>
      <c r="K1452" t="s">
        <v>41</v>
      </c>
    </row>
    <row r="1453" spans="1:11" ht="20" customHeight="1">
      <c r="A1453" t="s">
        <v>25</v>
      </c>
      <c r="B1453" t="s">
        <v>4392</v>
      </c>
      <c r="C1453">
        <v>413.3699951171875</v>
      </c>
      <c r="D1453">
        <v>414.3699951171875</v>
      </c>
      <c r="E1453">
        <v>409.010009765625</v>
      </c>
      <c r="F1453">
        <v>411.2699890136719</v>
      </c>
      <c r="G1453">
        <v>411.2699890136719</v>
      </c>
      <c r="H1453">
        <v>4646500</v>
      </c>
      <c r="I1453" t="s">
        <v>4393</v>
      </c>
      <c r="J1453" t="s">
        <v>4394</v>
      </c>
      <c r="K1453" t="s">
        <v>41</v>
      </c>
    </row>
    <row r="1454" spans="1:11" ht="20" customHeight="1">
      <c r="A1454" t="s">
        <v>25</v>
      </c>
      <c r="B1454" t="s">
        <v>4395</v>
      </c>
      <c r="C1454">
        <v>404.3800048828125</v>
      </c>
      <c r="D1454">
        <v>404.7200012207031</v>
      </c>
      <c r="E1454">
        <v>395.9200134277344</v>
      </c>
      <c r="F1454">
        <v>396.239990234375</v>
      </c>
      <c r="G1454">
        <v>396.239990234375</v>
      </c>
      <c r="H1454">
        <v>11473900</v>
      </c>
      <c r="I1454" t="s">
        <v>4396</v>
      </c>
      <c r="J1454" t="s">
        <v>4397</v>
      </c>
      <c r="K1454" t="s">
        <v>41</v>
      </c>
    </row>
    <row r="1455" spans="1:11" ht="20" customHeight="1">
      <c r="A1455" t="s">
        <v>25</v>
      </c>
      <c r="B1455" t="s">
        <v>4398</v>
      </c>
      <c r="C1455">
        <v>397.5199890136719</v>
      </c>
      <c r="D1455">
        <v>398.9800109863281</v>
      </c>
      <c r="E1455">
        <v>396.0299987792969</v>
      </c>
      <c r="F1455">
        <v>397.2699890136719</v>
      </c>
      <c r="G1455">
        <v>397.2699890136719</v>
      </c>
      <c r="H1455">
        <v>8057300</v>
      </c>
      <c r="I1455" t="s">
        <v>4399</v>
      </c>
      <c r="J1455" t="s">
        <v>4400</v>
      </c>
      <c r="K1455" t="s">
        <v>41</v>
      </c>
    </row>
    <row r="1456" spans="1:11" ht="20" customHeight="1">
      <c r="A1456" t="s">
        <v>25</v>
      </c>
      <c r="B1456" t="s">
        <v>4401</v>
      </c>
      <c r="C1456">
        <v>397.5700073242188</v>
      </c>
      <c r="D1456">
        <v>400.4800109863281</v>
      </c>
      <c r="E1456">
        <v>388.75</v>
      </c>
      <c r="F1456">
        <v>390.7799987792969</v>
      </c>
      <c r="G1456">
        <v>390.7799987792969</v>
      </c>
      <c r="H1456">
        <v>9567300</v>
      </c>
      <c r="I1456" t="s">
        <v>4402</v>
      </c>
      <c r="J1456" t="s">
        <v>4403</v>
      </c>
      <c r="K1456" t="s">
        <v>41</v>
      </c>
    </row>
    <row r="1457" spans="1:11" ht="20" customHeight="1">
      <c r="A1457" t="s">
        <v>25</v>
      </c>
      <c r="B1457" t="s">
        <v>4404</v>
      </c>
      <c r="C1457">
        <v>380.75</v>
      </c>
      <c r="D1457">
        <v>384.2099914550781</v>
      </c>
      <c r="E1457">
        <v>374.5499877929688</v>
      </c>
      <c r="F1457">
        <v>374.5799865722656</v>
      </c>
      <c r="G1457">
        <v>374.5799865722656</v>
      </c>
      <c r="H1457">
        <v>13956200</v>
      </c>
      <c r="I1457" t="s">
        <v>4405</v>
      </c>
      <c r="J1457" t="s">
        <v>4406</v>
      </c>
      <c r="K1457" t="s">
        <v>41</v>
      </c>
    </row>
    <row r="1458" spans="1:11" ht="20" customHeight="1">
      <c r="A1458" t="s">
        <v>25</v>
      </c>
      <c r="B1458" t="s">
        <v>4407</v>
      </c>
      <c r="C1458">
        <v>373.9599914550781</v>
      </c>
      <c r="D1458">
        <v>387.2099914550781</v>
      </c>
      <c r="E1458">
        <v>371.8800048828125</v>
      </c>
      <c r="F1458">
        <v>386.3200073242188</v>
      </c>
      <c r="G1458">
        <v>386.3200073242188</v>
      </c>
      <c r="H1458">
        <v>12622500</v>
      </c>
      <c r="I1458" t="s">
        <v>4408</v>
      </c>
      <c r="J1458" t="s">
        <v>4409</v>
      </c>
      <c r="K1458" t="s">
        <v>41</v>
      </c>
    </row>
    <row r="1459" spans="1:11" ht="20" customHeight="1">
      <c r="A1459" t="s">
        <v>25</v>
      </c>
      <c r="B1459" t="s">
        <v>4410</v>
      </c>
      <c r="C1459">
        <v>385.7300109863281</v>
      </c>
      <c r="D1459">
        <v>388.7699890136719</v>
      </c>
      <c r="E1459">
        <v>383.3500061035156</v>
      </c>
      <c r="F1459">
        <v>386.5400085449219</v>
      </c>
      <c r="G1459">
        <v>386.5400085449219</v>
      </c>
      <c r="H1459">
        <v>7532600</v>
      </c>
      <c r="I1459" t="s">
        <v>4411</v>
      </c>
      <c r="J1459" t="s">
        <v>4412</v>
      </c>
      <c r="K1459" t="s">
        <v>41</v>
      </c>
    </row>
    <row r="1460" spans="1:11" ht="20" customHeight="1">
      <c r="A1460" t="s">
        <v>25</v>
      </c>
      <c r="B1460" t="s">
        <v>4413</v>
      </c>
      <c r="C1460">
        <v>399.489990234375</v>
      </c>
      <c r="D1460">
        <v>401</v>
      </c>
      <c r="E1460">
        <v>396.1499938964844</v>
      </c>
      <c r="F1460">
        <v>396.5499877929688</v>
      </c>
      <c r="G1460">
        <v>396.5499877929688</v>
      </c>
      <c r="H1460">
        <v>10477100</v>
      </c>
      <c r="I1460" t="s">
        <v>4414</v>
      </c>
      <c r="J1460" t="s">
        <v>4415</v>
      </c>
      <c r="K1460" t="s">
        <v>41</v>
      </c>
    </row>
    <row r="1461" spans="1:11" ht="20" customHeight="1">
      <c r="A1461" t="s">
        <v>25</v>
      </c>
      <c r="B1461" t="s">
        <v>4416</v>
      </c>
      <c r="C1461">
        <v>397.8299865722656</v>
      </c>
      <c r="D1461">
        <v>398.9599914550781</v>
      </c>
      <c r="E1461">
        <v>395.8200073242188</v>
      </c>
      <c r="F1461">
        <v>397.6300048828125</v>
      </c>
      <c r="G1461">
        <v>397.6300048828125</v>
      </c>
      <c r="H1461">
        <v>6004000</v>
      </c>
      <c r="I1461" t="s">
        <v>4417</v>
      </c>
      <c r="J1461" t="s">
        <v>4418</v>
      </c>
      <c r="K1461" t="s">
        <v>41</v>
      </c>
    </row>
    <row r="1462" spans="1:11" ht="20" customHeight="1">
      <c r="A1462" t="s">
        <v>25</v>
      </c>
      <c r="B1462" t="s">
        <v>4419</v>
      </c>
      <c r="C1462">
        <v>397.8200073242188</v>
      </c>
      <c r="D1462">
        <v>402.0400085449219</v>
      </c>
      <c r="E1462">
        <v>387.0799865722656</v>
      </c>
      <c r="F1462">
        <v>388.6000061035156</v>
      </c>
      <c r="G1462">
        <v>388.6000061035156</v>
      </c>
      <c r="H1462">
        <v>13343000</v>
      </c>
      <c r="I1462" t="s">
        <v>4420</v>
      </c>
      <c r="J1462" t="s">
        <v>4421</v>
      </c>
      <c r="K1462" t="s">
        <v>41</v>
      </c>
    </row>
    <row r="1463" spans="1:11" ht="20" customHeight="1">
      <c r="A1463" t="s">
        <v>25</v>
      </c>
      <c r="B1463" t="s">
        <v>4422</v>
      </c>
      <c r="C1463">
        <v>391.239990234375</v>
      </c>
      <c r="D1463">
        <v>392.5</v>
      </c>
      <c r="E1463">
        <v>385.6000061035156</v>
      </c>
      <c r="F1463">
        <v>387.1199951171875</v>
      </c>
      <c r="G1463">
        <v>387.1199951171875</v>
      </c>
      <c r="H1463">
        <v>7627300</v>
      </c>
      <c r="I1463" t="s">
        <v>4423</v>
      </c>
      <c r="J1463" t="s">
        <v>4424</v>
      </c>
      <c r="K1463" t="s">
        <v>41</v>
      </c>
    </row>
    <row r="1464" spans="1:11" ht="20" customHeight="1">
      <c r="A1464" t="s">
        <v>25</v>
      </c>
      <c r="B1464" t="s">
        <v>4425</v>
      </c>
      <c r="C1464">
        <v>384.25</v>
      </c>
      <c r="D1464">
        <v>386.4100036621094</v>
      </c>
      <c r="E1464">
        <v>382.6400146484375</v>
      </c>
      <c r="F1464">
        <v>384.5899963378906</v>
      </c>
      <c r="G1464">
        <v>384.5899963378906</v>
      </c>
      <c r="H1464">
        <v>7835100</v>
      </c>
      <c r="I1464" t="s">
        <v>4426</v>
      </c>
      <c r="J1464" t="s">
        <v>4427</v>
      </c>
      <c r="K1464" t="s">
        <v>41</v>
      </c>
    </row>
    <row r="1465" spans="1:11" ht="20" customHeight="1">
      <c r="A1465" t="s">
        <v>25</v>
      </c>
      <c r="B1465" t="s">
        <v>4428</v>
      </c>
      <c r="C1465">
        <v>377.7200012207031</v>
      </c>
      <c r="D1465">
        <v>380.3500061035156</v>
      </c>
      <c r="E1465">
        <v>377.1700134277344</v>
      </c>
      <c r="F1465">
        <v>377.3200073242188</v>
      </c>
      <c r="G1465">
        <v>377.3200073242188</v>
      </c>
      <c r="H1465">
        <v>7389600</v>
      </c>
      <c r="I1465" t="s">
        <v>4429</v>
      </c>
      <c r="J1465" t="s">
        <v>4430</v>
      </c>
      <c r="K1465" t="s">
        <v>41</v>
      </c>
    </row>
    <row r="1466" spans="1:11" ht="20" customHeight="1">
      <c r="A1466" t="s">
        <v>25</v>
      </c>
      <c r="B1466" t="s">
        <v>4431</v>
      </c>
      <c r="C1466">
        <v>364.8099975585938</v>
      </c>
      <c r="D1466">
        <v>370.8999938964844</v>
      </c>
      <c r="E1466">
        <v>363.3200073242188</v>
      </c>
      <c r="F1466">
        <v>365.9200134277344</v>
      </c>
      <c r="G1466">
        <v>365.9200134277344</v>
      </c>
      <c r="H1466">
        <v>12741700</v>
      </c>
      <c r="I1466" t="s">
        <v>4432</v>
      </c>
      <c r="J1466" t="s">
        <v>4433</v>
      </c>
      <c r="K1466" t="s">
        <v>41</v>
      </c>
    </row>
    <row r="1467" spans="1:11" ht="20" customHeight="1">
      <c r="A1467" t="s">
        <v>25</v>
      </c>
      <c r="B1467" t="s">
        <v>4434</v>
      </c>
      <c r="C1467">
        <v>368.989990234375</v>
      </c>
      <c r="D1467">
        <v>371.0400085449219</v>
      </c>
      <c r="E1467">
        <v>366.7999877929688</v>
      </c>
      <c r="F1467">
        <v>369.4599914550781</v>
      </c>
      <c r="G1467">
        <v>369.4599914550781</v>
      </c>
      <c r="H1467">
        <v>9137100</v>
      </c>
      <c r="I1467" t="s">
        <v>4435</v>
      </c>
      <c r="J1467" t="s">
        <v>4436</v>
      </c>
      <c r="K1467" t="s">
        <v>41</v>
      </c>
    </row>
    <row r="1468" spans="1:11" ht="20" customHeight="1">
      <c r="A1468" t="s">
        <v>25</v>
      </c>
      <c r="B1468" t="s">
        <v>4437</v>
      </c>
      <c r="C1468">
        <v>372.2699890136719</v>
      </c>
      <c r="D1468">
        <v>375.8500061035156</v>
      </c>
      <c r="E1468">
        <v>371.1799926757812</v>
      </c>
      <c r="F1468">
        <v>373.6300048828125</v>
      </c>
      <c r="G1468">
        <v>373.6300048828125</v>
      </c>
      <c r="H1468">
        <v>5603300</v>
      </c>
      <c r="I1468" t="s">
        <v>4438</v>
      </c>
      <c r="J1468" t="s">
        <v>4439</v>
      </c>
      <c r="K1468" t="s">
        <v>41</v>
      </c>
    </row>
    <row r="1469" spans="1:11" ht="20" customHeight="1">
      <c r="A1469" t="s">
        <v>25</v>
      </c>
      <c r="B1469" t="s">
        <v>4440</v>
      </c>
      <c r="C1469">
        <v>370.5799865722656</v>
      </c>
      <c r="D1469">
        <v>371.1900024414062</v>
      </c>
      <c r="E1469">
        <v>366.9700012207031</v>
      </c>
      <c r="F1469">
        <v>368.5799865722656</v>
      </c>
      <c r="G1469">
        <v>368.5799865722656</v>
      </c>
      <c r="H1469">
        <v>5006300</v>
      </c>
      <c r="I1469" t="s">
        <v>4441</v>
      </c>
      <c r="J1469" t="s">
        <v>4442</v>
      </c>
      <c r="K1469" t="s">
        <v>41</v>
      </c>
    </row>
    <row r="1470" spans="1:11" ht="20" customHeight="1">
      <c r="A1470" t="s">
        <v>25</v>
      </c>
      <c r="B1470" t="s">
        <v>4443</v>
      </c>
      <c r="C1470">
        <v>369.2200012207031</v>
      </c>
      <c r="D1470">
        <v>372.8299865722656</v>
      </c>
      <c r="E1470">
        <v>368.260009765625</v>
      </c>
      <c r="F1470">
        <v>368.3800048828125</v>
      </c>
      <c r="G1470">
        <v>368.3800048828125</v>
      </c>
      <c r="H1470">
        <v>5302100</v>
      </c>
      <c r="I1470" t="s">
        <v>4444</v>
      </c>
      <c r="J1470" t="s">
        <v>4445</v>
      </c>
      <c r="K1470" t="s">
        <v>41</v>
      </c>
    </row>
    <row r="1471" spans="1:11" ht="20" customHeight="1">
      <c r="A1471" t="s">
        <v>25</v>
      </c>
      <c r="B1471" t="s">
        <v>4446</v>
      </c>
      <c r="C1471">
        <v>371.2099914550781</v>
      </c>
      <c r="D1471">
        <v>377.7799987792969</v>
      </c>
      <c r="E1471">
        <v>370.2099914550781</v>
      </c>
      <c r="F1471">
        <v>370.6000061035156</v>
      </c>
      <c r="G1471">
        <v>370.6000061035156</v>
      </c>
      <c r="H1471">
        <v>9058300</v>
      </c>
      <c r="I1471" t="s">
        <v>4447</v>
      </c>
      <c r="J1471" t="s">
        <v>4448</v>
      </c>
      <c r="K1471" t="s">
        <v>41</v>
      </c>
    </row>
    <row r="1472" spans="1:11" ht="20" customHeight="1">
      <c r="A1472" t="s">
        <v>25</v>
      </c>
      <c r="B1472" t="s">
        <v>4449</v>
      </c>
      <c r="C1472">
        <v>377.4400024414062</v>
      </c>
      <c r="D1472">
        <v>380.2699890136719</v>
      </c>
      <c r="E1472">
        <v>376.2900085449219</v>
      </c>
      <c r="F1472">
        <v>378.1300048828125</v>
      </c>
      <c r="G1472">
        <v>378.1300048828125</v>
      </c>
      <c r="H1472">
        <v>7592900</v>
      </c>
      <c r="I1472" t="s">
        <v>4450</v>
      </c>
      <c r="J1472" t="s">
        <v>4451</v>
      </c>
      <c r="K1472" t="s">
        <v>41</v>
      </c>
    </row>
    <row r="1473" spans="1:11" ht="20" customHeight="1">
      <c r="A1473" t="s">
        <v>25</v>
      </c>
      <c r="B1473" t="s">
        <v>4452</v>
      </c>
      <c r="C1473">
        <v>380.2099914550781</v>
      </c>
      <c r="D1473">
        <v>382.4299926757812</v>
      </c>
      <c r="E1473">
        <v>378.8299865722656</v>
      </c>
      <c r="F1473">
        <v>382.1300048828125</v>
      </c>
      <c r="G1473">
        <v>382.1300048828125</v>
      </c>
      <c r="H1473">
        <v>3906500</v>
      </c>
      <c r="I1473" t="s">
        <v>4453</v>
      </c>
      <c r="J1473" t="s">
        <v>4454</v>
      </c>
      <c r="K1473" t="s">
        <v>41</v>
      </c>
    </row>
    <row r="1474" spans="1:11" ht="20" customHeight="1">
      <c r="A1474" t="s">
        <v>25</v>
      </c>
      <c r="B1474" t="s">
        <v>4455</v>
      </c>
      <c r="C1474">
        <v>382.3900146484375</v>
      </c>
      <c r="D1474">
        <v>383.6000061035156</v>
      </c>
      <c r="E1474">
        <v>375.5199890136719</v>
      </c>
      <c r="F1474">
        <v>377.489990234375</v>
      </c>
      <c r="G1474">
        <v>377.489990234375</v>
      </c>
      <c r="H1474">
        <v>4815400</v>
      </c>
      <c r="I1474" t="s">
        <v>4456</v>
      </c>
      <c r="J1474" t="s">
        <v>4457</v>
      </c>
      <c r="K1474" t="s">
        <v>41</v>
      </c>
    </row>
    <row r="1475" spans="1:11" ht="20" customHeight="1">
      <c r="A1475" t="s">
        <v>25</v>
      </c>
      <c r="B1475" t="s">
        <v>4458</v>
      </c>
      <c r="C1475">
        <v>373.1700134277344</v>
      </c>
      <c r="D1475">
        <v>375.4700012207031</v>
      </c>
      <c r="E1475">
        <v>368.9500122070312</v>
      </c>
      <c r="F1475">
        <v>374.4500122070312</v>
      </c>
      <c r="G1475">
        <v>374.4500122070312</v>
      </c>
      <c r="H1475">
        <v>7728500</v>
      </c>
      <c r="I1475" t="s">
        <v>4459</v>
      </c>
      <c r="J1475" t="s">
        <v>4460</v>
      </c>
      <c r="K1475" t="s">
        <v>41</v>
      </c>
    </row>
    <row r="1476" spans="1:11" ht="20" customHeight="1">
      <c r="A1476" t="s">
        <v>25</v>
      </c>
      <c r="B1476" t="s">
        <v>4461</v>
      </c>
      <c r="C1476">
        <v>378.510009765625</v>
      </c>
      <c r="D1476">
        <v>379.6499938964844</v>
      </c>
      <c r="E1476">
        <v>377.4100036621094</v>
      </c>
      <c r="F1476">
        <v>378.1799926757812</v>
      </c>
      <c r="G1476">
        <v>378.1799926757812</v>
      </c>
      <c r="H1476">
        <v>4754600</v>
      </c>
      <c r="I1476" t="s">
        <v>4462</v>
      </c>
      <c r="J1476" t="s">
        <v>4463</v>
      </c>
      <c r="K1476" t="s">
        <v>41</v>
      </c>
    </row>
    <row r="1477" spans="1:11" ht="20" customHeight="1">
      <c r="A1477" t="s">
        <v>25</v>
      </c>
      <c r="B1477" t="s">
        <v>4464</v>
      </c>
      <c r="C1477">
        <v>375</v>
      </c>
      <c r="D1477">
        <v>377.5499877929688</v>
      </c>
      <c r="E1477">
        <v>373.7000122070312</v>
      </c>
      <c r="F1477">
        <v>377.010009765625</v>
      </c>
      <c r="G1477">
        <v>377.010009765625</v>
      </c>
      <c r="H1477">
        <v>5455400</v>
      </c>
      <c r="I1477" t="s">
        <v>4465</v>
      </c>
      <c r="J1477" t="s">
        <v>4466</v>
      </c>
      <c r="K1477" t="s">
        <v>41</v>
      </c>
    </row>
    <row r="1478" spans="1:11" ht="20" customHeight="1">
      <c r="A1478" t="s">
        <v>25</v>
      </c>
      <c r="B1478" t="s">
        <v>4467</v>
      </c>
      <c r="C1478">
        <v>372.7699890136719</v>
      </c>
      <c r="D1478">
        <v>372.8900146484375</v>
      </c>
      <c r="E1478">
        <v>365.7699890136719</v>
      </c>
      <c r="F1478">
        <v>367.1300048828125</v>
      </c>
      <c r="G1478">
        <v>367.1300048828125</v>
      </c>
      <c r="H1478">
        <v>7161700</v>
      </c>
      <c r="I1478" t="s">
        <v>4468</v>
      </c>
      <c r="J1478" t="s">
        <v>4469</v>
      </c>
      <c r="K1478" t="s">
        <v>41</v>
      </c>
    </row>
    <row r="1479" spans="1:11" ht="20" customHeight="1">
      <c r="A1479" t="s">
        <v>25</v>
      </c>
      <c r="B1479" t="s">
        <v>4470</v>
      </c>
      <c r="C1479">
        <v>374.5299987792969</v>
      </c>
      <c r="D1479">
        <v>376.2799987792969</v>
      </c>
      <c r="E1479">
        <v>370.9200134277344</v>
      </c>
      <c r="F1479">
        <v>372.1499938964844</v>
      </c>
      <c r="G1479">
        <v>372.1499938964844</v>
      </c>
      <c r="H1479">
        <v>6303400</v>
      </c>
      <c r="I1479" t="s">
        <v>4471</v>
      </c>
      <c r="J1479" t="s">
        <v>4472</v>
      </c>
      <c r="K1479" t="s">
        <v>41</v>
      </c>
    </row>
    <row r="1480" spans="1:11" ht="20" customHeight="1">
      <c r="A1480" t="s">
        <v>25</v>
      </c>
      <c r="B1480" t="s">
        <v>4473</v>
      </c>
      <c r="C1480">
        <v>372.1099853515625</v>
      </c>
      <c r="D1480">
        <v>374.489990234375</v>
      </c>
      <c r="E1480">
        <v>369.5</v>
      </c>
      <c r="F1480">
        <v>372.3500061035156</v>
      </c>
      <c r="G1480">
        <v>372.3500061035156</v>
      </c>
      <c r="H1480">
        <v>7683700</v>
      </c>
      <c r="I1480" t="s">
        <v>4474</v>
      </c>
      <c r="J1480" t="s">
        <v>4475</v>
      </c>
      <c r="K1480" t="s">
        <v>41</v>
      </c>
    </row>
    <row r="1481" spans="1:11" ht="20" customHeight="1">
      <c r="A1481" t="s">
        <v>25</v>
      </c>
      <c r="B1481" t="s">
        <v>4476</v>
      </c>
      <c r="C1481">
        <v>367.4500122070312</v>
      </c>
      <c r="D1481">
        <v>368.4299926757812</v>
      </c>
      <c r="E1481">
        <v>364.0499877929688</v>
      </c>
      <c r="F1481">
        <v>364.9599914550781</v>
      </c>
      <c r="G1481">
        <v>364.9599914550781</v>
      </c>
      <c r="H1481">
        <v>9048000</v>
      </c>
      <c r="I1481" t="s">
        <v>4477</v>
      </c>
      <c r="J1481" t="s">
        <v>4478</v>
      </c>
      <c r="K1481" t="s">
        <v>41</v>
      </c>
    </row>
    <row r="1482" spans="1:11" ht="20" customHeight="1">
      <c r="A1482" t="s">
        <v>25</v>
      </c>
      <c r="B1482" t="s">
        <v>4479</v>
      </c>
      <c r="C1482">
        <v>364.1099853515625</v>
      </c>
      <c r="D1482">
        <v>369.2099914550781</v>
      </c>
      <c r="E1482">
        <v>363.6000061035156</v>
      </c>
      <c r="F1482">
        <v>368.4100036621094</v>
      </c>
      <c r="G1482">
        <v>368.4100036621094</v>
      </c>
      <c r="H1482">
        <v>6456600</v>
      </c>
      <c r="I1482" t="s">
        <v>4480</v>
      </c>
      <c r="J1482" t="s">
        <v>4481</v>
      </c>
      <c r="K1482" t="s">
        <v>41</v>
      </c>
    </row>
    <row r="1483" spans="1:11" ht="20" customHeight="1">
      <c r="A1483" t="s">
        <v>25</v>
      </c>
      <c r="B1483" t="s">
        <v>4482</v>
      </c>
      <c r="C1483">
        <v>367.7900085449219</v>
      </c>
      <c r="D1483">
        <v>368.7900085449219</v>
      </c>
      <c r="E1483">
        <v>366.7999877929688</v>
      </c>
      <c r="F1483">
        <v>367.6000061035156</v>
      </c>
      <c r="G1483">
        <v>367.6000061035156</v>
      </c>
      <c r="H1483">
        <v>3922500</v>
      </c>
      <c r="I1483" t="s">
        <v>4483</v>
      </c>
      <c r="J1483" t="s">
        <v>4484</v>
      </c>
      <c r="K1483" t="s">
        <v>41</v>
      </c>
    </row>
    <row r="1484" spans="1:11" ht="20" customHeight="1">
      <c r="A1484" t="s">
        <v>25</v>
      </c>
      <c r="B1484" t="s">
        <v>4485</v>
      </c>
      <c r="C1484">
        <v>371.7000122070312</v>
      </c>
      <c r="D1484">
        <v>375.010009765625</v>
      </c>
      <c r="E1484">
        <v>371.0700073242188</v>
      </c>
      <c r="F1484">
        <v>374.8099975585938</v>
      </c>
      <c r="G1484">
        <v>374.8099975585938</v>
      </c>
      <c r="H1484">
        <v>6070600</v>
      </c>
      <c r="I1484" t="s">
        <v>4486</v>
      </c>
      <c r="J1484" t="s">
        <v>4487</v>
      </c>
      <c r="K1484" t="s">
        <v>41</v>
      </c>
    </row>
    <row r="1485" spans="1:11" ht="20" customHeight="1">
      <c r="A1485" t="s">
        <v>25</v>
      </c>
      <c r="B1485" t="s">
        <v>4488</v>
      </c>
      <c r="C1485">
        <v>379.0700073242188</v>
      </c>
      <c r="D1485">
        <v>382.2200012207031</v>
      </c>
      <c r="E1485">
        <v>378.8299865722656</v>
      </c>
      <c r="F1485">
        <v>379.1199951171875</v>
      </c>
      <c r="G1485">
        <v>379.1199951171875</v>
      </c>
      <c r="H1485">
        <v>7115100</v>
      </c>
      <c r="I1485" t="s">
        <v>4489</v>
      </c>
      <c r="J1485" t="s">
        <v>4490</v>
      </c>
      <c r="K1485" t="s">
        <v>41</v>
      </c>
    </row>
    <row r="1486" spans="1:11" ht="20" customHeight="1">
      <c r="A1486" t="s">
        <v>25</v>
      </c>
      <c r="B1486" t="s">
        <v>4491</v>
      </c>
      <c r="C1486">
        <v>372.3599853515625</v>
      </c>
      <c r="D1486">
        <v>373.0899963378906</v>
      </c>
      <c r="E1486">
        <v>370.5299987792969</v>
      </c>
      <c r="F1486">
        <v>371.5199890136719</v>
      </c>
      <c r="G1486">
        <v>371.5199890136719</v>
      </c>
      <c r="H1486">
        <v>9820600</v>
      </c>
      <c r="I1486" t="s">
        <v>4492</v>
      </c>
      <c r="J1486" t="s">
        <v>4493</v>
      </c>
      <c r="K1486" t="s">
        <v>41</v>
      </c>
    </row>
    <row r="1487" spans="1:11" ht="20" customHeight="1">
      <c r="A1487" t="s">
        <v>25</v>
      </c>
      <c r="B1487" t="s">
        <v>4494</v>
      </c>
      <c r="C1487">
        <v>371.260009765625</v>
      </c>
      <c r="D1487">
        <v>374.489990234375</v>
      </c>
      <c r="E1487">
        <v>371.0299987792969</v>
      </c>
      <c r="F1487">
        <v>371.8999938964844</v>
      </c>
      <c r="G1487">
        <v>371.8999938964844</v>
      </c>
      <c r="H1487">
        <v>3852400</v>
      </c>
      <c r="I1487" t="s">
        <v>4495</v>
      </c>
      <c r="J1487" t="s">
        <v>4496</v>
      </c>
      <c r="K1487" t="s">
        <v>41</v>
      </c>
    </row>
    <row r="1488" spans="1:11" ht="20" customHeight="1">
      <c r="A1488" t="s">
        <v>25</v>
      </c>
      <c r="B1488" t="s">
        <v>4497</v>
      </c>
      <c r="C1488">
        <v>373.8900146484375</v>
      </c>
      <c r="D1488">
        <v>375.5299987792969</v>
      </c>
      <c r="E1488">
        <v>372.9100036621094</v>
      </c>
      <c r="F1488">
        <v>374.6300048828125</v>
      </c>
      <c r="G1488">
        <v>374.6300048828125</v>
      </c>
      <c r="H1488">
        <v>3700000</v>
      </c>
      <c r="I1488" t="s">
        <v>4498</v>
      </c>
      <c r="J1488" t="s">
        <v>4499</v>
      </c>
      <c r="K1488" t="s">
        <v>41</v>
      </c>
    </row>
    <row r="1489" spans="1:11" ht="20" customHeight="1">
      <c r="A1489" t="s">
        <v>25</v>
      </c>
      <c r="B1489" t="s">
        <v>4500</v>
      </c>
      <c r="C1489">
        <v>369.6099853515625</v>
      </c>
      <c r="D1489">
        <v>371.2300109863281</v>
      </c>
      <c r="E1489">
        <v>367.9800109863281</v>
      </c>
      <c r="F1489">
        <v>369.3699951171875</v>
      </c>
      <c r="G1489">
        <v>369.3699951171875</v>
      </c>
      <c r="H1489">
        <v>4819300</v>
      </c>
      <c r="I1489" t="s">
        <v>4501</v>
      </c>
      <c r="J1489" t="s">
        <v>4502</v>
      </c>
      <c r="K1489" t="s">
        <v>41</v>
      </c>
    </row>
    <row r="1490" spans="1:11" ht="20" customHeight="1">
      <c r="A1490" t="s">
        <v>25</v>
      </c>
      <c r="B1490" t="s">
        <v>4503</v>
      </c>
      <c r="C1490">
        <v>368.2900085449219</v>
      </c>
      <c r="D1490">
        <v>377.6199951171875</v>
      </c>
      <c r="E1490">
        <v>366.5299987792969</v>
      </c>
      <c r="F1490">
        <v>371.0799865722656</v>
      </c>
      <c r="G1490">
        <v>371.0799865722656</v>
      </c>
      <c r="H1490">
        <v>11839900</v>
      </c>
      <c r="I1490" t="s">
        <v>4504</v>
      </c>
      <c r="J1490" t="s">
        <v>4505</v>
      </c>
      <c r="K1490" t="s">
        <v>41</v>
      </c>
    </row>
    <row r="1491" spans="1:11" ht="20" customHeight="1">
      <c r="A1491" t="s">
        <v>25</v>
      </c>
      <c r="B1491" t="s">
        <v>4506</v>
      </c>
      <c r="C1491">
        <v>374.1600036621094</v>
      </c>
      <c r="D1491">
        <v>377.8599853515625</v>
      </c>
      <c r="E1491">
        <v>373.760009765625</v>
      </c>
      <c r="F1491">
        <v>377.1600036621094</v>
      </c>
      <c r="G1491">
        <v>377.1600036621094</v>
      </c>
      <c r="H1491">
        <v>5968400</v>
      </c>
      <c r="I1491" t="s">
        <v>4507</v>
      </c>
      <c r="J1491" t="s">
        <v>4508</v>
      </c>
      <c r="K1491" t="s">
        <v>41</v>
      </c>
    </row>
    <row r="1492" spans="1:11" ht="20" customHeight="1">
      <c r="A1492" t="s">
        <v>25</v>
      </c>
      <c r="B1492" t="s">
        <v>4509</v>
      </c>
      <c r="C1492">
        <v>370.8399963378906</v>
      </c>
      <c r="D1492">
        <v>372.010009765625</v>
      </c>
      <c r="E1492">
        <v>368.8200073242188</v>
      </c>
      <c r="F1492">
        <v>371.5400085449219</v>
      </c>
      <c r="G1492">
        <v>371.5400085449219</v>
      </c>
      <c r="H1492">
        <v>6825900</v>
      </c>
      <c r="I1492" t="s">
        <v>4510</v>
      </c>
      <c r="J1492" t="s">
        <v>4511</v>
      </c>
      <c r="K1492" t="s">
        <v>41</v>
      </c>
    </row>
    <row r="1493" spans="1:11" ht="20" customHeight="1">
      <c r="A1493" t="s">
        <v>25</v>
      </c>
      <c r="B1493" t="s">
        <v>4512</v>
      </c>
      <c r="C1493">
        <v>370.1000061035156</v>
      </c>
      <c r="D1493">
        <v>372.0400085449219</v>
      </c>
      <c r="E1493">
        <v>368.6400146484375</v>
      </c>
      <c r="F1493">
        <v>371.7099914550781</v>
      </c>
      <c r="G1493">
        <v>371.7099914550781</v>
      </c>
      <c r="H1493">
        <v>4968900</v>
      </c>
      <c r="I1493" t="s">
        <v>4513</v>
      </c>
      <c r="J1493" t="s">
        <v>4514</v>
      </c>
      <c r="K1493" t="s">
        <v>41</v>
      </c>
    </row>
    <row r="1494" spans="1:11" ht="20" customHeight="1">
      <c r="A1494" t="s">
        <v>25</v>
      </c>
      <c r="B1494" t="s">
        <v>4515</v>
      </c>
      <c r="C1494">
        <v>374.1400146484375</v>
      </c>
      <c r="D1494">
        <v>376.6900024414062</v>
      </c>
      <c r="E1494">
        <v>373.7099914550781</v>
      </c>
      <c r="F1494">
        <v>374.1600036621094</v>
      </c>
      <c r="G1494">
        <v>374.1600036621094</v>
      </c>
      <c r="H1494">
        <v>5723100</v>
      </c>
      <c r="I1494" t="s">
        <v>4516</v>
      </c>
      <c r="J1494" t="s">
        <v>4517</v>
      </c>
      <c r="K1494" t="s">
        <v>41</v>
      </c>
    </row>
    <row r="1495" spans="1:11" ht="20" customHeight="1">
      <c r="A1495" t="s">
        <v>25</v>
      </c>
      <c r="B1495" t="s">
        <v>4518</v>
      </c>
      <c r="C1495">
        <v>384.9599914550781</v>
      </c>
      <c r="D1495">
        <v>391.510009765625</v>
      </c>
      <c r="E1495">
        <v>384.3200073242188</v>
      </c>
      <c r="F1495">
        <v>389.6400146484375</v>
      </c>
      <c r="G1495">
        <v>389.6400146484375</v>
      </c>
      <c r="H1495">
        <v>14758700</v>
      </c>
      <c r="I1495" t="s">
        <v>4519</v>
      </c>
      <c r="J1495" t="s">
        <v>4520</v>
      </c>
      <c r="K1495" t="s">
        <v>41</v>
      </c>
    </row>
    <row r="1496" spans="1:11" ht="20" customHeight="1">
      <c r="A1496" t="s">
        <v>25</v>
      </c>
      <c r="B1496" t="s">
        <v>4521</v>
      </c>
      <c r="C1496">
        <v>389.5</v>
      </c>
      <c r="D1496">
        <v>392.1199951171875</v>
      </c>
      <c r="E1496">
        <v>387.2699890136719</v>
      </c>
      <c r="F1496">
        <v>389.6700134277344</v>
      </c>
      <c r="G1496">
        <v>389.6700134277344</v>
      </c>
      <c r="H1496">
        <v>10954300</v>
      </c>
      <c r="I1496" t="s">
        <v>4522</v>
      </c>
      <c r="J1496" t="s">
        <v>4523</v>
      </c>
      <c r="K1496" t="s">
        <v>41</v>
      </c>
    </row>
    <row r="1497" spans="1:11" ht="20" customHeight="1">
      <c r="A1497" t="s">
        <v>25</v>
      </c>
      <c r="B1497" t="s">
        <v>4524</v>
      </c>
      <c r="C1497">
        <v>399.6000061035156</v>
      </c>
      <c r="D1497">
        <v>400.6600036621094</v>
      </c>
      <c r="E1497">
        <v>396.9500122070312</v>
      </c>
      <c r="F1497">
        <v>398.4700012207031</v>
      </c>
      <c r="G1497">
        <v>398.4700012207031</v>
      </c>
      <c r="H1497">
        <v>13324500</v>
      </c>
      <c r="I1497" t="s">
        <v>4525</v>
      </c>
      <c r="J1497" t="s">
        <v>4526</v>
      </c>
      <c r="K1497" t="s">
        <v>41</v>
      </c>
    </row>
    <row r="1498" spans="1:11" ht="20" customHeight="1">
      <c r="A1498" t="s">
        <v>25</v>
      </c>
      <c r="B1498" t="s">
        <v>4527</v>
      </c>
      <c r="C1498">
        <v>397.7099914550781</v>
      </c>
      <c r="D1498">
        <v>403.239990234375</v>
      </c>
      <c r="E1498">
        <v>395.9299926757812</v>
      </c>
      <c r="F1498">
        <v>402.5400085449219</v>
      </c>
      <c r="G1498">
        <v>402.5400085449219</v>
      </c>
      <c r="H1498">
        <v>11057000</v>
      </c>
      <c r="I1498" t="s">
        <v>4528</v>
      </c>
      <c r="J1498" t="s">
        <v>4529</v>
      </c>
      <c r="K1498" t="s">
        <v>41</v>
      </c>
    </row>
    <row r="1499" spans="1:11" ht="20" customHeight="1">
      <c r="A1499" t="s">
        <v>25</v>
      </c>
      <c r="B1499" t="s">
        <v>4530</v>
      </c>
      <c r="C1499">
        <v>403.4400024414062</v>
      </c>
      <c r="D1499">
        <v>404.0299987792969</v>
      </c>
      <c r="E1499">
        <v>399.8900146484375</v>
      </c>
      <c r="F1499">
        <v>400.9599914550781</v>
      </c>
      <c r="G1499">
        <v>400.9599914550781</v>
      </c>
      <c r="H1499">
        <v>7439100</v>
      </c>
      <c r="I1499" t="s">
        <v>4531</v>
      </c>
      <c r="J1499" t="s">
        <v>4532</v>
      </c>
      <c r="K1499" t="s">
        <v>41</v>
      </c>
    </row>
    <row r="1500" spans="1:11" ht="20" customHeight="1">
      <c r="A1500" t="s">
        <v>25</v>
      </c>
      <c r="B1500" t="s">
        <v>4533</v>
      </c>
      <c r="C1500">
        <v>405.3099975585938</v>
      </c>
      <c r="D1500">
        <v>407.3599853515625</v>
      </c>
      <c r="E1500">
        <v>403.2200012207031</v>
      </c>
      <c r="F1500">
        <v>404.9200134277344</v>
      </c>
      <c r="G1500">
        <v>404.9200134277344</v>
      </c>
      <c r="H1500">
        <v>10383100</v>
      </c>
      <c r="I1500" t="s">
        <v>4534</v>
      </c>
      <c r="J1500" t="s">
        <v>4535</v>
      </c>
      <c r="K1500" t="s">
        <v>41</v>
      </c>
    </row>
    <row r="1501" spans="1:11" ht="20" customHeight="1">
      <c r="A1501" t="s">
        <v>25</v>
      </c>
      <c r="B1501" t="s">
        <v>4536</v>
      </c>
      <c r="C1501">
        <v>402.1700134277344</v>
      </c>
      <c r="D1501">
        <v>402.5799865722656</v>
      </c>
      <c r="E1501">
        <v>398.2799987792969</v>
      </c>
      <c r="F1501">
        <v>398.9599914550781</v>
      </c>
      <c r="G1501">
        <v>398.9599914550781</v>
      </c>
      <c r="H1501">
        <v>8695200</v>
      </c>
      <c r="I1501" t="s">
        <v>4537</v>
      </c>
      <c r="J1501" t="s">
        <v>4538</v>
      </c>
      <c r="K1501" t="s">
        <v>41</v>
      </c>
    </row>
    <row r="1502" spans="1:11" ht="20" customHeight="1">
      <c r="A1502" t="s">
        <v>25</v>
      </c>
      <c r="B1502" t="s">
        <v>4539</v>
      </c>
      <c r="C1502">
        <v>402.1799926757812</v>
      </c>
      <c r="D1502">
        <v>403.3299865722656</v>
      </c>
      <c r="E1502">
        <v>400.9400024414062</v>
      </c>
      <c r="F1502">
        <v>401.4800109863281</v>
      </c>
      <c r="G1502">
        <v>401.4800109863281</v>
      </c>
      <c r="H1502">
        <v>6749800</v>
      </c>
      <c r="I1502" t="s">
        <v>4540</v>
      </c>
      <c r="J1502" t="s">
        <v>4541</v>
      </c>
      <c r="K1502" t="s">
        <v>41</v>
      </c>
    </row>
    <row r="1503" spans="1:11" ht="20" customHeight="1">
      <c r="A1503" t="s">
        <v>25</v>
      </c>
      <c r="B1503" t="s">
        <v>4542</v>
      </c>
      <c r="C1503">
        <v>402.3399963378906</v>
      </c>
      <c r="D1503">
        <v>406.2300109863281</v>
      </c>
      <c r="E1503">
        <v>402.1799926757812</v>
      </c>
      <c r="F1503">
        <v>405.489990234375</v>
      </c>
      <c r="G1503">
        <v>405.489990234375</v>
      </c>
      <c r="H1503">
        <v>9604100</v>
      </c>
      <c r="I1503" t="s">
        <v>4543</v>
      </c>
      <c r="J1503" t="s">
        <v>4544</v>
      </c>
      <c r="K1503" t="s">
        <v>41</v>
      </c>
    </row>
    <row r="1504" spans="1:11" ht="20" customHeight="1">
      <c r="A1504" t="s">
        <v>25</v>
      </c>
      <c r="B1504" t="s">
        <v>4545</v>
      </c>
      <c r="C1504">
        <v>402.5499877929688</v>
      </c>
      <c r="D1504">
        <v>404.3200073242188</v>
      </c>
      <c r="E1504">
        <v>397.8699951171875</v>
      </c>
      <c r="F1504">
        <v>398.5499877929688</v>
      </c>
      <c r="G1504">
        <v>398.5499877929688</v>
      </c>
      <c r="H1504">
        <v>10660900</v>
      </c>
      <c r="I1504" t="s">
        <v>4546</v>
      </c>
      <c r="J1504" t="s">
        <v>4547</v>
      </c>
      <c r="K1504" t="s">
        <v>41</v>
      </c>
    </row>
    <row r="1505" spans="1:11" ht="20" customHeight="1">
      <c r="A1505" t="s">
        <v>25</v>
      </c>
      <c r="B1505" t="s">
        <v>4548</v>
      </c>
      <c r="C1505">
        <v>408.8099975585938</v>
      </c>
      <c r="D1505">
        <v>414</v>
      </c>
      <c r="E1505">
        <v>407.4700012207031</v>
      </c>
      <c r="F1505">
        <v>413.8399963378906</v>
      </c>
      <c r="G1505">
        <v>413.8399963378906</v>
      </c>
      <c r="H1505">
        <v>17480700</v>
      </c>
      <c r="I1505" t="s">
        <v>4549</v>
      </c>
      <c r="J1505" t="s">
        <v>4550</v>
      </c>
      <c r="K1505" t="s">
        <v>41</v>
      </c>
    </row>
    <row r="1506" spans="1:11" ht="20" customHeight="1">
      <c r="A1506" t="s">
        <v>25</v>
      </c>
      <c r="B1506" t="s">
        <v>4551</v>
      </c>
      <c r="C1506">
        <v>410.0799865722656</v>
      </c>
      <c r="D1506">
        <v>416.4500122070312</v>
      </c>
      <c r="E1506">
        <v>409.8200073242188</v>
      </c>
      <c r="F1506">
        <v>415.260009765625</v>
      </c>
      <c r="G1506">
        <v>415.260009765625</v>
      </c>
      <c r="H1506">
        <v>13900900</v>
      </c>
      <c r="I1506" t="s">
        <v>4552</v>
      </c>
      <c r="J1506" t="s">
        <v>4553</v>
      </c>
      <c r="K1506" t="s">
        <v>41</v>
      </c>
    </row>
    <row r="1507" spans="1:11" ht="20" customHeight="1">
      <c r="A1507" t="s">
        <v>25</v>
      </c>
      <c r="B1507" t="s">
        <v>4554</v>
      </c>
      <c r="C1507">
        <v>420.5299987792969</v>
      </c>
      <c r="D1507">
        <v>424.8900146484375</v>
      </c>
      <c r="E1507">
        <v>419.4200134277344</v>
      </c>
      <c r="F1507">
        <v>423.3599853515625</v>
      </c>
      <c r="G1507">
        <v>423.3599853515625</v>
      </c>
      <c r="H1507">
        <v>14529000</v>
      </c>
      <c r="I1507" t="s">
        <v>4555</v>
      </c>
      <c r="J1507" t="s">
        <v>4556</v>
      </c>
      <c r="K1507" t="s">
        <v>41</v>
      </c>
    </row>
    <row r="1508" spans="1:11" ht="20" customHeight="1">
      <c r="A1508" t="s">
        <v>25</v>
      </c>
      <c r="B1508" t="s">
        <v>4557</v>
      </c>
      <c r="C1508">
        <v>428.5499877929688</v>
      </c>
      <c r="D1508">
        <v>429.4200134277344</v>
      </c>
      <c r="E1508">
        <v>424.2000122070312</v>
      </c>
      <c r="F1508">
        <v>426.6900024414062</v>
      </c>
      <c r="G1508">
        <v>426.6900024414062</v>
      </c>
      <c r="H1508">
        <v>18943000</v>
      </c>
      <c r="I1508" t="s">
        <v>4558</v>
      </c>
      <c r="J1508" t="s">
        <v>4559</v>
      </c>
      <c r="K1508" t="s">
        <v>41</v>
      </c>
    </row>
    <row r="1509" spans="1:11" ht="20" customHeight="1">
      <c r="A1509" t="s">
        <v>25</v>
      </c>
      <c r="B1509" t="s">
        <v>4560</v>
      </c>
      <c r="C1509">
        <v>422.7799987792969</v>
      </c>
      <c r="D1509">
        <v>428.1400146484375</v>
      </c>
      <c r="E1509">
        <v>422.3299865722656</v>
      </c>
      <c r="F1509">
        <v>428.0700073242188</v>
      </c>
      <c r="G1509">
        <v>428.0700073242188</v>
      </c>
      <c r="H1509">
        <v>12450600</v>
      </c>
      <c r="I1509" t="s">
        <v>4561</v>
      </c>
      <c r="J1509" t="s">
        <v>4562</v>
      </c>
      <c r="K1509" t="s">
        <v>41</v>
      </c>
    </row>
    <row r="1510" spans="1:11" ht="20" customHeight="1">
      <c r="A1510" t="s">
        <v>25</v>
      </c>
      <c r="B1510" t="s">
        <v>4563</v>
      </c>
      <c r="C1510">
        <v>423</v>
      </c>
      <c r="D1510">
        <v>424.9500122070312</v>
      </c>
      <c r="E1510">
        <v>420.3099975585938</v>
      </c>
      <c r="F1510">
        <v>421.3200073242188</v>
      </c>
      <c r="G1510">
        <v>421.3200073242188</v>
      </c>
      <c r="H1510">
        <v>9816500</v>
      </c>
      <c r="I1510" t="s">
        <v>4564</v>
      </c>
      <c r="J1510" t="s">
        <v>4565</v>
      </c>
      <c r="K1510" t="s">
        <v>41</v>
      </c>
    </row>
    <row r="1511" spans="1:11" ht="20" customHeight="1">
      <c r="A1511" t="s">
        <v>25</v>
      </c>
      <c r="B1511" t="s">
        <v>4566</v>
      </c>
      <c r="C1511">
        <v>420.8200073242188</v>
      </c>
      <c r="D1511">
        <v>423.3500061035156</v>
      </c>
      <c r="E1511">
        <v>418.4299926757812</v>
      </c>
      <c r="F1511">
        <v>422.6000061035156</v>
      </c>
      <c r="G1511">
        <v>422.6000061035156</v>
      </c>
      <c r="H1511">
        <v>7089000</v>
      </c>
      <c r="I1511" t="s">
        <v>4567</v>
      </c>
      <c r="J1511" t="s">
        <v>4568</v>
      </c>
      <c r="K1511" t="s">
        <v>41</v>
      </c>
    </row>
    <row r="1512" spans="1:11" ht="20" customHeight="1">
      <c r="A1512" t="s">
        <v>25</v>
      </c>
      <c r="B1512" t="s">
        <v>4569</v>
      </c>
      <c r="C1512">
        <v>422.239990234375</v>
      </c>
      <c r="D1512">
        <v>424.7900085449219</v>
      </c>
      <c r="E1512">
        <v>407.6199951171875</v>
      </c>
      <c r="F1512">
        <v>408.8900146484375</v>
      </c>
      <c r="G1512">
        <v>408.8900146484375</v>
      </c>
      <c r="H1512">
        <v>25044400</v>
      </c>
      <c r="I1512" t="s">
        <v>4570</v>
      </c>
      <c r="J1512" t="s">
        <v>4571</v>
      </c>
      <c r="K1512" t="s">
        <v>41</v>
      </c>
    </row>
    <row r="1513" spans="1:11" ht="20" customHeight="1">
      <c r="A1513" t="s">
        <v>25</v>
      </c>
      <c r="B1513" t="s">
        <v>4572</v>
      </c>
      <c r="C1513">
        <v>407.760009765625</v>
      </c>
      <c r="D1513">
        <v>408.7999877929688</v>
      </c>
      <c r="E1513">
        <v>404.8999938964844</v>
      </c>
      <c r="F1513">
        <v>408.4200134277344</v>
      </c>
      <c r="G1513">
        <v>408.4200134277344</v>
      </c>
      <c r="H1513">
        <v>9490000</v>
      </c>
      <c r="I1513" t="s">
        <v>4573</v>
      </c>
      <c r="J1513" t="s">
        <v>4574</v>
      </c>
      <c r="K1513" t="s">
        <v>41</v>
      </c>
    </row>
    <row r="1514" spans="1:11" ht="20" customHeight="1">
      <c r="A1514" t="s">
        <v>25</v>
      </c>
      <c r="B1514" t="s">
        <v>4575</v>
      </c>
      <c r="C1514">
        <v>398.2900085449219</v>
      </c>
      <c r="D1514">
        <v>401.25</v>
      </c>
      <c r="E1514">
        <v>396.4500122070312</v>
      </c>
      <c r="F1514">
        <v>396.75</v>
      </c>
      <c r="G1514">
        <v>396.75</v>
      </c>
      <c r="H1514">
        <v>13143000</v>
      </c>
      <c r="I1514" t="s">
        <v>4576</v>
      </c>
      <c r="J1514" t="s">
        <v>4577</v>
      </c>
      <c r="K1514" t="s">
        <v>41</v>
      </c>
    </row>
    <row r="1515" spans="1:11" ht="20" customHeight="1">
      <c r="A1515" t="s">
        <v>25</v>
      </c>
      <c r="B1515" t="s">
        <v>4578</v>
      </c>
      <c r="C1515">
        <v>399.7099914550781</v>
      </c>
      <c r="D1515">
        <v>403.3299865722656</v>
      </c>
      <c r="E1515">
        <v>399.5799865722656</v>
      </c>
      <c r="F1515">
        <v>402.7799987792969</v>
      </c>
      <c r="G1515">
        <v>402.7799987792969</v>
      </c>
      <c r="H1515">
        <v>13714100</v>
      </c>
      <c r="I1515" t="s">
        <v>4579</v>
      </c>
      <c r="J1515" t="s">
        <v>4580</v>
      </c>
      <c r="K1515" t="s">
        <v>41</v>
      </c>
    </row>
    <row r="1516" spans="1:11" ht="20" customHeight="1">
      <c r="A1516" t="s">
        <v>25</v>
      </c>
      <c r="B1516" t="s">
        <v>4581</v>
      </c>
      <c r="C1516">
        <v>410.7099914550781</v>
      </c>
      <c r="D1516">
        <v>413.5400085449219</v>
      </c>
      <c r="E1516">
        <v>408.5400085449219</v>
      </c>
      <c r="F1516">
        <v>410.2200012207031</v>
      </c>
      <c r="G1516">
        <v>410.2200012207031</v>
      </c>
      <c r="H1516">
        <v>12509500</v>
      </c>
      <c r="I1516" t="s">
        <v>4582</v>
      </c>
      <c r="J1516" t="s">
        <v>4583</v>
      </c>
      <c r="K1516" t="s">
        <v>41</v>
      </c>
    </row>
    <row r="1517" spans="1:11" ht="20" customHeight="1">
      <c r="A1517" t="s">
        <v>25</v>
      </c>
      <c r="B1517" t="s">
        <v>4584</v>
      </c>
      <c r="C1517">
        <v>404.6600036621094</v>
      </c>
      <c r="D1517">
        <v>408</v>
      </c>
      <c r="E1517">
        <v>403.9599914550781</v>
      </c>
      <c r="F1517">
        <v>406.7699890136719</v>
      </c>
      <c r="G1517">
        <v>406.7699890136719</v>
      </c>
      <c r="H1517">
        <v>9813200</v>
      </c>
      <c r="I1517" t="s">
        <v>4585</v>
      </c>
      <c r="J1517" t="s">
        <v>4586</v>
      </c>
      <c r="K1517" t="s">
        <v>41</v>
      </c>
    </row>
    <row r="1518" spans="1:11" ht="20" customHeight="1">
      <c r="A1518" t="s">
        <v>25</v>
      </c>
      <c r="B1518" t="s">
        <v>4587</v>
      </c>
      <c r="C1518">
        <v>403.5599975585938</v>
      </c>
      <c r="D1518">
        <v>404.2799987792969</v>
      </c>
      <c r="E1518">
        <v>399.4800109863281</v>
      </c>
      <c r="F1518">
        <v>399.7200012207031</v>
      </c>
      <c r="G1518">
        <v>399.7200012207031</v>
      </c>
      <c r="H1518">
        <v>8992200</v>
      </c>
      <c r="I1518" t="s">
        <v>4588</v>
      </c>
      <c r="J1518" t="s">
        <v>4589</v>
      </c>
      <c r="K1518" t="s">
        <v>41</v>
      </c>
    </row>
    <row r="1519" spans="1:11" ht="20" customHeight="1">
      <c r="A1519" t="s">
        <v>25</v>
      </c>
      <c r="B1519" t="s">
        <v>4590</v>
      </c>
      <c r="C1519">
        <v>406.1099853515625</v>
      </c>
      <c r="D1519">
        <v>406.5599975585938</v>
      </c>
      <c r="E1519">
        <v>401.1799926757812</v>
      </c>
      <c r="F1519">
        <v>403.3500061035156</v>
      </c>
      <c r="G1519">
        <v>403.3500061035156</v>
      </c>
      <c r="H1519">
        <v>8188400</v>
      </c>
      <c r="I1519" t="s">
        <v>4591</v>
      </c>
      <c r="J1519" t="s">
        <v>4592</v>
      </c>
      <c r="K1519" t="s">
        <v>41</v>
      </c>
    </row>
    <row r="1520" spans="1:11" ht="20" customHeight="1">
      <c r="A1520" t="s">
        <v>25</v>
      </c>
      <c r="B1520" t="s">
        <v>4593</v>
      </c>
      <c r="C1520">
        <v>399.5299987792969</v>
      </c>
      <c r="D1520">
        <v>401.1499938964844</v>
      </c>
      <c r="E1520">
        <v>395.4500122070312</v>
      </c>
      <c r="F1520">
        <v>396.3599853515625</v>
      </c>
      <c r="G1520">
        <v>396.3599853515625</v>
      </c>
      <c r="H1520">
        <v>10202900</v>
      </c>
      <c r="I1520" t="s">
        <v>4594</v>
      </c>
      <c r="J1520" t="s">
        <v>4595</v>
      </c>
      <c r="K1520" t="s">
        <v>41</v>
      </c>
    </row>
    <row r="1521" spans="1:11" ht="20" customHeight="1">
      <c r="A1521" t="s">
        <v>25</v>
      </c>
      <c r="B1521" t="s">
        <v>4596</v>
      </c>
      <c r="C1521">
        <v>402.5299987792969</v>
      </c>
      <c r="D1521">
        <v>403.6499938964844</v>
      </c>
      <c r="E1521">
        <v>398.1400146484375</v>
      </c>
      <c r="F1521">
        <v>398.7699890136719</v>
      </c>
      <c r="G1521">
        <v>398.7699890136719</v>
      </c>
      <c r="H1521">
        <v>10963000</v>
      </c>
      <c r="I1521" t="s">
        <v>4597</v>
      </c>
      <c r="J1521" t="s">
        <v>4598</v>
      </c>
      <c r="K1521" t="s">
        <v>41</v>
      </c>
    </row>
    <row r="1522" spans="1:11" ht="20" customHeight="1">
      <c r="A1522" t="s">
        <v>25</v>
      </c>
      <c r="B1522" t="s">
        <v>4599</v>
      </c>
      <c r="C1522">
        <v>391.8900146484375</v>
      </c>
      <c r="D1522">
        <v>395.8999938964844</v>
      </c>
      <c r="E1522">
        <v>390.9599914550781</v>
      </c>
      <c r="F1522">
        <v>392.8399963378906</v>
      </c>
      <c r="G1522">
        <v>392.8399963378906</v>
      </c>
      <c r="H1522">
        <v>7435100</v>
      </c>
      <c r="I1522" t="s">
        <v>4600</v>
      </c>
      <c r="J1522" t="s">
        <v>4601</v>
      </c>
      <c r="K1522" t="s">
        <v>41</v>
      </c>
    </row>
    <row r="1523" spans="1:11" ht="20" customHeight="1">
      <c r="A1523" t="s">
        <v>25</v>
      </c>
      <c r="B1523" t="s">
        <v>4602</v>
      </c>
      <c r="C1523">
        <v>393.1099853515625</v>
      </c>
      <c r="D1523">
        <v>395.3099975585938</v>
      </c>
      <c r="E1523">
        <v>391.8099975585938</v>
      </c>
      <c r="F1523">
        <v>394.1499938964844</v>
      </c>
      <c r="G1523">
        <v>394.1499938964844</v>
      </c>
      <c r="H1523">
        <v>6705500</v>
      </c>
      <c r="I1523" t="s">
        <v>4603</v>
      </c>
      <c r="J1523" t="s">
        <v>4604</v>
      </c>
      <c r="K1523" t="s">
        <v>41</v>
      </c>
    </row>
    <row r="1524" spans="1:11" ht="20" customHeight="1">
      <c r="A1524" t="s">
        <v>25</v>
      </c>
      <c r="B1524" t="s">
        <v>4605</v>
      </c>
      <c r="C1524">
        <v>398.9100036621094</v>
      </c>
      <c r="D1524">
        <v>400.6000061035156</v>
      </c>
      <c r="E1524">
        <v>388.3900146484375</v>
      </c>
      <c r="F1524">
        <v>391.739990234375</v>
      </c>
      <c r="G1524">
        <v>391.739990234375</v>
      </c>
      <c r="H1524">
        <v>15773200</v>
      </c>
      <c r="I1524" t="s">
        <v>4606</v>
      </c>
      <c r="J1524" t="s">
        <v>4607</v>
      </c>
      <c r="K1524" t="s">
        <v>41</v>
      </c>
    </row>
    <row r="1525" spans="1:11" ht="20" customHeight="1">
      <c r="A1525" t="s">
        <v>25</v>
      </c>
      <c r="B1525" t="s">
        <v>4608</v>
      </c>
      <c r="C1525">
        <v>400.2799987792969</v>
      </c>
      <c r="D1525">
        <v>401.4400024414062</v>
      </c>
      <c r="E1525">
        <v>398.0400085449219</v>
      </c>
      <c r="F1525">
        <v>398.3599853515625</v>
      </c>
      <c r="G1525">
        <v>398.3599853515625</v>
      </c>
      <c r="H1525">
        <v>7746100</v>
      </c>
      <c r="I1525" t="s">
        <v>4609</v>
      </c>
      <c r="J1525" t="s">
        <v>4610</v>
      </c>
      <c r="K1525" t="s">
        <v>41</v>
      </c>
    </row>
    <row r="1526" spans="1:11" ht="20" customHeight="1">
      <c r="A1526" t="s">
        <v>25</v>
      </c>
      <c r="B1526" t="s">
        <v>4611</v>
      </c>
      <c r="C1526">
        <v>400.4800109863281</v>
      </c>
      <c r="D1526">
        <v>403.1499938964844</v>
      </c>
      <c r="E1526">
        <v>398.1300048828125</v>
      </c>
      <c r="F1526">
        <v>401.1700134277344</v>
      </c>
      <c r="G1526">
        <v>401.1700134277344</v>
      </c>
      <c r="H1526">
        <v>9523900</v>
      </c>
      <c r="I1526" t="s">
        <v>4612</v>
      </c>
      <c r="J1526" t="s">
        <v>4613</v>
      </c>
      <c r="K1526" t="s">
        <v>41</v>
      </c>
    </row>
    <row r="1527" spans="1:11" ht="20" customHeight="1">
      <c r="A1527" t="s">
        <v>25</v>
      </c>
      <c r="B1527" t="s">
        <v>4614</v>
      </c>
      <c r="C1527">
        <v>400.1700134277344</v>
      </c>
      <c r="D1527">
        <v>400.239990234375</v>
      </c>
      <c r="E1527">
        <v>396.3399963378906</v>
      </c>
      <c r="F1527">
        <v>398.3800048828125</v>
      </c>
      <c r="G1527">
        <v>398.3800048828125</v>
      </c>
      <c r="H1527">
        <v>6411000</v>
      </c>
      <c r="I1527" t="s">
        <v>4615</v>
      </c>
      <c r="J1527" t="s">
        <v>4616</v>
      </c>
      <c r="K1527" t="s">
        <v>41</v>
      </c>
    </row>
    <row r="1528" spans="1:11" ht="20" customHeight="1">
      <c r="A1528" t="s">
        <v>25</v>
      </c>
      <c r="B1528" t="s">
        <v>4617</v>
      </c>
      <c r="C1528">
        <v>397.0700073242188</v>
      </c>
      <c r="D1528">
        <v>400.7799987792969</v>
      </c>
      <c r="E1528">
        <v>395.5799865722656</v>
      </c>
      <c r="F1528">
        <v>400.0700073242188</v>
      </c>
      <c r="G1528">
        <v>400.0700073242188</v>
      </c>
      <c r="H1528">
        <v>6519900</v>
      </c>
      <c r="I1528" t="s">
        <v>4618</v>
      </c>
      <c r="J1528" t="s">
        <v>4619</v>
      </c>
      <c r="K1528" t="s">
        <v>41</v>
      </c>
    </row>
    <row r="1529" spans="1:11" ht="20" customHeight="1">
      <c r="A1529" t="s">
        <v>25</v>
      </c>
      <c r="B1529" t="s">
        <v>4620</v>
      </c>
      <c r="C1529">
        <v>395.3299865722656</v>
      </c>
      <c r="D1529">
        <v>395.5</v>
      </c>
      <c r="E1529">
        <v>391.8699951171875</v>
      </c>
      <c r="F1529">
        <v>392.8800048828125</v>
      </c>
      <c r="G1529">
        <v>392.8800048828125</v>
      </c>
      <c r="H1529">
        <v>7547000</v>
      </c>
      <c r="I1529" t="s">
        <v>4621</v>
      </c>
      <c r="J1529" t="s">
        <v>4622</v>
      </c>
      <c r="K1529" t="s">
        <v>41</v>
      </c>
    </row>
    <row r="1530" spans="1:11" ht="20" customHeight="1">
      <c r="A1530" t="s">
        <v>25</v>
      </c>
      <c r="B1530" t="s">
        <v>4623</v>
      </c>
      <c r="C1530">
        <v>391.9599914550781</v>
      </c>
      <c r="D1530">
        <v>393.0700073242188</v>
      </c>
      <c r="E1530">
        <v>389.0499877929688</v>
      </c>
      <c r="F1530">
        <v>391.6900024414062</v>
      </c>
      <c r="G1530">
        <v>391.6900024414062</v>
      </c>
      <c r="H1530">
        <v>6710200</v>
      </c>
      <c r="I1530" t="s">
        <v>4624</v>
      </c>
      <c r="J1530" t="s">
        <v>4625</v>
      </c>
      <c r="K1530" t="s">
        <v>41</v>
      </c>
    </row>
    <row r="1531" spans="1:11" ht="20" customHeight="1">
      <c r="A1531" t="s">
        <v>25</v>
      </c>
      <c r="B1531" t="s">
        <v>4626</v>
      </c>
      <c r="C1531">
        <v>392.2099914550781</v>
      </c>
      <c r="D1531">
        <v>394.2200012207031</v>
      </c>
      <c r="E1531">
        <v>390.0499877929688</v>
      </c>
      <c r="F1531">
        <v>393.4100036621094</v>
      </c>
      <c r="G1531">
        <v>393.4100036621094</v>
      </c>
      <c r="H1531">
        <v>7701100</v>
      </c>
      <c r="I1531" t="s">
        <v>4627</v>
      </c>
      <c r="J1531" t="s">
        <v>4628</v>
      </c>
      <c r="K1531" t="s">
        <v>41</v>
      </c>
    </row>
    <row r="1532" spans="1:11" ht="20" customHeight="1">
      <c r="A1532" t="s">
        <v>25</v>
      </c>
      <c r="B1532" t="s">
        <v>4629</v>
      </c>
      <c r="C1532">
        <v>379.760009765625</v>
      </c>
      <c r="D1532">
        <v>381.5199890136719</v>
      </c>
      <c r="E1532">
        <v>376.8800048828125</v>
      </c>
      <c r="F1532">
        <v>377.9100036621094</v>
      </c>
      <c r="G1532">
        <v>377.9100036621094</v>
      </c>
      <c r="H1532">
        <v>14750400</v>
      </c>
      <c r="I1532" t="s">
        <v>4630</v>
      </c>
      <c r="J1532" t="s">
        <v>4631</v>
      </c>
      <c r="K1532" t="s">
        <v>41</v>
      </c>
    </row>
    <row r="1533" spans="1:11" ht="20" customHeight="1">
      <c r="A1533" t="s">
        <v>26</v>
      </c>
      <c r="B1533" t="s">
        <v>38</v>
      </c>
      <c r="C1533">
        <v>11663.689453125</v>
      </c>
      <c r="D1533">
        <v>11807.6318359375</v>
      </c>
      <c r="E1533">
        <v>11623.25</v>
      </c>
      <c r="F1533">
        <v>11774.595703125</v>
      </c>
      <c r="G1533">
        <v>11774.595703125</v>
      </c>
      <c r="H1533">
        <v>20681511755</v>
      </c>
      <c r="I1533" t="s">
        <v>4632</v>
      </c>
      <c r="J1533" t="s">
        <v>4633</v>
      </c>
      <c r="K1533" t="s">
        <v>4634</v>
      </c>
    </row>
    <row r="1534" spans="1:11" ht="20" customHeight="1">
      <c r="A1534" t="s">
        <v>26</v>
      </c>
      <c r="B1534" t="s">
        <v>42</v>
      </c>
      <c r="C1534">
        <v>11773.5888671875</v>
      </c>
      <c r="D1534">
        <v>11778.2998046875</v>
      </c>
      <c r="E1534">
        <v>11189.8505859375</v>
      </c>
      <c r="F1534">
        <v>11366.134765625</v>
      </c>
      <c r="G1534">
        <v>11366.134765625</v>
      </c>
      <c r="H1534">
        <v>26301509932</v>
      </c>
      <c r="I1534" t="s">
        <v>4633</v>
      </c>
      <c r="J1534" t="s">
        <v>4635</v>
      </c>
      <c r="K1534" t="s">
        <v>4634</v>
      </c>
    </row>
    <row r="1535" spans="1:11" ht="20" customHeight="1">
      <c r="A1535" t="s">
        <v>26</v>
      </c>
      <c r="B1535" t="s">
        <v>45</v>
      </c>
      <c r="C1535">
        <v>11366.89453125</v>
      </c>
      <c r="D1535">
        <v>11530.052734375</v>
      </c>
      <c r="E1535">
        <v>11296.9931640625</v>
      </c>
      <c r="F1535">
        <v>11488.36328125</v>
      </c>
      <c r="G1535">
        <v>11488.36328125</v>
      </c>
      <c r="H1535">
        <v>22466660958</v>
      </c>
      <c r="I1535" t="s">
        <v>4635</v>
      </c>
      <c r="J1535" t="s">
        <v>4636</v>
      </c>
      <c r="K1535" t="s">
        <v>4634</v>
      </c>
    </row>
    <row r="1536" spans="1:11" ht="20" customHeight="1">
      <c r="A1536" t="s">
        <v>26</v>
      </c>
      <c r="B1536" t="s">
        <v>48</v>
      </c>
      <c r="C1536">
        <v>11485.6083984375</v>
      </c>
      <c r="D1536">
        <v>11570.7861328125</v>
      </c>
      <c r="E1536">
        <v>11185.94140625</v>
      </c>
      <c r="F1536">
        <v>11323.3974609375</v>
      </c>
      <c r="G1536">
        <v>11323.3974609375</v>
      </c>
      <c r="H1536">
        <v>23240415076</v>
      </c>
      <c r="I1536" t="s">
        <v>4636</v>
      </c>
      <c r="J1536" t="s">
        <v>4637</v>
      </c>
      <c r="K1536" t="s">
        <v>4634</v>
      </c>
    </row>
    <row r="1537" spans="1:11" ht="20" customHeight="1">
      <c r="A1537" t="s">
        <v>26</v>
      </c>
      <c r="B1537" t="s">
        <v>51</v>
      </c>
      <c r="C1537">
        <v>11325.2958984375</v>
      </c>
      <c r="D1537">
        <v>11545.615234375</v>
      </c>
      <c r="E1537">
        <v>11316.4228515625</v>
      </c>
      <c r="F1537">
        <v>11542.5</v>
      </c>
      <c r="G1537">
        <v>11542.5</v>
      </c>
      <c r="H1537">
        <v>19807127588</v>
      </c>
      <c r="I1537" t="s">
        <v>4637</v>
      </c>
      <c r="J1537" t="s">
        <v>4638</v>
      </c>
      <c r="K1537" t="s">
        <v>4634</v>
      </c>
    </row>
    <row r="1538" spans="1:11" ht="20" customHeight="1">
      <c r="A1538" t="s">
        <v>26</v>
      </c>
      <c r="B1538" t="s">
        <v>4639</v>
      </c>
      <c r="C1538">
        <v>11541.0546875</v>
      </c>
      <c r="D1538">
        <v>11585.640625</v>
      </c>
      <c r="E1538">
        <v>11466.29296875</v>
      </c>
      <c r="F1538">
        <v>11506.865234375</v>
      </c>
      <c r="G1538">
        <v>11506.865234375</v>
      </c>
      <c r="H1538">
        <v>17485597759</v>
      </c>
      <c r="I1538" t="s">
        <v>4638</v>
      </c>
      <c r="J1538" t="s">
        <v>4640</v>
      </c>
      <c r="K1538" t="s">
        <v>4634</v>
      </c>
    </row>
    <row r="1539" spans="1:11" ht="20" customHeight="1">
      <c r="A1539" t="s">
        <v>26</v>
      </c>
      <c r="B1539" t="s">
        <v>4641</v>
      </c>
      <c r="C1539">
        <v>11508.7138671875</v>
      </c>
      <c r="D1539">
        <v>11715.2646484375</v>
      </c>
      <c r="E1539">
        <v>11492.3818359375</v>
      </c>
      <c r="F1539">
        <v>11711.505859375</v>
      </c>
      <c r="G1539">
        <v>11711.505859375</v>
      </c>
      <c r="H1539">
        <v>19760127945</v>
      </c>
      <c r="I1539" t="s">
        <v>4640</v>
      </c>
      <c r="J1539" t="s">
        <v>4642</v>
      </c>
      <c r="K1539" t="s">
        <v>4634</v>
      </c>
    </row>
    <row r="1540" spans="1:11" ht="20" customHeight="1">
      <c r="A1540" t="s">
        <v>26</v>
      </c>
      <c r="B1540" t="s">
        <v>54</v>
      </c>
      <c r="C1540">
        <v>11713.306640625</v>
      </c>
      <c r="D1540">
        <v>11768.876953125</v>
      </c>
      <c r="E1540">
        <v>11598.318359375</v>
      </c>
      <c r="F1540">
        <v>11680.8203125</v>
      </c>
      <c r="G1540">
        <v>11680.8203125</v>
      </c>
      <c r="H1540">
        <v>22285928250</v>
      </c>
      <c r="I1540" t="s">
        <v>4642</v>
      </c>
      <c r="J1540" t="s">
        <v>4643</v>
      </c>
      <c r="K1540" t="s">
        <v>4634</v>
      </c>
    </row>
    <row r="1541" spans="1:11" ht="20" customHeight="1">
      <c r="A1541" t="s">
        <v>26</v>
      </c>
      <c r="B1541" t="s">
        <v>57</v>
      </c>
      <c r="C1541">
        <v>11679.31640625</v>
      </c>
      <c r="D1541">
        <v>12067.0810546875</v>
      </c>
      <c r="E1541">
        <v>11601.12890625</v>
      </c>
      <c r="F1541">
        <v>11970.478515625</v>
      </c>
      <c r="G1541">
        <v>11970.478515625</v>
      </c>
      <c r="H1541">
        <v>27311555343</v>
      </c>
      <c r="I1541" t="s">
        <v>4643</v>
      </c>
      <c r="J1541" t="s">
        <v>4644</v>
      </c>
      <c r="K1541" t="s">
        <v>4634</v>
      </c>
    </row>
    <row r="1542" spans="1:11" ht="20" customHeight="1">
      <c r="A1542" t="s">
        <v>26</v>
      </c>
      <c r="B1542" t="s">
        <v>60</v>
      </c>
      <c r="C1542">
        <v>11964.8232421875</v>
      </c>
      <c r="D1542">
        <v>11964.8232421875</v>
      </c>
      <c r="E1542">
        <v>11290.7939453125</v>
      </c>
      <c r="F1542">
        <v>11414.0341796875</v>
      </c>
      <c r="G1542">
        <v>11414.0341796875</v>
      </c>
      <c r="H1542">
        <v>28037405299</v>
      </c>
      <c r="I1542" t="s">
        <v>4644</v>
      </c>
      <c r="J1542" t="s">
        <v>4645</v>
      </c>
      <c r="K1542" t="s">
        <v>4634</v>
      </c>
    </row>
    <row r="1543" spans="1:11" ht="20" customHeight="1">
      <c r="A1543" t="s">
        <v>26</v>
      </c>
      <c r="B1543" t="s">
        <v>63</v>
      </c>
      <c r="C1543">
        <v>11407.19140625</v>
      </c>
      <c r="D1543">
        <v>11443.0224609375</v>
      </c>
      <c r="E1543">
        <v>10182.46484375</v>
      </c>
      <c r="F1543">
        <v>10245.296875</v>
      </c>
      <c r="G1543">
        <v>10245.296875</v>
      </c>
      <c r="H1543">
        <v>31927261555</v>
      </c>
      <c r="I1543" t="s">
        <v>4645</v>
      </c>
      <c r="J1543" t="s">
        <v>4646</v>
      </c>
      <c r="K1543" t="s">
        <v>4634</v>
      </c>
    </row>
    <row r="1544" spans="1:11" ht="20" customHeight="1">
      <c r="A1544" t="s">
        <v>26</v>
      </c>
      <c r="B1544" t="s">
        <v>66</v>
      </c>
      <c r="C1544">
        <v>10230.365234375</v>
      </c>
      <c r="D1544">
        <v>10663.919921875</v>
      </c>
      <c r="E1544">
        <v>10207.9404296875</v>
      </c>
      <c r="F1544">
        <v>10511.8134765625</v>
      </c>
      <c r="G1544">
        <v>10511.8134765625</v>
      </c>
      <c r="H1544">
        <v>29965130374</v>
      </c>
      <c r="I1544" t="s">
        <v>4646</v>
      </c>
      <c r="J1544" t="s">
        <v>4647</v>
      </c>
      <c r="K1544" t="s">
        <v>4634</v>
      </c>
    </row>
    <row r="1545" spans="1:11" ht="20" customHeight="1">
      <c r="A1545" t="s">
        <v>26</v>
      </c>
      <c r="B1545" t="s">
        <v>4648</v>
      </c>
      <c r="C1545">
        <v>10512.5302734375</v>
      </c>
      <c r="D1545">
        <v>10581.5712890625</v>
      </c>
      <c r="E1545">
        <v>9946.67578125</v>
      </c>
      <c r="F1545">
        <v>10169.5673828125</v>
      </c>
      <c r="G1545">
        <v>10169.5673828125</v>
      </c>
      <c r="H1545">
        <v>44916565292</v>
      </c>
      <c r="I1545" t="s">
        <v>4647</v>
      </c>
      <c r="J1545" t="s">
        <v>4649</v>
      </c>
      <c r="K1545" t="s">
        <v>4634</v>
      </c>
    </row>
    <row r="1546" spans="1:11" ht="20" customHeight="1">
      <c r="A1546" t="s">
        <v>26</v>
      </c>
      <c r="B1546" t="s">
        <v>4650</v>
      </c>
      <c r="C1546">
        <v>10167.216796875</v>
      </c>
      <c r="D1546">
        <v>10353.927734375</v>
      </c>
      <c r="E1546">
        <v>10056.8857421875</v>
      </c>
      <c r="F1546">
        <v>10280.3515625</v>
      </c>
      <c r="G1546">
        <v>10280.3515625</v>
      </c>
      <c r="H1546">
        <v>37071460174</v>
      </c>
      <c r="I1546" t="s">
        <v>4649</v>
      </c>
      <c r="J1546" t="s">
        <v>4651</v>
      </c>
      <c r="K1546" t="s">
        <v>4634</v>
      </c>
    </row>
    <row r="1547" spans="1:11" ht="20" customHeight="1">
      <c r="A1547" t="s">
        <v>26</v>
      </c>
      <c r="B1547" t="s">
        <v>4652</v>
      </c>
      <c r="C1547">
        <v>10280.998046875</v>
      </c>
      <c r="D1547">
        <v>10399.1533203125</v>
      </c>
      <c r="E1547">
        <v>9916.4931640625</v>
      </c>
      <c r="F1547">
        <v>10369.5634765625</v>
      </c>
      <c r="G1547">
        <v>10369.5634765625</v>
      </c>
      <c r="H1547">
        <v>33703098409</v>
      </c>
      <c r="I1547" t="s">
        <v>4651</v>
      </c>
      <c r="J1547" t="s">
        <v>4653</v>
      </c>
      <c r="K1547" t="s">
        <v>4634</v>
      </c>
    </row>
    <row r="1548" spans="1:11" ht="20" customHeight="1">
      <c r="A1548" t="s">
        <v>26</v>
      </c>
      <c r="B1548" t="s">
        <v>69</v>
      </c>
      <c r="C1548">
        <v>10369.306640625</v>
      </c>
      <c r="D1548">
        <v>10414.775390625</v>
      </c>
      <c r="E1548">
        <v>9945.1103515625</v>
      </c>
      <c r="F1548">
        <v>10131.5166015625</v>
      </c>
      <c r="G1548">
        <v>10131.5166015625</v>
      </c>
      <c r="H1548">
        <v>33430927462</v>
      </c>
      <c r="I1548" t="s">
        <v>4653</v>
      </c>
      <c r="J1548" t="s">
        <v>4654</v>
      </c>
      <c r="K1548" t="s">
        <v>4634</v>
      </c>
    </row>
    <row r="1549" spans="1:11" ht="20" customHeight="1">
      <c r="A1549" t="s">
        <v>26</v>
      </c>
      <c r="B1549" t="s">
        <v>72</v>
      </c>
      <c r="C1549">
        <v>10134.1513671875</v>
      </c>
      <c r="D1549">
        <v>10350.54296875</v>
      </c>
      <c r="E1549">
        <v>10017.2509765625</v>
      </c>
      <c r="F1549">
        <v>10242.34765625</v>
      </c>
      <c r="G1549">
        <v>10242.34765625</v>
      </c>
      <c r="H1549">
        <v>24128292755</v>
      </c>
      <c r="I1549" t="s">
        <v>4654</v>
      </c>
      <c r="J1549" t="s">
        <v>4655</v>
      </c>
      <c r="K1549" t="s">
        <v>4634</v>
      </c>
    </row>
    <row r="1550" spans="1:11" ht="20" customHeight="1">
      <c r="A1550" t="s">
        <v>26</v>
      </c>
      <c r="B1550" t="s">
        <v>75</v>
      </c>
      <c r="C1550">
        <v>10242.330078125</v>
      </c>
      <c r="D1550">
        <v>10503.912109375</v>
      </c>
      <c r="E1550">
        <v>10238.1357421875</v>
      </c>
      <c r="F1550">
        <v>10363.138671875</v>
      </c>
      <c r="G1550">
        <v>10363.138671875</v>
      </c>
      <c r="H1550">
        <v>54406443211</v>
      </c>
      <c r="I1550" t="s">
        <v>4655</v>
      </c>
      <c r="J1550" t="s">
        <v>4656</v>
      </c>
      <c r="K1550" t="s">
        <v>4634</v>
      </c>
    </row>
    <row r="1551" spans="1:11" ht="20" customHeight="1">
      <c r="A1551" t="s">
        <v>26</v>
      </c>
      <c r="B1551" t="s">
        <v>78</v>
      </c>
      <c r="C1551">
        <v>10369.0283203125</v>
      </c>
      <c r="D1551">
        <v>10434.9228515625</v>
      </c>
      <c r="E1551">
        <v>10140.8369140625</v>
      </c>
      <c r="F1551">
        <v>10400.9150390625</v>
      </c>
      <c r="G1551">
        <v>10400.9150390625</v>
      </c>
      <c r="H1551">
        <v>45201121775</v>
      </c>
      <c r="I1551" t="s">
        <v>4656</v>
      </c>
      <c r="J1551" t="s">
        <v>4657</v>
      </c>
      <c r="K1551" t="s">
        <v>4634</v>
      </c>
    </row>
    <row r="1552" spans="1:11" ht="20" customHeight="1">
      <c r="A1552" t="s">
        <v>26</v>
      </c>
      <c r="B1552" t="s">
        <v>4658</v>
      </c>
      <c r="C1552">
        <v>10409.861328125</v>
      </c>
      <c r="D1552">
        <v>10578.837890625</v>
      </c>
      <c r="E1552">
        <v>10292.38671875</v>
      </c>
      <c r="F1552">
        <v>10442.1708984375</v>
      </c>
      <c r="G1552">
        <v>10442.1708984375</v>
      </c>
      <c r="H1552">
        <v>36750077324</v>
      </c>
      <c r="I1552" t="s">
        <v>4657</v>
      </c>
      <c r="J1552" t="s">
        <v>4659</v>
      </c>
      <c r="K1552" t="s">
        <v>4634</v>
      </c>
    </row>
    <row r="1553" spans="1:11" ht="20" customHeight="1">
      <c r="A1553" t="s">
        <v>26</v>
      </c>
      <c r="B1553" t="s">
        <v>4660</v>
      </c>
      <c r="C1553">
        <v>10452.3994140625</v>
      </c>
      <c r="D1553">
        <v>10577.21484375</v>
      </c>
      <c r="E1553">
        <v>10224.330078125</v>
      </c>
      <c r="F1553">
        <v>10323.755859375</v>
      </c>
      <c r="G1553">
        <v>10323.755859375</v>
      </c>
      <c r="H1553">
        <v>36506852789</v>
      </c>
      <c r="I1553" t="s">
        <v>4659</v>
      </c>
      <c r="J1553" t="s">
        <v>4661</v>
      </c>
      <c r="K1553" t="s">
        <v>4634</v>
      </c>
    </row>
    <row r="1554" spans="1:11" ht="20" customHeight="1">
      <c r="A1554" t="s">
        <v>26</v>
      </c>
      <c r="B1554" t="s">
        <v>81</v>
      </c>
      <c r="C1554">
        <v>10328.734375</v>
      </c>
      <c r="D1554">
        <v>10800.0107421875</v>
      </c>
      <c r="E1554">
        <v>10266.0087890625</v>
      </c>
      <c r="F1554">
        <v>10680.837890625</v>
      </c>
      <c r="G1554">
        <v>10680.837890625</v>
      </c>
      <c r="H1554">
        <v>35453581940</v>
      </c>
      <c r="I1554" t="s">
        <v>4661</v>
      </c>
      <c r="J1554" t="s">
        <v>4662</v>
      </c>
      <c r="K1554" t="s">
        <v>4634</v>
      </c>
    </row>
    <row r="1555" spans="1:11" ht="20" customHeight="1">
      <c r="A1555" t="s">
        <v>26</v>
      </c>
      <c r="B1555" t="s">
        <v>84</v>
      </c>
      <c r="C1555">
        <v>10677.7548828125</v>
      </c>
      <c r="D1555">
        <v>10938.6318359375</v>
      </c>
      <c r="E1555">
        <v>10656.4599609375</v>
      </c>
      <c r="F1555">
        <v>10796.951171875</v>
      </c>
      <c r="G1555">
        <v>10796.951171875</v>
      </c>
      <c r="H1555">
        <v>32509451925</v>
      </c>
      <c r="I1555" t="s">
        <v>4662</v>
      </c>
      <c r="J1555" t="s">
        <v>4663</v>
      </c>
      <c r="K1555" t="s">
        <v>4634</v>
      </c>
    </row>
    <row r="1556" spans="1:11" ht="20" customHeight="1">
      <c r="A1556" t="s">
        <v>26</v>
      </c>
      <c r="B1556" t="s">
        <v>87</v>
      </c>
      <c r="C1556">
        <v>10797.76171875</v>
      </c>
      <c r="D1556">
        <v>11100.1240234375</v>
      </c>
      <c r="E1556">
        <v>10704.884765625</v>
      </c>
      <c r="F1556">
        <v>10974.9052734375</v>
      </c>
      <c r="G1556">
        <v>10974.9052734375</v>
      </c>
      <c r="H1556">
        <v>30769986455</v>
      </c>
      <c r="I1556" t="s">
        <v>4663</v>
      </c>
      <c r="J1556" t="s">
        <v>4664</v>
      </c>
      <c r="K1556" t="s">
        <v>4634</v>
      </c>
    </row>
    <row r="1557" spans="1:11" ht="20" customHeight="1">
      <c r="A1557" t="s">
        <v>26</v>
      </c>
      <c r="B1557" t="s">
        <v>90</v>
      </c>
      <c r="C1557">
        <v>10973.251953125</v>
      </c>
      <c r="D1557">
        <v>11037.4208984375</v>
      </c>
      <c r="E1557">
        <v>10774.6279296875</v>
      </c>
      <c r="F1557">
        <v>10948.990234375</v>
      </c>
      <c r="G1557">
        <v>10948.990234375</v>
      </c>
      <c r="H1557">
        <v>38151810523</v>
      </c>
      <c r="I1557" t="s">
        <v>4664</v>
      </c>
      <c r="J1557" t="s">
        <v>4665</v>
      </c>
      <c r="K1557" t="s">
        <v>4634</v>
      </c>
    </row>
    <row r="1558" spans="1:11" ht="20" customHeight="1">
      <c r="A1558" t="s">
        <v>26</v>
      </c>
      <c r="B1558" t="s">
        <v>93</v>
      </c>
      <c r="C1558">
        <v>10951.8203125</v>
      </c>
      <c r="D1558">
        <v>11034.908203125</v>
      </c>
      <c r="E1558">
        <v>10829.6572265625</v>
      </c>
      <c r="F1558">
        <v>10944.5859375</v>
      </c>
      <c r="G1558">
        <v>10944.5859375</v>
      </c>
      <c r="H1558">
        <v>26341903912</v>
      </c>
      <c r="I1558" t="s">
        <v>4665</v>
      </c>
      <c r="J1558" t="s">
        <v>4666</v>
      </c>
      <c r="K1558" t="s">
        <v>4634</v>
      </c>
    </row>
    <row r="1559" spans="1:11" ht="20" customHeight="1">
      <c r="A1559" t="s">
        <v>26</v>
      </c>
      <c r="B1559" t="s">
        <v>4667</v>
      </c>
      <c r="C1559">
        <v>10933.7529296875</v>
      </c>
      <c r="D1559">
        <v>11134.0927734375</v>
      </c>
      <c r="E1559">
        <v>10909.6181640625</v>
      </c>
      <c r="F1559">
        <v>11094.3466796875</v>
      </c>
      <c r="G1559">
        <v>11094.3466796875</v>
      </c>
      <c r="H1559">
        <v>22764204008</v>
      </c>
      <c r="I1559" t="s">
        <v>4666</v>
      </c>
      <c r="J1559" t="s">
        <v>4668</v>
      </c>
      <c r="K1559" t="s">
        <v>4634</v>
      </c>
    </row>
    <row r="1560" spans="1:11" ht="20" customHeight="1">
      <c r="A1560" t="s">
        <v>26</v>
      </c>
      <c r="B1560" t="s">
        <v>4669</v>
      </c>
      <c r="C1560">
        <v>11095.8701171875</v>
      </c>
      <c r="D1560">
        <v>11095.8701171875</v>
      </c>
      <c r="E1560">
        <v>10814.4775390625</v>
      </c>
      <c r="F1560">
        <v>10938.271484375</v>
      </c>
      <c r="G1560">
        <v>10938.271484375</v>
      </c>
      <c r="H1560">
        <v>24699523788</v>
      </c>
      <c r="I1560" t="s">
        <v>4668</v>
      </c>
      <c r="J1560" t="s">
        <v>4670</v>
      </c>
      <c r="K1560" t="s">
        <v>4634</v>
      </c>
    </row>
    <row r="1561" spans="1:11" ht="20" customHeight="1">
      <c r="A1561" t="s">
        <v>26</v>
      </c>
      <c r="B1561" t="s">
        <v>96</v>
      </c>
      <c r="C1561">
        <v>10934.92578125</v>
      </c>
      <c r="D1561">
        <v>10988.3046875</v>
      </c>
      <c r="E1561">
        <v>10380.2607421875</v>
      </c>
      <c r="F1561">
        <v>10462.259765625</v>
      </c>
      <c r="G1561">
        <v>10462.259765625</v>
      </c>
      <c r="H1561">
        <v>28884999244</v>
      </c>
      <c r="I1561" t="s">
        <v>4670</v>
      </c>
      <c r="J1561" t="s">
        <v>4671</v>
      </c>
      <c r="K1561" t="s">
        <v>4634</v>
      </c>
    </row>
    <row r="1562" spans="1:11" ht="20" customHeight="1">
      <c r="A1562" t="s">
        <v>26</v>
      </c>
      <c r="B1562" t="s">
        <v>99</v>
      </c>
      <c r="C1562">
        <v>10459.6240234375</v>
      </c>
      <c r="D1562">
        <v>10568.0771484375</v>
      </c>
      <c r="E1562">
        <v>10382.7265625</v>
      </c>
      <c r="F1562">
        <v>10538.4599609375</v>
      </c>
      <c r="G1562">
        <v>10538.4599609375</v>
      </c>
      <c r="H1562">
        <v>23621787804</v>
      </c>
      <c r="I1562" t="s">
        <v>4671</v>
      </c>
      <c r="J1562" t="s">
        <v>4672</v>
      </c>
      <c r="K1562" t="s">
        <v>4634</v>
      </c>
    </row>
    <row r="1563" spans="1:11" ht="20" customHeight="1">
      <c r="A1563" t="s">
        <v>26</v>
      </c>
      <c r="B1563" t="s">
        <v>102</v>
      </c>
      <c r="C1563">
        <v>10535.4921875</v>
      </c>
      <c r="D1563">
        <v>10537.828125</v>
      </c>
      <c r="E1563">
        <v>10197.865234375</v>
      </c>
      <c r="F1563">
        <v>10246.1865234375</v>
      </c>
      <c r="G1563">
        <v>10246.1865234375</v>
      </c>
      <c r="H1563">
        <v>23788661867</v>
      </c>
      <c r="I1563" t="s">
        <v>4672</v>
      </c>
      <c r="J1563" t="s">
        <v>4673</v>
      </c>
      <c r="K1563" t="s">
        <v>4634</v>
      </c>
    </row>
    <row r="1564" spans="1:11" ht="20" customHeight="1">
      <c r="A1564" t="s">
        <v>26</v>
      </c>
      <c r="B1564" t="s">
        <v>105</v>
      </c>
      <c r="C1564">
        <v>10248.7861328125</v>
      </c>
      <c r="D1564">
        <v>10771.056640625</v>
      </c>
      <c r="E1564">
        <v>10231.490234375</v>
      </c>
      <c r="F1564">
        <v>10760.06640625</v>
      </c>
      <c r="G1564">
        <v>10760.06640625</v>
      </c>
      <c r="H1564">
        <v>47144380902</v>
      </c>
      <c r="I1564" t="s">
        <v>4673</v>
      </c>
      <c r="J1564" t="s">
        <v>4674</v>
      </c>
      <c r="K1564" t="s">
        <v>4634</v>
      </c>
    </row>
    <row r="1565" spans="1:11" ht="20" customHeight="1">
      <c r="A1565" t="s">
        <v>26</v>
      </c>
      <c r="B1565" t="s">
        <v>108</v>
      </c>
      <c r="C1565">
        <v>10761.109375</v>
      </c>
      <c r="D1565">
        <v>10777.6962890625</v>
      </c>
      <c r="E1565">
        <v>10578.9140625</v>
      </c>
      <c r="F1565">
        <v>10692.716796875</v>
      </c>
      <c r="G1565">
        <v>10692.716796875</v>
      </c>
      <c r="H1565">
        <v>39348590957</v>
      </c>
      <c r="I1565" t="s">
        <v>4674</v>
      </c>
      <c r="J1565" t="s">
        <v>4675</v>
      </c>
      <c r="K1565" t="s">
        <v>4634</v>
      </c>
    </row>
    <row r="1566" spans="1:11" ht="20" customHeight="1">
      <c r="A1566" t="s">
        <v>26</v>
      </c>
      <c r="B1566" t="s">
        <v>4676</v>
      </c>
      <c r="C1566">
        <v>10695.5751953125</v>
      </c>
      <c r="D1566">
        <v>10772.9990234375</v>
      </c>
      <c r="E1566">
        <v>10667.28125</v>
      </c>
      <c r="F1566">
        <v>10750.7236328125</v>
      </c>
      <c r="G1566">
        <v>10750.7236328125</v>
      </c>
      <c r="H1566">
        <v>46852525493</v>
      </c>
      <c r="I1566" t="s">
        <v>4675</v>
      </c>
      <c r="J1566" t="s">
        <v>4677</v>
      </c>
      <c r="K1566" t="s">
        <v>4634</v>
      </c>
    </row>
    <row r="1567" spans="1:11" ht="20" customHeight="1">
      <c r="A1567" t="s">
        <v>26</v>
      </c>
      <c r="B1567" t="s">
        <v>4678</v>
      </c>
      <c r="C1567">
        <v>10746.892578125</v>
      </c>
      <c r="D1567">
        <v>10803.9765625</v>
      </c>
      <c r="E1567">
        <v>10622.921875</v>
      </c>
      <c r="F1567">
        <v>10775.26953125</v>
      </c>
      <c r="G1567">
        <v>10775.26953125</v>
      </c>
      <c r="H1567">
        <v>53745972818</v>
      </c>
      <c r="I1567" t="s">
        <v>4677</v>
      </c>
      <c r="J1567" t="s">
        <v>4679</v>
      </c>
      <c r="K1567" t="s">
        <v>4634</v>
      </c>
    </row>
    <row r="1568" spans="1:11" ht="20" customHeight="1">
      <c r="A1568" t="s">
        <v>26</v>
      </c>
      <c r="B1568" t="s">
        <v>111</v>
      </c>
      <c r="C1568">
        <v>10776.61328125</v>
      </c>
      <c r="D1568">
        <v>10945.34765625</v>
      </c>
      <c r="E1568">
        <v>10703.8935546875</v>
      </c>
      <c r="F1568">
        <v>10709.65234375</v>
      </c>
      <c r="G1568">
        <v>10709.65234375</v>
      </c>
      <c r="H1568">
        <v>47762394731</v>
      </c>
      <c r="I1568" t="s">
        <v>4679</v>
      </c>
      <c r="J1568" t="s">
        <v>4680</v>
      </c>
      <c r="K1568" t="s">
        <v>4634</v>
      </c>
    </row>
    <row r="1569" spans="1:11" ht="20" customHeight="1">
      <c r="A1569" t="s">
        <v>26</v>
      </c>
      <c r="B1569" t="s">
        <v>114</v>
      </c>
      <c r="C1569">
        <v>10709.650390625</v>
      </c>
      <c r="D1569">
        <v>10860.0009765625</v>
      </c>
      <c r="E1569">
        <v>10649.4951171875</v>
      </c>
      <c r="F1569">
        <v>10844.640625</v>
      </c>
      <c r="G1569">
        <v>10844.640625</v>
      </c>
      <c r="H1569">
        <v>46582396602</v>
      </c>
      <c r="I1569" t="s">
        <v>4680</v>
      </c>
      <c r="J1569" t="s">
        <v>4681</v>
      </c>
      <c r="K1569" t="s">
        <v>4634</v>
      </c>
    </row>
    <row r="1570" spans="1:11" ht="20" customHeight="1">
      <c r="A1570" t="s">
        <v>26</v>
      </c>
      <c r="B1570" t="s">
        <v>117</v>
      </c>
      <c r="C1570">
        <v>10843.87109375</v>
      </c>
      <c r="D1570">
        <v>10847.2568359375</v>
      </c>
      <c r="E1570">
        <v>10669.3212890625</v>
      </c>
      <c r="F1570">
        <v>10784.4912109375</v>
      </c>
      <c r="G1570">
        <v>10784.4912109375</v>
      </c>
      <c r="H1570">
        <v>44171073700</v>
      </c>
      <c r="I1570" t="s">
        <v>4681</v>
      </c>
      <c r="J1570" t="s">
        <v>4682</v>
      </c>
      <c r="K1570" t="s">
        <v>4634</v>
      </c>
    </row>
    <row r="1571" spans="1:11" ht="20" customHeight="1">
      <c r="A1571" t="s">
        <v>26</v>
      </c>
      <c r="B1571" t="s">
        <v>120</v>
      </c>
      <c r="C1571">
        <v>10795.2548828125</v>
      </c>
      <c r="D1571">
        <v>10933.6240234375</v>
      </c>
      <c r="E1571">
        <v>10472.3564453125</v>
      </c>
      <c r="F1571">
        <v>10619.4521484375</v>
      </c>
      <c r="G1571">
        <v>10619.4521484375</v>
      </c>
      <c r="H1571">
        <v>40023134100</v>
      </c>
      <c r="I1571" t="s">
        <v>4682</v>
      </c>
      <c r="J1571" t="s">
        <v>4683</v>
      </c>
      <c r="K1571" t="s">
        <v>4634</v>
      </c>
    </row>
    <row r="1572" spans="1:11" ht="20" customHeight="1">
      <c r="A1572" t="s">
        <v>26</v>
      </c>
      <c r="B1572" t="s">
        <v>123</v>
      </c>
      <c r="C1572">
        <v>10619.8212890625</v>
      </c>
      <c r="D1572">
        <v>10657.837890625</v>
      </c>
      <c r="E1572">
        <v>10416.689453125</v>
      </c>
      <c r="F1572">
        <v>10575.974609375</v>
      </c>
      <c r="G1572">
        <v>10575.974609375</v>
      </c>
      <c r="H1572">
        <v>48661453918</v>
      </c>
      <c r="I1572" t="s">
        <v>4683</v>
      </c>
      <c r="J1572" t="s">
        <v>4684</v>
      </c>
      <c r="K1572" t="s">
        <v>4634</v>
      </c>
    </row>
    <row r="1573" spans="1:11" ht="20" customHeight="1">
      <c r="A1573" t="s">
        <v>26</v>
      </c>
      <c r="B1573" t="s">
        <v>4685</v>
      </c>
      <c r="C1573">
        <v>10575.1005859375</v>
      </c>
      <c r="D1573">
        <v>10598.9404296875</v>
      </c>
      <c r="E1573">
        <v>10511.1298828125</v>
      </c>
      <c r="F1573">
        <v>10549.3291015625</v>
      </c>
      <c r="G1573">
        <v>10549.3291015625</v>
      </c>
      <c r="H1573">
        <v>44660271563</v>
      </c>
      <c r="I1573" t="s">
        <v>4684</v>
      </c>
      <c r="J1573" t="s">
        <v>4686</v>
      </c>
      <c r="K1573" t="s">
        <v>4634</v>
      </c>
    </row>
    <row r="1574" spans="1:11" ht="20" customHeight="1">
      <c r="A1574" t="s">
        <v>26</v>
      </c>
      <c r="B1574" t="s">
        <v>4687</v>
      </c>
      <c r="C1574">
        <v>10550.4404296875</v>
      </c>
      <c r="D1574">
        <v>10686</v>
      </c>
      <c r="E1574">
        <v>10534.3916015625</v>
      </c>
      <c r="F1574">
        <v>10669.5830078125</v>
      </c>
      <c r="G1574">
        <v>10669.5830078125</v>
      </c>
      <c r="H1574">
        <v>71251776995</v>
      </c>
      <c r="I1574" t="s">
        <v>4686</v>
      </c>
      <c r="J1574" t="s">
        <v>4688</v>
      </c>
      <c r="K1574" t="s">
        <v>4634</v>
      </c>
    </row>
    <row r="1575" spans="1:11" ht="20" customHeight="1">
      <c r="A1575" t="s">
        <v>26</v>
      </c>
      <c r="B1575" t="s">
        <v>126</v>
      </c>
      <c r="C1575">
        <v>10676.529296875</v>
      </c>
      <c r="D1575">
        <v>10793.5078125</v>
      </c>
      <c r="E1575">
        <v>10634.6005859375</v>
      </c>
      <c r="F1575">
        <v>10793.33984375</v>
      </c>
      <c r="G1575">
        <v>10793.33984375</v>
      </c>
      <c r="H1575">
        <v>47537578009</v>
      </c>
      <c r="I1575" t="s">
        <v>4688</v>
      </c>
      <c r="J1575" t="s">
        <v>4689</v>
      </c>
      <c r="K1575" t="s">
        <v>4634</v>
      </c>
    </row>
    <row r="1576" spans="1:11" ht="20" customHeight="1">
      <c r="A1576" t="s">
        <v>26</v>
      </c>
      <c r="B1576" t="s">
        <v>129</v>
      </c>
      <c r="C1576">
        <v>10796.306640625</v>
      </c>
      <c r="D1576">
        <v>10797.578125</v>
      </c>
      <c r="E1576">
        <v>10528.890625</v>
      </c>
      <c r="F1576">
        <v>10604.40625</v>
      </c>
      <c r="G1576">
        <v>10604.40625</v>
      </c>
      <c r="H1576">
        <v>42623695307</v>
      </c>
      <c r="I1576" t="s">
        <v>4689</v>
      </c>
      <c r="J1576" t="s">
        <v>4690</v>
      </c>
      <c r="K1576" t="s">
        <v>4634</v>
      </c>
    </row>
    <row r="1577" spans="1:11" ht="20" customHeight="1">
      <c r="A1577" t="s">
        <v>26</v>
      </c>
      <c r="B1577" t="s">
        <v>132</v>
      </c>
      <c r="C1577">
        <v>10603.35546875</v>
      </c>
      <c r="D1577">
        <v>10680.5078125</v>
      </c>
      <c r="E1577">
        <v>10562.5068359375</v>
      </c>
      <c r="F1577">
        <v>10668.96875</v>
      </c>
      <c r="G1577">
        <v>10668.96875</v>
      </c>
      <c r="H1577">
        <v>37799458436</v>
      </c>
      <c r="I1577" t="s">
        <v>4690</v>
      </c>
      <c r="J1577" t="s">
        <v>4691</v>
      </c>
      <c r="K1577" t="s">
        <v>4634</v>
      </c>
    </row>
    <row r="1578" spans="1:11" ht="20" customHeight="1">
      <c r="A1578" t="s">
        <v>26</v>
      </c>
      <c r="B1578" t="s">
        <v>135</v>
      </c>
      <c r="C1578">
        <v>10669.37109375</v>
      </c>
      <c r="D1578">
        <v>10945.7373046875</v>
      </c>
      <c r="E1578">
        <v>10562.6064453125</v>
      </c>
      <c r="F1578">
        <v>10915.685546875</v>
      </c>
      <c r="G1578">
        <v>10915.685546875</v>
      </c>
      <c r="H1578">
        <v>63314794397</v>
      </c>
      <c r="I1578" t="s">
        <v>4691</v>
      </c>
      <c r="J1578" t="s">
        <v>4692</v>
      </c>
      <c r="K1578" t="s">
        <v>4634</v>
      </c>
    </row>
    <row r="1579" spans="1:11" ht="20" customHeight="1">
      <c r="A1579" t="s">
        <v>26</v>
      </c>
      <c r="B1579" t="s">
        <v>138</v>
      </c>
      <c r="C1579">
        <v>10927.9130859375</v>
      </c>
      <c r="D1579">
        <v>11102.671875</v>
      </c>
      <c r="E1579">
        <v>10846.8505859375</v>
      </c>
      <c r="F1579">
        <v>11064.4580078125</v>
      </c>
      <c r="G1579">
        <v>11064.4580078125</v>
      </c>
      <c r="H1579">
        <v>22799117613</v>
      </c>
      <c r="I1579" t="s">
        <v>4692</v>
      </c>
      <c r="J1579" t="s">
        <v>4693</v>
      </c>
      <c r="K1579" t="s">
        <v>4634</v>
      </c>
    </row>
    <row r="1580" spans="1:11" ht="20" customHeight="1">
      <c r="A1580" t="s">
        <v>26</v>
      </c>
      <c r="B1580" t="s">
        <v>4694</v>
      </c>
      <c r="C1580">
        <v>11059.142578125</v>
      </c>
      <c r="D1580">
        <v>11442.2109375</v>
      </c>
      <c r="E1580">
        <v>11056.9404296875</v>
      </c>
      <c r="F1580">
        <v>11296.361328125</v>
      </c>
      <c r="G1580">
        <v>11296.361328125</v>
      </c>
      <c r="H1580">
        <v>22877978588</v>
      </c>
      <c r="I1580" t="s">
        <v>4693</v>
      </c>
      <c r="J1580" t="s">
        <v>4695</v>
      </c>
      <c r="K1580" t="s">
        <v>4634</v>
      </c>
    </row>
    <row r="1581" spans="1:11" ht="20" customHeight="1">
      <c r="A1581" t="s">
        <v>26</v>
      </c>
      <c r="B1581" t="s">
        <v>4696</v>
      </c>
      <c r="C1581">
        <v>11296.08203125</v>
      </c>
      <c r="D1581">
        <v>11428.8134765625</v>
      </c>
      <c r="E1581">
        <v>11288.6279296875</v>
      </c>
      <c r="F1581">
        <v>11384.181640625</v>
      </c>
      <c r="G1581">
        <v>11384.181640625</v>
      </c>
      <c r="H1581">
        <v>19968627060</v>
      </c>
      <c r="I1581" t="s">
        <v>4695</v>
      </c>
      <c r="J1581" t="s">
        <v>4697</v>
      </c>
      <c r="K1581" t="s">
        <v>4634</v>
      </c>
    </row>
    <row r="1582" spans="1:11" ht="20" customHeight="1">
      <c r="A1582" t="s">
        <v>26</v>
      </c>
      <c r="B1582" t="s">
        <v>141</v>
      </c>
      <c r="C1582">
        <v>11392.6357421875</v>
      </c>
      <c r="D1582">
        <v>11698.4677734375</v>
      </c>
      <c r="E1582">
        <v>11240.6865234375</v>
      </c>
      <c r="F1582">
        <v>11555.36328125</v>
      </c>
      <c r="G1582">
        <v>11555.36328125</v>
      </c>
      <c r="H1582">
        <v>26163972642</v>
      </c>
      <c r="I1582" t="s">
        <v>4697</v>
      </c>
      <c r="J1582" t="s">
        <v>4698</v>
      </c>
      <c r="K1582" t="s">
        <v>4634</v>
      </c>
    </row>
    <row r="1583" spans="1:11" ht="20" customHeight="1">
      <c r="A1583" t="s">
        <v>26</v>
      </c>
      <c r="B1583" t="s">
        <v>144</v>
      </c>
      <c r="C1583">
        <v>11548.7197265625</v>
      </c>
      <c r="D1583">
        <v>11548.984375</v>
      </c>
      <c r="E1583">
        <v>11321.224609375</v>
      </c>
      <c r="F1583">
        <v>11425.8994140625</v>
      </c>
      <c r="G1583">
        <v>11425.8994140625</v>
      </c>
      <c r="H1583">
        <v>24241420251</v>
      </c>
      <c r="I1583" t="s">
        <v>4698</v>
      </c>
      <c r="J1583" t="s">
        <v>4699</v>
      </c>
      <c r="K1583" t="s">
        <v>4634</v>
      </c>
    </row>
    <row r="1584" spans="1:11" ht="20" customHeight="1">
      <c r="A1584" t="s">
        <v>26</v>
      </c>
      <c r="B1584" t="s">
        <v>147</v>
      </c>
      <c r="C1584">
        <v>11429.0478515625</v>
      </c>
      <c r="D1584">
        <v>11539.9775390625</v>
      </c>
      <c r="E1584">
        <v>11307.8310546875</v>
      </c>
      <c r="F1584">
        <v>11429.5068359375</v>
      </c>
      <c r="G1584">
        <v>11429.5068359375</v>
      </c>
      <c r="H1584">
        <v>24103426719</v>
      </c>
      <c r="I1584" t="s">
        <v>4699</v>
      </c>
      <c r="J1584" t="s">
        <v>4700</v>
      </c>
      <c r="K1584" t="s">
        <v>4634</v>
      </c>
    </row>
    <row r="1585" spans="1:11" ht="20" customHeight="1">
      <c r="A1585" t="s">
        <v>26</v>
      </c>
      <c r="B1585" t="s">
        <v>150</v>
      </c>
      <c r="C1585">
        <v>11426.6025390625</v>
      </c>
      <c r="D1585">
        <v>11569.9140625</v>
      </c>
      <c r="E1585">
        <v>11303.603515625</v>
      </c>
      <c r="F1585">
        <v>11495.349609375</v>
      </c>
      <c r="G1585">
        <v>11495.349609375</v>
      </c>
      <c r="H1585">
        <v>24487233058</v>
      </c>
      <c r="I1585" t="s">
        <v>4700</v>
      </c>
      <c r="J1585" t="s">
        <v>4701</v>
      </c>
      <c r="K1585" t="s">
        <v>4634</v>
      </c>
    </row>
    <row r="1586" spans="1:11" ht="20" customHeight="1">
      <c r="A1586" t="s">
        <v>26</v>
      </c>
      <c r="B1586" t="s">
        <v>153</v>
      </c>
      <c r="C1586">
        <v>11502.828125</v>
      </c>
      <c r="D1586">
        <v>11540.0615234375</v>
      </c>
      <c r="E1586">
        <v>11223.0126953125</v>
      </c>
      <c r="F1586">
        <v>11322.123046875</v>
      </c>
      <c r="G1586">
        <v>11322.123046875</v>
      </c>
      <c r="H1586">
        <v>25635480772</v>
      </c>
      <c r="I1586" t="s">
        <v>4701</v>
      </c>
      <c r="J1586" t="s">
        <v>4702</v>
      </c>
      <c r="K1586" t="s">
        <v>4634</v>
      </c>
    </row>
    <row r="1587" spans="1:11" ht="20" customHeight="1">
      <c r="A1587" t="s">
        <v>26</v>
      </c>
      <c r="B1587" t="s">
        <v>4703</v>
      </c>
      <c r="C1587">
        <v>11322.123046875</v>
      </c>
      <c r="D1587">
        <v>11386.26171875</v>
      </c>
      <c r="E1587">
        <v>11285.345703125</v>
      </c>
      <c r="F1587">
        <v>11358.1015625</v>
      </c>
      <c r="G1587">
        <v>11358.1015625</v>
      </c>
      <c r="H1587">
        <v>19130430174</v>
      </c>
      <c r="I1587" t="s">
        <v>4702</v>
      </c>
      <c r="J1587" t="s">
        <v>4704</v>
      </c>
      <c r="K1587" t="s">
        <v>4634</v>
      </c>
    </row>
    <row r="1588" spans="1:11" ht="20" customHeight="1">
      <c r="A1588" t="s">
        <v>26</v>
      </c>
      <c r="B1588" t="s">
        <v>4705</v>
      </c>
      <c r="C1588">
        <v>11355.982421875</v>
      </c>
      <c r="D1588">
        <v>11483.359375</v>
      </c>
      <c r="E1588">
        <v>11347.578125</v>
      </c>
      <c r="F1588">
        <v>11483.359375</v>
      </c>
      <c r="G1588">
        <v>11483.359375</v>
      </c>
      <c r="H1588">
        <v>18283314340</v>
      </c>
      <c r="I1588" t="s">
        <v>4704</v>
      </c>
      <c r="J1588" t="s">
        <v>4706</v>
      </c>
      <c r="K1588" t="s">
        <v>4634</v>
      </c>
    </row>
    <row r="1589" spans="1:11" ht="20" customHeight="1">
      <c r="A1589" t="s">
        <v>26</v>
      </c>
      <c r="B1589" t="s">
        <v>156</v>
      </c>
      <c r="C1589">
        <v>11495.0380859375</v>
      </c>
      <c r="D1589">
        <v>11799.0927734375</v>
      </c>
      <c r="E1589">
        <v>11408.2900390625</v>
      </c>
      <c r="F1589">
        <v>11742.037109375</v>
      </c>
      <c r="G1589">
        <v>11742.037109375</v>
      </c>
      <c r="H1589">
        <v>23860769928</v>
      </c>
      <c r="I1589" t="s">
        <v>4706</v>
      </c>
      <c r="J1589" t="s">
        <v>4707</v>
      </c>
      <c r="K1589" t="s">
        <v>4634</v>
      </c>
    </row>
    <row r="1590" spans="1:11" ht="20" customHeight="1">
      <c r="A1590" t="s">
        <v>26</v>
      </c>
      <c r="B1590" t="s">
        <v>159</v>
      </c>
      <c r="C1590">
        <v>11745.974609375</v>
      </c>
      <c r="D1590">
        <v>11999.91796875</v>
      </c>
      <c r="E1590">
        <v>11681.48046875</v>
      </c>
      <c r="F1590">
        <v>11916.3349609375</v>
      </c>
      <c r="G1590">
        <v>11916.3349609375</v>
      </c>
      <c r="H1590">
        <v>30915821592</v>
      </c>
      <c r="I1590" t="s">
        <v>4707</v>
      </c>
      <c r="J1590" t="s">
        <v>4708</v>
      </c>
      <c r="K1590" t="s">
        <v>4634</v>
      </c>
    </row>
    <row r="1591" spans="1:11" ht="20" customHeight="1">
      <c r="A1591" t="s">
        <v>26</v>
      </c>
      <c r="B1591" t="s">
        <v>162</v>
      </c>
      <c r="C1591">
        <v>11913.0771484375</v>
      </c>
      <c r="D1591">
        <v>13184.56640625</v>
      </c>
      <c r="E1591">
        <v>11900.9287109375</v>
      </c>
      <c r="F1591">
        <v>12823.689453125</v>
      </c>
      <c r="G1591">
        <v>12823.689453125</v>
      </c>
      <c r="H1591">
        <v>43414712626</v>
      </c>
      <c r="I1591" t="s">
        <v>4708</v>
      </c>
      <c r="J1591" t="s">
        <v>4709</v>
      </c>
      <c r="K1591" t="s">
        <v>4634</v>
      </c>
    </row>
    <row r="1592" spans="1:11" ht="20" customHeight="1">
      <c r="A1592" t="s">
        <v>26</v>
      </c>
      <c r="B1592" t="s">
        <v>165</v>
      </c>
      <c r="C1592">
        <v>12801.6357421875</v>
      </c>
      <c r="D1592">
        <v>13161.59375</v>
      </c>
      <c r="E1592">
        <v>12717.09375</v>
      </c>
      <c r="F1592">
        <v>12965.8916015625</v>
      </c>
      <c r="G1592">
        <v>12965.8916015625</v>
      </c>
      <c r="H1592">
        <v>34729759598</v>
      </c>
      <c r="I1592" t="s">
        <v>4709</v>
      </c>
      <c r="J1592" t="s">
        <v>4710</v>
      </c>
      <c r="K1592" t="s">
        <v>4634</v>
      </c>
    </row>
    <row r="1593" spans="1:11" ht="20" customHeight="1">
      <c r="A1593" t="s">
        <v>26</v>
      </c>
      <c r="B1593" t="s">
        <v>168</v>
      </c>
      <c r="C1593">
        <v>12971.548828125</v>
      </c>
      <c r="D1593">
        <v>13015.9619140625</v>
      </c>
      <c r="E1593">
        <v>12752.6474609375</v>
      </c>
      <c r="F1593">
        <v>12931.5390625</v>
      </c>
      <c r="G1593">
        <v>12931.5390625</v>
      </c>
      <c r="H1593">
        <v>28974975003</v>
      </c>
      <c r="I1593" t="s">
        <v>4710</v>
      </c>
      <c r="J1593" t="s">
        <v>4711</v>
      </c>
      <c r="K1593" t="s">
        <v>4634</v>
      </c>
    </row>
    <row r="1594" spans="1:11" ht="20" customHeight="1">
      <c r="A1594" t="s">
        <v>26</v>
      </c>
      <c r="B1594" t="s">
        <v>4712</v>
      </c>
      <c r="C1594">
        <v>12931.57421875</v>
      </c>
      <c r="D1594">
        <v>13145.06640625</v>
      </c>
      <c r="E1594">
        <v>12885.7470703125</v>
      </c>
      <c r="F1594">
        <v>13108.0625</v>
      </c>
      <c r="G1594">
        <v>13108.0625</v>
      </c>
      <c r="H1594">
        <v>24542317940</v>
      </c>
      <c r="I1594" t="s">
        <v>4711</v>
      </c>
      <c r="J1594" t="s">
        <v>4713</v>
      </c>
      <c r="K1594" t="s">
        <v>4634</v>
      </c>
    </row>
    <row r="1595" spans="1:11" ht="20" customHeight="1">
      <c r="A1595" t="s">
        <v>26</v>
      </c>
      <c r="B1595" t="s">
        <v>4714</v>
      </c>
      <c r="C1595">
        <v>13108.0634765625</v>
      </c>
      <c r="D1595">
        <v>13329.18359375</v>
      </c>
      <c r="E1595">
        <v>12910.0615234375</v>
      </c>
      <c r="F1595">
        <v>13031.173828125</v>
      </c>
      <c r="G1595">
        <v>13031.173828125</v>
      </c>
      <c r="H1595">
        <v>24406920575</v>
      </c>
      <c r="I1595" t="s">
        <v>4713</v>
      </c>
      <c r="J1595" t="s">
        <v>4715</v>
      </c>
      <c r="K1595" t="s">
        <v>4634</v>
      </c>
    </row>
    <row r="1596" spans="1:11" ht="20" customHeight="1">
      <c r="A1596" t="s">
        <v>26</v>
      </c>
      <c r="B1596" t="s">
        <v>171</v>
      </c>
      <c r="C1596">
        <v>13031.201171875</v>
      </c>
      <c r="D1596">
        <v>13225.2978515625</v>
      </c>
      <c r="E1596">
        <v>12822.3828125</v>
      </c>
      <c r="F1596">
        <v>13075.248046875</v>
      </c>
      <c r="G1596">
        <v>13075.248046875</v>
      </c>
      <c r="H1596">
        <v>29461458313</v>
      </c>
      <c r="I1596" t="s">
        <v>4715</v>
      </c>
      <c r="J1596" t="s">
        <v>4716</v>
      </c>
      <c r="K1596" t="s">
        <v>4634</v>
      </c>
    </row>
    <row r="1597" spans="1:11" ht="20" customHeight="1">
      <c r="A1597" t="s">
        <v>26</v>
      </c>
      <c r="B1597" t="s">
        <v>174</v>
      </c>
      <c r="C1597">
        <v>13075.2421875</v>
      </c>
      <c r="D1597">
        <v>13759.6689453125</v>
      </c>
      <c r="E1597">
        <v>13060.837890625</v>
      </c>
      <c r="F1597">
        <v>13654.21875</v>
      </c>
      <c r="G1597">
        <v>13654.21875</v>
      </c>
      <c r="H1597">
        <v>33749878156</v>
      </c>
      <c r="I1597" t="s">
        <v>4716</v>
      </c>
      <c r="J1597" t="s">
        <v>4717</v>
      </c>
      <c r="K1597" t="s">
        <v>4634</v>
      </c>
    </row>
    <row r="1598" spans="1:11" ht="20" customHeight="1">
      <c r="A1598" t="s">
        <v>26</v>
      </c>
      <c r="B1598" t="s">
        <v>177</v>
      </c>
      <c r="C1598">
        <v>13654.21484375</v>
      </c>
      <c r="D1598">
        <v>13837.6953125</v>
      </c>
      <c r="E1598">
        <v>12932.2509765625</v>
      </c>
      <c r="F1598">
        <v>13271.28515625</v>
      </c>
      <c r="G1598">
        <v>13271.28515625</v>
      </c>
      <c r="H1598">
        <v>35867318895</v>
      </c>
      <c r="I1598" t="s">
        <v>4717</v>
      </c>
      <c r="J1598" t="s">
        <v>4718</v>
      </c>
      <c r="K1598" t="s">
        <v>4634</v>
      </c>
    </row>
    <row r="1599" spans="1:11" ht="20" customHeight="1">
      <c r="A1599" t="s">
        <v>26</v>
      </c>
      <c r="B1599" t="s">
        <v>180</v>
      </c>
      <c r="C1599">
        <v>13271.298828125</v>
      </c>
      <c r="D1599">
        <v>13612.0478515625</v>
      </c>
      <c r="E1599">
        <v>12980.0595703125</v>
      </c>
      <c r="F1599">
        <v>13437.8828125</v>
      </c>
      <c r="G1599">
        <v>13437.8828125</v>
      </c>
      <c r="H1599">
        <v>56499499598</v>
      </c>
      <c r="I1599" t="s">
        <v>4718</v>
      </c>
      <c r="J1599" t="s">
        <v>4719</v>
      </c>
      <c r="K1599" t="s">
        <v>4634</v>
      </c>
    </row>
    <row r="1600" spans="1:11" ht="20" customHeight="1">
      <c r="A1600" t="s">
        <v>26</v>
      </c>
      <c r="B1600" t="s">
        <v>183</v>
      </c>
      <c r="C1600">
        <v>13437.8740234375</v>
      </c>
      <c r="D1600">
        <v>13651.5166015625</v>
      </c>
      <c r="E1600">
        <v>13136.1982421875</v>
      </c>
      <c r="F1600">
        <v>13546.5224609375</v>
      </c>
      <c r="G1600">
        <v>13546.5224609375</v>
      </c>
      <c r="H1600">
        <v>30581485201</v>
      </c>
      <c r="I1600" t="s">
        <v>4719</v>
      </c>
      <c r="J1600" t="s">
        <v>4720</v>
      </c>
      <c r="K1600" t="s">
        <v>4634</v>
      </c>
    </row>
    <row r="1601" spans="1:11" ht="20" customHeight="1">
      <c r="A1601" t="s">
        <v>26</v>
      </c>
      <c r="B1601" t="s">
        <v>4721</v>
      </c>
      <c r="C1601">
        <v>13546.5322265625</v>
      </c>
      <c r="D1601">
        <v>14028.2138671875</v>
      </c>
      <c r="E1601">
        <v>13457.5302734375</v>
      </c>
      <c r="F1601">
        <v>13780.9951171875</v>
      </c>
      <c r="G1601">
        <v>13780.9951171875</v>
      </c>
      <c r="H1601">
        <v>30306464719</v>
      </c>
      <c r="I1601" t="s">
        <v>4720</v>
      </c>
      <c r="J1601" t="s">
        <v>4722</v>
      </c>
      <c r="K1601" t="s">
        <v>4634</v>
      </c>
    </row>
    <row r="1602" spans="1:11" ht="20" customHeight="1">
      <c r="A1602" t="s">
        <v>26</v>
      </c>
      <c r="B1602" t="s">
        <v>4723</v>
      </c>
      <c r="C1602">
        <v>13780.9951171875</v>
      </c>
      <c r="D1602">
        <v>13862.033203125</v>
      </c>
      <c r="E1602">
        <v>13628.3779296875</v>
      </c>
      <c r="F1602">
        <v>13737.109375</v>
      </c>
      <c r="G1602">
        <v>13737.109375</v>
      </c>
      <c r="H1602">
        <v>24453857900</v>
      </c>
      <c r="I1602" t="s">
        <v>4722</v>
      </c>
      <c r="J1602" t="s">
        <v>4724</v>
      </c>
      <c r="K1602" t="s">
        <v>4634</v>
      </c>
    </row>
    <row r="1603" spans="1:11" ht="20" customHeight="1">
      <c r="A1603" t="s">
        <v>26</v>
      </c>
      <c r="B1603" t="s">
        <v>186</v>
      </c>
      <c r="C1603">
        <v>13737.0322265625</v>
      </c>
      <c r="D1603">
        <v>13808.3232421875</v>
      </c>
      <c r="E1603">
        <v>13243.16015625</v>
      </c>
      <c r="F1603">
        <v>13550.4892578125</v>
      </c>
      <c r="G1603">
        <v>13550.4892578125</v>
      </c>
      <c r="H1603">
        <v>30771455468</v>
      </c>
      <c r="I1603" t="s">
        <v>4724</v>
      </c>
      <c r="J1603" t="s">
        <v>4725</v>
      </c>
      <c r="K1603" t="s">
        <v>4634</v>
      </c>
    </row>
    <row r="1604" spans="1:11" ht="20" customHeight="1">
      <c r="A1604" t="s">
        <v>26</v>
      </c>
      <c r="B1604" t="s">
        <v>189</v>
      </c>
      <c r="C1604">
        <v>13550.451171875</v>
      </c>
      <c r="D1604">
        <v>13984.9814453125</v>
      </c>
      <c r="E1604">
        <v>13325.44140625</v>
      </c>
      <c r="F1604">
        <v>13950.30078125</v>
      </c>
      <c r="G1604">
        <v>13950.30078125</v>
      </c>
      <c r="H1604">
        <v>29869951617</v>
      </c>
      <c r="I1604" t="s">
        <v>4725</v>
      </c>
      <c r="J1604" t="s">
        <v>4726</v>
      </c>
      <c r="K1604" t="s">
        <v>4634</v>
      </c>
    </row>
    <row r="1605" spans="1:11" ht="20" customHeight="1">
      <c r="A1605" t="s">
        <v>26</v>
      </c>
      <c r="B1605" t="s">
        <v>192</v>
      </c>
      <c r="C1605">
        <v>13950.48828125</v>
      </c>
      <c r="D1605">
        <v>14218.7666015625</v>
      </c>
      <c r="E1605">
        <v>13580.4716796875</v>
      </c>
      <c r="F1605">
        <v>14133.70703125</v>
      </c>
      <c r="G1605">
        <v>14133.70703125</v>
      </c>
      <c r="H1605">
        <v>35116364962</v>
      </c>
      <c r="I1605" t="s">
        <v>4726</v>
      </c>
      <c r="J1605" t="s">
        <v>4727</v>
      </c>
      <c r="K1605" t="s">
        <v>4634</v>
      </c>
    </row>
    <row r="1606" spans="1:11" ht="20" customHeight="1">
      <c r="A1606" t="s">
        <v>26</v>
      </c>
      <c r="B1606" t="s">
        <v>195</v>
      </c>
      <c r="C1606">
        <v>14133.7333984375</v>
      </c>
      <c r="D1606">
        <v>15706.404296875</v>
      </c>
      <c r="E1606">
        <v>14102.0888671875</v>
      </c>
      <c r="F1606">
        <v>15579.8486328125</v>
      </c>
      <c r="G1606">
        <v>15579.8486328125</v>
      </c>
      <c r="H1606">
        <v>40856321439</v>
      </c>
      <c r="I1606" t="s">
        <v>4727</v>
      </c>
      <c r="J1606" t="s">
        <v>4728</v>
      </c>
      <c r="K1606" t="s">
        <v>4634</v>
      </c>
    </row>
    <row r="1607" spans="1:11" ht="20" customHeight="1">
      <c r="A1607" t="s">
        <v>26</v>
      </c>
      <c r="B1607" t="s">
        <v>198</v>
      </c>
      <c r="C1607">
        <v>15579.7294921875</v>
      </c>
      <c r="D1607">
        <v>15903.4375</v>
      </c>
      <c r="E1607">
        <v>15226.83984375</v>
      </c>
      <c r="F1607">
        <v>15565.880859375</v>
      </c>
      <c r="G1607">
        <v>15565.880859375</v>
      </c>
      <c r="H1607">
        <v>39837841971</v>
      </c>
      <c r="I1607" t="s">
        <v>4728</v>
      </c>
      <c r="J1607" t="s">
        <v>4729</v>
      </c>
      <c r="K1607" t="s">
        <v>4634</v>
      </c>
    </row>
    <row r="1608" spans="1:11" ht="20" customHeight="1">
      <c r="A1608" t="s">
        <v>26</v>
      </c>
      <c r="B1608" t="s">
        <v>4730</v>
      </c>
      <c r="C1608">
        <v>15565.880859375</v>
      </c>
      <c r="D1608">
        <v>15737.095703125</v>
      </c>
      <c r="E1608">
        <v>14423.203125</v>
      </c>
      <c r="F1608">
        <v>14833.75390625</v>
      </c>
      <c r="G1608">
        <v>14833.75390625</v>
      </c>
      <c r="H1608">
        <v>35024953706</v>
      </c>
      <c r="I1608" t="s">
        <v>4729</v>
      </c>
      <c r="J1608" t="s">
        <v>4731</v>
      </c>
      <c r="K1608" t="s">
        <v>4634</v>
      </c>
    </row>
    <row r="1609" spans="1:11" ht="20" customHeight="1">
      <c r="A1609" t="s">
        <v>26</v>
      </c>
      <c r="B1609" t="s">
        <v>4732</v>
      </c>
      <c r="C1609">
        <v>14833.75390625</v>
      </c>
      <c r="D1609">
        <v>15637.3203125</v>
      </c>
      <c r="E1609">
        <v>14744.1103515625</v>
      </c>
      <c r="F1609">
        <v>15479.5673828125</v>
      </c>
      <c r="G1609">
        <v>15479.5673828125</v>
      </c>
      <c r="H1609">
        <v>26632075029</v>
      </c>
      <c r="I1609" t="s">
        <v>4731</v>
      </c>
      <c r="J1609" t="s">
        <v>4733</v>
      </c>
      <c r="K1609" t="s">
        <v>4634</v>
      </c>
    </row>
    <row r="1610" spans="1:11" ht="20" customHeight="1">
      <c r="A1610" t="s">
        <v>26</v>
      </c>
      <c r="B1610" t="s">
        <v>201</v>
      </c>
      <c r="C1610">
        <v>15479.595703125</v>
      </c>
      <c r="D1610">
        <v>15785.13671875</v>
      </c>
      <c r="E1610">
        <v>14865.529296875</v>
      </c>
      <c r="F1610">
        <v>15332.3154296875</v>
      </c>
      <c r="G1610">
        <v>15332.3154296875</v>
      </c>
      <c r="H1610">
        <v>34149115566</v>
      </c>
      <c r="I1610" t="s">
        <v>4733</v>
      </c>
      <c r="J1610" t="s">
        <v>4734</v>
      </c>
      <c r="K1610" t="s">
        <v>4634</v>
      </c>
    </row>
    <row r="1611" spans="1:11" ht="20" customHeight="1">
      <c r="A1611" t="s">
        <v>26</v>
      </c>
      <c r="B1611" t="s">
        <v>204</v>
      </c>
      <c r="C1611">
        <v>15332.3505859375</v>
      </c>
      <c r="D1611">
        <v>15450.3291015625</v>
      </c>
      <c r="E1611">
        <v>15124.9599609375</v>
      </c>
      <c r="F1611">
        <v>15290.90234375</v>
      </c>
      <c r="G1611">
        <v>15290.90234375</v>
      </c>
      <c r="H1611">
        <v>25574938143</v>
      </c>
      <c r="I1611" t="s">
        <v>4734</v>
      </c>
      <c r="J1611" t="s">
        <v>4735</v>
      </c>
      <c r="K1611" t="s">
        <v>4634</v>
      </c>
    </row>
    <row r="1612" spans="1:11" ht="20" customHeight="1">
      <c r="A1612" t="s">
        <v>26</v>
      </c>
      <c r="B1612" t="s">
        <v>207</v>
      </c>
      <c r="C1612">
        <v>15290.9091796875</v>
      </c>
      <c r="D1612">
        <v>15916.2607421875</v>
      </c>
      <c r="E1612">
        <v>15290.0068359375</v>
      </c>
      <c r="F1612">
        <v>15701.33984375</v>
      </c>
      <c r="G1612">
        <v>15701.33984375</v>
      </c>
      <c r="H1612">
        <v>29772374934</v>
      </c>
      <c r="I1612" t="s">
        <v>4735</v>
      </c>
      <c r="J1612" t="s">
        <v>4736</v>
      </c>
      <c r="K1612" t="s">
        <v>4634</v>
      </c>
    </row>
    <row r="1613" spans="1:11" ht="20" customHeight="1">
      <c r="A1613" t="s">
        <v>26</v>
      </c>
      <c r="B1613" t="s">
        <v>210</v>
      </c>
      <c r="C1613">
        <v>15701.298828125</v>
      </c>
      <c r="D1613">
        <v>16305.00390625</v>
      </c>
      <c r="E1613">
        <v>15534.771484375</v>
      </c>
      <c r="F1613">
        <v>16276.34375</v>
      </c>
      <c r="G1613">
        <v>16276.34375</v>
      </c>
      <c r="H1613">
        <v>34175758344</v>
      </c>
      <c r="I1613" t="s">
        <v>4736</v>
      </c>
      <c r="J1613" t="s">
        <v>4737</v>
      </c>
      <c r="K1613" t="s">
        <v>4634</v>
      </c>
    </row>
    <row r="1614" spans="1:11" ht="20" customHeight="1">
      <c r="A1614" t="s">
        <v>26</v>
      </c>
      <c r="B1614" t="s">
        <v>213</v>
      </c>
      <c r="C1614">
        <v>16276.4404296875</v>
      </c>
      <c r="D1614">
        <v>16463.177734375</v>
      </c>
      <c r="E1614">
        <v>15992.15234375</v>
      </c>
      <c r="F1614">
        <v>16317.80859375</v>
      </c>
      <c r="G1614">
        <v>16317.80859375</v>
      </c>
      <c r="H1614">
        <v>31599492172</v>
      </c>
      <c r="I1614" t="s">
        <v>4737</v>
      </c>
      <c r="J1614" t="s">
        <v>4738</v>
      </c>
      <c r="K1614" t="s">
        <v>4634</v>
      </c>
    </row>
    <row r="1615" spans="1:11" ht="20" customHeight="1">
      <c r="A1615" t="s">
        <v>26</v>
      </c>
      <c r="B1615" t="s">
        <v>4739</v>
      </c>
      <c r="C1615">
        <v>16317.80859375</v>
      </c>
      <c r="D1615">
        <v>16317.80859375</v>
      </c>
      <c r="E1615">
        <v>15749.193359375</v>
      </c>
      <c r="F1615">
        <v>16068.138671875</v>
      </c>
      <c r="G1615">
        <v>16068.138671875</v>
      </c>
      <c r="H1615">
        <v>27481710135</v>
      </c>
      <c r="I1615" t="s">
        <v>4738</v>
      </c>
      <c r="J1615" t="s">
        <v>4740</v>
      </c>
      <c r="K1615" t="s">
        <v>4634</v>
      </c>
    </row>
    <row r="1616" spans="1:11" ht="20" customHeight="1">
      <c r="A1616" t="s">
        <v>26</v>
      </c>
      <c r="B1616" t="s">
        <v>4741</v>
      </c>
      <c r="C1616">
        <v>16068.1396484375</v>
      </c>
      <c r="D1616">
        <v>16123.1103515625</v>
      </c>
      <c r="E1616">
        <v>15793.5341796875</v>
      </c>
      <c r="F1616">
        <v>15955.587890625</v>
      </c>
      <c r="G1616">
        <v>15955.587890625</v>
      </c>
      <c r="H1616">
        <v>23653867583</v>
      </c>
      <c r="I1616" t="s">
        <v>4740</v>
      </c>
      <c r="J1616" t="s">
        <v>4742</v>
      </c>
      <c r="K1616" t="s">
        <v>4634</v>
      </c>
    </row>
    <row r="1617" spans="1:11" ht="20" customHeight="1">
      <c r="A1617" t="s">
        <v>26</v>
      </c>
      <c r="B1617" t="s">
        <v>216</v>
      </c>
      <c r="C1617">
        <v>15955.5771484375</v>
      </c>
      <c r="D1617">
        <v>16816.181640625</v>
      </c>
      <c r="E1617">
        <v>15880.7060546875</v>
      </c>
      <c r="F1617">
        <v>16716.111328125</v>
      </c>
      <c r="G1617">
        <v>16716.111328125</v>
      </c>
      <c r="H1617">
        <v>31526766675</v>
      </c>
      <c r="I1617" t="s">
        <v>4742</v>
      </c>
      <c r="J1617" t="s">
        <v>4743</v>
      </c>
      <c r="K1617" t="s">
        <v>4634</v>
      </c>
    </row>
    <row r="1618" spans="1:11" ht="20" customHeight="1">
      <c r="A1618" t="s">
        <v>26</v>
      </c>
      <c r="B1618" t="s">
        <v>219</v>
      </c>
      <c r="C1618">
        <v>16685.69140625</v>
      </c>
      <c r="D1618">
        <v>17782.919921875</v>
      </c>
      <c r="E1618">
        <v>16564.544921875</v>
      </c>
      <c r="F1618">
        <v>17645.40625</v>
      </c>
      <c r="G1618">
        <v>17645.40625</v>
      </c>
      <c r="H1618">
        <v>39006849170</v>
      </c>
      <c r="I1618" t="s">
        <v>4743</v>
      </c>
      <c r="J1618" t="s">
        <v>4744</v>
      </c>
      <c r="K1618" t="s">
        <v>4634</v>
      </c>
    </row>
    <row r="1619" spans="1:11" ht="20" customHeight="1">
      <c r="A1619" t="s">
        <v>26</v>
      </c>
      <c r="B1619" t="s">
        <v>222</v>
      </c>
      <c r="C1619">
        <v>17645.19140625</v>
      </c>
      <c r="D1619">
        <v>18393.94921875</v>
      </c>
      <c r="E1619">
        <v>17352.90625</v>
      </c>
      <c r="F1619">
        <v>17804.005859375</v>
      </c>
      <c r="G1619">
        <v>17804.005859375</v>
      </c>
      <c r="H1619">
        <v>49064800278</v>
      </c>
      <c r="I1619" t="s">
        <v>4744</v>
      </c>
      <c r="J1619" t="s">
        <v>4745</v>
      </c>
      <c r="K1619" t="s">
        <v>4634</v>
      </c>
    </row>
    <row r="1620" spans="1:11" ht="20" customHeight="1">
      <c r="A1620" t="s">
        <v>26</v>
      </c>
      <c r="B1620" t="s">
        <v>225</v>
      </c>
      <c r="C1620">
        <v>17803.861328125</v>
      </c>
      <c r="D1620">
        <v>18119.546875</v>
      </c>
      <c r="E1620">
        <v>17382.5546875</v>
      </c>
      <c r="F1620">
        <v>17817.08984375</v>
      </c>
      <c r="G1620">
        <v>17817.08984375</v>
      </c>
      <c r="H1620">
        <v>36985055355</v>
      </c>
      <c r="I1620" t="s">
        <v>4745</v>
      </c>
      <c r="J1620" t="s">
        <v>4746</v>
      </c>
      <c r="K1620" t="s">
        <v>4634</v>
      </c>
    </row>
    <row r="1621" spans="1:11" ht="20" customHeight="1">
      <c r="A1621" t="s">
        <v>26</v>
      </c>
      <c r="B1621" t="s">
        <v>228</v>
      </c>
      <c r="C1621">
        <v>17817.083984375</v>
      </c>
      <c r="D1621">
        <v>18773.2265625</v>
      </c>
      <c r="E1621">
        <v>17765.794921875</v>
      </c>
      <c r="F1621">
        <v>18621.314453125</v>
      </c>
      <c r="G1621">
        <v>18621.314453125</v>
      </c>
      <c r="H1621">
        <v>36992873940</v>
      </c>
      <c r="I1621" t="s">
        <v>4746</v>
      </c>
      <c r="J1621" t="s">
        <v>4747</v>
      </c>
      <c r="K1621" t="s">
        <v>4634</v>
      </c>
    </row>
    <row r="1622" spans="1:11" ht="20" customHeight="1">
      <c r="A1622" t="s">
        <v>26</v>
      </c>
      <c r="B1622" t="s">
        <v>4748</v>
      </c>
      <c r="C1622">
        <v>18621.31640625</v>
      </c>
      <c r="D1622">
        <v>18936.62109375</v>
      </c>
      <c r="E1622">
        <v>18444.359375</v>
      </c>
      <c r="F1622">
        <v>18642.232421875</v>
      </c>
      <c r="G1622">
        <v>18642.232421875</v>
      </c>
      <c r="H1622">
        <v>39650210707</v>
      </c>
      <c r="I1622" t="s">
        <v>4747</v>
      </c>
      <c r="J1622" t="s">
        <v>4749</v>
      </c>
      <c r="K1622" t="s">
        <v>4634</v>
      </c>
    </row>
    <row r="1623" spans="1:11" ht="20" customHeight="1">
      <c r="A1623" t="s">
        <v>26</v>
      </c>
      <c r="B1623" t="s">
        <v>4750</v>
      </c>
      <c r="C1623">
        <v>18642.232421875</v>
      </c>
      <c r="D1623">
        <v>18688.96875</v>
      </c>
      <c r="E1623">
        <v>17671.384765625</v>
      </c>
      <c r="F1623">
        <v>18370.001953125</v>
      </c>
      <c r="G1623">
        <v>18370.001953125</v>
      </c>
      <c r="H1623">
        <v>41280434226</v>
      </c>
      <c r="I1623" t="s">
        <v>4749</v>
      </c>
      <c r="J1623" t="s">
        <v>4751</v>
      </c>
      <c r="K1623" t="s">
        <v>4634</v>
      </c>
    </row>
    <row r="1624" spans="1:11" ht="20" customHeight="1">
      <c r="A1624" t="s">
        <v>26</v>
      </c>
      <c r="B1624" t="s">
        <v>231</v>
      </c>
      <c r="C1624">
        <v>18370.017578125</v>
      </c>
      <c r="D1624">
        <v>18711.42578125</v>
      </c>
      <c r="E1624">
        <v>18000.796875</v>
      </c>
      <c r="F1624">
        <v>18364.12109375</v>
      </c>
      <c r="G1624">
        <v>18364.12109375</v>
      </c>
      <c r="H1624">
        <v>42741112308</v>
      </c>
      <c r="I1624" t="s">
        <v>4751</v>
      </c>
      <c r="J1624" t="s">
        <v>4752</v>
      </c>
      <c r="K1624" t="s">
        <v>4634</v>
      </c>
    </row>
    <row r="1625" spans="1:11" ht="20" customHeight="1">
      <c r="A1625" t="s">
        <v>26</v>
      </c>
      <c r="B1625" t="s">
        <v>234</v>
      </c>
      <c r="C1625">
        <v>18365.015625</v>
      </c>
      <c r="D1625">
        <v>19348.271484375</v>
      </c>
      <c r="E1625">
        <v>18128.65625</v>
      </c>
      <c r="F1625">
        <v>19107.46484375</v>
      </c>
      <c r="G1625">
        <v>19107.46484375</v>
      </c>
      <c r="H1625">
        <v>51469565009</v>
      </c>
      <c r="I1625" t="s">
        <v>4752</v>
      </c>
      <c r="J1625" t="s">
        <v>4753</v>
      </c>
      <c r="K1625" t="s">
        <v>4634</v>
      </c>
    </row>
    <row r="1626" spans="1:11" ht="20" customHeight="1">
      <c r="A1626" t="s">
        <v>26</v>
      </c>
      <c r="B1626" t="s">
        <v>237</v>
      </c>
      <c r="C1626">
        <v>19104.41015625</v>
      </c>
      <c r="D1626">
        <v>19390.96484375</v>
      </c>
      <c r="E1626">
        <v>18581.146484375</v>
      </c>
      <c r="F1626">
        <v>18732.12109375</v>
      </c>
      <c r="G1626">
        <v>18732.12109375</v>
      </c>
      <c r="H1626">
        <v>43710357371</v>
      </c>
      <c r="I1626" t="s">
        <v>4753</v>
      </c>
      <c r="J1626" t="s">
        <v>4754</v>
      </c>
      <c r="K1626" t="s">
        <v>4634</v>
      </c>
    </row>
    <row r="1627" spans="1:11" ht="20" customHeight="1">
      <c r="A1627" t="s">
        <v>26</v>
      </c>
      <c r="B1627" t="s">
        <v>4755</v>
      </c>
      <c r="C1627">
        <v>18729.83984375</v>
      </c>
      <c r="D1627">
        <v>18866.28515625</v>
      </c>
      <c r="E1627">
        <v>16351.03515625</v>
      </c>
      <c r="F1627">
        <v>17150.623046875</v>
      </c>
      <c r="G1627">
        <v>17150.623046875</v>
      </c>
      <c r="H1627">
        <v>61396835737</v>
      </c>
      <c r="I1627" t="s">
        <v>4754</v>
      </c>
      <c r="J1627" t="s">
        <v>4756</v>
      </c>
      <c r="K1627" t="s">
        <v>4634</v>
      </c>
    </row>
    <row r="1628" spans="1:11" ht="20" customHeight="1">
      <c r="A1628" t="s">
        <v>26</v>
      </c>
      <c r="B1628" t="s">
        <v>240</v>
      </c>
      <c r="C1628">
        <v>17153.9140625</v>
      </c>
      <c r="D1628">
        <v>17445.0234375</v>
      </c>
      <c r="E1628">
        <v>16526.423828125</v>
      </c>
      <c r="F1628">
        <v>17108.40234375</v>
      </c>
      <c r="G1628">
        <v>17108.40234375</v>
      </c>
      <c r="H1628">
        <v>38886494645</v>
      </c>
      <c r="I1628" t="s">
        <v>4756</v>
      </c>
      <c r="J1628" t="s">
        <v>4757</v>
      </c>
      <c r="K1628" t="s">
        <v>4634</v>
      </c>
    </row>
    <row r="1629" spans="1:11" ht="20" customHeight="1">
      <c r="A1629" t="s">
        <v>26</v>
      </c>
      <c r="B1629" t="s">
        <v>4758</v>
      </c>
      <c r="C1629">
        <v>17112.93359375</v>
      </c>
      <c r="D1629">
        <v>17853.939453125</v>
      </c>
      <c r="E1629">
        <v>16910.65234375</v>
      </c>
      <c r="F1629">
        <v>17717.4140625</v>
      </c>
      <c r="G1629">
        <v>17717.4140625</v>
      </c>
      <c r="H1629">
        <v>32601040734</v>
      </c>
      <c r="I1629" t="s">
        <v>4757</v>
      </c>
      <c r="J1629" t="s">
        <v>4759</v>
      </c>
      <c r="K1629" t="s">
        <v>4634</v>
      </c>
    </row>
    <row r="1630" spans="1:11" ht="20" customHeight="1">
      <c r="A1630" t="s">
        <v>26</v>
      </c>
      <c r="B1630" t="s">
        <v>4760</v>
      </c>
      <c r="C1630">
        <v>17719.634765625</v>
      </c>
      <c r="D1630">
        <v>18283.62890625</v>
      </c>
      <c r="E1630">
        <v>17559.1171875</v>
      </c>
      <c r="F1630">
        <v>18177.484375</v>
      </c>
      <c r="G1630">
        <v>18177.484375</v>
      </c>
      <c r="H1630">
        <v>31133957704</v>
      </c>
      <c r="I1630" t="s">
        <v>4759</v>
      </c>
      <c r="J1630" t="s">
        <v>4761</v>
      </c>
      <c r="K1630" t="s">
        <v>4634</v>
      </c>
    </row>
    <row r="1631" spans="1:11" ht="20" customHeight="1">
      <c r="A1631" t="s">
        <v>26</v>
      </c>
      <c r="B1631" t="s">
        <v>243</v>
      </c>
      <c r="C1631">
        <v>18178.322265625</v>
      </c>
      <c r="D1631">
        <v>19749.263671875</v>
      </c>
      <c r="E1631">
        <v>18178.322265625</v>
      </c>
      <c r="F1631">
        <v>19625.8359375</v>
      </c>
      <c r="G1631">
        <v>19625.8359375</v>
      </c>
      <c r="H1631">
        <v>47728480399</v>
      </c>
      <c r="I1631" t="s">
        <v>4761</v>
      </c>
      <c r="J1631" t="s">
        <v>4762</v>
      </c>
      <c r="K1631" t="s">
        <v>4634</v>
      </c>
    </row>
    <row r="1632" spans="1:11" ht="20" customHeight="1">
      <c r="A1632" t="s">
        <v>26</v>
      </c>
      <c r="B1632" t="s">
        <v>246</v>
      </c>
      <c r="C1632">
        <v>19633.76953125</v>
      </c>
      <c r="D1632">
        <v>19845.974609375</v>
      </c>
      <c r="E1632">
        <v>18321.921875</v>
      </c>
      <c r="F1632">
        <v>18802.998046875</v>
      </c>
      <c r="G1632">
        <v>18802.998046875</v>
      </c>
      <c r="H1632">
        <v>49633658712</v>
      </c>
      <c r="I1632" t="s">
        <v>4762</v>
      </c>
      <c r="J1632" t="s">
        <v>4763</v>
      </c>
      <c r="K1632" t="s">
        <v>4634</v>
      </c>
    </row>
    <row r="1633" spans="1:11" ht="20" customHeight="1">
      <c r="A1633" t="s">
        <v>26</v>
      </c>
      <c r="B1633" t="s">
        <v>249</v>
      </c>
      <c r="C1633">
        <v>18801.744140625</v>
      </c>
      <c r="D1633">
        <v>19308.330078125</v>
      </c>
      <c r="E1633">
        <v>18347.71875</v>
      </c>
      <c r="F1633">
        <v>19201.091796875</v>
      </c>
      <c r="G1633">
        <v>19201.091796875</v>
      </c>
      <c r="H1633">
        <v>37387697139</v>
      </c>
      <c r="I1633" t="s">
        <v>4763</v>
      </c>
      <c r="J1633" t="s">
        <v>4764</v>
      </c>
      <c r="K1633" t="s">
        <v>4634</v>
      </c>
    </row>
    <row r="1634" spans="1:11" ht="20" customHeight="1">
      <c r="A1634" t="s">
        <v>26</v>
      </c>
      <c r="B1634" t="s">
        <v>252</v>
      </c>
      <c r="C1634">
        <v>19205.92578125</v>
      </c>
      <c r="D1634">
        <v>19566.19140625</v>
      </c>
      <c r="E1634">
        <v>18925.78515625</v>
      </c>
      <c r="F1634">
        <v>19445.3984375</v>
      </c>
      <c r="G1634">
        <v>19445.3984375</v>
      </c>
      <c r="H1634">
        <v>31930317405</v>
      </c>
      <c r="I1634" t="s">
        <v>4764</v>
      </c>
      <c r="J1634" t="s">
        <v>4765</v>
      </c>
      <c r="K1634" t="s">
        <v>4634</v>
      </c>
    </row>
    <row r="1635" spans="1:11" ht="20" customHeight="1">
      <c r="A1635" t="s">
        <v>26</v>
      </c>
      <c r="B1635" t="s">
        <v>255</v>
      </c>
      <c r="C1635">
        <v>19446.966796875</v>
      </c>
      <c r="D1635">
        <v>19511.404296875</v>
      </c>
      <c r="E1635">
        <v>18697.193359375</v>
      </c>
      <c r="F1635">
        <v>18699.765625</v>
      </c>
      <c r="G1635">
        <v>18699.765625</v>
      </c>
      <c r="H1635">
        <v>33872388058</v>
      </c>
      <c r="I1635" t="s">
        <v>4765</v>
      </c>
      <c r="J1635" t="s">
        <v>4766</v>
      </c>
      <c r="K1635" t="s">
        <v>4634</v>
      </c>
    </row>
    <row r="1636" spans="1:11" ht="20" customHeight="1">
      <c r="A1636" t="s">
        <v>26</v>
      </c>
      <c r="B1636" t="s">
        <v>4767</v>
      </c>
      <c r="C1636">
        <v>18698.384765625</v>
      </c>
      <c r="D1636">
        <v>19160.44921875</v>
      </c>
      <c r="E1636">
        <v>18590.193359375</v>
      </c>
      <c r="F1636">
        <v>19154.23046875</v>
      </c>
      <c r="G1636">
        <v>19154.23046875</v>
      </c>
      <c r="H1636">
        <v>27242455064</v>
      </c>
      <c r="I1636" t="s">
        <v>4766</v>
      </c>
      <c r="J1636" t="s">
        <v>4768</v>
      </c>
      <c r="K1636" t="s">
        <v>4634</v>
      </c>
    </row>
    <row r="1637" spans="1:11" ht="20" customHeight="1">
      <c r="A1637" t="s">
        <v>26</v>
      </c>
      <c r="B1637" t="s">
        <v>4769</v>
      </c>
      <c r="C1637">
        <v>19154.1796875</v>
      </c>
      <c r="D1637">
        <v>19390.5</v>
      </c>
      <c r="E1637">
        <v>18897.89453125</v>
      </c>
      <c r="F1637">
        <v>19345.12109375</v>
      </c>
      <c r="G1637">
        <v>19345.12109375</v>
      </c>
      <c r="H1637">
        <v>25293775714</v>
      </c>
      <c r="I1637" t="s">
        <v>4768</v>
      </c>
      <c r="J1637" t="s">
        <v>4770</v>
      </c>
      <c r="K1637" t="s">
        <v>4634</v>
      </c>
    </row>
    <row r="1638" spans="1:11" ht="20" customHeight="1">
      <c r="A1638" t="s">
        <v>26</v>
      </c>
      <c r="B1638" t="s">
        <v>258</v>
      </c>
      <c r="C1638">
        <v>19343.12890625</v>
      </c>
      <c r="D1638">
        <v>19411.828125</v>
      </c>
      <c r="E1638">
        <v>18931.142578125</v>
      </c>
      <c r="F1638">
        <v>19191.630859375</v>
      </c>
      <c r="G1638">
        <v>19191.630859375</v>
      </c>
      <c r="H1638">
        <v>26896357742</v>
      </c>
      <c r="I1638" t="s">
        <v>4770</v>
      </c>
      <c r="J1638" t="s">
        <v>4771</v>
      </c>
      <c r="K1638" t="s">
        <v>4634</v>
      </c>
    </row>
    <row r="1639" spans="1:11" ht="20" customHeight="1">
      <c r="A1639" t="s">
        <v>26</v>
      </c>
      <c r="B1639" t="s">
        <v>261</v>
      </c>
      <c r="C1639">
        <v>19191.529296875</v>
      </c>
      <c r="D1639">
        <v>19283.478515625</v>
      </c>
      <c r="E1639">
        <v>18269.9453125</v>
      </c>
      <c r="F1639">
        <v>18321.14453125</v>
      </c>
      <c r="G1639">
        <v>18321.14453125</v>
      </c>
      <c r="H1639">
        <v>31692288756</v>
      </c>
      <c r="I1639" t="s">
        <v>4771</v>
      </c>
      <c r="J1639" t="s">
        <v>4772</v>
      </c>
      <c r="K1639" t="s">
        <v>4634</v>
      </c>
    </row>
    <row r="1640" spans="1:11" ht="20" customHeight="1">
      <c r="A1640" t="s">
        <v>26</v>
      </c>
      <c r="B1640" t="s">
        <v>264</v>
      </c>
      <c r="C1640">
        <v>18320.884765625</v>
      </c>
      <c r="D1640">
        <v>18626.29296875</v>
      </c>
      <c r="E1640">
        <v>17935.546875</v>
      </c>
      <c r="F1640">
        <v>18553.916015625</v>
      </c>
      <c r="G1640">
        <v>18553.916015625</v>
      </c>
      <c r="H1640">
        <v>34420373071</v>
      </c>
      <c r="I1640" t="s">
        <v>4772</v>
      </c>
      <c r="J1640" t="s">
        <v>4773</v>
      </c>
      <c r="K1640" t="s">
        <v>4634</v>
      </c>
    </row>
    <row r="1641" spans="1:11" ht="20" customHeight="1">
      <c r="A1641" t="s">
        <v>26</v>
      </c>
      <c r="B1641" t="s">
        <v>267</v>
      </c>
      <c r="C1641">
        <v>18553.298828125</v>
      </c>
      <c r="D1641">
        <v>18553.298828125</v>
      </c>
      <c r="E1641">
        <v>17957.064453125</v>
      </c>
      <c r="F1641">
        <v>18264.9921875</v>
      </c>
      <c r="G1641">
        <v>18264.9921875</v>
      </c>
      <c r="H1641">
        <v>25547132265</v>
      </c>
      <c r="I1641" t="s">
        <v>4773</v>
      </c>
      <c r="J1641" t="s">
        <v>4774</v>
      </c>
      <c r="K1641" t="s">
        <v>4634</v>
      </c>
    </row>
    <row r="1642" spans="1:11" ht="20" customHeight="1">
      <c r="A1642" t="s">
        <v>26</v>
      </c>
      <c r="B1642" t="s">
        <v>270</v>
      </c>
      <c r="C1642">
        <v>18263.9296875</v>
      </c>
      <c r="D1642">
        <v>18268.453125</v>
      </c>
      <c r="E1642">
        <v>17619.533203125</v>
      </c>
      <c r="F1642">
        <v>18058.904296875</v>
      </c>
      <c r="G1642">
        <v>18058.904296875</v>
      </c>
      <c r="H1642">
        <v>27919640985</v>
      </c>
      <c r="I1642" t="s">
        <v>4774</v>
      </c>
      <c r="J1642" t="s">
        <v>4775</v>
      </c>
      <c r="K1642" t="s">
        <v>4634</v>
      </c>
    </row>
    <row r="1643" spans="1:11" ht="20" customHeight="1">
      <c r="A1643" t="s">
        <v>26</v>
      </c>
      <c r="B1643" t="s">
        <v>4776</v>
      </c>
      <c r="C1643">
        <v>18051.3203125</v>
      </c>
      <c r="D1643">
        <v>18919.55078125</v>
      </c>
      <c r="E1643">
        <v>18046.041015625</v>
      </c>
      <c r="F1643">
        <v>18803.65625</v>
      </c>
      <c r="G1643">
        <v>18803.65625</v>
      </c>
      <c r="H1643">
        <v>21752580802</v>
      </c>
      <c r="I1643" t="s">
        <v>4775</v>
      </c>
      <c r="J1643" t="s">
        <v>4777</v>
      </c>
      <c r="K1643" t="s">
        <v>4634</v>
      </c>
    </row>
    <row r="1644" spans="1:11" ht="20" customHeight="1">
      <c r="A1644" t="s">
        <v>26</v>
      </c>
      <c r="B1644" t="s">
        <v>4778</v>
      </c>
      <c r="C1644">
        <v>18806.765625</v>
      </c>
      <c r="D1644">
        <v>19381.53515625</v>
      </c>
      <c r="E1644">
        <v>18734.33203125</v>
      </c>
      <c r="F1644">
        <v>19142.3828125</v>
      </c>
      <c r="G1644">
        <v>19142.3828125</v>
      </c>
      <c r="H1644">
        <v>25450468637</v>
      </c>
      <c r="I1644" t="s">
        <v>4777</v>
      </c>
      <c r="J1644" t="s">
        <v>4779</v>
      </c>
      <c r="K1644" t="s">
        <v>4634</v>
      </c>
    </row>
    <row r="1645" spans="1:11" ht="20" customHeight="1">
      <c r="A1645" t="s">
        <v>26</v>
      </c>
      <c r="B1645" t="s">
        <v>273</v>
      </c>
      <c r="C1645">
        <v>19144.4921875</v>
      </c>
      <c r="D1645">
        <v>19305.099609375</v>
      </c>
      <c r="E1645">
        <v>19012.708984375</v>
      </c>
      <c r="F1645">
        <v>19246.64453125</v>
      </c>
      <c r="G1645">
        <v>19246.64453125</v>
      </c>
      <c r="H1645">
        <v>22473997681</v>
      </c>
      <c r="I1645" t="s">
        <v>4779</v>
      </c>
      <c r="J1645" t="s">
        <v>4780</v>
      </c>
      <c r="K1645" t="s">
        <v>4634</v>
      </c>
    </row>
    <row r="1646" spans="1:11" ht="20" customHeight="1">
      <c r="A1646" t="s">
        <v>26</v>
      </c>
      <c r="B1646" t="s">
        <v>276</v>
      </c>
      <c r="C1646">
        <v>19246.919921875</v>
      </c>
      <c r="D1646">
        <v>19525.0078125</v>
      </c>
      <c r="E1646">
        <v>19079.841796875</v>
      </c>
      <c r="F1646">
        <v>19417.076171875</v>
      </c>
      <c r="G1646">
        <v>19417.076171875</v>
      </c>
      <c r="H1646">
        <v>26741982541</v>
      </c>
      <c r="I1646" t="s">
        <v>4780</v>
      </c>
      <c r="J1646" t="s">
        <v>4781</v>
      </c>
      <c r="K1646" t="s">
        <v>4634</v>
      </c>
    </row>
    <row r="1647" spans="1:11" ht="20" customHeight="1">
      <c r="A1647" t="s">
        <v>26</v>
      </c>
      <c r="B1647" t="s">
        <v>279</v>
      </c>
      <c r="C1647">
        <v>19418.818359375</v>
      </c>
      <c r="D1647">
        <v>21458.908203125</v>
      </c>
      <c r="E1647">
        <v>19298.31640625</v>
      </c>
      <c r="F1647">
        <v>21310.59765625</v>
      </c>
      <c r="G1647">
        <v>21310.59765625</v>
      </c>
      <c r="H1647">
        <v>44409011479</v>
      </c>
      <c r="I1647" t="s">
        <v>4781</v>
      </c>
      <c r="J1647" t="s">
        <v>4782</v>
      </c>
      <c r="K1647" t="s">
        <v>4634</v>
      </c>
    </row>
    <row r="1648" spans="1:11" ht="20" customHeight="1">
      <c r="A1648" t="s">
        <v>26</v>
      </c>
      <c r="B1648" t="s">
        <v>282</v>
      </c>
      <c r="C1648">
        <v>21308.3515625</v>
      </c>
      <c r="D1648">
        <v>23642.66015625</v>
      </c>
      <c r="E1648">
        <v>21234.67578125</v>
      </c>
      <c r="F1648">
        <v>22805.162109375</v>
      </c>
      <c r="G1648">
        <v>22805.162109375</v>
      </c>
      <c r="H1648">
        <v>71378606374</v>
      </c>
      <c r="I1648" t="s">
        <v>4782</v>
      </c>
      <c r="J1648" t="s">
        <v>4783</v>
      </c>
      <c r="K1648" t="s">
        <v>4634</v>
      </c>
    </row>
    <row r="1649" spans="1:11" ht="20" customHeight="1">
      <c r="A1649" t="s">
        <v>26</v>
      </c>
      <c r="B1649" t="s">
        <v>285</v>
      </c>
      <c r="C1649">
        <v>22806.796875</v>
      </c>
      <c r="D1649">
        <v>23238.6015625</v>
      </c>
      <c r="E1649">
        <v>22399.8125</v>
      </c>
      <c r="F1649">
        <v>23137.9609375</v>
      </c>
      <c r="G1649">
        <v>23137.9609375</v>
      </c>
      <c r="H1649">
        <v>40387896275</v>
      </c>
      <c r="I1649" t="s">
        <v>4783</v>
      </c>
      <c r="J1649" t="s">
        <v>4784</v>
      </c>
      <c r="K1649" t="s">
        <v>4634</v>
      </c>
    </row>
    <row r="1650" spans="1:11" ht="20" customHeight="1">
      <c r="A1650" t="s">
        <v>26</v>
      </c>
      <c r="B1650" t="s">
        <v>4785</v>
      </c>
      <c r="C1650">
        <v>23132.865234375</v>
      </c>
      <c r="D1650">
        <v>24085.85546875</v>
      </c>
      <c r="E1650">
        <v>22826.47265625</v>
      </c>
      <c r="F1650">
        <v>23869.83203125</v>
      </c>
      <c r="G1650">
        <v>23869.83203125</v>
      </c>
      <c r="H1650">
        <v>38487546580</v>
      </c>
      <c r="I1650" t="s">
        <v>4784</v>
      </c>
      <c r="J1650" t="s">
        <v>4786</v>
      </c>
      <c r="K1650" t="s">
        <v>4634</v>
      </c>
    </row>
    <row r="1651" spans="1:11" ht="20" customHeight="1">
      <c r="A1651" t="s">
        <v>26</v>
      </c>
      <c r="B1651" t="s">
        <v>4787</v>
      </c>
      <c r="C1651">
        <v>23861.765625</v>
      </c>
      <c r="D1651">
        <v>24209.66015625</v>
      </c>
      <c r="E1651">
        <v>23147.7109375</v>
      </c>
      <c r="F1651">
        <v>23477.294921875</v>
      </c>
      <c r="G1651">
        <v>23477.294921875</v>
      </c>
      <c r="H1651">
        <v>37844228422</v>
      </c>
      <c r="I1651" t="s">
        <v>4786</v>
      </c>
      <c r="J1651" t="s">
        <v>4788</v>
      </c>
      <c r="K1651" t="s">
        <v>4634</v>
      </c>
    </row>
    <row r="1652" spans="1:11" ht="20" customHeight="1">
      <c r="A1652" t="s">
        <v>26</v>
      </c>
      <c r="B1652" t="s">
        <v>288</v>
      </c>
      <c r="C1652">
        <v>23474.455078125</v>
      </c>
      <c r="D1652">
        <v>24059.982421875</v>
      </c>
      <c r="E1652">
        <v>22159.3671875</v>
      </c>
      <c r="F1652">
        <v>22803.08203125</v>
      </c>
      <c r="G1652">
        <v>22803.08203125</v>
      </c>
      <c r="H1652">
        <v>45852713981</v>
      </c>
      <c r="I1652" t="s">
        <v>4788</v>
      </c>
      <c r="J1652" t="s">
        <v>4789</v>
      </c>
      <c r="K1652" t="s">
        <v>4634</v>
      </c>
    </row>
    <row r="1653" spans="1:11" ht="20" customHeight="1">
      <c r="A1653" t="s">
        <v>26</v>
      </c>
      <c r="B1653" t="s">
        <v>291</v>
      </c>
      <c r="C1653">
        <v>22794.0390625</v>
      </c>
      <c r="D1653">
        <v>23789.90234375</v>
      </c>
      <c r="E1653">
        <v>22430.60546875</v>
      </c>
      <c r="F1653">
        <v>23783.029296875</v>
      </c>
      <c r="G1653">
        <v>23783.029296875</v>
      </c>
      <c r="H1653">
        <v>44171632681</v>
      </c>
      <c r="I1653" t="s">
        <v>4789</v>
      </c>
      <c r="J1653" t="s">
        <v>4790</v>
      </c>
      <c r="K1653" t="s">
        <v>4634</v>
      </c>
    </row>
    <row r="1654" spans="1:11" ht="20" customHeight="1">
      <c r="A1654" t="s">
        <v>26</v>
      </c>
      <c r="B1654" t="s">
        <v>294</v>
      </c>
      <c r="C1654">
        <v>23781.974609375</v>
      </c>
      <c r="D1654">
        <v>24024.490234375</v>
      </c>
      <c r="E1654">
        <v>22802.646484375</v>
      </c>
      <c r="F1654">
        <v>23241.345703125</v>
      </c>
      <c r="G1654">
        <v>23241.345703125</v>
      </c>
      <c r="H1654">
        <v>51146161904</v>
      </c>
      <c r="I1654" t="s">
        <v>4790</v>
      </c>
      <c r="J1654" t="s">
        <v>4791</v>
      </c>
      <c r="K1654" t="s">
        <v>4634</v>
      </c>
    </row>
    <row r="1655" spans="1:11" ht="20" customHeight="1">
      <c r="A1655" t="s">
        <v>26</v>
      </c>
      <c r="B1655" t="s">
        <v>297</v>
      </c>
      <c r="C1655">
        <v>23240.203125</v>
      </c>
      <c r="D1655">
        <v>23768.337890625</v>
      </c>
      <c r="E1655">
        <v>22777.59765625</v>
      </c>
      <c r="F1655">
        <v>23735.94921875</v>
      </c>
      <c r="G1655">
        <v>23735.94921875</v>
      </c>
      <c r="H1655">
        <v>41080759713</v>
      </c>
      <c r="I1655" t="s">
        <v>4791</v>
      </c>
      <c r="J1655" t="s">
        <v>4792</v>
      </c>
      <c r="K1655" t="s">
        <v>4634</v>
      </c>
    </row>
    <row r="1656" spans="1:11" ht="20" customHeight="1">
      <c r="A1656" t="s">
        <v>26</v>
      </c>
      <c r="B1656" t="s">
        <v>4793</v>
      </c>
      <c r="C1656">
        <v>23733.5703125</v>
      </c>
      <c r="D1656">
        <v>24710.1015625</v>
      </c>
      <c r="E1656">
        <v>23463.673828125</v>
      </c>
      <c r="F1656">
        <v>24664.791015625</v>
      </c>
      <c r="G1656">
        <v>24664.791015625</v>
      </c>
      <c r="H1656">
        <v>42068395846</v>
      </c>
      <c r="I1656" t="s">
        <v>4792</v>
      </c>
      <c r="J1656" t="s">
        <v>4794</v>
      </c>
      <c r="K1656" t="s">
        <v>4634</v>
      </c>
    </row>
    <row r="1657" spans="1:11" ht="20" customHeight="1">
      <c r="A1657" t="s">
        <v>26</v>
      </c>
      <c r="B1657" t="s">
        <v>4795</v>
      </c>
      <c r="C1657">
        <v>24677.015625</v>
      </c>
      <c r="D1657">
        <v>26718.0703125</v>
      </c>
      <c r="E1657">
        <v>24522.689453125</v>
      </c>
      <c r="F1657">
        <v>26437.037109375</v>
      </c>
      <c r="G1657">
        <v>26437.037109375</v>
      </c>
      <c r="H1657">
        <v>48332647295</v>
      </c>
      <c r="I1657" t="s">
        <v>4794</v>
      </c>
      <c r="J1657" t="s">
        <v>4796</v>
      </c>
      <c r="K1657" t="s">
        <v>4634</v>
      </c>
    </row>
    <row r="1658" spans="1:11" ht="20" customHeight="1">
      <c r="A1658" t="s">
        <v>26</v>
      </c>
      <c r="B1658" t="s">
        <v>4797</v>
      </c>
      <c r="C1658">
        <v>26439.373046875</v>
      </c>
      <c r="D1658">
        <v>28288.83984375</v>
      </c>
      <c r="E1658">
        <v>25922.76953125</v>
      </c>
      <c r="F1658">
        <v>26272.294921875</v>
      </c>
      <c r="G1658">
        <v>26272.294921875</v>
      </c>
      <c r="H1658">
        <v>66479895605</v>
      </c>
      <c r="I1658" t="s">
        <v>4796</v>
      </c>
      <c r="J1658" t="s">
        <v>4798</v>
      </c>
      <c r="K1658" t="s">
        <v>4634</v>
      </c>
    </row>
    <row r="1659" spans="1:11" ht="20" customHeight="1">
      <c r="A1659" t="s">
        <v>26</v>
      </c>
      <c r="B1659" t="s">
        <v>300</v>
      </c>
      <c r="C1659">
        <v>26280.822265625</v>
      </c>
      <c r="D1659">
        <v>27389.111328125</v>
      </c>
      <c r="E1659">
        <v>26207.640625</v>
      </c>
      <c r="F1659">
        <v>27084.80859375</v>
      </c>
      <c r="G1659">
        <v>27084.80859375</v>
      </c>
      <c r="H1659">
        <v>49056742893</v>
      </c>
      <c r="I1659" t="s">
        <v>4798</v>
      </c>
      <c r="J1659" t="s">
        <v>4799</v>
      </c>
      <c r="K1659" t="s">
        <v>4634</v>
      </c>
    </row>
    <row r="1660" spans="1:11" ht="20" customHeight="1">
      <c r="A1660" t="s">
        <v>26</v>
      </c>
      <c r="B1660" t="s">
        <v>303</v>
      </c>
      <c r="C1660">
        <v>27081.810546875</v>
      </c>
      <c r="D1660">
        <v>27370.720703125</v>
      </c>
      <c r="E1660">
        <v>25987.298828125</v>
      </c>
      <c r="F1660">
        <v>27362.4375</v>
      </c>
      <c r="G1660">
        <v>27362.4375</v>
      </c>
      <c r="H1660">
        <v>45265946774</v>
      </c>
      <c r="I1660" t="s">
        <v>4799</v>
      </c>
      <c r="J1660" t="s">
        <v>4800</v>
      </c>
      <c r="K1660" t="s">
        <v>4634</v>
      </c>
    </row>
    <row r="1661" spans="1:11" ht="20" customHeight="1">
      <c r="A1661" t="s">
        <v>26</v>
      </c>
      <c r="B1661" t="s">
        <v>306</v>
      </c>
      <c r="C1661">
        <v>27360.08984375</v>
      </c>
      <c r="D1661">
        <v>28937.740234375</v>
      </c>
      <c r="E1661">
        <v>27360.08984375</v>
      </c>
      <c r="F1661">
        <v>28840.953125</v>
      </c>
      <c r="G1661">
        <v>28840.953125</v>
      </c>
      <c r="H1661">
        <v>51287442704</v>
      </c>
      <c r="I1661" t="s">
        <v>4800</v>
      </c>
      <c r="J1661" t="s">
        <v>4801</v>
      </c>
      <c r="K1661" t="s">
        <v>4634</v>
      </c>
    </row>
    <row r="1662" spans="1:11" ht="20" customHeight="1">
      <c r="A1662" t="s">
        <v>26</v>
      </c>
      <c r="B1662" t="s">
        <v>309</v>
      </c>
      <c r="C1662">
        <v>28841.57421875</v>
      </c>
      <c r="D1662">
        <v>29244.876953125</v>
      </c>
      <c r="E1662">
        <v>28201.9921875</v>
      </c>
      <c r="F1662">
        <v>29001.720703125</v>
      </c>
      <c r="G1662">
        <v>29001.720703125</v>
      </c>
      <c r="H1662">
        <v>46754964848</v>
      </c>
      <c r="I1662" t="s">
        <v>4801</v>
      </c>
      <c r="J1662" t="s">
        <v>4802</v>
      </c>
      <c r="K1662" t="s">
        <v>4634</v>
      </c>
    </row>
    <row r="1663" spans="1:11" ht="20" customHeight="1">
      <c r="A1663" t="s">
        <v>26</v>
      </c>
      <c r="B1663" t="s">
        <v>4803</v>
      </c>
      <c r="C1663">
        <v>28994.009765625</v>
      </c>
      <c r="D1663">
        <v>29600.626953125</v>
      </c>
      <c r="E1663">
        <v>28803.5859375</v>
      </c>
      <c r="F1663">
        <v>29374.15234375</v>
      </c>
      <c r="G1663">
        <v>29374.15234375</v>
      </c>
      <c r="H1663">
        <v>40730301359</v>
      </c>
      <c r="I1663" t="s">
        <v>4802</v>
      </c>
      <c r="J1663" t="s">
        <v>4804</v>
      </c>
      <c r="K1663" t="s">
        <v>4634</v>
      </c>
    </row>
    <row r="1664" spans="1:11" ht="20" customHeight="1">
      <c r="A1664" t="s">
        <v>26</v>
      </c>
      <c r="B1664" t="s">
        <v>4805</v>
      </c>
      <c r="C1664">
        <v>29376.455078125</v>
      </c>
      <c r="D1664">
        <v>33155.1171875</v>
      </c>
      <c r="E1664">
        <v>29091.181640625</v>
      </c>
      <c r="F1664">
        <v>32127.267578125</v>
      </c>
      <c r="G1664">
        <v>32127.267578125</v>
      </c>
      <c r="H1664">
        <v>67865420765</v>
      </c>
      <c r="I1664" t="s">
        <v>4804</v>
      </c>
      <c r="J1664" t="s">
        <v>4806</v>
      </c>
      <c r="K1664" t="s">
        <v>4634</v>
      </c>
    </row>
    <row r="1665" spans="1:11" ht="20" customHeight="1">
      <c r="A1665" t="s">
        <v>26</v>
      </c>
      <c r="B1665" t="s">
        <v>4807</v>
      </c>
      <c r="C1665">
        <v>32129.408203125</v>
      </c>
      <c r="D1665">
        <v>34608.55859375</v>
      </c>
      <c r="E1665">
        <v>32052.31640625</v>
      </c>
      <c r="F1665">
        <v>32782.0234375</v>
      </c>
      <c r="G1665">
        <v>32782.0234375</v>
      </c>
      <c r="H1665">
        <v>78665235202</v>
      </c>
      <c r="I1665" t="s">
        <v>4806</v>
      </c>
      <c r="J1665" t="s">
        <v>4808</v>
      </c>
      <c r="K1665" t="s">
        <v>4634</v>
      </c>
    </row>
    <row r="1666" spans="1:11" ht="20" customHeight="1">
      <c r="A1666" t="s">
        <v>26</v>
      </c>
      <c r="B1666" t="s">
        <v>312</v>
      </c>
      <c r="C1666">
        <v>32810.94921875</v>
      </c>
      <c r="D1666">
        <v>33440.21875</v>
      </c>
      <c r="E1666">
        <v>28722.755859375</v>
      </c>
      <c r="F1666">
        <v>31971.9140625</v>
      </c>
      <c r="G1666">
        <v>31971.9140625</v>
      </c>
      <c r="H1666">
        <v>81163475344</v>
      </c>
      <c r="I1666" t="s">
        <v>4808</v>
      </c>
      <c r="J1666" t="s">
        <v>4809</v>
      </c>
      <c r="K1666" t="s">
        <v>4634</v>
      </c>
    </row>
    <row r="1667" spans="1:11" ht="20" customHeight="1">
      <c r="A1667" t="s">
        <v>26</v>
      </c>
      <c r="B1667" t="s">
        <v>315</v>
      </c>
      <c r="C1667">
        <v>31977.041015625</v>
      </c>
      <c r="D1667">
        <v>34437.58984375</v>
      </c>
      <c r="E1667">
        <v>30221.1875</v>
      </c>
      <c r="F1667">
        <v>33992.4296875</v>
      </c>
      <c r="G1667">
        <v>33992.4296875</v>
      </c>
      <c r="H1667">
        <v>67547324782</v>
      </c>
      <c r="I1667" t="s">
        <v>4809</v>
      </c>
      <c r="J1667" t="s">
        <v>4810</v>
      </c>
      <c r="K1667" t="s">
        <v>4634</v>
      </c>
    </row>
    <row r="1668" spans="1:11" ht="20" customHeight="1">
      <c r="A1668" t="s">
        <v>26</v>
      </c>
      <c r="B1668" t="s">
        <v>318</v>
      </c>
      <c r="C1668">
        <v>34013.61328125</v>
      </c>
      <c r="D1668">
        <v>36879.69921875</v>
      </c>
      <c r="E1668">
        <v>33514.03515625</v>
      </c>
      <c r="F1668">
        <v>36824.36328125</v>
      </c>
      <c r="G1668">
        <v>36824.36328125</v>
      </c>
      <c r="H1668">
        <v>75289433811</v>
      </c>
      <c r="I1668" t="s">
        <v>4810</v>
      </c>
      <c r="J1668" t="s">
        <v>4811</v>
      </c>
      <c r="K1668" t="s">
        <v>4634</v>
      </c>
    </row>
    <row r="1669" spans="1:11" ht="20" customHeight="1">
      <c r="A1669" t="s">
        <v>26</v>
      </c>
      <c r="B1669" t="s">
        <v>321</v>
      </c>
      <c r="C1669">
        <v>36833.875</v>
      </c>
      <c r="D1669">
        <v>40180.3671875</v>
      </c>
      <c r="E1669">
        <v>36491.19140625</v>
      </c>
      <c r="F1669">
        <v>39371.04296875</v>
      </c>
      <c r="G1669">
        <v>39371.04296875</v>
      </c>
      <c r="H1669">
        <v>84762141031</v>
      </c>
      <c r="I1669" t="s">
        <v>4811</v>
      </c>
      <c r="J1669" t="s">
        <v>4812</v>
      </c>
      <c r="K1669" t="s">
        <v>4634</v>
      </c>
    </row>
    <row r="1670" spans="1:11" ht="20" customHeight="1">
      <c r="A1670" t="s">
        <v>26</v>
      </c>
      <c r="B1670" t="s">
        <v>324</v>
      </c>
      <c r="C1670">
        <v>39381.765625</v>
      </c>
      <c r="D1670">
        <v>41946.73828125</v>
      </c>
      <c r="E1670">
        <v>36838.63671875</v>
      </c>
      <c r="F1670">
        <v>40797.609375</v>
      </c>
      <c r="G1670">
        <v>40797.609375</v>
      </c>
      <c r="H1670">
        <v>88107519480</v>
      </c>
      <c r="I1670" t="s">
        <v>4812</v>
      </c>
      <c r="J1670" t="s">
        <v>4813</v>
      </c>
      <c r="K1670" t="s">
        <v>4634</v>
      </c>
    </row>
    <row r="1671" spans="1:11" ht="20" customHeight="1">
      <c r="A1671" t="s">
        <v>26</v>
      </c>
      <c r="B1671" t="s">
        <v>4814</v>
      </c>
      <c r="C1671">
        <v>40788.640625</v>
      </c>
      <c r="D1671">
        <v>41436.3515625</v>
      </c>
      <c r="E1671">
        <v>38980.875</v>
      </c>
      <c r="F1671">
        <v>40254.546875</v>
      </c>
      <c r="G1671">
        <v>40254.546875</v>
      </c>
      <c r="H1671">
        <v>61984162837</v>
      </c>
      <c r="I1671" t="s">
        <v>4813</v>
      </c>
      <c r="J1671" t="s">
        <v>4815</v>
      </c>
      <c r="K1671" t="s">
        <v>4634</v>
      </c>
    </row>
    <row r="1672" spans="1:11" ht="20" customHeight="1">
      <c r="A1672" t="s">
        <v>26</v>
      </c>
      <c r="B1672" t="s">
        <v>4816</v>
      </c>
      <c r="C1672">
        <v>40254.21875</v>
      </c>
      <c r="D1672">
        <v>41420.19140625</v>
      </c>
      <c r="E1672">
        <v>35984.62890625</v>
      </c>
      <c r="F1672">
        <v>38356.44140625</v>
      </c>
      <c r="G1672">
        <v>38356.44140625</v>
      </c>
      <c r="H1672">
        <v>79980747690</v>
      </c>
      <c r="I1672" t="s">
        <v>4815</v>
      </c>
      <c r="J1672" t="s">
        <v>4817</v>
      </c>
      <c r="K1672" t="s">
        <v>4634</v>
      </c>
    </row>
    <row r="1673" spans="1:11" ht="20" customHeight="1">
      <c r="A1673" t="s">
        <v>26</v>
      </c>
      <c r="B1673" t="s">
        <v>327</v>
      </c>
      <c r="C1673">
        <v>38346.53125</v>
      </c>
      <c r="D1673">
        <v>38346.53125</v>
      </c>
      <c r="E1673">
        <v>30549.599609375</v>
      </c>
      <c r="F1673">
        <v>35566.65625</v>
      </c>
      <c r="G1673">
        <v>35566.65625</v>
      </c>
      <c r="H1673">
        <v>123320567399</v>
      </c>
      <c r="I1673" t="s">
        <v>4817</v>
      </c>
      <c r="J1673" t="s">
        <v>4818</v>
      </c>
      <c r="K1673" t="s">
        <v>4634</v>
      </c>
    </row>
    <row r="1674" spans="1:11" ht="20" customHeight="1">
      <c r="A1674" t="s">
        <v>26</v>
      </c>
      <c r="B1674" t="s">
        <v>330</v>
      </c>
      <c r="C1674">
        <v>35516.359375</v>
      </c>
      <c r="D1674">
        <v>36568.52734375</v>
      </c>
      <c r="E1674">
        <v>32697.9765625</v>
      </c>
      <c r="F1674">
        <v>33922.9609375</v>
      </c>
      <c r="G1674">
        <v>33922.9609375</v>
      </c>
      <c r="H1674">
        <v>74773277909</v>
      </c>
      <c r="I1674" t="s">
        <v>4818</v>
      </c>
      <c r="J1674" t="s">
        <v>4819</v>
      </c>
      <c r="K1674" t="s">
        <v>4634</v>
      </c>
    </row>
    <row r="1675" spans="1:11" ht="20" customHeight="1">
      <c r="A1675" t="s">
        <v>26</v>
      </c>
      <c r="B1675" t="s">
        <v>333</v>
      </c>
      <c r="C1675">
        <v>33915.12109375</v>
      </c>
      <c r="D1675">
        <v>37599.9609375</v>
      </c>
      <c r="E1675">
        <v>32584.66796875</v>
      </c>
      <c r="F1675">
        <v>37316.359375</v>
      </c>
      <c r="G1675">
        <v>37316.359375</v>
      </c>
      <c r="H1675">
        <v>69364315979</v>
      </c>
      <c r="I1675" t="s">
        <v>4819</v>
      </c>
      <c r="J1675" t="s">
        <v>4820</v>
      </c>
      <c r="K1675" t="s">
        <v>4634</v>
      </c>
    </row>
    <row r="1676" spans="1:11" ht="20" customHeight="1">
      <c r="A1676" t="s">
        <v>26</v>
      </c>
      <c r="B1676" t="s">
        <v>336</v>
      </c>
      <c r="C1676">
        <v>37325.109375</v>
      </c>
      <c r="D1676">
        <v>39966.40625</v>
      </c>
      <c r="E1676">
        <v>36868.5625</v>
      </c>
      <c r="F1676">
        <v>39187.328125</v>
      </c>
      <c r="G1676">
        <v>39187.328125</v>
      </c>
      <c r="H1676">
        <v>63615990033</v>
      </c>
      <c r="I1676" t="s">
        <v>4820</v>
      </c>
      <c r="J1676" t="s">
        <v>4821</v>
      </c>
      <c r="K1676" t="s">
        <v>4634</v>
      </c>
    </row>
    <row r="1677" spans="1:11" ht="20" customHeight="1">
      <c r="A1677" t="s">
        <v>26</v>
      </c>
      <c r="B1677" t="s">
        <v>339</v>
      </c>
      <c r="C1677">
        <v>39156.70703125</v>
      </c>
      <c r="D1677">
        <v>39577.7109375</v>
      </c>
      <c r="E1677">
        <v>34659.58984375</v>
      </c>
      <c r="F1677">
        <v>36825.3671875</v>
      </c>
      <c r="G1677">
        <v>36825.3671875</v>
      </c>
      <c r="H1677">
        <v>67760757881</v>
      </c>
      <c r="I1677" t="s">
        <v>4821</v>
      </c>
      <c r="J1677" t="s">
        <v>4822</v>
      </c>
      <c r="K1677" t="s">
        <v>4634</v>
      </c>
    </row>
    <row r="1678" spans="1:11" ht="20" customHeight="1">
      <c r="A1678" t="s">
        <v>26</v>
      </c>
      <c r="B1678" t="s">
        <v>4823</v>
      </c>
      <c r="C1678">
        <v>36821.6484375</v>
      </c>
      <c r="D1678">
        <v>37864.3671875</v>
      </c>
      <c r="E1678">
        <v>35633.5546875</v>
      </c>
      <c r="F1678">
        <v>36178.140625</v>
      </c>
      <c r="G1678">
        <v>36178.140625</v>
      </c>
      <c r="H1678">
        <v>57706187875</v>
      </c>
      <c r="I1678" t="s">
        <v>4822</v>
      </c>
      <c r="J1678" t="s">
        <v>4824</v>
      </c>
      <c r="K1678" t="s">
        <v>4634</v>
      </c>
    </row>
    <row r="1679" spans="1:11" ht="20" customHeight="1">
      <c r="A1679" t="s">
        <v>26</v>
      </c>
      <c r="B1679" t="s">
        <v>4825</v>
      </c>
      <c r="C1679">
        <v>36163.6484375</v>
      </c>
      <c r="D1679">
        <v>36722.3515625</v>
      </c>
      <c r="E1679">
        <v>34069.3203125</v>
      </c>
      <c r="F1679">
        <v>35791.27734375</v>
      </c>
      <c r="G1679">
        <v>35791.27734375</v>
      </c>
      <c r="H1679">
        <v>52359854336</v>
      </c>
      <c r="I1679" t="s">
        <v>4824</v>
      </c>
      <c r="J1679" t="s">
        <v>4826</v>
      </c>
      <c r="K1679" t="s">
        <v>4634</v>
      </c>
    </row>
    <row r="1680" spans="1:11" ht="20" customHeight="1">
      <c r="A1680" t="s">
        <v>26</v>
      </c>
      <c r="B1680" t="s">
        <v>4827</v>
      </c>
      <c r="C1680">
        <v>35792.23828125</v>
      </c>
      <c r="D1680">
        <v>37299.28515625</v>
      </c>
      <c r="E1680">
        <v>34883.84375</v>
      </c>
      <c r="F1680">
        <v>36630.07421875</v>
      </c>
      <c r="G1680">
        <v>36630.07421875</v>
      </c>
      <c r="H1680">
        <v>49511702429</v>
      </c>
      <c r="I1680" t="s">
        <v>4826</v>
      </c>
      <c r="J1680" t="s">
        <v>4828</v>
      </c>
      <c r="K1680" t="s">
        <v>4634</v>
      </c>
    </row>
    <row r="1681" spans="1:11" ht="20" customHeight="1">
      <c r="A1681" t="s">
        <v>26</v>
      </c>
      <c r="B1681" t="s">
        <v>342</v>
      </c>
      <c r="C1681">
        <v>36642.234375</v>
      </c>
      <c r="D1681">
        <v>37755.890625</v>
      </c>
      <c r="E1681">
        <v>36069.8046875</v>
      </c>
      <c r="F1681">
        <v>36069.8046875</v>
      </c>
      <c r="G1681">
        <v>36069.8046875</v>
      </c>
      <c r="H1681">
        <v>57244195486</v>
      </c>
      <c r="I1681" t="s">
        <v>4828</v>
      </c>
      <c r="J1681" t="s">
        <v>4829</v>
      </c>
      <c r="K1681" t="s">
        <v>4634</v>
      </c>
    </row>
    <row r="1682" spans="1:11" ht="20" customHeight="1">
      <c r="A1682" t="s">
        <v>26</v>
      </c>
      <c r="B1682" t="s">
        <v>345</v>
      </c>
      <c r="C1682">
        <v>36050.11328125</v>
      </c>
      <c r="D1682">
        <v>36378.328125</v>
      </c>
      <c r="E1682">
        <v>33570.4765625</v>
      </c>
      <c r="F1682">
        <v>35547.75</v>
      </c>
      <c r="G1682">
        <v>35547.75</v>
      </c>
      <c r="H1682">
        <v>66834573161</v>
      </c>
      <c r="I1682" t="s">
        <v>4829</v>
      </c>
      <c r="J1682" t="s">
        <v>4830</v>
      </c>
      <c r="K1682" t="s">
        <v>4634</v>
      </c>
    </row>
    <row r="1683" spans="1:11" ht="20" customHeight="1">
      <c r="A1683" t="s">
        <v>26</v>
      </c>
      <c r="B1683" t="s">
        <v>348</v>
      </c>
      <c r="C1683">
        <v>35549.3984375</v>
      </c>
      <c r="D1683">
        <v>35552.6796875</v>
      </c>
      <c r="E1683">
        <v>30250.75</v>
      </c>
      <c r="F1683">
        <v>30825.69921875</v>
      </c>
      <c r="G1683">
        <v>30825.69921875</v>
      </c>
      <c r="H1683">
        <v>75643067688</v>
      </c>
      <c r="I1683" t="s">
        <v>4830</v>
      </c>
      <c r="J1683" t="s">
        <v>4831</v>
      </c>
      <c r="K1683" t="s">
        <v>4634</v>
      </c>
    </row>
    <row r="1684" spans="1:11" ht="20" customHeight="1">
      <c r="A1684" t="s">
        <v>26</v>
      </c>
      <c r="B1684" t="s">
        <v>351</v>
      </c>
      <c r="C1684">
        <v>30817.625</v>
      </c>
      <c r="D1684">
        <v>33811.8515625</v>
      </c>
      <c r="E1684">
        <v>28953.373046875</v>
      </c>
      <c r="F1684">
        <v>33005.76171875</v>
      </c>
      <c r="G1684">
        <v>33005.76171875</v>
      </c>
      <c r="H1684">
        <v>77207272511</v>
      </c>
      <c r="I1684" t="s">
        <v>4831</v>
      </c>
      <c r="J1684" t="s">
        <v>4832</v>
      </c>
      <c r="K1684" t="s">
        <v>4634</v>
      </c>
    </row>
    <row r="1685" spans="1:11" ht="20" customHeight="1">
      <c r="A1685" t="s">
        <v>26</v>
      </c>
      <c r="B1685" t="s">
        <v>4833</v>
      </c>
      <c r="C1685">
        <v>32985.7578125</v>
      </c>
      <c r="D1685">
        <v>33360.9765625</v>
      </c>
      <c r="E1685">
        <v>31493.16015625</v>
      </c>
      <c r="F1685">
        <v>32067.642578125</v>
      </c>
      <c r="G1685">
        <v>32067.642578125</v>
      </c>
      <c r="H1685">
        <v>48354737975</v>
      </c>
      <c r="I1685" t="s">
        <v>4832</v>
      </c>
      <c r="J1685" t="s">
        <v>4834</v>
      </c>
      <c r="K1685" t="s">
        <v>4634</v>
      </c>
    </row>
    <row r="1686" spans="1:11" ht="20" customHeight="1">
      <c r="A1686" t="s">
        <v>26</v>
      </c>
      <c r="B1686" t="s">
        <v>4835</v>
      </c>
      <c r="C1686">
        <v>32064.376953125</v>
      </c>
      <c r="D1686">
        <v>32944.0078125</v>
      </c>
      <c r="E1686">
        <v>31106.685546875</v>
      </c>
      <c r="F1686">
        <v>32289.37890625</v>
      </c>
      <c r="G1686">
        <v>32289.37890625</v>
      </c>
      <c r="H1686">
        <v>48643830599</v>
      </c>
      <c r="I1686" t="s">
        <v>4834</v>
      </c>
      <c r="J1686" t="s">
        <v>4836</v>
      </c>
      <c r="K1686" t="s">
        <v>4634</v>
      </c>
    </row>
    <row r="1687" spans="1:11" ht="20" customHeight="1">
      <c r="A1687" t="s">
        <v>26</v>
      </c>
      <c r="B1687" t="s">
        <v>354</v>
      </c>
      <c r="C1687">
        <v>32285.798828125</v>
      </c>
      <c r="D1687">
        <v>34802.7421875</v>
      </c>
      <c r="E1687">
        <v>32087.787109375</v>
      </c>
      <c r="F1687">
        <v>32366.392578125</v>
      </c>
      <c r="G1687">
        <v>32366.392578125</v>
      </c>
      <c r="H1687">
        <v>59897054838</v>
      </c>
      <c r="I1687" t="s">
        <v>4836</v>
      </c>
      <c r="J1687" t="s">
        <v>4837</v>
      </c>
      <c r="K1687" t="s">
        <v>4634</v>
      </c>
    </row>
    <row r="1688" spans="1:11" ht="20" customHeight="1">
      <c r="A1688" t="s">
        <v>26</v>
      </c>
      <c r="B1688" t="s">
        <v>357</v>
      </c>
      <c r="C1688">
        <v>32358.61328125</v>
      </c>
      <c r="D1688">
        <v>32794.55078125</v>
      </c>
      <c r="E1688">
        <v>31030.265625</v>
      </c>
      <c r="F1688">
        <v>32569.849609375</v>
      </c>
      <c r="G1688">
        <v>32569.849609375</v>
      </c>
      <c r="H1688">
        <v>60255421470</v>
      </c>
      <c r="I1688" t="s">
        <v>4837</v>
      </c>
      <c r="J1688" t="s">
        <v>4838</v>
      </c>
      <c r="K1688" t="s">
        <v>4634</v>
      </c>
    </row>
    <row r="1689" spans="1:11" ht="20" customHeight="1">
      <c r="A1689" t="s">
        <v>26</v>
      </c>
      <c r="B1689" t="s">
        <v>360</v>
      </c>
      <c r="C1689">
        <v>32564.029296875</v>
      </c>
      <c r="D1689">
        <v>32564.029296875</v>
      </c>
      <c r="E1689">
        <v>29367.138671875</v>
      </c>
      <c r="F1689">
        <v>30432.546875</v>
      </c>
      <c r="G1689">
        <v>30432.546875</v>
      </c>
      <c r="H1689">
        <v>62576762015</v>
      </c>
      <c r="I1689" t="s">
        <v>4838</v>
      </c>
      <c r="J1689" t="s">
        <v>4839</v>
      </c>
      <c r="K1689" t="s">
        <v>4634</v>
      </c>
    </row>
    <row r="1690" spans="1:11" ht="20" customHeight="1">
      <c r="A1690" t="s">
        <v>26</v>
      </c>
      <c r="B1690" t="s">
        <v>363</v>
      </c>
      <c r="C1690">
        <v>30441.041015625</v>
      </c>
      <c r="D1690">
        <v>33858.3125</v>
      </c>
      <c r="E1690">
        <v>30023.20703125</v>
      </c>
      <c r="F1690">
        <v>33466.09765625</v>
      </c>
      <c r="G1690">
        <v>33466.09765625</v>
      </c>
      <c r="H1690">
        <v>76517157706</v>
      </c>
      <c r="I1690" t="s">
        <v>4839</v>
      </c>
      <c r="J1690" t="s">
        <v>4840</v>
      </c>
      <c r="K1690" t="s">
        <v>4634</v>
      </c>
    </row>
    <row r="1691" spans="1:11" ht="20" customHeight="1">
      <c r="A1691" t="s">
        <v>26</v>
      </c>
      <c r="B1691" t="s">
        <v>366</v>
      </c>
      <c r="C1691">
        <v>34318.671875</v>
      </c>
      <c r="D1691">
        <v>38406.26171875</v>
      </c>
      <c r="E1691">
        <v>32064.814453125</v>
      </c>
      <c r="F1691">
        <v>34316.38671875</v>
      </c>
      <c r="G1691">
        <v>34316.38671875</v>
      </c>
      <c r="H1691">
        <v>117894572511</v>
      </c>
      <c r="I1691" t="s">
        <v>4840</v>
      </c>
      <c r="J1691" t="s">
        <v>4841</v>
      </c>
      <c r="K1691" t="s">
        <v>4634</v>
      </c>
    </row>
    <row r="1692" spans="1:11" ht="20" customHeight="1">
      <c r="A1692" t="s">
        <v>26</v>
      </c>
      <c r="B1692" t="s">
        <v>4842</v>
      </c>
      <c r="C1692">
        <v>34295.93359375</v>
      </c>
      <c r="D1692">
        <v>34834.70703125</v>
      </c>
      <c r="E1692">
        <v>32940.1875</v>
      </c>
      <c r="F1692">
        <v>34269.5234375</v>
      </c>
      <c r="G1692">
        <v>34269.5234375</v>
      </c>
      <c r="H1692">
        <v>65141828798</v>
      </c>
      <c r="I1692" t="s">
        <v>4841</v>
      </c>
      <c r="J1692" t="s">
        <v>4843</v>
      </c>
      <c r="K1692" t="s">
        <v>4634</v>
      </c>
    </row>
    <row r="1693" spans="1:11" ht="20" customHeight="1">
      <c r="A1693" t="s">
        <v>26</v>
      </c>
      <c r="B1693" t="s">
        <v>4844</v>
      </c>
      <c r="C1693">
        <v>34270.87890625</v>
      </c>
      <c r="D1693">
        <v>34288.33203125</v>
      </c>
      <c r="E1693">
        <v>32270.17578125</v>
      </c>
      <c r="F1693">
        <v>33114.359375</v>
      </c>
      <c r="G1693">
        <v>33114.359375</v>
      </c>
      <c r="H1693">
        <v>52754542671</v>
      </c>
      <c r="I1693" t="s">
        <v>4843</v>
      </c>
      <c r="J1693" t="s">
        <v>4845</v>
      </c>
      <c r="K1693" t="s">
        <v>4634</v>
      </c>
    </row>
    <row r="1694" spans="1:11" ht="20" customHeight="1">
      <c r="A1694" t="s">
        <v>26</v>
      </c>
      <c r="B1694" t="s">
        <v>369</v>
      </c>
      <c r="C1694">
        <v>33114.578125</v>
      </c>
      <c r="D1694">
        <v>34638.21484375</v>
      </c>
      <c r="E1694">
        <v>32384.228515625</v>
      </c>
      <c r="F1694">
        <v>33537.17578125</v>
      </c>
      <c r="G1694">
        <v>33537.17578125</v>
      </c>
      <c r="H1694">
        <v>61400400660</v>
      </c>
      <c r="I1694" t="s">
        <v>4845</v>
      </c>
      <c r="J1694" t="s">
        <v>4846</v>
      </c>
      <c r="K1694" t="s">
        <v>4634</v>
      </c>
    </row>
    <row r="1695" spans="1:11" ht="20" customHeight="1">
      <c r="A1695" t="s">
        <v>26</v>
      </c>
      <c r="B1695" t="s">
        <v>372</v>
      </c>
      <c r="C1695">
        <v>33533.19921875</v>
      </c>
      <c r="D1695">
        <v>35896.8828125</v>
      </c>
      <c r="E1695">
        <v>33489.21875</v>
      </c>
      <c r="F1695">
        <v>35510.2890625</v>
      </c>
      <c r="G1695">
        <v>35510.2890625</v>
      </c>
      <c r="H1695">
        <v>63088585433</v>
      </c>
      <c r="I1695" t="s">
        <v>4846</v>
      </c>
      <c r="J1695" t="s">
        <v>4847</v>
      </c>
      <c r="K1695" t="s">
        <v>4634</v>
      </c>
    </row>
    <row r="1696" spans="1:11" ht="20" customHeight="1">
      <c r="A1696" t="s">
        <v>26</v>
      </c>
      <c r="B1696" t="s">
        <v>375</v>
      </c>
      <c r="C1696">
        <v>35510.8203125</v>
      </c>
      <c r="D1696">
        <v>37480.1875</v>
      </c>
      <c r="E1696">
        <v>35443.984375</v>
      </c>
      <c r="F1696">
        <v>37472.08984375</v>
      </c>
      <c r="G1696">
        <v>37472.08984375</v>
      </c>
      <c r="H1696">
        <v>61166818159</v>
      </c>
      <c r="I1696" t="s">
        <v>4847</v>
      </c>
      <c r="J1696" t="s">
        <v>4848</v>
      </c>
      <c r="K1696" t="s">
        <v>4634</v>
      </c>
    </row>
    <row r="1697" spans="1:11" ht="20" customHeight="1">
      <c r="A1697" t="s">
        <v>26</v>
      </c>
      <c r="B1697" t="s">
        <v>378</v>
      </c>
      <c r="C1697">
        <v>37475.10546875</v>
      </c>
      <c r="D1697">
        <v>38592.17578125</v>
      </c>
      <c r="E1697">
        <v>36317.5</v>
      </c>
      <c r="F1697">
        <v>36926.06640625</v>
      </c>
      <c r="G1697">
        <v>36926.06640625</v>
      </c>
      <c r="H1697">
        <v>68838074392</v>
      </c>
      <c r="I1697" t="s">
        <v>4848</v>
      </c>
      <c r="J1697" t="s">
        <v>4849</v>
      </c>
      <c r="K1697" t="s">
        <v>4634</v>
      </c>
    </row>
    <row r="1698" spans="1:11" ht="20" customHeight="1">
      <c r="A1698" t="s">
        <v>26</v>
      </c>
      <c r="B1698" t="s">
        <v>381</v>
      </c>
      <c r="C1698">
        <v>36931.546875</v>
      </c>
      <c r="D1698">
        <v>38225.90625</v>
      </c>
      <c r="E1698">
        <v>36658.76171875</v>
      </c>
      <c r="F1698">
        <v>38144.30859375</v>
      </c>
      <c r="G1698">
        <v>38144.30859375</v>
      </c>
      <c r="H1698">
        <v>58598066402</v>
      </c>
      <c r="I1698" t="s">
        <v>4849</v>
      </c>
      <c r="J1698" t="s">
        <v>4850</v>
      </c>
      <c r="K1698" t="s">
        <v>4634</v>
      </c>
    </row>
    <row r="1699" spans="1:11" ht="20" customHeight="1">
      <c r="A1699" t="s">
        <v>26</v>
      </c>
      <c r="B1699" t="s">
        <v>4851</v>
      </c>
      <c r="C1699">
        <v>38138.38671875</v>
      </c>
      <c r="D1699">
        <v>40846.546875</v>
      </c>
      <c r="E1699">
        <v>38138.38671875</v>
      </c>
      <c r="F1699">
        <v>39266.01171875</v>
      </c>
      <c r="G1699">
        <v>39266.01171875</v>
      </c>
      <c r="H1699">
        <v>71326033653</v>
      </c>
      <c r="I1699" t="s">
        <v>4850</v>
      </c>
      <c r="J1699" t="s">
        <v>4852</v>
      </c>
      <c r="K1699" t="s">
        <v>4634</v>
      </c>
    </row>
    <row r="1700" spans="1:11" ht="20" customHeight="1">
      <c r="A1700" t="s">
        <v>26</v>
      </c>
      <c r="B1700" t="s">
        <v>4853</v>
      </c>
      <c r="C1700">
        <v>39250.19140625</v>
      </c>
      <c r="D1700">
        <v>39621.8359375</v>
      </c>
      <c r="E1700">
        <v>37446.15234375</v>
      </c>
      <c r="F1700">
        <v>38903.44140625</v>
      </c>
      <c r="G1700">
        <v>38903.44140625</v>
      </c>
      <c r="H1700">
        <v>65500641143</v>
      </c>
      <c r="I1700" t="s">
        <v>4852</v>
      </c>
      <c r="J1700" t="s">
        <v>4854</v>
      </c>
      <c r="K1700" t="s">
        <v>4634</v>
      </c>
    </row>
    <row r="1701" spans="1:11" ht="20" customHeight="1">
      <c r="A1701" t="s">
        <v>26</v>
      </c>
      <c r="B1701" t="s">
        <v>384</v>
      </c>
      <c r="C1701">
        <v>38886.828125</v>
      </c>
      <c r="D1701">
        <v>46203.9296875</v>
      </c>
      <c r="E1701">
        <v>38076.32421875</v>
      </c>
      <c r="F1701">
        <v>46196.46484375</v>
      </c>
      <c r="G1701">
        <v>46196.46484375</v>
      </c>
      <c r="H1701">
        <v>101467222687</v>
      </c>
      <c r="I1701" t="s">
        <v>4854</v>
      </c>
      <c r="J1701" t="s">
        <v>4855</v>
      </c>
      <c r="K1701" t="s">
        <v>4634</v>
      </c>
    </row>
    <row r="1702" spans="1:11" ht="20" customHeight="1">
      <c r="A1702" t="s">
        <v>26</v>
      </c>
      <c r="B1702" t="s">
        <v>387</v>
      </c>
      <c r="C1702">
        <v>46184.9921875</v>
      </c>
      <c r="D1702">
        <v>48003.72265625</v>
      </c>
      <c r="E1702">
        <v>45166.9609375</v>
      </c>
      <c r="F1702">
        <v>46481.10546875</v>
      </c>
      <c r="G1702">
        <v>46481.10546875</v>
      </c>
      <c r="H1702">
        <v>91809846886</v>
      </c>
      <c r="I1702" t="s">
        <v>4855</v>
      </c>
      <c r="J1702" t="s">
        <v>4856</v>
      </c>
      <c r="K1702" t="s">
        <v>4634</v>
      </c>
    </row>
    <row r="1703" spans="1:11" ht="20" customHeight="1">
      <c r="A1703" t="s">
        <v>26</v>
      </c>
      <c r="B1703" t="s">
        <v>390</v>
      </c>
      <c r="C1703">
        <v>46469.76171875</v>
      </c>
      <c r="D1703">
        <v>47145.56640625</v>
      </c>
      <c r="E1703">
        <v>43881.15234375</v>
      </c>
      <c r="F1703">
        <v>44918.18359375</v>
      </c>
      <c r="G1703">
        <v>44918.18359375</v>
      </c>
      <c r="H1703">
        <v>87301089896</v>
      </c>
      <c r="I1703" t="s">
        <v>4856</v>
      </c>
      <c r="J1703" t="s">
        <v>4857</v>
      </c>
      <c r="K1703" t="s">
        <v>4634</v>
      </c>
    </row>
    <row r="1704" spans="1:11" ht="20" customHeight="1">
      <c r="A1704" t="s">
        <v>26</v>
      </c>
      <c r="B1704" t="s">
        <v>393</v>
      </c>
      <c r="C1704">
        <v>44898.7109375</v>
      </c>
      <c r="D1704">
        <v>48463.46875</v>
      </c>
      <c r="E1704">
        <v>44187.76171875</v>
      </c>
      <c r="F1704">
        <v>47909.33203125</v>
      </c>
      <c r="G1704">
        <v>47909.33203125</v>
      </c>
      <c r="H1704">
        <v>81388911810</v>
      </c>
      <c r="I1704" t="s">
        <v>4857</v>
      </c>
      <c r="J1704" t="s">
        <v>4858</v>
      </c>
      <c r="K1704" t="s">
        <v>4634</v>
      </c>
    </row>
    <row r="1705" spans="1:11" ht="20" customHeight="1">
      <c r="A1705" t="s">
        <v>26</v>
      </c>
      <c r="B1705" t="s">
        <v>396</v>
      </c>
      <c r="C1705">
        <v>47877.03515625</v>
      </c>
      <c r="D1705">
        <v>48745.734375</v>
      </c>
      <c r="E1705">
        <v>46424.9765625</v>
      </c>
      <c r="F1705">
        <v>47504.8515625</v>
      </c>
      <c r="G1705">
        <v>47504.8515625</v>
      </c>
      <c r="H1705">
        <v>76555041196</v>
      </c>
      <c r="I1705" t="s">
        <v>4858</v>
      </c>
      <c r="J1705" t="s">
        <v>4859</v>
      </c>
      <c r="K1705" t="s">
        <v>4634</v>
      </c>
    </row>
    <row r="1706" spans="1:11" ht="20" customHeight="1">
      <c r="A1706" t="s">
        <v>26</v>
      </c>
      <c r="B1706" t="s">
        <v>4860</v>
      </c>
      <c r="C1706">
        <v>47491.203125</v>
      </c>
      <c r="D1706">
        <v>48047.74609375</v>
      </c>
      <c r="E1706">
        <v>46392.28125</v>
      </c>
      <c r="F1706">
        <v>47105.515625</v>
      </c>
      <c r="G1706">
        <v>47105.515625</v>
      </c>
      <c r="H1706">
        <v>70250456155</v>
      </c>
      <c r="I1706" t="s">
        <v>4859</v>
      </c>
      <c r="J1706" t="s">
        <v>4861</v>
      </c>
      <c r="K1706" t="s">
        <v>4634</v>
      </c>
    </row>
    <row r="1707" spans="1:11" ht="20" customHeight="1">
      <c r="A1707" t="s">
        <v>26</v>
      </c>
      <c r="B1707" t="s">
        <v>4862</v>
      </c>
      <c r="C1707">
        <v>47114.5078125</v>
      </c>
      <c r="D1707">
        <v>49487.640625</v>
      </c>
      <c r="E1707">
        <v>47114.5078125</v>
      </c>
      <c r="F1707">
        <v>48717.2890625</v>
      </c>
      <c r="G1707">
        <v>48717.2890625</v>
      </c>
      <c r="H1707">
        <v>71248675228</v>
      </c>
      <c r="I1707" t="s">
        <v>4861</v>
      </c>
      <c r="J1707" t="s">
        <v>4863</v>
      </c>
      <c r="K1707" t="s">
        <v>4634</v>
      </c>
    </row>
    <row r="1708" spans="1:11" ht="20" customHeight="1">
      <c r="A1708" t="s">
        <v>26</v>
      </c>
      <c r="B1708" t="s">
        <v>4864</v>
      </c>
      <c r="C1708">
        <v>48696.53515625</v>
      </c>
      <c r="D1708">
        <v>48875.5703125</v>
      </c>
      <c r="E1708">
        <v>46347.4765625</v>
      </c>
      <c r="F1708">
        <v>47945.05859375</v>
      </c>
      <c r="G1708">
        <v>47945.05859375</v>
      </c>
      <c r="H1708">
        <v>77069903166</v>
      </c>
      <c r="I1708" t="s">
        <v>4863</v>
      </c>
      <c r="J1708" t="s">
        <v>4865</v>
      </c>
      <c r="K1708" t="s">
        <v>4634</v>
      </c>
    </row>
    <row r="1709" spans="1:11" ht="20" customHeight="1">
      <c r="A1709" t="s">
        <v>26</v>
      </c>
      <c r="B1709" t="s">
        <v>399</v>
      </c>
      <c r="C1709">
        <v>47944.45703125</v>
      </c>
      <c r="D1709">
        <v>50341.1015625</v>
      </c>
      <c r="E1709">
        <v>47201.3046875</v>
      </c>
      <c r="F1709">
        <v>49199.87109375</v>
      </c>
      <c r="G1709">
        <v>49199.87109375</v>
      </c>
      <c r="H1709">
        <v>77049582886</v>
      </c>
      <c r="I1709" t="s">
        <v>4865</v>
      </c>
      <c r="J1709" t="s">
        <v>4866</v>
      </c>
      <c r="K1709" t="s">
        <v>4634</v>
      </c>
    </row>
    <row r="1710" spans="1:11" ht="20" customHeight="1">
      <c r="A1710" t="s">
        <v>26</v>
      </c>
      <c r="B1710" t="s">
        <v>402</v>
      </c>
      <c r="C1710">
        <v>49207.27734375</v>
      </c>
      <c r="D1710">
        <v>52533.9140625</v>
      </c>
      <c r="E1710">
        <v>49072.37890625</v>
      </c>
      <c r="F1710">
        <v>52149.0078125</v>
      </c>
      <c r="G1710">
        <v>52149.0078125</v>
      </c>
      <c r="H1710">
        <v>80820545404</v>
      </c>
      <c r="I1710" t="s">
        <v>4866</v>
      </c>
      <c r="J1710" t="s">
        <v>4867</v>
      </c>
      <c r="K1710" t="s">
        <v>4634</v>
      </c>
    </row>
    <row r="1711" spans="1:11" ht="20" customHeight="1">
      <c r="A1711" t="s">
        <v>26</v>
      </c>
      <c r="B1711" t="s">
        <v>405</v>
      </c>
      <c r="C1711">
        <v>52140.97265625</v>
      </c>
      <c r="D1711">
        <v>52474.10546875</v>
      </c>
      <c r="E1711">
        <v>51015.765625</v>
      </c>
      <c r="F1711">
        <v>51679.796875</v>
      </c>
      <c r="G1711">
        <v>51679.796875</v>
      </c>
      <c r="H1711">
        <v>52054723579</v>
      </c>
      <c r="I1711" t="s">
        <v>4867</v>
      </c>
      <c r="J1711" t="s">
        <v>4868</v>
      </c>
      <c r="K1711" t="s">
        <v>4634</v>
      </c>
    </row>
    <row r="1712" spans="1:11" ht="20" customHeight="1">
      <c r="A1712" t="s">
        <v>26</v>
      </c>
      <c r="B1712" t="s">
        <v>408</v>
      </c>
      <c r="C1712">
        <v>51675.98046875</v>
      </c>
      <c r="D1712">
        <v>56113.65234375</v>
      </c>
      <c r="E1712">
        <v>50937.27734375</v>
      </c>
      <c r="F1712">
        <v>55888.1328125</v>
      </c>
      <c r="G1712">
        <v>55888.1328125</v>
      </c>
      <c r="H1712">
        <v>63495496918</v>
      </c>
      <c r="I1712" t="s">
        <v>4868</v>
      </c>
      <c r="J1712" t="s">
        <v>4869</v>
      </c>
      <c r="K1712" t="s">
        <v>4634</v>
      </c>
    </row>
    <row r="1713" spans="1:11" ht="20" customHeight="1">
      <c r="A1713" t="s">
        <v>26</v>
      </c>
      <c r="B1713" t="s">
        <v>4870</v>
      </c>
      <c r="C1713">
        <v>55887.3359375</v>
      </c>
      <c r="D1713">
        <v>57505.2265625</v>
      </c>
      <c r="E1713">
        <v>54626.55859375</v>
      </c>
      <c r="F1713">
        <v>56099.51953125</v>
      </c>
      <c r="G1713">
        <v>56099.51953125</v>
      </c>
      <c r="H1713">
        <v>68145460026</v>
      </c>
      <c r="I1713" t="s">
        <v>4869</v>
      </c>
      <c r="J1713" t="s">
        <v>4871</v>
      </c>
      <c r="K1713" t="s">
        <v>4634</v>
      </c>
    </row>
    <row r="1714" spans="1:11" ht="20" customHeight="1">
      <c r="A1714" t="s">
        <v>26</v>
      </c>
      <c r="B1714" t="s">
        <v>4872</v>
      </c>
      <c r="C1714">
        <v>56068.56640625</v>
      </c>
      <c r="D1714">
        <v>58330.5703125</v>
      </c>
      <c r="E1714">
        <v>55672.609375</v>
      </c>
      <c r="F1714">
        <v>57539.9453125</v>
      </c>
      <c r="G1714">
        <v>57539.9453125</v>
      </c>
      <c r="H1714">
        <v>51897585191</v>
      </c>
      <c r="I1714" t="s">
        <v>4871</v>
      </c>
      <c r="J1714" t="s">
        <v>4873</v>
      </c>
      <c r="K1714" t="s">
        <v>4634</v>
      </c>
    </row>
    <row r="1715" spans="1:11" ht="20" customHeight="1">
      <c r="A1715" t="s">
        <v>26</v>
      </c>
      <c r="B1715" t="s">
        <v>411</v>
      </c>
      <c r="C1715">
        <v>57532.73828125</v>
      </c>
      <c r="D1715">
        <v>57533.390625</v>
      </c>
      <c r="E1715">
        <v>48967.56640625</v>
      </c>
      <c r="F1715">
        <v>54207.3203125</v>
      </c>
      <c r="G1715">
        <v>54207.3203125</v>
      </c>
      <c r="H1715">
        <v>92052420332</v>
      </c>
      <c r="I1715" t="s">
        <v>4873</v>
      </c>
      <c r="J1715" t="s">
        <v>4874</v>
      </c>
      <c r="K1715" t="s">
        <v>4634</v>
      </c>
    </row>
    <row r="1716" spans="1:11" ht="20" customHeight="1">
      <c r="A1716" t="s">
        <v>26</v>
      </c>
      <c r="B1716" t="s">
        <v>414</v>
      </c>
      <c r="C1716">
        <v>54204.9296875</v>
      </c>
      <c r="D1716">
        <v>54204.9296875</v>
      </c>
      <c r="E1716">
        <v>45290.58984375</v>
      </c>
      <c r="F1716">
        <v>48824.42578125</v>
      </c>
      <c r="G1716">
        <v>48824.42578125</v>
      </c>
      <c r="H1716">
        <v>106102492824</v>
      </c>
      <c r="I1716" t="s">
        <v>4874</v>
      </c>
      <c r="J1716" t="s">
        <v>4875</v>
      </c>
      <c r="K1716" t="s">
        <v>4634</v>
      </c>
    </row>
    <row r="1717" spans="1:11" ht="20" customHeight="1">
      <c r="A1717" t="s">
        <v>26</v>
      </c>
      <c r="B1717" t="s">
        <v>417</v>
      </c>
      <c r="C1717">
        <v>48835.0859375</v>
      </c>
      <c r="D1717">
        <v>51290.13671875</v>
      </c>
      <c r="E1717">
        <v>47213.5</v>
      </c>
      <c r="F1717">
        <v>49705.33203125</v>
      </c>
      <c r="G1717">
        <v>49705.33203125</v>
      </c>
      <c r="H1717">
        <v>63695521388</v>
      </c>
      <c r="I1717" t="s">
        <v>4875</v>
      </c>
      <c r="J1717" t="s">
        <v>4876</v>
      </c>
      <c r="K1717" t="s">
        <v>4634</v>
      </c>
    </row>
    <row r="1718" spans="1:11" ht="20" customHeight="1">
      <c r="A1718" t="s">
        <v>26</v>
      </c>
      <c r="B1718" t="s">
        <v>420</v>
      </c>
      <c r="C1718">
        <v>49709.08203125</v>
      </c>
      <c r="D1718">
        <v>51948.96875</v>
      </c>
      <c r="E1718">
        <v>47093.8515625</v>
      </c>
      <c r="F1718">
        <v>47093.8515625</v>
      </c>
      <c r="G1718">
        <v>47093.8515625</v>
      </c>
      <c r="H1718">
        <v>54506565949</v>
      </c>
      <c r="I1718" t="s">
        <v>4876</v>
      </c>
      <c r="J1718" t="s">
        <v>4877</v>
      </c>
      <c r="K1718" t="s">
        <v>4634</v>
      </c>
    </row>
    <row r="1719" spans="1:11" ht="20" customHeight="1">
      <c r="A1719" t="s">
        <v>26</v>
      </c>
      <c r="B1719" t="s">
        <v>423</v>
      </c>
      <c r="C1719">
        <v>47180.46484375</v>
      </c>
      <c r="D1719">
        <v>48370.78515625</v>
      </c>
      <c r="E1719">
        <v>44454.84375</v>
      </c>
      <c r="F1719">
        <v>46339.76171875</v>
      </c>
      <c r="G1719">
        <v>46339.76171875</v>
      </c>
      <c r="H1719">
        <v>350967941479</v>
      </c>
      <c r="I1719" t="s">
        <v>4877</v>
      </c>
      <c r="J1719" t="s">
        <v>4878</v>
      </c>
      <c r="K1719" t="s">
        <v>4634</v>
      </c>
    </row>
    <row r="1720" spans="1:11" ht="20" customHeight="1">
      <c r="A1720" t="s">
        <v>26</v>
      </c>
      <c r="B1720" t="s">
        <v>4879</v>
      </c>
      <c r="C1720">
        <v>46344.7734375</v>
      </c>
      <c r="D1720">
        <v>48253.26953125</v>
      </c>
      <c r="E1720">
        <v>45269.02734375</v>
      </c>
      <c r="F1720">
        <v>46188.453125</v>
      </c>
      <c r="G1720">
        <v>46188.453125</v>
      </c>
      <c r="H1720">
        <v>45910946382</v>
      </c>
      <c r="I1720" t="s">
        <v>4878</v>
      </c>
      <c r="J1720" t="s">
        <v>4880</v>
      </c>
      <c r="K1720" t="s">
        <v>4634</v>
      </c>
    </row>
    <row r="1721" spans="1:11" ht="20" customHeight="1">
      <c r="A1721" t="s">
        <v>26</v>
      </c>
      <c r="B1721" t="s">
        <v>4881</v>
      </c>
      <c r="C1721">
        <v>46194.015625</v>
      </c>
      <c r="D1721">
        <v>46716.4296875</v>
      </c>
      <c r="E1721">
        <v>43241.6171875</v>
      </c>
      <c r="F1721">
        <v>45137.76953125</v>
      </c>
      <c r="G1721">
        <v>45137.76953125</v>
      </c>
      <c r="H1721">
        <v>53443887451</v>
      </c>
      <c r="I1721" t="s">
        <v>4880</v>
      </c>
      <c r="J1721" t="s">
        <v>4882</v>
      </c>
      <c r="K1721" t="s">
        <v>4634</v>
      </c>
    </row>
    <row r="1722" spans="1:11" ht="20" customHeight="1">
      <c r="A1722" t="s">
        <v>26</v>
      </c>
      <c r="B1722" t="s">
        <v>426</v>
      </c>
      <c r="C1722">
        <v>45159.50390625</v>
      </c>
      <c r="D1722">
        <v>49784.015625</v>
      </c>
      <c r="E1722">
        <v>45115.09375</v>
      </c>
      <c r="F1722">
        <v>49631.2421875</v>
      </c>
      <c r="G1722">
        <v>49631.2421875</v>
      </c>
      <c r="H1722">
        <v>53891300112</v>
      </c>
      <c r="I1722" t="s">
        <v>4882</v>
      </c>
      <c r="J1722" t="s">
        <v>4883</v>
      </c>
      <c r="K1722" t="s">
        <v>4634</v>
      </c>
    </row>
    <row r="1723" spans="1:11" ht="20" customHeight="1">
      <c r="A1723" t="s">
        <v>26</v>
      </c>
      <c r="B1723" t="s">
        <v>429</v>
      </c>
      <c r="C1723">
        <v>49612.10546875</v>
      </c>
      <c r="D1723">
        <v>50127.51171875</v>
      </c>
      <c r="E1723">
        <v>47228.84375</v>
      </c>
      <c r="F1723">
        <v>48378.98828125</v>
      </c>
      <c r="G1723">
        <v>48378.98828125</v>
      </c>
      <c r="H1723">
        <v>47530897720</v>
      </c>
      <c r="I1723" t="s">
        <v>4883</v>
      </c>
      <c r="J1723" t="s">
        <v>4884</v>
      </c>
      <c r="K1723" t="s">
        <v>4634</v>
      </c>
    </row>
    <row r="1724" spans="1:11" ht="20" customHeight="1">
      <c r="A1724" t="s">
        <v>26</v>
      </c>
      <c r="B1724" t="s">
        <v>432</v>
      </c>
      <c r="C1724">
        <v>48415.81640625</v>
      </c>
      <c r="D1724">
        <v>52535.13671875</v>
      </c>
      <c r="E1724">
        <v>48274.3203125</v>
      </c>
      <c r="F1724">
        <v>50538.2421875</v>
      </c>
      <c r="G1724">
        <v>50538.2421875</v>
      </c>
      <c r="H1724">
        <v>53220811975</v>
      </c>
      <c r="I1724" t="s">
        <v>4884</v>
      </c>
      <c r="J1724" t="s">
        <v>4885</v>
      </c>
      <c r="K1724" t="s">
        <v>4634</v>
      </c>
    </row>
    <row r="1725" spans="1:11" ht="20" customHeight="1">
      <c r="A1725" t="s">
        <v>26</v>
      </c>
      <c r="B1725" t="s">
        <v>435</v>
      </c>
      <c r="C1725">
        <v>50522.3046875</v>
      </c>
      <c r="D1725">
        <v>51735.08984375</v>
      </c>
      <c r="E1725">
        <v>47656.9296875</v>
      </c>
      <c r="F1725">
        <v>48561.16796875</v>
      </c>
      <c r="G1725">
        <v>48561.16796875</v>
      </c>
      <c r="H1725">
        <v>52343816680</v>
      </c>
      <c r="I1725" t="s">
        <v>4885</v>
      </c>
      <c r="J1725" t="s">
        <v>4886</v>
      </c>
      <c r="K1725" t="s">
        <v>4634</v>
      </c>
    </row>
    <row r="1726" spans="1:11" ht="20" customHeight="1">
      <c r="A1726" t="s">
        <v>26</v>
      </c>
      <c r="B1726" t="s">
        <v>438</v>
      </c>
      <c r="C1726">
        <v>48527.03125</v>
      </c>
      <c r="D1726">
        <v>49396.4296875</v>
      </c>
      <c r="E1726">
        <v>46542.515625</v>
      </c>
      <c r="F1726">
        <v>48927.3046875</v>
      </c>
      <c r="G1726">
        <v>48927.3046875</v>
      </c>
      <c r="H1726">
        <v>48625928883</v>
      </c>
      <c r="I1726" t="s">
        <v>4886</v>
      </c>
      <c r="J1726" t="s">
        <v>4887</v>
      </c>
      <c r="K1726" t="s">
        <v>4634</v>
      </c>
    </row>
    <row r="1727" spans="1:11" ht="20" customHeight="1">
      <c r="A1727" t="s">
        <v>26</v>
      </c>
      <c r="B1727" t="s">
        <v>4888</v>
      </c>
      <c r="C1727">
        <v>48899.23046875</v>
      </c>
      <c r="D1727">
        <v>49147.21875</v>
      </c>
      <c r="E1727">
        <v>47257.52734375</v>
      </c>
      <c r="F1727">
        <v>48912.3828125</v>
      </c>
      <c r="G1727">
        <v>48912.3828125</v>
      </c>
      <c r="H1727">
        <v>34363564661</v>
      </c>
      <c r="I1727" t="s">
        <v>4887</v>
      </c>
      <c r="J1727" t="s">
        <v>4889</v>
      </c>
      <c r="K1727" t="s">
        <v>4634</v>
      </c>
    </row>
    <row r="1728" spans="1:11" ht="20" customHeight="1">
      <c r="A1728" t="s">
        <v>26</v>
      </c>
      <c r="B1728" t="s">
        <v>4890</v>
      </c>
      <c r="C1728">
        <v>48918.6796875</v>
      </c>
      <c r="D1728">
        <v>51384.3671875</v>
      </c>
      <c r="E1728">
        <v>48918.6796875</v>
      </c>
      <c r="F1728">
        <v>51206.69140625</v>
      </c>
      <c r="G1728">
        <v>51206.69140625</v>
      </c>
      <c r="H1728">
        <v>43137459378</v>
      </c>
      <c r="I1728" t="s">
        <v>4889</v>
      </c>
      <c r="J1728" t="s">
        <v>4891</v>
      </c>
      <c r="K1728" t="s">
        <v>4634</v>
      </c>
    </row>
    <row r="1729" spans="1:11" ht="20" customHeight="1">
      <c r="A1729" t="s">
        <v>26</v>
      </c>
      <c r="B1729" t="s">
        <v>441</v>
      </c>
      <c r="C1729">
        <v>51174.1171875</v>
      </c>
      <c r="D1729">
        <v>52314.0703125</v>
      </c>
      <c r="E1729">
        <v>49506.0546875</v>
      </c>
      <c r="F1729">
        <v>52246.5234375</v>
      </c>
      <c r="G1729">
        <v>52246.5234375</v>
      </c>
      <c r="H1729">
        <v>48597428048</v>
      </c>
      <c r="I1729" t="s">
        <v>4891</v>
      </c>
      <c r="J1729" t="s">
        <v>4892</v>
      </c>
      <c r="K1729" t="s">
        <v>4634</v>
      </c>
    </row>
    <row r="1730" spans="1:11" ht="20" customHeight="1">
      <c r="A1730" t="s">
        <v>26</v>
      </c>
      <c r="B1730" t="s">
        <v>444</v>
      </c>
      <c r="C1730">
        <v>52272.96875</v>
      </c>
      <c r="D1730">
        <v>54824.1171875</v>
      </c>
      <c r="E1730">
        <v>51981.83203125</v>
      </c>
      <c r="F1730">
        <v>54824.1171875</v>
      </c>
      <c r="G1730">
        <v>54824.1171875</v>
      </c>
      <c r="H1730">
        <v>50912227385</v>
      </c>
      <c r="I1730" t="s">
        <v>4892</v>
      </c>
      <c r="J1730" t="s">
        <v>4893</v>
      </c>
      <c r="K1730" t="s">
        <v>4634</v>
      </c>
    </row>
    <row r="1731" spans="1:11" ht="20" customHeight="1">
      <c r="A1731" t="s">
        <v>26</v>
      </c>
      <c r="B1731" t="s">
        <v>447</v>
      </c>
      <c r="C1731">
        <v>54824.01171875</v>
      </c>
      <c r="D1731">
        <v>57258.25390625</v>
      </c>
      <c r="E1731">
        <v>53290.890625</v>
      </c>
      <c r="F1731">
        <v>56008.55078125</v>
      </c>
      <c r="G1731">
        <v>56008.55078125</v>
      </c>
      <c r="H1731">
        <v>57295577614</v>
      </c>
      <c r="I1731" t="s">
        <v>4893</v>
      </c>
      <c r="J1731" t="s">
        <v>4894</v>
      </c>
      <c r="K1731" t="s">
        <v>4634</v>
      </c>
    </row>
    <row r="1732" spans="1:11" ht="20" customHeight="1">
      <c r="A1732" t="s">
        <v>26</v>
      </c>
      <c r="B1732" t="s">
        <v>450</v>
      </c>
      <c r="C1732">
        <v>55963.1796875</v>
      </c>
      <c r="D1732">
        <v>58091.0625</v>
      </c>
      <c r="E1732">
        <v>54484.59375</v>
      </c>
      <c r="F1732">
        <v>57805.12109375</v>
      </c>
      <c r="G1732">
        <v>57805.12109375</v>
      </c>
      <c r="H1732">
        <v>56772343595</v>
      </c>
      <c r="I1732" t="s">
        <v>4894</v>
      </c>
      <c r="J1732" t="s">
        <v>4895</v>
      </c>
      <c r="K1732" t="s">
        <v>4634</v>
      </c>
    </row>
    <row r="1733" spans="1:11" ht="20" customHeight="1">
      <c r="A1733" t="s">
        <v>26</v>
      </c>
      <c r="B1733" t="s">
        <v>453</v>
      </c>
      <c r="C1733">
        <v>57821.21875</v>
      </c>
      <c r="D1733">
        <v>57996.62109375</v>
      </c>
      <c r="E1733">
        <v>55376.6484375</v>
      </c>
      <c r="F1733">
        <v>57332.08984375</v>
      </c>
      <c r="G1733">
        <v>57332.08984375</v>
      </c>
      <c r="H1733">
        <v>55689944702</v>
      </c>
      <c r="I1733" t="s">
        <v>4895</v>
      </c>
      <c r="J1733" t="s">
        <v>4896</v>
      </c>
      <c r="K1733" t="s">
        <v>4634</v>
      </c>
    </row>
    <row r="1734" spans="1:11" ht="20" customHeight="1">
      <c r="A1734" t="s">
        <v>26</v>
      </c>
      <c r="B1734" t="s">
        <v>4897</v>
      </c>
      <c r="C1734">
        <v>57343.37109375</v>
      </c>
      <c r="D1734">
        <v>61683.86328125</v>
      </c>
      <c r="E1734">
        <v>56217.97265625</v>
      </c>
      <c r="F1734">
        <v>61243.0859375</v>
      </c>
      <c r="G1734">
        <v>61243.0859375</v>
      </c>
      <c r="H1734">
        <v>60669829814</v>
      </c>
      <c r="I1734" t="s">
        <v>4896</v>
      </c>
      <c r="J1734" t="s">
        <v>4898</v>
      </c>
      <c r="K1734" t="s">
        <v>4634</v>
      </c>
    </row>
    <row r="1735" spans="1:11" ht="20" customHeight="1">
      <c r="A1735" t="s">
        <v>26</v>
      </c>
      <c r="B1735" t="s">
        <v>4899</v>
      </c>
      <c r="C1735">
        <v>61221.1328125</v>
      </c>
      <c r="D1735">
        <v>61597.91796875</v>
      </c>
      <c r="E1735">
        <v>59302.31640625</v>
      </c>
      <c r="F1735">
        <v>59302.31640625</v>
      </c>
      <c r="G1735">
        <v>59302.31640625</v>
      </c>
      <c r="H1735">
        <v>43901225564</v>
      </c>
      <c r="I1735" t="s">
        <v>4898</v>
      </c>
      <c r="J1735" t="s">
        <v>4900</v>
      </c>
      <c r="K1735" t="s">
        <v>4634</v>
      </c>
    </row>
    <row r="1736" spans="1:11" ht="20" customHeight="1">
      <c r="A1736" t="s">
        <v>26</v>
      </c>
      <c r="B1736" t="s">
        <v>456</v>
      </c>
      <c r="C1736">
        <v>59267.4296875</v>
      </c>
      <c r="D1736">
        <v>60540.9921875</v>
      </c>
      <c r="E1736">
        <v>55393.1640625</v>
      </c>
      <c r="F1736">
        <v>55907.19921875</v>
      </c>
      <c r="G1736">
        <v>55907.19921875</v>
      </c>
      <c r="H1736">
        <v>66419369890</v>
      </c>
      <c r="I1736" t="s">
        <v>4900</v>
      </c>
      <c r="J1736" t="s">
        <v>4901</v>
      </c>
      <c r="K1736" t="s">
        <v>4634</v>
      </c>
    </row>
    <row r="1737" spans="1:11" ht="20" customHeight="1">
      <c r="A1737" t="s">
        <v>26</v>
      </c>
      <c r="B1737" t="s">
        <v>459</v>
      </c>
      <c r="C1737">
        <v>55840.78515625</v>
      </c>
      <c r="D1737">
        <v>56833.1796875</v>
      </c>
      <c r="E1737">
        <v>53555.02734375</v>
      </c>
      <c r="F1737">
        <v>56804.90234375</v>
      </c>
      <c r="G1737">
        <v>56804.90234375</v>
      </c>
      <c r="H1737">
        <v>59749798599</v>
      </c>
      <c r="I1737" t="s">
        <v>4901</v>
      </c>
      <c r="J1737" t="s">
        <v>4902</v>
      </c>
      <c r="K1737" t="s">
        <v>4634</v>
      </c>
    </row>
    <row r="1738" spans="1:11" ht="20" customHeight="1">
      <c r="A1738" t="s">
        <v>26</v>
      </c>
      <c r="B1738" t="s">
        <v>462</v>
      </c>
      <c r="C1738">
        <v>56825.828125</v>
      </c>
      <c r="D1738">
        <v>58969.81640625</v>
      </c>
      <c r="E1738">
        <v>54528.62890625</v>
      </c>
      <c r="F1738">
        <v>58870.89453125</v>
      </c>
      <c r="G1738">
        <v>58870.89453125</v>
      </c>
      <c r="H1738">
        <v>60258313191</v>
      </c>
      <c r="I1738" t="s">
        <v>4902</v>
      </c>
      <c r="J1738" t="s">
        <v>4903</v>
      </c>
      <c r="K1738" t="s">
        <v>4634</v>
      </c>
    </row>
    <row r="1739" spans="1:11" ht="20" customHeight="1">
      <c r="A1739" t="s">
        <v>26</v>
      </c>
      <c r="B1739" t="s">
        <v>465</v>
      </c>
      <c r="C1739">
        <v>58893.078125</v>
      </c>
      <c r="D1739">
        <v>60116.25</v>
      </c>
      <c r="E1739">
        <v>54253.578125</v>
      </c>
      <c r="F1739">
        <v>57858.921875</v>
      </c>
      <c r="G1739">
        <v>57858.921875</v>
      </c>
      <c r="H1739">
        <v>55746041000</v>
      </c>
      <c r="I1739" t="s">
        <v>4903</v>
      </c>
      <c r="J1739" t="s">
        <v>4904</v>
      </c>
      <c r="K1739" t="s">
        <v>4634</v>
      </c>
    </row>
    <row r="1740" spans="1:11" ht="20" customHeight="1">
      <c r="A1740" t="s">
        <v>26</v>
      </c>
      <c r="B1740" t="s">
        <v>468</v>
      </c>
      <c r="C1740">
        <v>57850.44140625</v>
      </c>
      <c r="D1740">
        <v>59498.375</v>
      </c>
      <c r="E1740">
        <v>56643.703125</v>
      </c>
      <c r="F1740">
        <v>58346.65234375</v>
      </c>
      <c r="G1740">
        <v>58346.65234375</v>
      </c>
      <c r="H1740">
        <v>49063873786</v>
      </c>
      <c r="I1740" t="s">
        <v>4904</v>
      </c>
      <c r="J1740" t="s">
        <v>4905</v>
      </c>
      <c r="K1740" t="s">
        <v>4634</v>
      </c>
    </row>
    <row r="1741" spans="1:11" ht="20" customHeight="1">
      <c r="A1741" t="s">
        <v>26</v>
      </c>
      <c r="B1741" t="s">
        <v>4906</v>
      </c>
      <c r="C1741">
        <v>58332.26171875</v>
      </c>
      <c r="D1741">
        <v>60031.28515625</v>
      </c>
      <c r="E1741">
        <v>58213.296875</v>
      </c>
      <c r="F1741">
        <v>58313.64453125</v>
      </c>
      <c r="G1741">
        <v>58313.64453125</v>
      </c>
      <c r="H1741">
        <v>50361731222</v>
      </c>
      <c r="I1741" t="s">
        <v>4905</v>
      </c>
      <c r="J1741" t="s">
        <v>4907</v>
      </c>
      <c r="K1741" t="s">
        <v>4634</v>
      </c>
    </row>
    <row r="1742" spans="1:11" ht="20" customHeight="1">
      <c r="A1742" t="s">
        <v>26</v>
      </c>
      <c r="B1742" t="s">
        <v>4908</v>
      </c>
      <c r="C1742">
        <v>58309.9140625</v>
      </c>
      <c r="D1742">
        <v>58767.8984375</v>
      </c>
      <c r="E1742">
        <v>56005.6171875</v>
      </c>
      <c r="F1742">
        <v>57523.421875</v>
      </c>
      <c r="G1742">
        <v>57523.421875</v>
      </c>
      <c r="H1742">
        <v>51943414539</v>
      </c>
      <c r="I1742" t="s">
        <v>4907</v>
      </c>
      <c r="J1742" t="s">
        <v>4909</v>
      </c>
      <c r="K1742" t="s">
        <v>4634</v>
      </c>
    </row>
    <row r="1743" spans="1:11" ht="20" customHeight="1">
      <c r="A1743" t="s">
        <v>26</v>
      </c>
      <c r="B1743" t="s">
        <v>471</v>
      </c>
      <c r="C1743">
        <v>57517.890625</v>
      </c>
      <c r="D1743">
        <v>58471.48046875</v>
      </c>
      <c r="E1743">
        <v>54288.15625</v>
      </c>
      <c r="F1743">
        <v>54529.14453125</v>
      </c>
      <c r="G1743">
        <v>54529.14453125</v>
      </c>
      <c r="H1743">
        <v>56521454974</v>
      </c>
      <c r="I1743" t="s">
        <v>4909</v>
      </c>
      <c r="J1743" t="s">
        <v>4910</v>
      </c>
      <c r="K1743" t="s">
        <v>4634</v>
      </c>
    </row>
    <row r="1744" spans="1:11" ht="20" customHeight="1">
      <c r="A1744" t="s">
        <v>26</v>
      </c>
      <c r="B1744" t="s">
        <v>474</v>
      </c>
      <c r="C1744">
        <v>54511.66015625</v>
      </c>
      <c r="D1744">
        <v>55985.44140625</v>
      </c>
      <c r="E1744">
        <v>53470.6953125</v>
      </c>
      <c r="F1744">
        <v>54738.9453125</v>
      </c>
      <c r="G1744">
        <v>54738.9453125</v>
      </c>
      <c r="H1744">
        <v>56435023914</v>
      </c>
      <c r="I1744" t="s">
        <v>4910</v>
      </c>
      <c r="J1744" t="s">
        <v>4911</v>
      </c>
      <c r="K1744" t="s">
        <v>4634</v>
      </c>
    </row>
    <row r="1745" spans="1:11" ht="20" customHeight="1">
      <c r="A1745" t="s">
        <v>26</v>
      </c>
      <c r="B1745" t="s">
        <v>477</v>
      </c>
      <c r="C1745">
        <v>54710.48828125</v>
      </c>
      <c r="D1745">
        <v>57262.3828125</v>
      </c>
      <c r="E1745">
        <v>52514.33203125</v>
      </c>
      <c r="F1745">
        <v>52774.265625</v>
      </c>
      <c r="G1745">
        <v>52774.265625</v>
      </c>
      <c r="H1745">
        <v>70567223787</v>
      </c>
      <c r="I1745" t="s">
        <v>4911</v>
      </c>
      <c r="J1745" t="s">
        <v>4912</v>
      </c>
      <c r="K1745" t="s">
        <v>4634</v>
      </c>
    </row>
    <row r="1746" spans="1:11" ht="20" customHeight="1">
      <c r="A1746" t="s">
        <v>26</v>
      </c>
      <c r="B1746" t="s">
        <v>480</v>
      </c>
      <c r="C1746">
        <v>52726.74609375</v>
      </c>
      <c r="D1746">
        <v>53392.38671875</v>
      </c>
      <c r="E1746">
        <v>50856.5703125</v>
      </c>
      <c r="F1746">
        <v>51704.16015625</v>
      </c>
      <c r="G1746">
        <v>51704.16015625</v>
      </c>
      <c r="H1746">
        <v>67999812841</v>
      </c>
      <c r="I1746" t="s">
        <v>4912</v>
      </c>
      <c r="J1746" t="s">
        <v>4913</v>
      </c>
      <c r="K1746" t="s">
        <v>4634</v>
      </c>
    </row>
    <row r="1747" spans="1:11" ht="20" customHeight="1">
      <c r="A1747" t="s">
        <v>26</v>
      </c>
      <c r="B1747" t="s">
        <v>483</v>
      </c>
      <c r="C1747">
        <v>51683.01171875</v>
      </c>
      <c r="D1747">
        <v>55137.3125</v>
      </c>
      <c r="E1747">
        <v>51579.85546875</v>
      </c>
      <c r="F1747">
        <v>55137.3125</v>
      </c>
      <c r="G1747">
        <v>55137.3125</v>
      </c>
      <c r="H1747">
        <v>56652197978</v>
      </c>
      <c r="I1747" t="s">
        <v>4913</v>
      </c>
      <c r="J1747" t="s">
        <v>4914</v>
      </c>
      <c r="K1747" t="s">
        <v>4634</v>
      </c>
    </row>
    <row r="1748" spans="1:11" ht="20" customHeight="1">
      <c r="A1748" t="s">
        <v>26</v>
      </c>
      <c r="B1748" t="s">
        <v>4915</v>
      </c>
      <c r="C1748">
        <v>55137.56640625</v>
      </c>
      <c r="D1748">
        <v>56568.21484375</v>
      </c>
      <c r="E1748">
        <v>54242.91015625</v>
      </c>
      <c r="F1748">
        <v>55973.51171875</v>
      </c>
      <c r="G1748">
        <v>55973.51171875</v>
      </c>
      <c r="H1748">
        <v>47266542233</v>
      </c>
      <c r="I1748" t="s">
        <v>4914</v>
      </c>
      <c r="J1748" t="s">
        <v>4916</v>
      </c>
      <c r="K1748" t="s">
        <v>4634</v>
      </c>
    </row>
    <row r="1749" spans="1:11" ht="20" customHeight="1">
      <c r="A1749" t="s">
        <v>26</v>
      </c>
      <c r="B1749" t="s">
        <v>4917</v>
      </c>
      <c r="C1749">
        <v>55974.94140625</v>
      </c>
      <c r="D1749">
        <v>56610.3125</v>
      </c>
      <c r="E1749">
        <v>55071.11328125</v>
      </c>
      <c r="F1749">
        <v>55950.74609375</v>
      </c>
      <c r="G1749">
        <v>55950.74609375</v>
      </c>
      <c r="H1749">
        <v>47686580918</v>
      </c>
      <c r="I1749" t="s">
        <v>4916</v>
      </c>
      <c r="J1749" t="s">
        <v>4918</v>
      </c>
      <c r="K1749" t="s">
        <v>4634</v>
      </c>
    </row>
    <row r="1750" spans="1:11" ht="20" customHeight="1">
      <c r="A1750" t="s">
        <v>26</v>
      </c>
      <c r="B1750" t="s">
        <v>486</v>
      </c>
      <c r="C1750">
        <v>55947.8984375</v>
      </c>
      <c r="D1750">
        <v>58342.09765625</v>
      </c>
      <c r="E1750">
        <v>55139.33984375</v>
      </c>
      <c r="F1750">
        <v>57750.19921875</v>
      </c>
      <c r="G1750">
        <v>57750.19921875</v>
      </c>
      <c r="H1750">
        <v>57625587027</v>
      </c>
      <c r="I1750" t="s">
        <v>4918</v>
      </c>
      <c r="J1750" t="s">
        <v>4919</v>
      </c>
      <c r="K1750" t="s">
        <v>4634</v>
      </c>
    </row>
    <row r="1751" spans="1:11" ht="20" customHeight="1">
      <c r="A1751" t="s">
        <v>26</v>
      </c>
      <c r="B1751" t="s">
        <v>489</v>
      </c>
      <c r="C1751">
        <v>57750.1328125</v>
      </c>
      <c r="D1751">
        <v>59447.22265625</v>
      </c>
      <c r="E1751">
        <v>57251.55078125</v>
      </c>
      <c r="F1751">
        <v>58917.69140625</v>
      </c>
      <c r="G1751">
        <v>58917.69140625</v>
      </c>
      <c r="H1751">
        <v>54414116432</v>
      </c>
      <c r="I1751" t="s">
        <v>4919</v>
      </c>
      <c r="J1751" t="s">
        <v>4920</v>
      </c>
      <c r="K1751" t="s">
        <v>4634</v>
      </c>
    </row>
    <row r="1752" spans="1:11" ht="20" customHeight="1">
      <c r="A1752" t="s">
        <v>26</v>
      </c>
      <c r="B1752" t="s">
        <v>492</v>
      </c>
      <c r="C1752">
        <v>58930.27734375</v>
      </c>
      <c r="D1752">
        <v>59930.02734375</v>
      </c>
      <c r="E1752">
        <v>57726.41796875</v>
      </c>
      <c r="F1752">
        <v>58918.83203125</v>
      </c>
      <c r="G1752">
        <v>58918.83203125</v>
      </c>
      <c r="H1752">
        <v>65520826225</v>
      </c>
      <c r="I1752" t="s">
        <v>4920</v>
      </c>
      <c r="J1752" t="s">
        <v>4921</v>
      </c>
      <c r="K1752" t="s">
        <v>4634</v>
      </c>
    </row>
    <row r="1753" spans="1:11" ht="20" customHeight="1">
      <c r="A1753" t="s">
        <v>26</v>
      </c>
      <c r="B1753" t="s">
        <v>495</v>
      </c>
      <c r="C1753">
        <v>58926.5625</v>
      </c>
      <c r="D1753">
        <v>59586.0703125</v>
      </c>
      <c r="E1753">
        <v>58505.27734375</v>
      </c>
      <c r="F1753">
        <v>59095.80859375</v>
      </c>
      <c r="G1753">
        <v>59095.80859375</v>
      </c>
      <c r="H1753">
        <v>61669163792</v>
      </c>
      <c r="I1753" t="s">
        <v>4921</v>
      </c>
      <c r="J1753" t="s">
        <v>4922</v>
      </c>
      <c r="K1753" t="s">
        <v>4634</v>
      </c>
    </row>
    <row r="1754" spans="1:11" ht="20" customHeight="1">
      <c r="A1754" t="s">
        <v>26</v>
      </c>
      <c r="B1754" t="s">
        <v>4923</v>
      </c>
      <c r="C1754">
        <v>59098.87890625</v>
      </c>
      <c r="D1754">
        <v>60267.1875</v>
      </c>
      <c r="E1754">
        <v>58869.28125</v>
      </c>
      <c r="F1754">
        <v>59384.3125</v>
      </c>
      <c r="G1754">
        <v>59384.3125</v>
      </c>
      <c r="H1754">
        <v>58727860620</v>
      </c>
      <c r="I1754" t="s">
        <v>4922</v>
      </c>
      <c r="J1754" t="s">
        <v>4924</v>
      </c>
      <c r="K1754" t="s">
        <v>4634</v>
      </c>
    </row>
    <row r="1755" spans="1:11" ht="20" customHeight="1">
      <c r="A1755" t="s">
        <v>26</v>
      </c>
      <c r="B1755" t="s">
        <v>4925</v>
      </c>
      <c r="C1755">
        <v>59397.41015625</v>
      </c>
      <c r="D1755">
        <v>60110.26953125</v>
      </c>
      <c r="E1755">
        <v>57603.890625</v>
      </c>
      <c r="F1755">
        <v>57603.890625</v>
      </c>
      <c r="G1755">
        <v>57603.890625</v>
      </c>
      <c r="H1755">
        <v>59641344484</v>
      </c>
      <c r="I1755" t="s">
        <v>4924</v>
      </c>
      <c r="J1755" t="s">
        <v>4926</v>
      </c>
      <c r="K1755" t="s">
        <v>4634</v>
      </c>
    </row>
    <row r="1756" spans="1:11" ht="20" customHeight="1">
      <c r="A1756" t="s">
        <v>26</v>
      </c>
      <c r="B1756" t="s">
        <v>4927</v>
      </c>
      <c r="C1756">
        <v>57604.83984375</v>
      </c>
      <c r="D1756">
        <v>58913.74609375</v>
      </c>
      <c r="E1756">
        <v>57168.67578125</v>
      </c>
      <c r="F1756">
        <v>58758.5546875</v>
      </c>
      <c r="G1756">
        <v>58758.5546875</v>
      </c>
      <c r="H1756">
        <v>50749662970</v>
      </c>
      <c r="I1756" t="s">
        <v>4926</v>
      </c>
      <c r="J1756" t="s">
        <v>4928</v>
      </c>
      <c r="K1756" t="s">
        <v>4634</v>
      </c>
    </row>
    <row r="1757" spans="1:11" ht="20" customHeight="1">
      <c r="A1757" t="s">
        <v>26</v>
      </c>
      <c r="B1757" t="s">
        <v>498</v>
      </c>
      <c r="C1757">
        <v>58760.875</v>
      </c>
      <c r="D1757">
        <v>59891.296875</v>
      </c>
      <c r="E1757">
        <v>57694.82421875</v>
      </c>
      <c r="F1757">
        <v>59057.87890625</v>
      </c>
      <c r="G1757">
        <v>59057.87890625</v>
      </c>
      <c r="H1757">
        <v>60706272115</v>
      </c>
      <c r="I1757" t="s">
        <v>4928</v>
      </c>
      <c r="J1757" t="s">
        <v>4929</v>
      </c>
      <c r="K1757" t="s">
        <v>4634</v>
      </c>
    </row>
    <row r="1758" spans="1:11" ht="20" customHeight="1">
      <c r="A1758" t="s">
        <v>26</v>
      </c>
      <c r="B1758" t="s">
        <v>501</v>
      </c>
      <c r="C1758">
        <v>59171.93359375</v>
      </c>
      <c r="D1758">
        <v>59479.578125</v>
      </c>
      <c r="E1758">
        <v>57646.80859375</v>
      </c>
      <c r="F1758">
        <v>58192.359375</v>
      </c>
      <c r="G1758">
        <v>58192.359375</v>
      </c>
      <c r="H1758">
        <v>66058027988</v>
      </c>
      <c r="I1758" t="s">
        <v>4929</v>
      </c>
      <c r="J1758" t="s">
        <v>4930</v>
      </c>
      <c r="K1758" t="s">
        <v>4634</v>
      </c>
    </row>
    <row r="1759" spans="1:11" ht="20" customHeight="1">
      <c r="A1759" t="s">
        <v>26</v>
      </c>
      <c r="B1759" t="s">
        <v>504</v>
      </c>
      <c r="C1759">
        <v>58186.5078125</v>
      </c>
      <c r="D1759">
        <v>58731.14453125</v>
      </c>
      <c r="E1759">
        <v>55604.0234375</v>
      </c>
      <c r="F1759">
        <v>56048.9375</v>
      </c>
      <c r="G1759">
        <v>56048.9375</v>
      </c>
      <c r="H1759">
        <v>75645303584</v>
      </c>
      <c r="I1759" t="s">
        <v>4930</v>
      </c>
      <c r="J1759" t="s">
        <v>4931</v>
      </c>
      <c r="K1759" t="s">
        <v>4634</v>
      </c>
    </row>
    <row r="1760" spans="1:11" ht="20" customHeight="1">
      <c r="A1760" t="s">
        <v>26</v>
      </c>
      <c r="B1760" t="s">
        <v>507</v>
      </c>
      <c r="C1760">
        <v>56099.9140625</v>
      </c>
      <c r="D1760">
        <v>58338.73828125</v>
      </c>
      <c r="E1760">
        <v>55879.0859375</v>
      </c>
      <c r="F1760">
        <v>58323.953125</v>
      </c>
      <c r="G1760">
        <v>58323.953125</v>
      </c>
      <c r="H1760">
        <v>53053855641</v>
      </c>
      <c r="I1760" t="s">
        <v>4931</v>
      </c>
      <c r="J1760" t="s">
        <v>4932</v>
      </c>
      <c r="K1760" t="s">
        <v>4634</v>
      </c>
    </row>
    <row r="1761" spans="1:11" ht="20" customHeight="1">
      <c r="A1761" t="s">
        <v>26</v>
      </c>
      <c r="B1761" t="s">
        <v>510</v>
      </c>
      <c r="C1761">
        <v>58326.5625</v>
      </c>
      <c r="D1761">
        <v>58937.046875</v>
      </c>
      <c r="E1761">
        <v>57807.86328125</v>
      </c>
      <c r="F1761">
        <v>58245.00390625</v>
      </c>
      <c r="G1761">
        <v>58245.00390625</v>
      </c>
      <c r="H1761">
        <v>46655208546</v>
      </c>
      <c r="I1761" t="s">
        <v>4932</v>
      </c>
      <c r="J1761" t="s">
        <v>4933</v>
      </c>
      <c r="K1761" t="s">
        <v>4634</v>
      </c>
    </row>
    <row r="1762" spans="1:11" ht="20" customHeight="1">
      <c r="A1762" t="s">
        <v>26</v>
      </c>
      <c r="B1762" t="s">
        <v>4934</v>
      </c>
      <c r="C1762">
        <v>58253.77734375</v>
      </c>
      <c r="D1762">
        <v>61276.6640625</v>
      </c>
      <c r="E1762">
        <v>58038.70703125</v>
      </c>
      <c r="F1762">
        <v>59793.234375</v>
      </c>
      <c r="G1762">
        <v>59793.234375</v>
      </c>
      <c r="H1762">
        <v>58238470525</v>
      </c>
      <c r="I1762" t="s">
        <v>4933</v>
      </c>
      <c r="J1762" t="s">
        <v>4935</v>
      </c>
      <c r="K1762" t="s">
        <v>4634</v>
      </c>
    </row>
    <row r="1763" spans="1:11" ht="20" customHeight="1">
      <c r="A1763" t="s">
        <v>26</v>
      </c>
      <c r="B1763" t="s">
        <v>4936</v>
      </c>
      <c r="C1763">
        <v>59846.23046875</v>
      </c>
      <c r="D1763">
        <v>60790.5546875</v>
      </c>
      <c r="E1763">
        <v>59289.796875</v>
      </c>
      <c r="F1763">
        <v>60204.96484375</v>
      </c>
      <c r="G1763">
        <v>60204.96484375</v>
      </c>
      <c r="H1763">
        <v>46280252580</v>
      </c>
      <c r="I1763" t="s">
        <v>4935</v>
      </c>
      <c r="J1763" t="s">
        <v>4937</v>
      </c>
      <c r="K1763" t="s">
        <v>4634</v>
      </c>
    </row>
    <row r="1764" spans="1:11" ht="20" customHeight="1">
      <c r="A1764" t="s">
        <v>26</v>
      </c>
      <c r="B1764" t="s">
        <v>513</v>
      </c>
      <c r="C1764">
        <v>60175.9453125</v>
      </c>
      <c r="D1764">
        <v>61253.03515625</v>
      </c>
      <c r="E1764">
        <v>59589.875</v>
      </c>
      <c r="F1764">
        <v>59893.453125</v>
      </c>
      <c r="G1764">
        <v>59893.453125</v>
      </c>
      <c r="H1764">
        <v>51828688519</v>
      </c>
      <c r="I1764" t="s">
        <v>4937</v>
      </c>
      <c r="J1764" t="s">
        <v>4938</v>
      </c>
      <c r="K1764" t="s">
        <v>4634</v>
      </c>
    </row>
    <row r="1765" spans="1:11" ht="20" customHeight="1">
      <c r="A1765" t="s">
        <v>26</v>
      </c>
      <c r="B1765" t="s">
        <v>516</v>
      </c>
      <c r="C1765">
        <v>59890.01953125</v>
      </c>
      <c r="D1765">
        <v>63742.28515625</v>
      </c>
      <c r="E1765">
        <v>59869.95703125</v>
      </c>
      <c r="F1765">
        <v>63503.45703125</v>
      </c>
      <c r="G1765">
        <v>63503.45703125</v>
      </c>
      <c r="H1765">
        <v>69983454362</v>
      </c>
      <c r="I1765" t="s">
        <v>4938</v>
      </c>
      <c r="J1765" t="s">
        <v>4939</v>
      </c>
      <c r="K1765" t="s">
        <v>4634</v>
      </c>
    </row>
    <row r="1766" spans="1:11" ht="20" customHeight="1">
      <c r="A1766" t="s">
        <v>26</v>
      </c>
      <c r="B1766" t="s">
        <v>519</v>
      </c>
      <c r="C1766">
        <v>63523.75390625</v>
      </c>
      <c r="D1766">
        <v>64863.09765625</v>
      </c>
      <c r="E1766">
        <v>61554.796875</v>
      </c>
      <c r="F1766">
        <v>63109.6953125</v>
      </c>
      <c r="G1766">
        <v>63109.6953125</v>
      </c>
      <c r="H1766">
        <v>77451779687</v>
      </c>
      <c r="I1766" t="s">
        <v>4939</v>
      </c>
      <c r="J1766" t="s">
        <v>4940</v>
      </c>
      <c r="K1766" t="s">
        <v>4634</v>
      </c>
    </row>
    <row r="1767" spans="1:11" ht="20" customHeight="1">
      <c r="A1767" t="s">
        <v>26</v>
      </c>
      <c r="B1767" t="s">
        <v>522</v>
      </c>
      <c r="C1767">
        <v>63075.1953125</v>
      </c>
      <c r="D1767">
        <v>63821.671875</v>
      </c>
      <c r="E1767">
        <v>62208.96484375</v>
      </c>
      <c r="F1767">
        <v>63314.01171875</v>
      </c>
      <c r="G1767">
        <v>63314.01171875</v>
      </c>
      <c r="H1767">
        <v>60954381579</v>
      </c>
      <c r="I1767" t="s">
        <v>4940</v>
      </c>
      <c r="J1767" t="s">
        <v>4941</v>
      </c>
      <c r="K1767" t="s">
        <v>4634</v>
      </c>
    </row>
    <row r="1768" spans="1:11" ht="20" customHeight="1">
      <c r="A1768" t="s">
        <v>26</v>
      </c>
      <c r="B1768" t="s">
        <v>525</v>
      </c>
      <c r="C1768">
        <v>63258.50390625</v>
      </c>
      <c r="D1768">
        <v>63594.72265625</v>
      </c>
      <c r="E1768">
        <v>60222.53125</v>
      </c>
      <c r="F1768">
        <v>61572.7890625</v>
      </c>
      <c r="G1768">
        <v>61572.7890625</v>
      </c>
      <c r="H1768">
        <v>84293007468</v>
      </c>
      <c r="I1768" t="s">
        <v>4941</v>
      </c>
      <c r="J1768" t="s">
        <v>4942</v>
      </c>
      <c r="K1768" t="s">
        <v>4634</v>
      </c>
    </row>
    <row r="1769" spans="1:11" ht="20" customHeight="1">
      <c r="A1769" t="s">
        <v>26</v>
      </c>
      <c r="B1769" t="s">
        <v>4943</v>
      </c>
      <c r="C1769">
        <v>61529.921875</v>
      </c>
      <c r="D1769">
        <v>62572.17578125</v>
      </c>
      <c r="E1769">
        <v>60361.3515625</v>
      </c>
      <c r="F1769">
        <v>60683.8203125</v>
      </c>
      <c r="G1769">
        <v>60683.8203125</v>
      </c>
      <c r="H1769">
        <v>66138759198</v>
      </c>
      <c r="I1769" t="s">
        <v>4942</v>
      </c>
      <c r="J1769" t="s">
        <v>4944</v>
      </c>
      <c r="K1769" t="s">
        <v>4634</v>
      </c>
    </row>
    <row r="1770" spans="1:11" ht="20" customHeight="1">
      <c r="A1770" t="s">
        <v>26</v>
      </c>
      <c r="B1770" t="s">
        <v>4945</v>
      </c>
      <c r="C1770">
        <v>60701.88671875</v>
      </c>
      <c r="D1770">
        <v>61057.45703125</v>
      </c>
      <c r="E1770">
        <v>52829.53515625</v>
      </c>
      <c r="F1770">
        <v>56216.18359375</v>
      </c>
      <c r="G1770">
        <v>56216.18359375</v>
      </c>
      <c r="H1770">
        <v>97468872758</v>
      </c>
      <c r="I1770" t="s">
        <v>4944</v>
      </c>
      <c r="J1770" t="s">
        <v>4946</v>
      </c>
      <c r="K1770" t="s">
        <v>4634</v>
      </c>
    </row>
    <row r="1771" spans="1:11" ht="20" customHeight="1">
      <c r="A1771" t="s">
        <v>26</v>
      </c>
      <c r="B1771" t="s">
        <v>528</v>
      </c>
      <c r="C1771">
        <v>56191.5859375</v>
      </c>
      <c r="D1771">
        <v>57520.0546875</v>
      </c>
      <c r="E1771">
        <v>54368.59375</v>
      </c>
      <c r="F1771">
        <v>55724.265625</v>
      </c>
      <c r="G1771">
        <v>55724.265625</v>
      </c>
      <c r="H1771">
        <v>65344865159</v>
      </c>
      <c r="I1771" t="s">
        <v>4946</v>
      </c>
      <c r="J1771" t="s">
        <v>4947</v>
      </c>
      <c r="K1771" t="s">
        <v>4634</v>
      </c>
    </row>
    <row r="1772" spans="1:11" ht="20" customHeight="1">
      <c r="A1772" t="s">
        <v>26</v>
      </c>
      <c r="B1772" t="s">
        <v>531</v>
      </c>
      <c r="C1772">
        <v>55681.79296875</v>
      </c>
      <c r="D1772">
        <v>57062.1484375</v>
      </c>
      <c r="E1772">
        <v>53448.046875</v>
      </c>
      <c r="F1772">
        <v>56473.03125</v>
      </c>
      <c r="G1772">
        <v>56473.03125</v>
      </c>
      <c r="H1772">
        <v>67849323955</v>
      </c>
      <c r="I1772" t="s">
        <v>4947</v>
      </c>
      <c r="J1772" t="s">
        <v>4948</v>
      </c>
      <c r="K1772" t="s">
        <v>4634</v>
      </c>
    </row>
    <row r="1773" spans="1:11" ht="20" customHeight="1">
      <c r="A1773" t="s">
        <v>26</v>
      </c>
      <c r="B1773" t="s">
        <v>534</v>
      </c>
      <c r="C1773">
        <v>56471.12890625</v>
      </c>
      <c r="D1773">
        <v>56757.97265625</v>
      </c>
      <c r="E1773">
        <v>53695.46875</v>
      </c>
      <c r="F1773">
        <v>53906.08984375</v>
      </c>
      <c r="G1773">
        <v>53906.08984375</v>
      </c>
      <c r="H1773">
        <v>54926612466</v>
      </c>
      <c r="I1773" t="s">
        <v>4948</v>
      </c>
      <c r="J1773" t="s">
        <v>4949</v>
      </c>
      <c r="K1773" t="s">
        <v>4634</v>
      </c>
    </row>
    <row r="1774" spans="1:11" ht="20" customHeight="1">
      <c r="A1774" t="s">
        <v>26</v>
      </c>
      <c r="B1774" t="s">
        <v>537</v>
      </c>
      <c r="C1774">
        <v>53857.10546875</v>
      </c>
      <c r="D1774">
        <v>55410.23046875</v>
      </c>
      <c r="E1774">
        <v>50583.8125</v>
      </c>
      <c r="F1774">
        <v>51762.2734375</v>
      </c>
      <c r="G1774">
        <v>51762.2734375</v>
      </c>
      <c r="H1774">
        <v>74798630778</v>
      </c>
      <c r="I1774" t="s">
        <v>4949</v>
      </c>
      <c r="J1774" t="s">
        <v>4950</v>
      </c>
      <c r="K1774" t="s">
        <v>4634</v>
      </c>
    </row>
    <row r="1775" spans="1:11" ht="20" customHeight="1">
      <c r="A1775" t="s">
        <v>26</v>
      </c>
      <c r="B1775" t="s">
        <v>540</v>
      </c>
      <c r="C1775">
        <v>51739.80859375</v>
      </c>
      <c r="D1775">
        <v>52120.79296875</v>
      </c>
      <c r="E1775">
        <v>47714.6640625</v>
      </c>
      <c r="F1775">
        <v>51093.65234375</v>
      </c>
      <c r="G1775">
        <v>51093.65234375</v>
      </c>
      <c r="H1775">
        <v>86668667320</v>
      </c>
      <c r="I1775" t="s">
        <v>4950</v>
      </c>
      <c r="J1775" t="s">
        <v>4951</v>
      </c>
      <c r="K1775" t="s">
        <v>4634</v>
      </c>
    </row>
    <row r="1776" spans="1:11" ht="20" customHeight="1">
      <c r="A1776" t="s">
        <v>26</v>
      </c>
      <c r="B1776" t="s">
        <v>4952</v>
      </c>
      <c r="C1776">
        <v>51143.2265625</v>
      </c>
      <c r="D1776">
        <v>51167.5625</v>
      </c>
      <c r="E1776">
        <v>48805.28515625</v>
      </c>
      <c r="F1776">
        <v>50050.8671875</v>
      </c>
      <c r="G1776">
        <v>50050.8671875</v>
      </c>
      <c r="H1776">
        <v>49014494781</v>
      </c>
      <c r="I1776" t="s">
        <v>4951</v>
      </c>
      <c r="J1776" t="s">
        <v>4953</v>
      </c>
      <c r="K1776" t="s">
        <v>4634</v>
      </c>
    </row>
    <row r="1777" spans="1:11" ht="20" customHeight="1">
      <c r="A1777" t="s">
        <v>26</v>
      </c>
      <c r="B1777" t="s">
        <v>4954</v>
      </c>
      <c r="C1777">
        <v>50052.83203125</v>
      </c>
      <c r="D1777">
        <v>50506.01953125</v>
      </c>
      <c r="E1777">
        <v>47159.484375</v>
      </c>
      <c r="F1777">
        <v>49004.25390625</v>
      </c>
      <c r="G1777">
        <v>49004.25390625</v>
      </c>
      <c r="H1777">
        <v>46117114240</v>
      </c>
      <c r="I1777" t="s">
        <v>4953</v>
      </c>
      <c r="J1777" t="s">
        <v>4955</v>
      </c>
      <c r="K1777" t="s">
        <v>4634</v>
      </c>
    </row>
    <row r="1778" spans="1:11" ht="20" customHeight="1">
      <c r="A1778" t="s">
        <v>26</v>
      </c>
      <c r="B1778" t="s">
        <v>543</v>
      </c>
      <c r="C1778">
        <v>49077.79296875</v>
      </c>
      <c r="D1778">
        <v>54288.00390625</v>
      </c>
      <c r="E1778">
        <v>48852.796875</v>
      </c>
      <c r="F1778">
        <v>54021.75390625</v>
      </c>
      <c r="G1778">
        <v>54021.75390625</v>
      </c>
      <c r="H1778">
        <v>58284039825</v>
      </c>
      <c r="I1778" t="s">
        <v>4955</v>
      </c>
      <c r="J1778" t="s">
        <v>4956</v>
      </c>
      <c r="K1778" t="s">
        <v>4634</v>
      </c>
    </row>
    <row r="1779" spans="1:11" ht="20" customHeight="1">
      <c r="A1779" t="s">
        <v>26</v>
      </c>
      <c r="B1779" t="s">
        <v>546</v>
      </c>
      <c r="C1779">
        <v>54030.3046875</v>
      </c>
      <c r="D1779">
        <v>55416.96484375</v>
      </c>
      <c r="E1779">
        <v>53319.1875</v>
      </c>
      <c r="F1779">
        <v>55033.1171875</v>
      </c>
      <c r="G1779">
        <v>55033.1171875</v>
      </c>
      <c r="H1779">
        <v>49448222757</v>
      </c>
      <c r="I1779" t="s">
        <v>4956</v>
      </c>
      <c r="J1779" t="s">
        <v>4957</v>
      </c>
      <c r="K1779" t="s">
        <v>4634</v>
      </c>
    </row>
    <row r="1780" spans="1:11" ht="20" customHeight="1">
      <c r="A1780" t="s">
        <v>26</v>
      </c>
      <c r="B1780" t="s">
        <v>549</v>
      </c>
      <c r="C1780">
        <v>55036.63671875</v>
      </c>
      <c r="D1780">
        <v>56227.20703125</v>
      </c>
      <c r="E1780">
        <v>53887.91796875</v>
      </c>
      <c r="F1780">
        <v>54824.703125</v>
      </c>
      <c r="G1780">
        <v>54824.703125</v>
      </c>
      <c r="H1780">
        <v>48000572955</v>
      </c>
      <c r="I1780" t="s">
        <v>4957</v>
      </c>
      <c r="J1780" t="s">
        <v>4958</v>
      </c>
      <c r="K1780" t="s">
        <v>4634</v>
      </c>
    </row>
    <row r="1781" spans="1:11" ht="20" customHeight="1">
      <c r="A1781" t="s">
        <v>26</v>
      </c>
      <c r="B1781" t="s">
        <v>552</v>
      </c>
      <c r="C1781">
        <v>54858.08984375</v>
      </c>
      <c r="D1781">
        <v>55115.84375</v>
      </c>
      <c r="E1781">
        <v>52418.02734375</v>
      </c>
      <c r="F1781">
        <v>53555.109375</v>
      </c>
      <c r="G1781">
        <v>53555.109375</v>
      </c>
      <c r="H1781">
        <v>46088929780</v>
      </c>
      <c r="I1781" t="s">
        <v>4958</v>
      </c>
      <c r="J1781" t="s">
        <v>4959</v>
      </c>
      <c r="K1781" t="s">
        <v>4634</v>
      </c>
    </row>
    <row r="1782" spans="1:11" ht="20" customHeight="1">
      <c r="A1782" t="s">
        <v>26</v>
      </c>
      <c r="B1782" t="s">
        <v>555</v>
      </c>
      <c r="C1782">
        <v>53568.6640625</v>
      </c>
      <c r="D1782">
        <v>57900.71875</v>
      </c>
      <c r="E1782">
        <v>53129.6015625</v>
      </c>
      <c r="F1782">
        <v>57750.17578125</v>
      </c>
      <c r="G1782">
        <v>57750.17578125</v>
      </c>
      <c r="H1782">
        <v>52395931985</v>
      </c>
      <c r="I1782" t="s">
        <v>4959</v>
      </c>
      <c r="J1782" t="s">
        <v>4960</v>
      </c>
      <c r="K1782" t="s">
        <v>4634</v>
      </c>
    </row>
    <row r="1783" spans="1:11" ht="20" customHeight="1">
      <c r="A1783" t="s">
        <v>26</v>
      </c>
      <c r="B1783" t="s">
        <v>4961</v>
      </c>
      <c r="C1783">
        <v>57714.6640625</v>
      </c>
      <c r="D1783">
        <v>58448.33984375</v>
      </c>
      <c r="E1783">
        <v>57052.2734375</v>
      </c>
      <c r="F1783">
        <v>57828.05078125</v>
      </c>
      <c r="G1783">
        <v>57828.05078125</v>
      </c>
      <c r="H1783">
        <v>42836427360</v>
      </c>
      <c r="I1783" t="s">
        <v>4960</v>
      </c>
      <c r="J1783" t="s">
        <v>4962</v>
      </c>
      <c r="K1783" t="s">
        <v>4634</v>
      </c>
    </row>
    <row r="1784" spans="1:11" ht="20" customHeight="1">
      <c r="A1784" t="s">
        <v>26</v>
      </c>
      <c r="B1784" t="s">
        <v>4963</v>
      </c>
      <c r="C1784">
        <v>57825.86328125</v>
      </c>
      <c r="D1784">
        <v>57902.59375</v>
      </c>
      <c r="E1784">
        <v>56141.90625</v>
      </c>
      <c r="F1784">
        <v>56631.078125</v>
      </c>
      <c r="G1784">
        <v>56631.078125</v>
      </c>
      <c r="H1784">
        <v>38177405335</v>
      </c>
      <c r="I1784" t="s">
        <v>4962</v>
      </c>
      <c r="J1784" t="s">
        <v>4964</v>
      </c>
      <c r="K1784" t="s">
        <v>4634</v>
      </c>
    </row>
    <row r="1785" spans="1:11" ht="20" customHeight="1">
      <c r="A1785" t="s">
        <v>26</v>
      </c>
      <c r="B1785" t="s">
        <v>558</v>
      </c>
      <c r="C1785">
        <v>56620.2734375</v>
      </c>
      <c r="D1785">
        <v>58973.30859375</v>
      </c>
      <c r="E1785">
        <v>56590.87109375</v>
      </c>
      <c r="F1785">
        <v>57200.29296875</v>
      </c>
      <c r="G1785">
        <v>57200.29296875</v>
      </c>
      <c r="H1785">
        <v>51713139031</v>
      </c>
      <c r="I1785" t="s">
        <v>4964</v>
      </c>
      <c r="J1785" t="s">
        <v>4965</v>
      </c>
      <c r="K1785" t="s">
        <v>4634</v>
      </c>
    </row>
    <row r="1786" spans="1:11" ht="20" customHeight="1">
      <c r="A1786" t="s">
        <v>26</v>
      </c>
      <c r="B1786" t="s">
        <v>561</v>
      </c>
      <c r="C1786">
        <v>57214.1796875</v>
      </c>
      <c r="D1786">
        <v>57214.1796875</v>
      </c>
      <c r="E1786">
        <v>53191.42578125</v>
      </c>
      <c r="F1786">
        <v>53333.5390625</v>
      </c>
      <c r="G1786">
        <v>53333.5390625</v>
      </c>
      <c r="H1786">
        <v>68564706967</v>
      </c>
      <c r="I1786" t="s">
        <v>4965</v>
      </c>
      <c r="J1786" t="s">
        <v>4966</v>
      </c>
      <c r="K1786" t="s">
        <v>4634</v>
      </c>
    </row>
    <row r="1787" spans="1:11" ht="20" customHeight="1">
      <c r="A1787" t="s">
        <v>26</v>
      </c>
      <c r="B1787" t="s">
        <v>564</v>
      </c>
      <c r="C1787">
        <v>53252.1640625</v>
      </c>
      <c r="D1787">
        <v>57911.36328125</v>
      </c>
      <c r="E1787">
        <v>52969.0546875</v>
      </c>
      <c r="F1787">
        <v>57424.0078125</v>
      </c>
      <c r="G1787">
        <v>57424.0078125</v>
      </c>
      <c r="H1787">
        <v>69241316747</v>
      </c>
      <c r="I1787" t="s">
        <v>4966</v>
      </c>
      <c r="J1787" t="s">
        <v>4967</v>
      </c>
      <c r="K1787" t="s">
        <v>4634</v>
      </c>
    </row>
    <row r="1788" spans="1:11" ht="20" customHeight="1">
      <c r="A1788" t="s">
        <v>26</v>
      </c>
      <c r="B1788" t="s">
        <v>567</v>
      </c>
      <c r="C1788">
        <v>57441.30859375</v>
      </c>
      <c r="D1788">
        <v>58363.31640625</v>
      </c>
      <c r="E1788">
        <v>55382.5078125</v>
      </c>
      <c r="F1788">
        <v>56396.515625</v>
      </c>
      <c r="G1788">
        <v>56396.515625</v>
      </c>
      <c r="H1788">
        <v>69523285106</v>
      </c>
      <c r="I1788" t="s">
        <v>4967</v>
      </c>
      <c r="J1788" t="s">
        <v>4968</v>
      </c>
      <c r="K1788" t="s">
        <v>4634</v>
      </c>
    </row>
    <row r="1789" spans="1:11" ht="20" customHeight="1">
      <c r="A1789" t="s">
        <v>26</v>
      </c>
      <c r="B1789" t="s">
        <v>570</v>
      </c>
      <c r="C1789">
        <v>56413.953125</v>
      </c>
      <c r="D1789">
        <v>58606.6328125</v>
      </c>
      <c r="E1789">
        <v>55321.84765625</v>
      </c>
      <c r="F1789">
        <v>57356.40234375</v>
      </c>
      <c r="G1789">
        <v>57356.40234375</v>
      </c>
      <c r="H1789">
        <v>68434023376</v>
      </c>
      <c r="I1789" t="s">
        <v>4968</v>
      </c>
      <c r="J1789" t="s">
        <v>4969</v>
      </c>
      <c r="K1789" t="s">
        <v>4634</v>
      </c>
    </row>
    <row r="1790" spans="1:11" ht="20" customHeight="1">
      <c r="A1790" t="s">
        <v>26</v>
      </c>
      <c r="B1790" t="s">
        <v>4970</v>
      </c>
      <c r="C1790">
        <v>57352.765625</v>
      </c>
      <c r="D1790">
        <v>59464.61328125</v>
      </c>
      <c r="E1790">
        <v>56975.2109375</v>
      </c>
      <c r="F1790">
        <v>58803.77734375</v>
      </c>
      <c r="G1790">
        <v>58803.77734375</v>
      </c>
      <c r="H1790">
        <v>65382980634</v>
      </c>
      <c r="I1790" t="s">
        <v>4969</v>
      </c>
      <c r="J1790" t="s">
        <v>4971</v>
      </c>
      <c r="K1790" t="s">
        <v>4634</v>
      </c>
    </row>
    <row r="1791" spans="1:11" ht="20" customHeight="1">
      <c r="A1791" t="s">
        <v>26</v>
      </c>
      <c r="B1791" t="s">
        <v>4972</v>
      </c>
      <c r="C1791">
        <v>58877.390625</v>
      </c>
      <c r="D1791">
        <v>59210.8828125</v>
      </c>
      <c r="E1791">
        <v>56482.00390625</v>
      </c>
      <c r="F1791">
        <v>58232.31640625</v>
      </c>
      <c r="G1791">
        <v>58232.31640625</v>
      </c>
      <c r="H1791">
        <v>65906690347</v>
      </c>
      <c r="I1791" t="s">
        <v>4971</v>
      </c>
      <c r="J1791" t="s">
        <v>4973</v>
      </c>
      <c r="K1791" t="s">
        <v>4634</v>
      </c>
    </row>
    <row r="1792" spans="1:11" ht="20" customHeight="1">
      <c r="A1792" t="s">
        <v>26</v>
      </c>
      <c r="B1792" t="s">
        <v>573</v>
      </c>
      <c r="C1792">
        <v>58250.87109375</v>
      </c>
      <c r="D1792">
        <v>59519.35546875</v>
      </c>
      <c r="E1792">
        <v>54071.45703125</v>
      </c>
      <c r="F1792">
        <v>55859.796875</v>
      </c>
      <c r="G1792">
        <v>55859.796875</v>
      </c>
      <c r="H1792">
        <v>71776546298</v>
      </c>
      <c r="I1792" t="s">
        <v>4973</v>
      </c>
      <c r="J1792" t="s">
        <v>4974</v>
      </c>
      <c r="K1792" t="s">
        <v>4634</v>
      </c>
    </row>
    <row r="1793" spans="1:11" ht="20" customHeight="1">
      <c r="A1793" t="s">
        <v>26</v>
      </c>
      <c r="B1793" t="s">
        <v>576</v>
      </c>
      <c r="C1793">
        <v>55847.2421875</v>
      </c>
      <c r="D1793">
        <v>56872.54296875</v>
      </c>
      <c r="E1793">
        <v>54608.65234375</v>
      </c>
      <c r="F1793">
        <v>56704.57421875</v>
      </c>
      <c r="G1793">
        <v>56704.57421875</v>
      </c>
      <c r="H1793">
        <v>61308396325</v>
      </c>
      <c r="I1793" t="s">
        <v>4974</v>
      </c>
      <c r="J1793" t="s">
        <v>4975</v>
      </c>
      <c r="K1793" t="s">
        <v>4634</v>
      </c>
    </row>
    <row r="1794" spans="1:11" ht="20" customHeight="1">
      <c r="A1794" t="s">
        <v>26</v>
      </c>
      <c r="B1794" t="s">
        <v>579</v>
      </c>
      <c r="C1794">
        <v>56714.53125</v>
      </c>
      <c r="D1794">
        <v>57939.36328125</v>
      </c>
      <c r="E1794">
        <v>49150.53515625</v>
      </c>
      <c r="F1794">
        <v>49150.53515625</v>
      </c>
      <c r="G1794">
        <v>49150.53515625</v>
      </c>
      <c r="H1794">
        <v>75215403907</v>
      </c>
      <c r="I1794" t="s">
        <v>4975</v>
      </c>
      <c r="J1794" t="s">
        <v>4976</v>
      </c>
      <c r="K1794" t="s">
        <v>4634</v>
      </c>
    </row>
    <row r="1795" spans="1:11" ht="20" customHeight="1">
      <c r="A1795" t="s">
        <v>26</v>
      </c>
      <c r="B1795" t="s">
        <v>582</v>
      </c>
      <c r="C1795">
        <v>49735.43359375</v>
      </c>
      <c r="D1795">
        <v>51330.84375</v>
      </c>
      <c r="E1795">
        <v>46980.01953125</v>
      </c>
      <c r="F1795">
        <v>49716.19140625</v>
      </c>
      <c r="G1795">
        <v>49716.19140625</v>
      </c>
      <c r="H1795">
        <v>96721152926</v>
      </c>
      <c r="I1795" t="s">
        <v>4976</v>
      </c>
      <c r="J1795" t="s">
        <v>4977</v>
      </c>
      <c r="K1795" t="s">
        <v>4634</v>
      </c>
    </row>
    <row r="1796" spans="1:11" ht="20" customHeight="1">
      <c r="A1796" t="s">
        <v>26</v>
      </c>
      <c r="B1796" t="s">
        <v>585</v>
      </c>
      <c r="C1796">
        <v>49682.98046875</v>
      </c>
      <c r="D1796">
        <v>51438.1171875</v>
      </c>
      <c r="E1796">
        <v>48868.578125</v>
      </c>
      <c r="F1796">
        <v>49880.53515625</v>
      </c>
      <c r="G1796">
        <v>49880.53515625</v>
      </c>
      <c r="H1796">
        <v>55737497453</v>
      </c>
      <c r="I1796" t="s">
        <v>4977</v>
      </c>
      <c r="J1796" t="s">
        <v>4978</v>
      </c>
      <c r="K1796" t="s">
        <v>4634</v>
      </c>
    </row>
    <row r="1797" spans="1:11" ht="20" customHeight="1">
      <c r="A1797" t="s">
        <v>26</v>
      </c>
      <c r="B1797" t="s">
        <v>4979</v>
      </c>
      <c r="C1797">
        <v>49855.49609375</v>
      </c>
      <c r="D1797">
        <v>50639.6640625</v>
      </c>
      <c r="E1797">
        <v>46664.140625</v>
      </c>
      <c r="F1797">
        <v>46760.1875</v>
      </c>
      <c r="G1797">
        <v>46760.1875</v>
      </c>
      <c r="H1797">
        <v>59161047474</v>
      </c>
      <c r="I1797" t="s">
        <v>4978</v>
      </c>
      <c r="J1797" t="s">
        <v>4980</v>
      </c>
      <c r="K1797" t="s">
        <v>4634</v>
      </c>
    </row>
    <row r="1798" spans="1:11" ht="20" customHeight="1">
      <c r="A1798" t="s">
        <v>26</v>
      </c>
      <c r="B1798" t="s">
        <v>4981</v>
      </c>
      <c r="C1798">
        <v>46716.63671875</v>
      </c>
      <c r="D1798">
        <v>49720.04296875</v>
      </c>
      <c r="E1798">
        <v>43963.3515625</v>
      </c>
      <c r="F1798">
        <v>46456.05859375</v>
      </c>
      <c r="G1798">
        <v>46456.05859375</v>
      </c>
      <c r="H1798">
        <v>64047871555</v>
      </c>
      <c r="I1798" t="s">
        <v>4980</v>
      </c>
      <c r="J1798" t="s">
        <v>4982</v>
      </c>
      <c r="K1798" t="s">
        <v>4634</v>
      </c>
    </row>
    <row r="1799" spans="1:11" ht="20" customHeight="1">
      <c r="A1799" t="s">
        <v>26</v>
      </c>
      <c r="B1799" t="s">
        <v>588</v>
      </c>
      <c r="C1799">
        <v>46415.8984375</v>
      </c>
      <c r="D1799">
        <v>46623.55859375</v>
      </c>
      <c r="E1799">
        <v>42207.2890625</v>
      </c>
      <c r="F1799">
        <v>43537.51171875</v>
      </c>
      <c r="G1799">
        <v>43537.51171875</v>
      </c>
      <c r="H1799">
        <v>74903638450</v>
      </c>
      <c r="I1799" t="s">
        <v>4982</v>
      </c>
      <c r="J1799" t="s">
        <v>4983</v>
      </c>
      <c r="K1799" t="s">
        <v>4634</v>
      </c>
    </row>
    <row r="1800" spans="1:11" ht="20" customHeight="1">
      <c r="A1800" t="s">
        <v>26</v>
      </c>
      <c r="B1800" t="s">
        <v>591</v>
      </c>
      <c r="C1800">
        <v>43488.05859375</v>
      </c>
      <c r="D1800">
        <v>45812.45703125</v>
      </c>
      <c r="E1800">
        <v>42367.83203125</v>
      </c>
      <c r="F1800">
        <v>42909.40234375</v>
      </c>
      <c r="G1800">
        <v>42909.40234375</v>
      </c>
      <c r="H1800">
        <v>56187365084</v>
      </c>
      <c r="I1800" t="s">
        <v>4983</v>
      </c>
      <c r="J1800" t="s">
        <v>4984</v>
      </c>
      <c r="K1800" t="s">
        <v>4634</v>
      </c>
    </row>
    <row r="1801" spans="1:11" ht="20" customHeight="1">
      <c r="A1801" t="s">
        <v>26</v>
      </c>
      <c r="B1801" t="s">
        <v>594</v>
      </c>
      <c r="C1801">
        <v>42944.9765625</v>
      </c>
      <c r="D1801">
        <v>43546.1171875</v>
      </c>
      <c r="E1801">
        <v>30681.49609375</v>
      </c>
      <c r="F1801">
        <v>37002.44140625</v>
      </c>
      <c r="G1801">
        <v>37002.44140625</v>
      </c>
      <c r="H1801">
        <v>126358098747</v>
      </c>
      <c r="I1801" t="s">
        <v>4984</v>
      </c>
      <c r="J1801" t="s">
        <v>4985</v>
      </c>
      <c r="K1801" t="s">
        <v>4634</v>
      </c>
    </row>
    <row r="1802" spans="1:11" ht="20" customHeight="1">
      <c r="A1802" t="s">
        <v>26</v>
      </c>
      <c r="B1802" t="s">
        <v>597</v>
      </c>
      <c r="C1802">
        <v>36753.66796875</v>
      </c>
      <c r="D1802">
        <v>42462.984375</v>
      </c>
      <c r="E1802">
        <v>35050.6171875</v>
      </c>
      <c r="F1802">
        <v>40782.73828125</v>
      </c>
      <c r="G1802">
        <v>40782.73828125</v>
      </c>
      <c r="H1802">
        <v>88281943359</v>
      </c>
      <c r="I1802" t="s">
        <v>4985</v>
      </c>
      <c r="J1802" t="s">
        <v>4986</v>
      </c>
      <c r="K1802" t="s">
        <v>4634</v>
      </c>
    </row>
    <row r="1803" spans="1:11" ht="20" customHeight="1">
      <c r="A1803" t="s">
        <v>26</v>
      </c>
      <c r="B1803" t="s">
        <v>600</v>
      </c>
      <c r="C1803">
        <v>40596.94921875</v>
      </c>
      <c r="D1803">
        <v>42172.171875</v>
      </c>
      <c r="E1803">
        <v>33616.453125</v>
      </c>
      <c r="F1803">
        <v>37304.69140625</v>
      </c>
      <c r="G1803">
        <v>37304.69140625</v>
      </c>
      <c r="H1803">
        <v>82051616861</v>
      </c>
      <c r="I1803" t="s">
        <v>4986</v>
      </c>
      <c r="J1803" t="s">
        <v>4987</v>
      </c>
      <c r="K1803" t="s">
        <v>4634</v>
      </c>
    </row>
    <row r="1804" spans="1:11" ht="20" customHeight="1">
      <c r="A1804" t="s">
        <v>26</v>
      </c>
      <c r="B1804" t="s">
        <v>4988</v>
      </c>
      <c r="C1804">
        <v>37371.03125</v>
      </c>
      <c r="D1804">
        <v>38831.0546875</v>
      </c>
      <c r="E1804">
        <v>35383.68359375</v>
      </c>
      <c r="F1804">
        <v>37536.6328125</v>
      </c>
      <c r="G1804">
        <v>37536.6328125</v>
      </c>
      <c r="H1804">
        <v>57377273240</v>
      </c>
      <c r="I1804" t="s">
        <v>4987</v>
      </c>
      <c r="J1804" t="s">
        <v>4989</v>
      </c>
      <c r="K1804" t="s">
        <v>4634</v>
      </c>
    </row>
    <row r="1805" spans="1:11" ht="20" customHeight="1">
      <c r="A1805" t="s">
        <v>26</v>
      </c>
      <c r="B1805" t="s">
        <v>4990</v>
      </c>
      <c r="C1805">
        <v>37531.44921875</v>
      </c>
      <c r="D1805">
        <v>38289.21875</v>
      </c>
      <c r="E1805">
        <v>31227.33984375</v>
      </c>
      <c r="F1805">
        <v>34770.58203125</v>
      </c>
      <c r="G1805">
        <v>34770.58203125</v>
      </c>
      <c r="H1805">
        <v>78469274361</v>
      </c>
      <c r="I1805" t="s">
        <v>4989</v>
      </c>
      <c r="J1805" t="s">
        <v>4991</v>
      </c>
      <c r="K1805" t="s">
        <v>4634</v>
      </c>
    </row>
    <row r="1806" spans="1:11" ht="20" customHeight="1">
      <c r="A1806" t="s">
        <v>26</v>
      </c>
      <c r="B1806" t="s">
        <v>603</v>
      </c>
      <c r="C1806">
        <v>34700.36328125</v>
      </c>
      <c r="D1806">
        <v>39835.140625</v>
      </c>
      <c r="E1806">
        <v>34551.08203125</v>
      </c>
      <c r="F1806">
        <v>38705.98046875</v>
      </c>
      <c r="G1806">
        <v>38705.98046875</v>
      </c>
      <c r="H1806">
        <v>67359584098</v>
      </c>
      <c r="I1806" t="s">
        <v>4991</v>
      </c>
      <c r="J1806" t="s">
        <v>4992</v>
      </c>
      <c r="K1806" t="s">
        <v>4634</v>
      </c>
    </row>
    <row r="1807" spans="1:11" ht="20" customHeight="1">
      <c r="A1807" t="s">
        <v>26</v>
      </c>
      <c r="B1807" t="s">
        <v>606</v>
      </c>
      <c r="C1807">
        <v>38795.78125</v>
      </c>
      <c r="D1807">
        <v>39776.3515625</v>
      </c>
      <c r="E1807">
        <v>36581.4296875</v>
      </c>
      <c r="F1807">
        <v>38402.22265625</v>
      </c>
      <c r="G1807">
        <v>38402.22265625</v>
      </c>
      <c r="H1807">
        <v>56211915803</v>
      </c>
      <c r="I1807" t="s">
        <v>4992</v>
      </c>
      <c r="J1807" t="s">
        <v>4993</v>
      </c>
      <c r="K1807" t="s">
        <v>4634</v>
      </c>
    </row>
    <row r="1808" spans="1:11" ht="20" customHeight="1">
      <c r="A1808" t="s">
        <v>26</v>
      </c>
      <c r="B1808" t="s">
        <v>609</v>
      </c>
      <c r="C1808">
        <v>38392.625</v>
      </c>
      <c r="D1808">
        <v>40782.078125</v>
      </c>
      <c r="E1808">
        <v>37905.8359375</v>
      </c>
      <c r="F1808">
        <v>39294.19921875</v>
      </c>
      <c r="G1808">
        <v>39294.19921875</v>
      </c>
      <c r="H1808">
        <v>51346735160</v>
      </c>
      <c r="I1808" t="s">
        <v>4993</v>
      </c>
      <c r="J1808" t="s">
        <v>4994</v>
      </c>
      <c r="K1808" t="s">
        <v>4634</v>
      </c>
    </row>
    <row r="1809" spans="1:11" ht="20" customHeight="1">
      <c r="A1809" t="s">
        <v>26</v>
      </c>
      <c r="B1809" t="s">
        <v>612</v>
      </c>
      <c r="C1809">
        <v>39316.890625</v>
      </c>
      <c r="D1809">
        <v>40379.6171875</v>
      </c>
      <c r="E1809">
        <v>37247.90234375</v>
      </c>
      <c r="F1809">
        <v>38436.96875</v>
      </c>
      <c r="G1809">
        <v>38436.96875</v>
      </c>
      <c r="H1809">
        <v>43210968721</v>
      </c>
      <c r="I1809" t="s">
        <v>4994</v>
      </c>
      <c r="J1809" t="s">
        <v>4995</v>
      </c>
      <c r="K1809" t="s">
        <v>4634</v>
      </c>
    </row>
    <row r="1810" spans="1:11" ht="20" customHeight="1">
      <c r="A1810" t="s">
        <v>26</v>
      </c>
      <c r="B1810" t="s">
        <v>615</v>
      </c>
      <c r="C1810">
        <v>38507.08203125</v>
      </c>
      <c r="D1810">
        <v>38856.96875</v>
      </c>
      <c r="E1810">
        <v>34779.0390625</v>
      </c>
      <c r="F1810">
        <v>35697.60546875</v>
      </c>
      <c r="G1810">
        <v>35697.60546875</v>
      </c>
      <c r="H1810">
        <v>55200191952</v>
      </c>
      <c r="I1810" t="s">
        <v>4995</v>
      </c>
      <c r="J1810" t="s">
        <v>4996</v>
      </c>
      <c r="K1810" t="s">
        <v>4634</v>
      </c>
    </row>
    <row r="1811" spans="1:11" ht="20" customHeight="1">
      <c r="A1811" t="s">
        <v>26</v>
      </c>
      <c r="B1811" t="s">
        <v>4997</v>
      </c>
      <c r="C1811">
        <v>35684.15625</v>
      </c>
      <c r="D1811">
        <v>37234.5</v>
      </c>
      <c r="E1811">
        <v>33693.9296875</v>
      </c>
      <c r="F1811">
        <v>34616.06640625</v>
      </c>
      <c r="G1811">
        <v>34616.06640625</v>
      </c>
      <c r="H1811">
        <v>45231013335</v>
      </c>
      <c r="I1811" t="s">
        <v>4996</v>
      </c>
      <c r="J1811" t="s">
        <v>4998</v>
      </c>
      <c r="K1811" t="s">
        <v>4634</v>
      </c>
    </row>
    <row r="1812" spans="1:11" ht="20" customHeight="1">
      <c r="A1812" t="s">
        <v>26</v>
      </c>
      <c r="B1812" t="s">
        <v>4999</v>
      </c>
      <c r="C1812">
        <v>34607.40625</v>
      </c>
      <c r="D1812">
        <v>36400.66796875</v>
      </c>
      <c r="E1812">
        <v>33520.73828125</v>
      </c>
      <c r="F1812">
        <v>35678.12890625</v>
      </c>
      <c r="G1812">
        <v>35678.12890625</v>
      </c>
      <c r="H1812">
        <v>31646080921</v>
      </c>
      <c r="I1812" t="s">
        <v>4998</v>
      </c>
      <c r="J1812" t="s">
        <v>5000</v>
      </c>
      <c r="K1812" t="s">
        <v>4634</v>
      </c>
    </row>
    <row r="1813" spans="1:11" ht="20" customHeight="1">
      <c r="A1813" t="s">
        <v>26</v>
      </c>
      <c r="B1813" t="s">
        <v>5001</v>
      </c>
      <c r="C1813">
        <v>35658.59375</v>
      </c>
      <c r="D1813">
        <v>37468.25</v>
      </c>
      <c r="E1813">
        <v>34241.9453125</v>
      </c>
      <c r="F1813">
        <v>37332.85546875</v>
      </c>
      <c r="G1813">
        <v>37332.85546875</v>
      </c>
      <c r="H1813">
        <v>39009847639</v>
      </c>
      <c r="I1813" t="s">
        <v>5000</v>
      </c>
      <c r="J1813" t="s">
        <v>5002</v>
      </c>
      <c r="K1813" t="s">
        <v>4634</v>
      </c>
    </row>
    <row r="1814" spans="1:11" ht="20" customHeight="1">
      <c r="A1814" t="s">
        <v>26</v>
      </c>
      <c r="B1814" t="s">
        <v>618</v>
      </c>
      <c r="C1814">
        <v>37293.79296875</v>
      </c>
      <c r="D1814">
        <v>37896.734375</v>
      </c>
      <c r="E1814">
        <v>35787.0859375</v>
      </c>
      <c r="F1814">
        <v>36684.92578125</v>
      </c>
      <c r="G1814">
        <v>36684.92578125</v>
      </c>
      <c r="H1814">
        <v>34639423297</v>
      </c>
      <c r="I1814" t="s">
        <v>5002</v>
      </c>
      <c r="J1814" t="s">
        <v>5003</v>
      </c>
      <c r="K1814" t="s">
        <v>4634</v>
      </c>
    </row>
    <row r="1815" spans="1:11" ht="20" customHeight="1">
      <c r="A1815" t="s">
        <v>26</v>
      </c>
      <c r="B1815" t="s">
        <v>621</v>
      </c>
      <c r="C1815">
        <v>36699.921875</v>
      </c>
      <c r="D1815">
        <v>38231.33984375</v>
      </c>
      <c r="E1815">
        <v>35966.30859375</v>
      </c>
      <c r="F1815">
        <v>37575.1796875</v>
      </c>
      <c r="G1815">
        <v>37575.1796875</v>
      </c>
      <c r="H1815">
        <v>33070867190</v>
      </c>
      <c r="I1815" t="s">
        <v>5003</v>
      </c>
      <c r="J1815" t="s">
        <v>5004</v>
      </c>
      <c r="K1815" t="s">
        <v>4634</v>
      </c>
    </row>
    <row r="1816" spans="1:11" ht="20" customHeight="1">
      <c r="A1816" t="s">
        <v>26</v>
      </c>
      <c r="B1816" t="s">
        <v>624</v>
      </c>
      <c r="C1816">
        <v>37599.41015625</v>
      </c>
      <c r="D1816">
        <v>39478.953125</v>
      </c>
      <c r="E1816">
        <v>37243.97265625</v>
      </c>
      <c r="F1816">
        <v>39208.765625</v>
      </c>
      <c r="G1816">
        <v>39208.765625</v>
      </c>
      <c r="H1816">
        <v>35460750427</v>
      </c>
      <c r="I1816" t="s">
        <v>5004</v>
      </c>
      <c r="J1816" t="s">
        <v>5005</v>
      </c>
      <c r="K1816" t="s">
        <v>4634</v>
      </c>
    </row>
    <row r="1817" spans="1:11" ht="20" customHeight="1">
      <c r="A1817" t="s">
        <v>26</v>
      </c>
      <c r="B1817" t="s">
        <v>627</v>
      </c>
      <c r="C1817">
        <v>39242.484375</v>
      </c>
      <c r="D1817">
        <v>39242.484375</v>
      </c>
      <c r="E1817">
        <v>35717.72265625</v>
      </c>
      <c r="F1817">
        <v>36894.40625</v>
      </c>
      <c r="G1817">
        <v>36894.40625</v>
      </c>
      <c r="H1817">
        <v>41831090187</v>
      </c>
      <c r="I1817" t="s">
        <v>5005</v>
      </c>
      <c r="J1817" t="s">
        <v>5006</v>
      </c>
      <c r="K1817" t="s">
        <v>4634</v>
      </c>
    </row>
    <row r="1818" spans="1:11" ht="20" customHeight="1">
      <c r="A1818" t="s">
        <v>26</v>
      </c>
      <c r="B1818" t="s">
        <v>5007</v>
      </c>
      <c r="C1818">
        <v>36880.15625</v>
      </c>
      <c r="D1818">
        <v>37917.71484375</v>
      </c>
      <c r="E1818">
        <v>34900.4140625</v>
      </c>
      <c r="F1818">
        <v>35551.95703125</v>
      </c>
      <c r="G1818">
        <v>35551.95703125</v>
      </c>
      <c r="H1818">
        <v>35959473399</v>
      </c>
      <c r="I1818" t="s">
        <v>5006</v>
      </c>
      <c r="J1818" t="s">
        <v>5008</v>
      </c>
      <c r="K1818" t="s">
        <v>4634</v>
      </c>
    </row>
    <row r="1819" spans="1:11" ht="20" customHeight="1">
      <c r="A1819" t="s">
        <v>26</v>
      </c>
      <c r="B1819" t="s">
        <v>5009</v>
      </c>
      <c r="C1819">
        <v>35538.609375</v>
      </c>
      <c r="D1819">
        <v>36436.421875</v>
      </c>
      <c r="E1819">
        <v>35304.578125</v>
      </c>
      <c r="F1819">
        <v>35862.37890625</v>
      </c>
      <c r="G1819">
        <v>35862.37890625</v>
      </c>
      <c r="H1819">
        <v>28913440585</v>
      </c>
      <c r="I1819" t="s">
        <v>5008</v>
      </c>
      <c r="J1819" t="s">
        <v>5010</v>
      </c>
      <c r="K1819" t="s">
        <v>4634</v>
      </c>
    </row>
    <row r="1820" spans="1:11" ht="20" customHeight="1">
      <c r="A1820" t="s">
        <v>26</v>
      </c>
      <c r="B1820" t="s">
        <v>630</v>
      </c>
      <c r="C1820">
        <v>35835.265625</v>
      </c>
      <c r="D1820">
        <v>36790.5703125</v>
      </c>
      <c r="E1820">
        <v>33480.640625</v>
      </c>
      <c r="F1820">
        <v>33560.70703125</v>
      </c>
      <c r="G1820">
        <v>33560.70703125</v>
      </c>
      <c r="H1820">
        <v>33683936663</v>
      </c>
      <c r="I1820" t="s">
        <v>5010</v>
      </c>
      <c r="J1820" t="s">
        <v>5011</v>
      </c>
      <c r="K1820" t="s">
        <v>4634</v>
      </c>
    </row>
    <row r="1821" spans="1:11" ht="20" customHeight="1">
      <c r="A1821" t="s">
        <v>26</v>
      </c>
      <c r="B1821" t="s">
        <v>633</v>
      </c>
      <c r="C1821">
        <v>33589.51953125</v>
      </c>
      <c r="D1821">
        <v>34017.38671875</v>
      </c>
      <c r="E1821">
        <v>31114.443359375</v>
      </c>
      <c r="F1821">
        <v>33472.6328125</v>
      </c>
      <c r="G1821">
        <v>33472.6328125</v>
      </c>
      <c r="H1821">
        <v>49902050442</v>
      </c>
      <c r="I1821" t="s">
        <v>5011</v>
      </c>
      <c r="J1821" t="s">
        <v>5012</v>
      </c>
      <c r="K1821" t="s">
        <v>4634</v>
      </c>
    </row>
    <row r="1822" spans="1:11" ht="20" customHeight="1">
      <c r="A1822" t="s">
        <v>26</v>
      </c>
      <c r="B1822" t="s">
        <v>636</v>
      </c>
      <c r="C1822">
        <v>33416.9765625</v>
      </c>
      <c r="D1822">
        <v>37537.37109375</v>
      </c>
      <c r="E1822">
        <v>32475.865234375</v>
      </c>
      <c r="F1822">
        <v>37345.12109375</v>
      </c>
      <c r="G1822">
        <v>37345.12109375</v>
      </c>
      <c r="H1822">
        <v>53972919008</v>
      </c>
      <c r="I1822" t="s">
        <v>5012</v>
      </c>
      <c r="J1822" t="s">
        <v>5013</v>
      </c>
      <c r="K1822" t="s">
        <v>4634</v>
      </c>
    </row>
    <row r="1823" spans="1:11" ht="20" customHeight="1">
      <c r="A1823" t="s">
        <v>26</v>
      </c>
      <c r="B1823" t="s">
        <v>639</v>
      </c>
      <c r="C1823">
        <v>37389.515625</v>
      </c>
      <c r="D1823">
        <v>38334.32421875</v>
      </c>
      <c r="E1823">
        <v>35847.59375</v>
      </c>
      <c r="F1823">
        <v>36702.59765625</v>
      </c>
      <c r="G1823">
        <v>36702.59765625</v>
      </c>
      <c r="H1823">
        <v>43576032854</v>
      </c>
      <c r="I1823" t="s">
        <v>5013</v>
      </c>
      <c r="J1823" t="s">
        <v>5014</v>
      </c>
      <c r="K1823" t="s">
        <v>4634</v>
      </c>
    </row>
    <row r="1824" spans="1:11" ht="20" customHeight="1">
      <c r="A1824" t="s">
        <v>26</v>
      </c>
      <c r="B1824" t="s">
        <v>642</v>
      </c>
      <c r="C1824">
        <v>36697.03125</v>
      </c>
      <c r="D1824">
        <v>37608.6953125</v>
      </c>
      <c r="E1824">
        <v>36044.44921875</v>
      </c>
      <c r="F1824">
        <v>37334.3984375</v>
      </c>
      <c r="G1824">
        <v>37334.3984375</v>
      </c>
      <c r="H1824">
        <v>38699736985</v>
      </c>
      <c r="I1824" t="s">
        <v>5014</v>
      </c>
      <c r="J1824" t="s">
        <v>5015</v>
      </c>
      <c r="K1824" t="s">
        <v>4634</v>
      </c>
    </row>
    <row r="1825" spans="1:11" ht="20" customHeight="1">
      <c r="A1825" t="s">
        <v>26</v>
      </c>
      <c r="B1825" t="s">
        <v>5016</v>
      </c>
      <c r="C1825">
        <v>37340.14453125</v>
      </c>
      <c r="D1825">
        <v>37408.92578125</v>
      </c>
      <c r="E1825">
        <v>34728.19140625</v>
      </c>
      <c r="F1825">
        <v>35552.515625</v>
      </c>
      <c r="G1825">
        <v>35552.515625</v>
      </c>
      <c r="H1825">
        <v>37924228550</v>
      </c>
      <c r="I1825" t="s">
        <v>5015</v>
      </c>
      <c r="J1825" t="s">
        <v>5017</v>
      </c>
      <c r="K1825" t="s">
        <v>4634</v>
      </c>
    </row>
    <row r="1826" spans="1:11" ht="20" customHeight="1">
      <c r="A1826" t="s">
        <v>26</v>
      </c>
      <c r="B1826" t="s">
        <v>5018</v>
      </c>
      <c r="C1826">
        <v>35555.7890625</v>
      </c>
      <c r="D1826">
        <v>39322.78125</v>
      </c>
      <c r="E1826">
        <v>34864.109375</v>
      </c>
      <c r="F1826">
        <v>39097.859375</v>
      </c>
      <c r="G1826">
        <v>39097.859375</v>
      </c>
      <c r="H1826">
        <v>40669112838</v>
      </c>
      <c r="I1826" t="s">
        <v>5017</v>
      </c>
      <c r="J1826" t="s">
        <v>5019</v>
      </c>
      <c r="K1826" t="s">
        <v>4634</v>
      </c>
    </row>
    <row r="1827" spans="1:11" ht="20" customHeight="1">
      <c r="A1827" t="s">
        <v>26</v>
      </c>
      <c r="B1827" t="s">
        <v>645</v>
      </c>
      <c r="C1827">
        <v>39016.96875</v>
      </c>
      <c r="D1827">
        <v>40978.36328125</v>
      </c>
      <c r="E1827">
        <v>38757.28515625</v>
      </c>
      <c r="F1827">
        <v>40218.4765625</v>
      </c>
      <c r="G1827">
        <v>40218.4765625</v>
      </c>
      <c r="H1827">
        <v>43148914673</v>
      </c>
      <c r="I1827" t="s">
        <v>5019</v>
      </c>
      <c r="J1827" t="s">
        <v>5020</v>
      </c>
      <c r="K1827" t="s">
        <v>4634</v>
      </c>
    </row>
    <row r="1828" spans="1:11" ht="20" customHeight="1">
      <c r="A1828" t="s">
        <v>26</v>
      </c>
      <c r="B1828" t="s">
        <v>648</v>
      </c>
      <c r="C1828">
        <v>40427.16796875</v>
      </c>
      <c r="D1828">
        <v>41295.26953125</v>
      </c>
      <c r="E1828">
        <v>39609.46875</v>
      </c>
      <c r="F1828">
        <v>40406.26953125</v>
      </c>
      <c r="G1828">
        <v>40406.26953125</v>
      </c>
      <c r="H1828">
        <v>46420149185</v>
      </c>
      <c r="I1828" t="s">
        <v>5020</v>
      </c>
      <c r="J1828" t="s">
        <v>5021</v>
      </c>
      <c r="K1828" t="s">
        <v>4634</v>
      </c>
    </row>
    <row r="1829" spans="1:11" ht="20" customHeight="1">
      <c r="A1829" t="s">
        <v>26</v>
      </c>
      <c r="B1829" t="s">
        <v>651</v>
      </c>
      <c r="C1829">
        <v>40168.69140625</v>
      </c>
      <c r="D1829">
        <v>40516.77734375</v>
      </c>
      <c r="E1829">
        <v>38176.03515625</v>
      </c>
      <c r="F1829">
        <v>38347.0625</v>
      </c>
      <c r="G1829">
        <v>38347.0625</v>
      </c>
      <c r="H1829">
        <v>39211635100</v>
      </c>
      <c r="I1829" t="s">
        <v>5021</v>
      </c>
      <c r="J1829" t="s">
        <v>5022</v>
      </c>
      <c r="K1829" t="s">
        <v>4634</v>
      </c>
    </row>
    <row r="1830" spans="1:11" ht="20" customHeight="1">
      <c r="A1830" t="s">
        <v>26</v>
      </c>
      <c r="B1830" t="s">
        <v>654</v>
      </c>
      <c r="C1830">
        <v>38341.421875</v>
      </c>
      <c r="D1830">
        <v>39513.671875</v>
      </c>
      <c r="E1830">
        <v>37439.67578125</v>
      </c>
      <c r="F1830">
        <v>38053.50390625</v>
      </c>
      <c r="G1830">
        <v>38053.50390625</v>
      </c>
      <c r="H1830">
        <v>37096670047</v>
      </c>
      <c r="I1830" t="s">
        <v>5022</v>
      </c>
      <c r="J1830" t="s">
        <v>5023</v>
      </c>
      <c r="K1830" t="s">
        <v>4634</v>
      </c>
    </row>
    <row r="1831" spans="1:11" ht="20" customHeight="1">
      <c r="A1831" t="s">
        <v>26</v>
      </c>
      <c r="B1831" t="s">
        <v>657</v>
      </c>
      <c r="C1831">
        <v>38099.4765625</v>
      </c>
      <c r="D1831">
        <v>38187.26171875</v>
      </c>
      <c r="E1831">
        <v>35255.85546875</v>
      </c>
      <c r="F1831">
        <v>35787.24609375</v>
      </c>
      <c r="G1831">
        <v>35787.24609375</v>
      </c>
      <c r="H1831">
        <v>36200887275</v>
      </c>
      <c r="I1831" t="s">
        <v>5023</v>
      </c>
      <c r="J1831" t="s">
        <v>5024</v>
      </c>
      <c r="K1831" t="s">
        <v>4634</v>
      </c>
    </row>
    <row r="1832" spans="1:11" ht="20" customHeight="1">
      <c r="A1832" t="s">
        <v>26</v>
      </c>
      <c r="B1832" t="s">
        <v>5025</v>
      </c>
      <c r="C1832">
        <v>35854.52734375</v>
      </c>
      <c r="D1832">
        <v>36457.796875</v>
      </c>
      <c r="E1832">
        <v>34933.0625</v>
      </c>
      <c r="F1832">
        <v>35615.87109375</v>
      </c>
      <c r="G1832">
        <v>35615.87109375</v>
      </c>
      <c r="H1832">
        <v>31207279719</v>
      </c>
      <c r="I1832" t="s">
        <v>5024</v>
      </c>
      <c r="J1832" t="s">
        <v>5026</v>
      </c>
      <c r="K1832" t="s">
        <v>4634</v>
      </c>
    </row>
    <row r="1833" spans="1:11" ht="20" customHeight="1">
      <c r="A1833" t="s">
        <v>26</v>
      </c>
      <c r="B1833" t="s">
        <v>5027</v>
      </c>
      <c r="C1833">
        <v>35563.140625</v>
      </c>
      <c r="D1833">
        <v>36059.484375</v>
      </c>
      <c r="E1833">
        <v>33432.07421875</v>
      </c>
      <c r="F1833">
        <v>35698.296875</v>
      </c>
      <c r="G1833">
        <v>35698.296875</v>
      </c>
      <c r="H1833">
        <v>36664034054</v>
      </c>
      <c r="I1833" t="s">
        <v>5026</v>
      </c>
      <c r="J1833" t="s">
        <v>5028</v>
      </c>
      <c r="K1833" t="s">
        <v>4634</v>
      </c>
    </row>
    <row r="1834" spans="1:11" ht="20" customHeight="1">
      <c r="A1834" t="s">
        <v>26</v>
      </c>
      <c r="B1834" t="s">
        <v>660</v>
      </c>
      <c r="C1834">
        <v>35641.14453125</v>
      </c>
      <c r="D1834">
        <v>35721.640625</v>
      </c>
      <c r="E1834">
        <v>31295.935546875</v>
      </c>
      <c r="F1834">
        <v>31676.693359375</v>
      </c>
      <c r="G1834">
        <v>31676.693359375</v>
      </c>
      <c r="H1834">
        <v>52809038594</v>
      </c>
      <c r="I1834" t="s">
        <v>5028</v>
      </c>
      <c r="J1834" t="s">
        <v>5029</v>
      </c>
      <c r="K1834" t="s">
        <v>4634</v>
      </c>
    </row>
    <row r="1835" spans="1:11" ht="20" customHeight="1">
      <c r="A1835" t="s">
        <v>26</v>
      </c>
      <c r="B1835" t="s">
        <v>663</v>
      </c>
      <c r="C1835">
        <v>31622.376953125</v>
      </c>
      <c r="D1835">
        <v>33292.453125</v>
      </c>
      <c r="E1835">
        <v>28893.62109375</v>
      </c>
      <c r="F1835">
        <v>32505.66015625</v>
      </c>
      <c r="G1835">
        <v>32505.66015625</v>
      </c>
      <c r="H1835">
        <v>58964353058</v>
      </c>
      <c r="I1835" t="s">
        <v>5029</v>
      </c>
      <c r="J1835" t="s">
        <v>5030</v>
      </c>
      <c r="K1835" t="s">
        <v>4634</v>
      </c>
    </row>
    <row r="1836" spans="1:11" ht="20" customHeight="1">
      <c r="A1836" t="s">
        <v>26</v>
      </c>
      <c r="B1836" t="s">
        <v>666</v>
      </c>
      <c r="C1836">
        <v>32515.71484375</v>
      </c>
      <c r="D1836">
        <v>34753.41015625</v>
      </c>
      <c r="E1836">
        <v>31772.6328125</v>
      </c>
      <c r="F1836">
        <v>33723.02734375</v>
      </c>
      <c r="G1836">
        <v>33723.02734375</v>
      </c>
      <c r="H1836">
        <v>46317108925</v>
      </c>
      <c r="I1836" t="s">
        <v>5030</v>
      </c>
      <c r="J1836" t="s">
        <v>5031</v>
      </c>
      <c r="K1836" t="s">
        <v>4634</v>
      </c>
    </row>
    <row r="1837" spans="1:11" ht="20" customHeight="1">
      <c r="A1837" t="s">
        <v>26</v>
      </c>
      <c r="B1837" t="s">
        <v>669</v>
      </c>
      <c r="C1837">
        <v>33682.80078125</v>
      </c>
      <c r="D1837">
        <v>35228.8515625</v>
      </c>
      <c r="E1837">
        <v>32385.21484375</v>
      </c>
      <c r="F1837">
        <v>34662.4375</v>
      </c>
      <c r="G1837">
        <v>34662.4375</v>
      </c>
      <c r="H1837">
        <v>33123368116</v>
      </c>
      <c r="I1837" t="s">
        <v>5031</v>
      </c>
      <c r="J1837" t="s">
        <v>5032</v>
      </c>
      <c r="K1837" t="s">
        <v>4634</v>
      </c>
    </row>
    <row r="1838" spans="1:11" ht="20" customHeight="1">
      <c r="A1838" t="s">
        <v>26</v>
      </c>
      <c r="B1838" t="s">
        <v>672</v>
      </c>
      <c r="C1838">
        <v>34659.10546875</v>
      </c>
      <c r="D1838">
        <v>35487.24609375</v>
      </c>
      <c r="E1838">
        <v>31350.884765625</v>
      </c>
      <c r="F1838">
        <v>31637.779296875</v>
      </c>
      <c r="G1838">
        <v>31637.779296875</v>
      </c>
      <c r="H1838">
        <v>40230904226</v>
      </c>
      <c r="I1838" t="s">
        <v>5032</v>
      </c>
      <c r="J1838" t="s">
        <v>5033</v>
      </c>
      <c r="K1838" t="s">
        <v>4634</v>
      </c>
    </row>
    <row r="1839" spans="1:11" ht="20" customHeight="1">
      <c r="A1839" t="s">
        <v>26</v>
      </c>
      <c r="B1839" t="s">
        <v>5034</v>
      </c>
      <c r="C1839">
        <v>31594.6640625</v>
      </c>
      <c r="D1839">
        <v>32637.587890625</v>
      </c>
      <c r="E1839">
        <v>30184.501953125</v>
      </c>
      <c r="F1839">
        <v>32186.27734375</v>
      </c>
      <c r="G1839">
        <v>32186.27734375</v>
      </c>
      <c r="H1839">
        <v>38585385521</v>
      </c>
      <c r="I1839" t="s">
        <v>5033</v>
      </c>
      <c r="J1839" t="s">
        <v>5035</v>
      </c>
      <c r="K1839" t="s">
        <v>4634</v>
      </c>
    </row>
    <row r="1840" spans="1:11" ht="20" customHeight="1">
      <c r="A1840" t="s">
        <v>26</v>
      </c>
      <c r="B1840" t="s">
        <v>5036</v>
      </c>
      <c r="C1840">
        <v>32287.5234375</v>
      </c>
      <c r="D1840">
        <v>34656.12890625</v>
      </c>
      <c r="E1840">
        <v>32071.7578125</v>
      </c>
      <c r="F1840">
        <v>34649.64453125</v>
      </c>
      <c r="G1840">
        <v>34649.64453125</v>
      </c>
      <c r="H1840">
        <v>35511640894</v>
      </c>
      <c r="I1840" t="s">
        <v>5035</v>
      </c>
      <c r="J1840" t="s">
        <v>5037</v>
      </c>
      <c r="K1840" t="s">
        <v>4634</v>
      </c>
    </row>
    <row r="1841" spans="1:11" ht="20" customHeight="1">
      <c r="A1841" t="s">
        <v>26</v>
      </c>
      <c r="B1841" t="s">
        <v>675</v>
      </c>
      <c r="C1841">
        <v>34679.12109375</v>
      </c>
      <c r="D1841">
        <v>35219.890625</v>
      </c>
      <c r="E1841">
        <v>33902.07421875</v>
      </c>
      <c r="F1841">
        <v>34434.3359375</v>
      </c>
      <c r="G1841">
        <v>34434.3359375</v>
      </c>
      <c r="H1841">
        <v>33892523752</v>
      </c>
      <c r="I1841" t="s">
        <v>5037</v>
      </c>
      <c r="J1841" t="s">
        <v>5038</v>
      </c>
      <c r="K1841" t="s">
        <v>4634</v>
      </c>
    </row>
    <row r="1842" spans="1:11" ht="20" customHeight="1">
      <c r="A1842" t="s">
        <v>26</v>
      </c>
      <c r="B1842" t="s">
        <v>678</v>
      </c>
      <c r="C1842">
        <v>34475.55859375</v>
      </c>
      <c r="D1842">
        <v>36542.109375</v>
      </c>
      <c r="E1842">
        <v>34252.484375</v>
      </c>
      <c r="F1842">
        <v>35867.77734375</v>
      </c>
      <c r="G1842">
        <v>35867.77734375</v>
      </c>
      <c r="H1842">
        <v>37901460044</v>
      </c>
      <c r="I1842" t="s">
        <v>5038</v>
      </c>
      <c r="J1842" t="s">
        <v>5039</v>
      </c>
      <c r="K1842" t="s">
        <v>4634</v>
      </c>
    </row>
    <row r="1843" spans="1:11" ht="20" customHeight="1">
      <c r="A1843" t="s">
        <v>26</v>
      </c>
      <c r="B1843" t="s">
        <v>681</v>
      </c>
      <c r="C1843">
        <v>35908.38671875</v>
      </c>
      <c r="D1843">
        <v>36074.7578125</v>
      </c>
      <c r="E1843">
        <v>34086.15234375</v>
      </c>
      <c r="F1843">
        <v>35040.8359375</v>
      </c>
      <c r="G1843">
        <v>35040.8359375</v>
      </c>
      <c r="H1843">
        <v>34059036099</v>
      </c>
      <c r="I1843" t="s">
        <v>5039</v>
      </c>
      <c r="J1843" t="s">
        <v>5040</v>
      </c>
      <c r="K1843" t="s">
        <v>4634</v>
      </c>
    </row>
    <row r="1844" spans="1:11" ht="20" customHeight="1">
      <c r="A1844" t="s">
        <v>26</v>
      </c>
      <c r="B1844" t="s">
        <v>684</v>
      </c>
      <c r="C1844">
        <v>35035.984375</v>
      </c>
      <c r="D1844">
        <v>35035.984375</v>
      </c>
      <c r="E1844">
        <v>32883.78125</v>
      </c>
      <c r="F1844">
        <v>33572.1171875</v>
      </c>
      <c r="G1844">
        <v>33572.1171875</v>
      </c>
      <c r="H1844">
        <v>37838957079</v>
      </c>
      <c r="I1844" t="s">
        <v>5040</v>
      </c>
      <c r="J1844" t="s">
        <v>5041</v>
      </c>
      <c r="K1844" t="s">
        <v>4634</v>
      </c>
    </row>
    <row r="1845" spans="1:11" ht="20" customHeight="1">
      <c r="A1845" t="s">
        <v>26</v>
      </c>
      <c r="B1845" t="s">
        <v>687</v>
      </c>
      <c r="C1845">
        <v>33549.6015625</v>
      </c>
      <c r="D1845">
        <v>33939.58984375</v>
      </c>
      <c r="E1845">
        <v>32770.6796875</v>
      </c>
      <c r="F1845">
        <v>33897.046875</v>
      </c>
      <c r="G1845">
        <v>33897.046875</v>
      </c>
      <c r="H1845">
        <v>38728974942</v>
      </c>
      <c r="I1845" t="s">
        <v>5041</v>
      </c>
      <c r="J1845" t="s">
        <v>5042</v>
      </c>
      <c r="K1845" t="s">
        <v>4634</v>
      </c>
    </row>
    <row r="1846" spans="1:11" ht="20" customHeight="1">
      <c r="A1846" t="s">
        <v>26</v>
      </c>
      <c r="B1846" t="s">
        <v>5043</v>
      </c>
      <c r="C1846">
        <v>33854.421875</v>
      </c>
      <c r="D1846">
        <v>34909.26171875</v>
      </c>
      <c r="E1846">
        <v>33402.6953125</v>
      </c>
      <c r="F1846">
        <v>34668.546875</v>
      </c>
      <c r="G1846">
        <v>34668.546875</v>
      </c>
      <c r="H1846">
        <v>24383958643</v>
      </c>
      <c r="I1846" t="s">
        <v>5042</v>
      </c>
      <c r="J1846" t="s">
        <v>5044</v>
      </c>
      <c r="K1846" t="s">
        <v>4634</v>
      </c>
    </row>
    <row r="1847" spans="1:11" ht="20" customHeight="1">
      <c r="A1847" t="s">
        <v>26</v>
      </c>
      <c r="B1847" t="s">
        <v>5045</v>
      </c>
      <c r="C1847">
        <v>34665.56640625</v>
      </c>
      <c r="D1847">
        <v>35937.56640625</v>
      </c>
      <c r="E1847">
        <v>34396.4765625</v>
      </c>
      <c r="F1847">
        <v>35287.78125</v>
      </c>
      <c r="G1847">
        <v>35287.78125</v>
      </c>
      <c r="H1847">
        <v>24924307911</v>
      </c>
      <c r="I1847" t="s">
        <v>5044</v>
      </c>
      <c r="J1847" t="s">
        <v>5046</v>
      </c>
      <c r="K1847" t="s">
        <v>4634</v>
      </c>
    </row>
    <row r="1848" spans="1:11" ht="20" customHeight="1">
      <c r="A1848" t="s">
        <v>26</v>
      </c>
      <c r="B1848" t="s">
        <v>5047</v>
      </c>
      <c r="C1848">
        <v>35284.34375</v>
      </c>
      <c r="D1848">
        <v>35284.34375</v>
      </c>
      <c r="E1848">
        <v>33213.66015625</v>
      </c>
      <c r="F1848">
        <v>33746.00390625</v>
      </c>
      <c r="G1848">
        <v>33746.00390625</v>
      </c>
      <c r="H1848">
        <v>26721554282</v>
      </c>
      <c r="I1848" t="s">
        <v>5046</v>
      </c>
      <c r="J1848" t="s">
        <v>5048</v>
      </c>
      <c r="K1848" t="s">
        <v>4634</v>
      </c>
    </row>
    <row r="1849" spans="1:11" ht="20" customHeight="1">
      <c r="A1849" t="s">
        <v>26</v>
      </c>
      <c r="B1849" t="s">
        <v>690</v>
      </c>
      <c r="C1849">
        <v>33723.5078125</v>
      </c>
      <c r="D1849">
        <v>35038.53515625</v>
      </c>
      <c r="E1849">
        <v>33599.91796875</v>
      </c>
      <c r="F1849">
        <v>34235.1953125</v>
      </c>
      <c r="G1849">
        <v>34235.1953125</v>
      </c>
      <c r="H1849">
        <v>26501259870</v>
      </c>
      <c r="I1849" t="s">
        <v>5048</v>
      </c>
      <c r="J1849" t="s">
        <v>5049</v>
      </c>
      <c r="K1849" t="s">
        <v>4634</v>
      </c>
    </row>
    <row r="1850" spans="1:11" ht="20" customHeight="1">
      <c r="A1850" t="s">
        <v>26</v>
      </c>
      <c r="B1850" t="s">
        <v>693</v>
      </c>
      <c r="C1850">
        <v>34225.6796875</v>
      </c>
      <c r="D1850">
        <v>34997.6640625</v>
      </c>
      <c r="E1850">
        <v>33839.2890625</v>
      </c>
      <c r="F1850">
        <v>33855.328125</v>
      </c>
      <c r="G1850">
        <v>33855.328125</v>
      </c>
      <c r="H1850">
        <v>24796027477</v>
      </c>
      <c r="I1850" t="s">
        <v>5049</v>
      </c>
      <c r="J1850" t="s">
        <v>5050</v>
      </c>
      <c r="K1850" t="s">
        <v>4634</v>
      </c>
    </row>
    <row r="1851" spans="1:11" ht="20" customHeight="1">
      <c r="A1851" t="s">
        <v>26</v>
      </c>
      <c r="B1851" t="s">
        <v>696</v>
      </c>
      <c r="C1851">
        <v>33889.60546875</v>
      </c>
      <c r="D1851">
        <v>33907.90625</v>
      </c>
      <c r="E1851">
        <v>32133.18359375</v>
      </c>
      <c r="F1851">
        <v>32877.37109375</v>
      </c>
      <c r="G1851">
        <v>32877.37109375</v>
      </c>
      <c r="H1851">
        <v>29910396946</v>
      </c>
      <c r="I1851" t="s">
        <v>5050</v>
      </c>
      <c r="J1851" t="s">
        <v>5051</v>
      </c>
      <c r="K1851" t="s">
        <v>4634</v>
      </c>
    </row>
    <row r="1852" spans="1:11" ht="20" customHeight="1">
      <c r="A1852" t="s">
        <v>26</v>
      </c>
      <c r="B1852" t="s">
        <v>699</v>
      </c>
      <c r="C1852">
        <v>32861.671875</v>
      </c>
      <c r="D1852">
        <v>34042.29296875</v>
      </c>
      <c r="E1852">
        <v>32318.880859375</v>
      </c>
      <c r="F1852">
        <v>33798.01171875</v>
      </c>
      <c r="G1852">
        <v>33798.01171875</v>
      </c>
      <c r="H1852">
        <v>27436021028</v>
      </c>
      <c r="I1852" t="s">
        <v>5051</v>
      </c>
      <c r="J1852" t="s">
        <v>5052</v>
      </c>
      <c r="K1852" t="s">
        <v>4634</v>
      </c>
    </row>
    <row r="1853" spans="1:11" ht="20" customHeight="1">
      <c r="A1853" t="s">
        <v>26</v>
      </c>
      <c r="B1853" t="s">
        <v>5053</v>
      </c>
      <c r="C1853">
        <v>33811.2421875</v>
      </c>
      <c r="D1853">
        <v>34209.0703125</v>
      </c>
      <c r="E1853">
        <v>33116.01171875</v>
      </c>
      <c r="F1853">
        <v>33520.51953125</v>
      </c>
      <c r="G1853">
        <v>33520.51953125</v>
      </c>
      <c r="H1853">
        <v>22971873468</v>
      </c>
      <c r="I1853" t="s">
        <v>5052</v>
      </c>
      <c r="J1853" t="s">
        <v>5054</v>
      </c>
      <c r="K1853" t="s">
        <v>4634</v>
      </c>
    </row>
    <row r="1854" spans="1:11" ht="20" customHeight="1">
      <c r="A1854" t="s">
        <v>26</v>
      </c>
      <c r="B1854" t="s">
        <v>5055</v>
      </c>
      <c r="C1854">
        <v>33509.078125</v>
      </c>
      <c r="D1854">
        <v>34584.703125</v>
      </c>
      <c r="E1854">
        <v>33346.73828125</v>
      </c>
      <c r="F1854">
        <v>34240.1875</v>
      </c>
      <c r="G1854">
        <v>34240.1875</v>
      </c>
      <c r="H1854">
        <v>20108729370</v>
      </c>
      <c r="I1854" t="s">
        <v>5054</v>
      </c>
      <c r="J1854" t="s">
        <v>5056</v>
      </c>
      <c r="K1854" t="s">
        <v>4634</v>
      </c>
    </row>
    <row r="1855" spans="1:11" ht="20" customHeight="1">
      <c r="A1855" t="s">
        <v>26</v>
      </c>
      <c r="B1855" t="s">
        <v>702</v>
      </c>
      <c r="C1855">
        <v>34254.015625</v>
      </c>
      <c r="D1855">
        <v>34592.15625</v>
      </c>
      <c r="E1855">
        <v>32697.30859375</v>
      </c>
      <c r="F1855">
        <v>33155.84765625</v>
      </c>
      <c r="G1855">
        <v>33155.84765625</v>
      </c>
      <c r="H1855">
        <v>24321499537</v>
      </c>
      <c r="I1855" t="s">
        <v>5056</v>
      </c>
      <c r="J1855" t="s">
        <v>5057</v>
      </c>
      <c r="K1855" t="s">
        <v>4634</v>
      </c>
    </row>
    <row r="1856" spans="1:11" ht="20" customHeight="1">
      <c r="A1856" t="s">
        <v>26</v>
      </c>
      <c r="B1856" t="s">
        <v>705</v>
      </c>
      <c r="C1856">
        <v>33125.46875</v>
      </c>
      <c r="D1856">
        <v>33327.1015625</v>
      </c>
      <c r="E1856">
        <v>32261.419921875</v>
      </c>
      <c r="F1856">
        <v>32702.025390625</v>
      </c>
      <c r="G1856">
        <v>32702.025390625</v>
      </c>
      <c r="H1856">
        <v>19120856669</v>
      </c>
      <c r="I1856" t="s">
        <v>5057</v>
      </c>
      <c r="J1856" t="s">
        <v>5058</v>
      </c>
      <c r="K1856" t="s">
        <v>4634</v>
      </c>
    </row>
    <row r="1857" spans="1:11" ht="20" customHeight="1">
      <c r="A1857" t="s">
        <v>26</v>
      </c>
      <c r="B1857" t="s">
        <v>708</v>
      </c>
      <c r="C1857">
        <v>32723.845703125</v>
      </c>
      <c r="D1857">
        <v>33061.3984375</v>
      </c>
      <c r="E1857">
        <v>31639.125</v>
      </c>
      <c r="F1857">
        <v>32822.34765625</v>
      </c>
      <c r="G1857">
        <v>32822.34765625</v>
      </c>
      <c r="H1857">
        <v>21376531210</v>
      </c>
      <c r="I1857" t="s">
        <v>5058</v>
      </c>
      <c r="J1857" t="s">
        <v>5059</v>
      </c>
      <c r="K1857" t="s">
        <v>4634</v>
      </c>
    </row>
    <row r="1858" spans="1:11" ht="20" customHeight="1">
      <c r="A1858" t="s">
        <v>26</v>
      </c>
      <c r="B1858" t="s">
        <v>711</v>
      </c>
      <c r="C1858">
        <v>32827.875</v>
      </c>
      <c r="D1858">
        <v>33159.640625</v>
      </c>
      <c r="E1858">
        <v>31175.708984375</v>
      </c>
      <c r="F1858">
        <v>31780.73046875</v>
      </c>
      <c r="G1858">
        <v>31780.73046875</v>
      </c>
      <c r="H1858">
        <v>21300524237</v>
      </c>
      <c r="I1858" t="s">
        <v>5059</v>
      </c>
      <c r="J1858" t="s">
        <v>5060</v>
      </c>
      <c r="K1858" t="s">
        <v>4634</v>
      </c>
    </row>
    <row r="1859" spans="1:11" ht="20" customHeight="1">
      <c r="A1859" t="s">
        <v>26</v>
      </c>
      <c r="B1859" t="s">
        <v>714</v>
      </c>
      <c r="C1859">
        <v>31841.55078125</v>
      </c>
      <c r="D1859">
        <v>32218.40625</v>
      </c>
      <c r="E1859">
        <v>31100.673828125</v>
      </c>
      <c r="F1859">
        <v>31421.5390625</v>
      </c>
      <c r="G1859">
        <v>31421.5390625</v>
      </c>
      <c r="H1859">
        <v>23699476918</v>
      </c>
      <c r="I1859" t="s">
        <v>5060</v>
      </c>
      <c r="J1859" t="s">
        <v>5061</v>
      </c>
      <c r="K1859" t="s">
        <v>4634</v>
      </c>
    </row>
    <row r="1860" spans="1:11" ht="20" customHeight="1">
      <c r="A1860" t="s">
        <v>26</v>
      </c>
      <c r="B1860" t="s">
        <v>5062</v>
      </c>
      <c r="C1860">
        <v>31397.30859375</v>
      </c>
      <c r="D1860">
        <v>31935.9453125</v>
      </c>
      <c r="E1860">
        <v>31223.990234375</v>
      </c>
      <c r="F1860">
        <v>31533.068359375</v>
      </c>
      <c r="G1860">
        <v>31533.068359375</v>
      </c>
      <c r="H1860">
        <v>18895018942</v>
      </c>
      <c r="I1860" t="s">
        <v>5061</v>
      </c>
      <c r="J1860" t="s">
        <v>5063</v>
      </c>
      <c r="K1860" t="s">
        <v>4634</v>
      </c>
    </row>
    <row r="1861" spans="1:11" ht="20" customHeight="1">
      <c r="A1861" t="s">
        <v>26</v>
      </c>
      <c r="B1861" t="s">
        <v>5064</v>
      </c>
      <c r="C1861">
        <v>31533.884765625</v>
      </c>
      <c r="D1861">
        <v>32398.99609375</v>
      </c>
      <c r="E1861">
        <v>31215.4921875</v>
      </c>
      <c r="F1861">
        <v>31796.810546875</v>
      </c>
      <c r="G1861">
        <v>31796.810546875</v>
      </c>
      <c r="H1861">
        <v>18787986667</v>
      </c>
      <c r="I1861" t="s">
        <v>5063</v>
      </c>
      <c r="J1861" t="s">
        <v>5065</v>
      </c>
      <c r="K1861" t="s">
        <v>4634</v>
      </c>
    </row>
    <row r="1862" spans="1:11" ht="20" customHeight="1">
      <c r="A1862" t="s">
        <v>26</v>
      </c>
      <c r="B1862" t="s">
        <v>717</v>
      </c>
      <c r="C1862">
        <v>31800.01171875</v>
      </c>
      <c r="D1862">
        <v>31885.859375</v>
      </c>
      <c r="E1862">
        <v>30563.734375</v>
      </c>
      <c r="F1862">
        <v>30817.83203125</v>
      </c>
      <c r="G1862">
        <v>30817.83203125</v>
      </c>
      <c r="H1862">
        <v>20434789545</v>
      </c>
      <c r="I1862" t="s">
        <v>5065</v>
      </c>
      <c r="J1862" t="s">
        <v>5066</v>
      </c>
      <c r="K1862" t="s">
        <v>4634</v>
      </c>
    </row>
    <row r="1863" spans="1:11" ht="20" customHeight="1">
      <c r="A1863" t="s">
        <v>26</v>
      </c>
      <c r="B1863" t="s">
        <v>720</v>
      </c>
      <c r="C1863">
        <v>30838.28515625</v>
      </c>
      <c r="D1863">
        <v>31006.1875</v>
      </c>
      <c r="E1863">
        <v>29360.955078125</v>
      </c>
      <c r="F1863">
        <v>29807.34765625</v>
      </c>
      <c r="G1863">
        <v>29807.34765625</v>
      </c>
      <c r="H1863">
        <v>23148267245</v>
      </c>
      <c r="I1863" t="s">
        <v>5066</v>
      </c>
      <c r="J1863" t="s">
        <v>5067</v>
      </c>
      <c r="K1863" t="s">
        <v>4634</v>
      </c>
    </row>
    <row r="1864" spans="1:11" ht="20" customHeight="1">
      <c r="A1864" t="s">
        <v>26</v>
      </c>
      <c r="B1864" t="s">
        <v>723</v>
      </c>
      <c r="C1864">
        <v>29796.28515625</v>
      </c>
      <c r="D1864">
        <v>32752.326171875</v>
      </c>
      <c r="E1864">
        <v>29526.18359375</v>
      </c>
      <c r="F1864">
        <v>32110.693359375</v>
      </c>
      <c r="G1864">
        <v>32110.693359375</v>
      </c>
      <c r="H1864">
        <v>28203024559</v>
      </c>
      <c r="I1864" t="s">
        <v>5067</v>
      </c>
      <c r="J1864" t="s">
        <v>5068</v>
      </c>
      <c r="K1864" t="s">
        <v>4634</v>
      </c>
    </row>
    <row r="1865" spans="1:11" ht="20" customHeight="1">
      <c r="A1865" t="s">
        <v>26</v>
      </c>
      <c r="B1865" t="s">
        <v>726</v>
      </c>
      <c r="C1865">
        <v>32138.873046875</v>
      </c>
      <c r="D1865">
        <v>32576.400390625</v>
      </c>
      <c r="E1865">
        <v>31745.298828125</v>
      </c>
      <c r="F1865">
        <v>32313.10546875</v>
      </c>
      <c r="G1865">
        <v>32313.10546875</v>
      </c>
      <c r="H1865">
        <v>19555230518</v>
      </c>
      <c r="I1865" t="s">
        <v>5068</v>
      </c>
      <c r="J1865" t="s">
        <v>5069</v>
      </c>
      <c r="K1865" t="s">
        <v>4634</v>
      </c>
    </row>
    <row r="1866" spans="1:11" ht="20" customHeight="1">
      <c r="A1866" t="s">
        <v>26</v>
      </c>
      <c r="B1866" t="s">
        <v>729</v>
      </c>
      <c r="C1866">
        <v>32305.958984375</v>
      </c>
      <c r="D1866">
        <v>33581.55078125</v>
      </c>
      <c r="E1866">
        <v>32057.892578125</v>
      </c>
      <c r="F1866">
        <v>33581.55078125</v>
      </c>
      <c r="G1866">
        <v>33581.55078125</v>
      </c>
      <c r="H1866">
        <v>22552046192</v>
      </c>
      <c r="I1866" t="s">
        <v>5069</v>
      </c>
      <c r="J1866" t="s">
        <v>5070</v>
      </c>
      <c r="K1866" t="s">
        <v>4634</v>
      </c>
    </row>
    <row r="1867" spans="1:11" ht="20" customHeight="1">
      <c r="A1867" t="s">
        <v>26</v>
      </c>
      <c r="B1867" t="s">
        <v>5071</v>
      </c>
      <c r="C1867">
        <v>33593.73046875</v>
      </c>
      <c r="D1867">
        <v>34490.390625</v>
      </c>
      <c r="E1867">
        <v>33424.859375</v>
      </c>
      <c r="F1867">
        <v>34292.4453125</v>
      </c>
      <c r="G1867">
        <v>34292.4453125</v>
      </c>
      <c r="H1867">
        <v>21664706865</v>
      </c>
      <c r="I1867" t="s">
        <v>5070</v>
      </c>
      <c r="J1867" t="s">
        <v>5072</v>
      </c>
      <c r="K1867" t="s">
        <v>4634</v>
      </c>
    </row>
    <row r="1868" spans="1:11" ht="20" customHeight="1">
      <c r="A1868" t="s">
        <v>26</v>
      </c>
      <c r="B1868" t="s">
        <v>5073</v>
      </c>
      <c r="C1868">
        <v>34290.29296875</v>
      </c>
      <c r="D1868">
        <v>35364.92578125</v>
      </c>
      <c r="E1868">
        <v>33881.8359375</v>
      </c>
      <c r="F1868">
        <v>35350.1875</v>
      </c>
      <c r="G1868">
        <v>35350.1875</v>
      </c>
      <c r="H1868">
        <v>20856685287</v>
      </c>
      <c r="I1868" t="s">
        <v>5072</v>
      </c>
      <c r="J1868" t="s">
        <v>5074</v>
      </c>
      <c r="K1868" t="s">
        <v>4634</v>
      </c>
    </row>
    <row r="1869" spans="1:11" ht="20" customHeight="1">
      <c r="A1869" t="s">
        <v>26</v>
      </c>
      <c r="B1869" t="s">
        <v>732</v>
      </c>
      <c r="C1869">
        <v>35384.03125</v>
      </c>
      <c r="D1869">
        <v>40499.67578125</v>
      </c>
      <c r="E1869">
        <v>35287.3125</v>
      </c>
      <c r="F1869">
        <v>37337.53515625</v>
      </c>
      <c r="G1869">
        <v>37337.53515625</v>
      </c>
      <c r="H1869">
        <v>51022126212</v>
      </c>
      <c r="I1869" t="s">
        <v>5074</v>
      </c>
      <c r="J1869" t="s">
        <v>5075</v>
      </c>
      <c r="K1869" t="s">
        <v>4634</v>
      </c>
    </row>
    <row r="1870" spans="1:11" ht="20" customHeight="1">
      <c r="A1870" t="s">
        <v>26</v>
      </c>
      <c r="B1870" t="s">
        <v>735</v>
      </c>
      <c r="C1870">
        <v>37276.03515625</v>
      </c>
      <c r="D1870">
        <v>39406.94140625</v>
      </c>
      <c r="E1870">
        <v>36441.7265625</v>
      </c>
      <c r="F1870">
        <v>39406.94140625</v>
      </c>
      <c r="G1870">
        <v>39406.94140625</v>
      </c>
      <c r="H1870">
        <v>35097370560</v>
      </c>
      <c r="I1870" t="s">
        <v>5075</v>
      </c>
      <c r="J1870" t="s">
        <v>5076</v>
      </c>
      <c r="K1870" t="s">
        <v>4634</v>
      </c>
    </row>
    <row r="1871" spans="1:11" ht="20" customHeight="1">
      <c r="A1871" t="s">
        <v>26</v>
      </c>
      <c r="B1871" t="s">
        <v>738</v>
      </c>
      <c r="C1871">
        <v>39503.1875</v>
      </c>
      <c r="D1871">
        <v>40816.0703125</v>
      </c>
      <c r="E1871">
        <v>38862.4375</v>
      </c>
      <c r="F1871">
        <v>39995.90625</v>
      </c>
      <c r="G1871">
        <v>39995.90625</v>
      </c>
      <c r="H1871">
        <v>38702404695</v>
      </c>
      <c r="I1871" t="s">
        <v>5076</v>
      </c>
      <c r="J1871" t="s">
        <v>5077</v>
      </c>
      <c r="K1871" t="s">
        <v>4634</v>
      </c>
    </row>
    <row r="1872" spans="1:11" ht="20" customHeight="1">
      <c r="A1872" t="s">
        <v>26</v>
      </c>
      <c r="B1872" t="s">
        <v>741</v>
      </c>
      <c r="C1872">
        <v>39995.453125</v>
      </c>
      <c r="D1872">
        <v>40593.0703125</v>
      </c>
      <c r="E1872">
        <v>39352.05859375</v>
      </c>
      <c r="F1872">
        <v>40008.421875</v>
      </c>
      <c r="G1872">
        <v>40008.421875</v>
      </c>
      <c r="H1872">
        <v>27167146027</v>
      </c>
      <c r="I1872" t="s">
        <v>5077</v>
      </c>
      <c r="J1872" t="s">
        <v>5078</v>
      </c>
      <c r="K1872" t="s">
        <v>4634</v>
      </c>
    </row>
    <row r="1873" spans="1:11" ht="20" customHeight="1">
      <c r="A1873" t="s">
        <v>26</v>
      </c>
      <c r="B1873" t="s">
        <v>744</v>
      </c>
      <c r="C1873">
        <v>40027.484375</v>
      </c>
      <c r="D1873">
        <v>42235.546875</v>
      </c>
      <c r="E1873">
        <v>38397.35546875</v>
      </c>
      <c r="F1873">
        <v>42235.546875</v>
      </c>
      <c r="G1873">
        <v>42235.546875</v>
      </c>
      <c r="H1873">
        <v>33072782960</v>
      </c>
      <c r="I1873" t="s">
        <v>5078</v>
      </c>
      <c r="J1873" t="s">
        <v>5079</v>
      </c>
      <c r="K1873" t="s">
        <v>4634</v>
      </c>
    </row>
    <row r="1874" spans="1:11" ht="20" customHeight="1">
      <c r="A1874" t="s">
        <v>26</v>
      </c>
      <c r="B1874" t="s">
        <v>5080</v>
      </c>
      <c r="C1874">
        <v>42196.3046875</v>
      </c>
      <c r="D1874">
        <v>42231.44921875</v>
      </c>
      <c r="E1874">
        <v>41110.83203125</v>
      </c>
      <c r="F1874">
        <v>41626.1953125</v>
      </c>
      <c r="G1874">
        <v>41626.1953125</v>
      </c>
      <c r="H1874">
        <v>25802845343</v>
      </c>
      <c r="I1874" t="s">
        <v>5079</v>
      </c>
      <c r="J1874" t="s">
        <v>5081</v>
      </c>
      <c r="K1874" t="s">
        <v>4634</v>
      </c>
    </row>
    <row r="1875" spans="1:11" ht="20" customHeight="1">
      <c r="A1875" t="s">
        <v>26</v>
      </c>
      <c r="B1875" t="s">
        <v>5082</v>
      </c>
      <c r="C1875">
        <v>41460.84375</v>
      </c>
      <c r="D1875">
        <v>42541.6796875</v>
      </c>
      <c r="E1875">
        <v>39540.94140625</v>
      </c>
      <c r="F1875">
        <v>39974.89453125</v>
      </c>
      <c r="G1875">
        <v>39974.89453125</v>
      </c>
      <c r="H1875">
        <v>26688438115</v>
      </c>
      <c r="I1875" t="s">
        <v>5081</v>
      </c>
      <c r="J1875" t="s">
        <v>5083</v>
      </c>
      <c r="K1875" t="s">
        <v>4634</v>
      </c>
    </row>
    <row r="1876" spans="1:11" ht="20" customHeight="1">
      <c r="A1876" t="s">
        <v>26</v>
      </c>
      <c r="B1876" t="s">
        <v>747</v>
      </c>
      <c r="C1876">
        <v>39907.26171875</v>
      </c>
      <c r="D1876">
        <v>40419.1796875</v>
      </c>
      <c r="E1876">
        <v>38746.34765625</v>
      </c>
      <c r="F1876">
        <v>39201.9453125</v>
      </c>
      <c r="G1876">
        <v>39201.9453125</v>
      </c>
      <c r="H1876">
        <v>25595265436</v>
      </c>
      <c r="I1876" t="s">
        <v>5083</v>
      </c>
      <c r="J1876" t="s">
        <v>5084</v>
      </c>
      <c r="K1876" t="s">
        <v>4634</v>
      </c>
    </row>
    <row r="1877" spans="1:11" ht="20" customHeight="1">
      <c r="A1877" t="s">
        <v>26</v>
      </c>
      <c r="B1877" t="s">
        <v>750</v>
      </c>
      <c r="C1877">
        <v>39178.40234375</v>
      </c>
      <c r="D1877">
        <v>39750.03125</v>
      </c>
      <c r="E1877">
        <v>37782.05078125</v>
      </c>
      <c r="F1877">
        <v>38152.98046875</v>
      </c>
      <c r="G1877">
        <v>38152.98046875</v>
      </c>
      <c r="H1877">
        <v>26189830450</v>
      </c>
      <c r="I1877" t="s">
        <v>5084</v>
      </c>
      <c r="J1877" t="s">
        <v>5085</v>
      </c>
      <c r="K1877" t="s">
        <v>4634</v>
      </c>
    </row>
    <row r="1878" spans="1:11" ht="20" customHeight="1">
      <c r="A1878" t="s">
        <v>26</v>
      </c>
      <c r="B1878" t="s">
        <v>753</v>
      </c>
      <c r="C1878">
        <v>38213.33203125</v>
      </c>
      <c r="D1878">
        <v>39952.296875</v>
      </c>
      <c r="E1878">
        <v>37589.1640625</v>
      </c>
      <c r="F1878">
        <v>39747.50390625</v>
      </c>
      <c r="G1878">
        <v>39747.50390625</v>
      </c>
      <c r="H1878">
        <v>25372562724</v>
      </c>
      <c r="I1878" t="s">
        <v>5085</v>
      </c>
      <c r="J1878" t="s">
        <v>5086</v>
      </c>
      <c r="K1878" t="s">
        <v>4634</v>
      </c>
    </row>
    <row r="1879" spans="1:11" ht="20" customHeight="1">
      <c r="A1879" t="s">
        <v>26</v>
      </c>
      <c r="B1879" t="s">
        <v>756</v>
      </c>
      <c r="C1879">
        <v>39744.515625</v>
      </c>
      <c r="D1879">
        <v>41341.93359375</v>
      </c>
      <c r="E1879">
        <v>37458.00390625</v>
      </c>
      <c r="F1879">
        <v>40869.5546875</v>
      </c>
      <c r="G1879">
        <v>40869.5546875</v>
      </c>
      <c r="H1879">
        <v>35185031017</v>
      </c>
      <c r="I1879" t="s">
        <v>5086</v>
      </c>
      <c r="J1879" t="s">
        <v>5087</v>
      </c>
      <c r="K1879" t="s">
        <v>4634</v>
      </c>
    </row>
    <row r="1880" spans="1:11" ht="20" customHeight="1">
      <c r="A1880" t="s">
        <v>26</v>
      </c>
      <c r="B1880" t="s">
        <v>759</v>
      </c>
      <c r="C1880">
        <v>40865.8671875</v>
      </c>
      <c r="D1880">
        <v>43271.66015625</v>
      </c>
      <c r="E1880">
        <v>39932.1796875</v>
      </c>
      <c r="F1880">
        <v>42816.5</v>
      </c>
      <c r="G1880">
        <v>42816.5</v>
      </c>
      <c r="H1880">
        <v>38226483046</v>
      </c>
      <c r="I1880" t="s">
        <v>5087</v>
      </c>
      <c r="J1880" t="s">
        <v>5088</v>
      </c>
      <c r="K1880" t="s">
        <v>4634</v>
      </c>
    </row>
    <row r="1881" spans="1:11" ht="20" customHeight="1">
      <c r="A1881" t="s">
        <v>26</v>
      </c>
      <c r="B1881" t="s">
        <v>5089</v>
      </c>
      <c r="C1881">
        <v>42832.796875</v>
      </c>
      <c r="D1881">
        <v>44689.859375</v>
      </c>
      <c r="E1881">
        <v>42618.56640625</v>
      </c>
      <c r="F1881">
        <v>44555.80078125</v>
      </c>
      <c r="G1881">
        <v>44555.80078125</v>
      </c>
      <c r="H1881">
        <v>40030862141</v>
      </c>
      <c r="I1881" t="s">
        <v>5088</v>
      </c>
      <c r="J1881" t="s">
        <v>5090</v>
      </c>
      <c r="K1881" t="s">
        <v>4634</v>
      </c>
    </row>
    <row r="1882" spans="1:11" ht="20" customHeight="1">
      <c r="A1882" t="s">
        <v>26</v>
      </c>
      <c r="B1882" t="s">
        <v>5091</v>
      </c>
      <c r="C1882">
        <v>44574.4375</v>
      </c>
      <c r="D1882">
        <v>45282.3515625</v>
      </c>
      <c r="E1882">
        <v>43331.91015625</v>
      </c>
      <c r="F1882">
        <v>43798.1171875</v>
      </c>
      <c r="G1882">
        <v>43798.1171875</v>
      </c>
      <c r="H1882">
        <v>36302664750</v>
      </c>
      <c r="I1882" t="s">
        <v>5090</v>
      </c>
      <c r="J1882" t="s">
        <v>5092</v>
      </c>
      <c r="K1882" t="s">
        <v>4634</v>
      </c>
    </row>
    <row r="1883" spans="1:11" ht="20" customHeight="1">
      <c r="A1883" t="s">
        <v>26</v>
      </c>
      <c r="B1883" t="s">
        <v>762</v>
      </c>
      <c r="C1883">
        <v>43791.92578125</v>
      </c>
      <c r="D1883">
        <v>46456.83203125</v>
      </c>
      <c r="E1883">
        <v>42848.6875</v>
      </c>
      <c r="F1883">
        <v>46365.40234375</v>
      </c>
      <c r="G1883">
        <v>46365.40234375</v>
      </c>
      <c r="H1883">
        <v>38734079049</v>
      </c>
      <c r="I1883" t="s">
        <v>5092</v>
      </c>
      <c r="J1883" t="s">
        <v>5093</v>
      </c>
      <c r="K1883" t="s">
        <v>4634</v>
      </c>
    </row>
    <row r="1884" spans="1:11" ht="20" customHeight="1">
      <c r="A1884" t="s">
        <v>26</v>
      </c>
      <c r="B1884" t="s">
        <v>765</v>
      </c>
      <c r="C1884">
        <v>46280.84765625</v>
      </c>
      <c r="D1884">
        <v>46637.98828125</v>
      </c>
      <c r="E1884">
        <v>44705.5546875</v>
      </c>
      <c r="F1884">
        <v>45585.03125</v>
      </c>
      <c r="G1884">
        <v>45585.03125</v>
      </c>
      <c r="H1884">
        <v>33546019517</v>
      </c>
      <c r="I1884" t="s">
        <v>5093</v>
      </c>
      <c r="J1884" t="s">
        <v>5094</v>
      </c>
      <c r="K1884" t="s">
        <v>4634</v>
      </c>
    </row>
    <row r="1885" spans="1:11" ht="20" customHeight="1">
      <c r="A1885" t="s">
        <v>26</v>
      </c>
      <c r="B1885" t="s">
        <v>768</v>
      </c>
      <c r="C1885">
        <v>45599.703125</v>
      </c>
      <c r="D1885">
        <v>46735.6328125</v>
      </c>
      <c r="E1885">
        <v>45351.7109375</v>
      </c>
      <c r="F1885">
        <v>45593.63671875</v>
      </c>
      <c r="G1885">
        <v>45593.63671875</v>
      </c>
      <c r="H1885">
        <v>34319709073</v>
      </c>
      <c r="I1885" t="s">
        <v>5094</v>
      </c>
      <c r="J1885" t="s">
        <v>5095</v>
      </c>
      <c r="K1885" t="s">
        <v>4634</v>
      </c>
    </row>
    <row r="1886" spans="1:11" ht="20" customHeight="1">
      <c r="A1886" t="s">
        <v>26</v>
      </c>
      <c r="B1886" t="s">
        <v>771</v>
      </c>
      <c r="C1886">
        <v>45576.87890625</v>
      </c>
      <c r="D1886">
        <v>46228.91015625</v>
      </c>
      <c r="E1886">
        <v>43861.4453125</v>
      </c>
      <c r="F1886">
        <v>44428.2890625</v>
      </c>
      <c r="G1886">
        <v>44428.2890625</v>
      </c>
      <c r="H1886">
        <v>33723620826</v>
      </c>
      <c r="I1886" t="s">
        <v>5095</v>
      </c>
      <c r="J1886" t="s">
        <v>5096</v>
      </c>
      <c r="K1886" t="s">
        <v>4634</v>
      </c>
    </row>
    <row r="1887" spans="1:11" ht="20" customHeight="1">
      <c r="A1887" t="s">
        <v>26</v>
      </c>
      <c r="B1887" t="s">
        <v>774</v>
      </c>
      <c r="C1887">
        <v>44439.69140625</v>
      </c>
      <c r="D1887">
        <v>47831.9765625</v>
      </c>
      <c r="E1887">
        <v>44282.41796875</v>
      </c>
      <c r="F1887">
        <v>47793.3203125</v>
      </c>
      <c r="G1887">
        <v>47793.3203125</v>
      </c>
      <c r="H1887">
        <v>31744259539</v>
      </c>
      <c r="I1887" t="s">
        <v>5096</v>
      </c>
      <c r="J1887" t="s">
        <v>5097</v>
      </c>
      <c r="K1887" t="s">
        <v>4634</v>
      </c>
    </row>
    <row r="1888" spans="1:11" ht="20" customHeight="1">
      <c r="A1888" t="s">
        <v>26</v>
      </c>
      <c r="B1888" t="s">
        <v>5098</v>
      </c>
      <c r="C1888">
        <v>47810.6875</v>
      </c>
      <c r="D1888">
        <v>48098.68359375</v>
      </c>
      <c r="E1888">
        <v>46177.6328125</v>
      </c>
      <c r="F1888">
        <v>47096.9453125</v>
      </c>
      <c r="G1888">
        <v>47096.9453125</v>
      </c>
      <c r="H1888">
        <v>31211354442</v>
      </c>
      <c r="I1888" t="s">
        <v>5097</v>
      </c>
      <c r="J1888" t="s">
        <v>5099</v>
      </c>
      <c r="K1888" t="s">
        <v>4634</v>
      </c>
    </row>
    <row r="1889" spans="1:11" ht="20" customHeight="1">
      <c r="A1889" t="s">
        <v>26</v>
      </c>
      <c r="B1889" t="s">
        <v>5100</v>
      </c>
      <c r="C1889">
        <v>47096.66796875</v>
      </c>
      <c r="D1889">
        <v>47357.10546875</v>
      </c>
      <c r="E1889">
        <v>45579.58984375</v>
      </c>
      <c r="F1889">
        <v>47047.00390625</v>
      </c>
      <c r="G1889">
        <v>47047.00390625</v>
      </c>
      <c r="H1889">
        <v>30988958446</v>
      </c>
      <c r="I1889" t="s">
        <v>5099</v>
      </c>
      <c r="J1889" t="s">
        <v>5101</v>
      </c>
      <c r="K1889" t="s">
        <v>4634</v>
      </c>
    </row>
    <row r="1890" spans="1:11" ht="20" customHeight="1">
      <c r="A1890" t="s">
        <v>26</v>
      </c>
      <c r="B1890" t="s">
        <v>777</v>
      </c>
      <c r="C1890">
        <v>47019.9609375</v>
      </c>
      <c r="D1890">
        <v>47998.09765625</v>
      </c>
      <c r="E1890">
        <v>45700.3203125</v>
      </c>
      <c r="F1890">
        <v>46004.484375</v>
      </c>
      <c r="G1890">
        <v>46004.484375</v>
      </c>
      <c r="H1890">
        <v>32776876610</v>
      </c>
      <c r="I1890" t="s">
        <v>5101</v>
      </c>
      <c r="J1890" t="s">
        <v>5102</v>
      </c>
      <c r="K1890" t="s">
        <v>4634</v>
      </c>
    </row>
    <row r="1891" spans="1:11" ht="20" customHeight="1">
      <c r="A1891" t="s">
        <v>26</v>
      </c>
      <c r="B1891" t="s">
        <v>780</v>
      </c>
      <c r="C1891">
        <v>45936.45703125</v>
      </c>
      <c r="D1891">
        <v>47139.5703125</v>
      </c>
      <c r="E1891">
        <v>44512.41796875</v>
      </c>
      <c r="F1891">
        <v>44695.359375</v>
      </c>
      <c r="G1891">
        <v>44695.359375</v>
      </c>
      <c r="H1891">
        <v>33451362600</v>
      </c>
      <c r="I1891" t="s">
        <v>5102</v>
      </c>
      <c r="J1891" t="s">
        <v>5103</v>
      </c>
      <c r="K1891" t="s">
        <v>4634</v>
      </c>
    </row>
    <row r="1892" spans="1:11" ht="20" customHeight="1">
      <c r="A1892" t="s">
        <v>26</v>
      </c>
      <c r="B1892" t="s">
        <v>783</v>
      </c>
      <c r="C1892">
        <v>44686.75</v>
      </c>
      <c r="D1892">
        <v>45952.0625</v>
      </c>
      <c r="E1892">
        <v>44364.02734375</v>
      </c>
      <c r="F1892">
        <v>44801.1875</v>
      </c>
      <c r="G1892">
        <v>44801.1875</v>
      </c>
      <c r="H1892">
        <v>32194123075</v>
      </c>
      <c r="I1892" t="s">
        <v>5103</v>
      </c>
      <c r="J1892" t="s">
        <v>5104</v>
      </c>
      <c r="K1892" t="s">
        <v>4634</v>
      </c>
    </row>
    <row r="1893" spans="1:11" ht="20" customHeight="1">
      <c r="A1893" t="s">
        <v>26</v>
      </c>
      <c r="B1893" t="s">
        <v>786</v>
      </c>
      <c r="C1893">
        <v>44741.8828125</v>
      </c>
      <c r="D1893">
        <v>46970.76171875</v>
      </c>
      <c r="E1893">
        <v>43998.31640625</v>
      </c>
      <c r="F1893">
        <v>46717.578125</v>
      </c>
      <c r="G1893">
        <v>46717.578125</v>
      </c>
      <c r="H1893">
        <v>37204312299</v>
      </c>
      <c r="I1893" t="s">
        <v>5104</v>
      </c>
      <c r="J1893" t="s">
        <v>5105</v>
      </c>
      <c r="K1893" t="s">
        <v>4634</v>
      </c>
    </row>
    <row r="1894" spans="1:11" ht="20" customHeight="1">
      <c r="A1894" t="s">
        <v>26</v>
      </c>
      <c r="B1894" t="s">
        <v>789</v>
      </c>
      <c r="C1894">
        <v>46723.12109375</v>
      </c>
      <c r="D1894">
        <v>49342.15234375</v>
      </c>
      <c r="E1894">
        <v>46650.70703125</v>
      </c>
      <c r="F1894">
        <v>49339.17578125</v>
      </c>
      <c r="G1894">
        <v>49339.17578125</v>
      </c>
      <c r="H1894">
        <v>34706867452</v>
      </c>
      <c r="I1894" t="s">
        <v>5105</v>
      </c>
      <c r="J1894" t="s">
        <v>5106</v>
      </c>
      <c r="K1894" t="s">
        <v>4634</v>
      </c>
    </row>
    <row r="1895" spans="1:11" ht="20" customHeight="1">
      <c r="A1895" t="s">
        <v>26</v>
      </c>
      <c r="B1895" t="s">
        <v>5107</v>
      </c>
      <c r="C1895">
        <v>49327.07421875</v>
      </c>
      <c r="D1895">
        <v>49717.01953125</v>
      </c>
      <c r="E1895">
        <v>48312.19921875</v>
      </c>
      <c r="F1895">
        <v>48905.4921875</v>
      </c>
      <c r="G1895">
        <v>48905.4921875</v>
      </c>
      <c r="H1895">
        <v>40585205312</v>
      </c>
      <c r="I1895" t="s">
        <v>5106</v>
      </c>
      <c r="J1895" t="s">
        <v>5108</v>
      </c>
      <c r="K1895" t="s">
        <v>4634</v>
      </c>
    </row>
    <row r="1896" spans="1:11" ht="20" customHeight="1">
      <c r="A1896" t="s">
        <v>26</v>
      </c>
      <c r="B1896" t="s">
        <v>5109</v>
      </c>
      <c r="C1896">
        <v>48869.10546875</v>
      </c>
      <c r="D1896">
        <v>49471.609375</v>
      </c>
      <c r="E1896">
        <v>48199.94140625</v>
      </c>
      <c r="F1896">
        <v>49321.65234375</v>
      </c>
      <c r="G1896">
        <v>49321.65234375</v>
      </c>
      <c r="H1896">
        <v>25370975378</v>
      </c>
      <c r="I1896" t="s">
        <v>5108</v>
      </c>
      <c r="J1896" t="s">
        <v>5110</v>
      </c>
      <c r="K1896" t="s">
        <v>4634</v>
      </c>
    </row>
    <row r="1897" spans="1:11" ht="20" customHeight="1">
      <c r="A1897" t="s">
        <v>26</v>
      </c>
      <c r="B1897" t="s">
        <v>792</v>
      </c>
      <c r="C1897">
        <v>49291.67578125</v>
      </c>
      <c r="D1897">
        <v>50482.078125</v>
      </c>
      <c r="E1897">
        <v>49074.60546875</v>
      </c>
      <c r="F1897">
        <v>49546.1484375</v>
      </c>
      <c r="G1897">
        <v>49546.1484375</v>
      </c>
      <c r="H1897">
        <v>34305053719</v>
      </c>
      <c r="I1897" t="s">
        <v>5110</v>
      </c>
      <c r="J1897" t="s">
        <v>5111</v>
      </c>
      <c r="K1897" t="s">
        <v>4634</v>
      </c>
    </row>
    <row r="1898" spans="1:11" ht="20" customHeight="1">
      <c r="A1898" t="s">
        <v>26</v>
      </c>
      <c r="B1898" t="s">
        <v>795</v>
      </c>
      <c r="C1898">
        <v>49562.34765625</v>
      </c>
      <c r="D1898">
        <v>49878.76953125</v>
      </c>
      <c r="E1898">
        <v>47687.1171875</v>
      </c>
      <c r="F1898">
        <v>47706.1171875</v>
      </c>
      <c r="G1898">
        <v>47706.1171875</v>
      </c>
      <c r="H1898">
        <v>35361168834</v>
      </c>
      <c r="I1898" t="s">
        <v>5111</v>
      </c>
      <c r="J1898" t="s">
        <v>5112</v>
      </c>
      <c r="K1898" t="s">
        <v>4634</v>
      </c>
    </row>
    <row r="1899" spans="1:11" ht="20" customHeight="1">
      <c r="A1899" t="s">
        <v>26</v>
      </c>
      <c r="B1899" t="s">
        <v>798</v>
      </c>
      <c r="C1899">
        <v>47727.2578125</v>
      </c>
      <c r="D1899">
        <v>49202.87890625</v>
      </c>
      <c r="E1899">
        <v>47163.61328125</v>
      </c>
      <c r="F1899">
        <v>48960.7890625</v>
      </c>
      <c r="G1899">
        <v>48960.7890625</v>
      </c>
      <c r="H1899">
        <v>32646349931</v>
      </c>
      <c r="I1899" t="s">
        <v>5112</v>
      </c>
      <c r="J1899" t="s">
        <v>5113</v>
      </c>
      <c r="K1899" t="s">
        <v>4634</v>
      </c>
    </row>
    <row r="1900" spans="1:11" ht="20" customHeight="1">
      <c r="A1900" t="s">
        <v>26</v>
      </c>
      <c r="B1900" t="s">
        <v>801</v>
      </c>
      <c r="C1900">
        <v>49002.640625</v>
      </c>
      <c r="D1900">
        <v>49347.58203125</v>
      </c>
      <c r="E1900">
        <v>46405.78125</v>
      </c>
      <c r="F1900">
        <v>46942.21875</v>
      </c>
      <c r="G1900">
        <v>46942.21875</v>
      </c>
      <c r="H1900">
        <v>32666549568</v>
      </c>
      <c r="I1900" t="s">
        <v>5113</v>
      </c>
      <c r="J1900" t="s">
        <v>5114</v>
      </c>
      <c r="K1900" t="s">
        <v>4634</v>
      </c>
    </row>
    <row r="1901" spans="1:11" ht="20" customHeight="1">
      <c r="A1901" t="s">
        <v>26</v>
      </c>
      <c r="B1901" t="s">
        <v>804</v>
      </c>
      <c r="C1901">
        <v>46894.5546875</v>
      </c>
      <c r="D1901">
        <v>49112.78515625</v>
      </c>
      <c r="E1901">
        <v>46394.28125</v>
      </c>
      <c r="F1901">
        <v>49058.66796875</v>
      </c>
      <c r="G1901">
        <v>49058.66796875</v>
      </c>
      <c r="H1901">
        <v>34511076995</v>
      </c>
      <c r="I1901" t="s">
        <v>5114</v>
      </c>
      <c r="J1901" t="s">
        <v>5115</v>
      </c>
      <c r="K1901" t="s">
        <v>4634</v>
      </c>
    </row>
    <row r="1902" spans="1:11" ht="20" customHeight="1">
      <c r="A1902" t="s">
        <v>26</v>
      </c>
      <c r="B1902" t="s">
        <v>5116</v>
      </c>
      <c r="C1902">
        <v>49072.5859375</v>
      </c>
      <c r="D1902">
        <v>49283.50390625</v>
      </c>
      <c r="E1902">
        <v>48499.23828125</v>
      </c>
      <c r="F1902">
        <v>48902.40234375</v>
      </c>
      <c r="G1902">
        <v>48902.40234375</v>
      </c>
      <c r="H1902">
        <v>28568103401</v>
      </c>
      <c r="I1902" t="s">
        <v>5115</v>
      </c>
      <c r="J1902" t="s">
        <v>5117</v>
      </c>
      <c r="K1902" t="s">
        <v>4634</v>
      </c>
    </row>
    <row r="1903" spans="1:11" ht="20" customHeight="1">
      <c r="A1903" t="s">
        <v>26</v>
      </c>
      <c r="B1903" t="s">
        <v>5118</v>
      </c>
      <c r="C1903">
        <v>48911.25</v>
      </c>
      <c r="D1903">
        <v>49644.11328125</v>
      </c>
      <c r="E1903">
        <v>47925.85546875</v>
      </c>
      <c r="F1903">
        <v>48829.83203125</v>
      </c>
      <c r="G1903">
        <v>48829.83203125</v>
      </c>
      <c r="H1903">
        <v>25889650240</v>
      </c>
      <c r="I1903" t="s">
        <v>5117</v>
      </c>
      <c r="J1903" t="s">
        <v>5119</v>
      </c>
      <c r="K1903" t="s">
        <v>4634</v>
      </c>
    </row>
    <row r="1904" spans="1:11" ht="20" customHeight="1">
      <c r="A1904" t="s">
        <v>26</v>
      </c>
      <c r="B1904" t="s">
        <v>807</v>
      </c>
      <c r="C1904">
        <v>48834.8515625</v>
      </c>
      <c r="D1904">
        <v>48925.60546875</v>
      </c>
      <c r="E1904">
        <v>46950.2734375</v>
      </c>
      <c r="F1904">
        <v>47054.984375</v>
      </c>
      <c r="G1904">
        <v>47054.984375</v>
      </c>
      <c r="H1904">
        <v>31847007016</v>
      </c>
      <c r="I1904" t="s">
        <v>5119</v>
      </c>
      <c r="J1904" t="s">
        <v>5120</v>
      </c>
      <c r="K1904" t="s">
        <v>4634</v>
      </c>
    </row>
    <row r="1905" spans="1:11" ht="20" customHeight="1">
      <c r="A1905" t="s">
        <v>26</v>
      </c>
      <c r="B1905" t="s">
        <v>810</v>
      </c>
      <c r="C1905">
        <v>47024.33984375</v>
      </c>
      <c r="D1905">
        <v>48189.55078125</v>
      </c>
      <c r="E1905">
        <v>46750.09375</v>
      </c>
      <c r="F1905">
        <v>47166.6875</v>
      </c>
      <c r="G1905">
        <v>47166.6875</v>
      </c>
      <c r="H1905">
        <v>34730363427</v>
      </c>
      <c r="I1905" t="s">
        <v>5120</v>
      </c>
      <c r="J1905" t="s">
        <v>5121</v>
      </c>
      <c r="K1905" t="s">
        <v>4634</v>
      </c>
    </row>
    <row r="1906" spans="1:11" ht="20" customHeight="1">
      <c r="A1906" t="s">
        <v>26</v>
      </c>
      <c r="B1906" t="s">
        <v>813</v>
      </c>
      <c r="C1906">
        <v>47099.7734375</v>
      </c>
      <c r="D1906">
        <v>49111.08984375</v>
      </c>
      <c r="E1906">
        <v>46562.4375</v>
      </c>
      <c r="F1906">
        <v>48847.02734375</v>
      </c>
      <c r="G1906">
        <v>48847.02734375</v>
      </c>
      <c r="H1906">
        <v>39139399125</v>
      </c>
      <c r="I1906" t="s">
        <v>5121</v>
      </c>
      <c r="J1906" t="s">
        <v>5122</v>
      </c>
      <c r="K1906" t="s">
        <v>4634</v>
      </c>
    </row>
    <row r="1907" spans="1:11" ht="20" customHeight="1">
      <c r="A1907" t="s">
        <v>26</v>
      </c>
      <c r="B1907" t="s">
        <v>816</v>
      </c>
      <c r="C1907">
        <v>48807.84765625</v>
      </c>
      <c r="D1907">
        <v>50343.421875</v>
      </c>
      <c r="E1907">
        <v>48652.3203125</v>
      </c>
      <c r="F1907">
        <v>49327.72265625</v>
      </c>
      <c r="G1907">
        <v>49327.72265625</v>
      </c>
      <c r="H1907">
        <v>39508070319</v>
      </c>
      <c r="I1907" t="s">
        <v>5122</v>
      </c>
      <c r="J1907" t="s">
        <v>5123</v>
      </c>
      <c r="K1907" t="s">
        <v>4634</v>
      </c>
    </row>
    <row r="1908" spans="1:11" ht="20" customHeight="1">
      <c r="A1908" t="s">
        <v>26</v>
      </c>
      <c r="B1908" t="s">
        <v>819</v>
      </c>
      <c r="C1908">
        <v>49288.25</v>
      </c>
      <c r="D1908">
        <v>50982.2734375</v>
      </c>
      <c r="E1908">
        <v>48386.0859375</v>
      </c>
      <c r="F1908">
        <v>50025.375</v>
      </c>
      <c r="G1908">
        <v>50025.375</v>
      </c>
      <c r="H1908">
        <v>43206179619</v>
      </c>
      <c r="I1908" t="s">
        <v>5123</v>
      </c>
      <c r="J1908" t="s">
        <v>5124</v>
      </c>
      <c r="K1908" t="s">
        <v>4634</v>
      </c>
    </row>
    <row r="1909" spans="1:11" ht="20" customHeight="1">
      <c r="A1909" t="s">
        <v>26</v>
      </c>
      <c r="B1909" t="s">
        <v>5125</v>
      </c>
      <c r="C1909">
        <v>50009.32421875</v>
      </c>
      <c r="D1909">
        <v>50545.58203125</v>
      </c>
      <c r="E1909">
        <v>49548.78125</v>
      </c>
      <c r="F1909">
        <v>49944.625</v>
      </c>
      <c r="G1909">
        <v>49944.625</v>
      </c>
      <c r="H1909">
        <v>37471327794</v>
      </c>
      <c r="I1909" t="s">
        <v>5124</v>
      </c>
      <c r="J1909" t="s">
        <v>5126</v>
      </c>
      <c r="K1909" t="s">
        <v>4634</v>
      </c>
    </row>
    <row r="1910" spans="1:11" ht="20" customHeight="1">
      <c r="A1910" t="s">
        <v>26</v>
      </c>
      <c r="B1910" t="s">
        <v>5127</v>
      </c>
      <c r="C1910">
        <v>49937.859375</v>
      </c>
      <c r="D1910">
        <v>51868.6796875</v>
      </c>
      <c r="E1910">
        <v>49538.59765625</v>
      </c>
      <c r="F1910">
        <v>51753.41015625</v>
      </c>
      <c r="G1910">
        <v>51753.41015625</v>
      </c>
      <c r="H1910">
        <v>30322676319</v>
      </c>
      <c r="I1910" t="s">
        <v>5126</v>
      </c>
      <c r="J1910" t="s">
        <v>5128</v>
      </c>
      <c r="K1910" t="s">
        <v>4634</v>
      </c>
    </row>
    <row r="1911" spans="1:11" ht="20" customHeight="1">
      <c r="A1911" t="s">
        <v>26</v>
      </c>
      <c r="B1911" t="s">
        <v>5129</v>
      </c>
      <c r="C1911">
        <v>51769.00390625</v>
      </c>
      <c r="D1911">
        <v>52700.94140625</v>
      </c>
      <c r="E1911">
        <v>51053.6796875</v>
      </c>
      <c r="F1911">
        <v>52633.53515625</v>
      </c>
      <c r="G1911">
        <v>52633.53515625</v>
      </c>
      <c r="H1911">
        <v>38884105426</v>
      </c>
      <c r="I1911" t="s">
        <v>5128</v>
      </c>
      <c r="J1911" t="s">
        <v>5130</v>
      </c>
      <c r="K1911" t="s">
        <v>4634</v>
      </c>
    </row>
    <row r="1912" spans="1:11" ht="20" customHeight="1">
      <c r="A1912" t="s">
        <v>26</v>
      </c>
      <c r="B1912" t="s">
        <v>822</v>
      </c>
      <c r="C1912">
        <v>52660.48046875</v>
      </c>
      <c r="D1912">
        <v>52853.765625</v>
      </c>
      <c r="E1912">
        <v>43285.20703125</v>
      </c>
      <c r="F1912">
        <v>46811.12890625</v>
      </c>
      <c r="G1912">
        <v>46811.12890625</v>
      </c>
      <c r="H1912">
        <v>65210059683</v>
      </c>
      <c r="I1912" t="s">
        <v>5130</v>
      </c>
      <c r="J1912" t="s">
        <v>5131</v>
      </c>
      <c r="K1912" t="s">
        <v>4634</v>
      </c>
    </row>
    <row r="1913" spans="1:11" ht="20" customHeight="1">
      <c r="A1913" t="s">
        <v>26</v>
      </c>
      <c r="B1913" t="s">
        <v>825</v>
      </c>
      <c r="C1913">
        <v>46827.76171875</v>
      </c>
      <c r="D1913">
        <v>47334.0546875</v>
      </c>
      <c r="E1913">
        <v>44561.39453125</v>
      </c>
      <c r="F1913">
        <v>46091.390625</v>
      </c>
      <c r="G1913">
        <v>46091.390625</v>
      </c>
      <c r="H1913">
        <v>49007762488</v>
      </c>
      <c r="I1913" t="s">
        <v>5131</v>
      </c>
      <c r="J1913" t="s">
        <v>5132</v>
      </c>
      <c r="K1913" t="s">
        <v>4634</v>
      </c>
    </row>
    <row r="1914" spans="1:11" ht="20" customHeight="1">
      <c r="A1914" t="s">
        <v>26</v>
      </c>
      <c r="B1914" t="s">
        <v>828</v>
      </c>
      <c r="C1914">
        <v>45774.7421875</v>
      </c>
      <c r="D1914">
        <v>47261.94921875</v>
      </c>
      <c r="E1914">
        <v>45669.73828125</v>
      </c>
      <c r="F1914">
        <v>46391.421875</v>
      </c>
      <c r="G1914">
        <v>46391.421875</v>
      </c>
      <c r="H1914">
        <v>38672657013</v>
      </c>
      <c r="I1914" t="s">
        <v>5132</v>
      </c>
      <c r="J1914" t="s">
        <v>5133</v>
      </c>
      <c r="K1914" t="s">
        <v>4634</v>
      </c>
    </row>
    <row r="1915" spans="1:11" ht="20" customHeight="1">
      <c r="A1915" t="s">
        <v>26</v>
      </c>
      <c r="B1915" t="s">
        <v>831</v>
      </c>
      <c r="C1915">
        <v>46396.6640625</v>
      </c>
      <c r="D1915">
        <v>47031.7421875</v>
      </c>
      <c r="E1915">
        <v>44344.484375</v>
      </c>
      <c r="F1915">
        <v>44883.91015625</v>
      </c>
      <c r="G1915">
        <v>44883.91015625</v>
      </c>
      <c r="H1915">
        <v>39154666597</v>
      </c>
      <c r="I1915" t="s">
        <v>5133</v>
      </c>
      <c r="J1915" t="s">
        <v>5134</v>
      </c>
      <c r="K1915" t="s">
        <v>4634</v>
      </c>
    </row>
    <row r="1916" spans="1:11" ht="20" customHeight="1">
      <c r="A1916" t="s">
        <v>26</v>
      </c>
      <c r="B1916" t="s">
        <v>5135</v>
      </c>
      <c r="C1916">
        <v>44869.83984375</v>
      </c>
      <c r="D1916">
        <v>45969.29296875</v>
      </c>
      <c r="E1916">
        <v>44818.265625</v>
      </c>
      <c r="F1916">
        <v>45201.45703125</v>
      </c>
      <c r="G1916">
        <v>45201.45703125</v>
      </c>
      <c r="H1916">
        <v>34499835245</v>
      </c>
      <c r="I1916" t="s">
        <v>5134</v>
      </c>
      <c r="J1916" t="s">
        <v>5136</v>
      </c>
      <c r="K1916" t="s">
        <v>4634</v>
      </c>
    </row>
    <row r="1917" spans="1:11" ht="20" customHeight="1">
      <c r="A1917" t="s">
        <v>26</v>
      </c>
      <c r="B1917" t="s">
        <v>5137</v>
      </c>
      <c r="C1917">
        <v>45206.62890625</v>
      </c>
      <c r="D1917">
        <v>46364.87890625</v>
      </c>
      <c r="E1917">
        <v>44790.4609375</v>
      </c>
      <c r="F1917">
        <v>46063.26953125</v>
      </c>
      <c r="G1917">
        <v>46063.26953125</v>
      </c>
      <c r="H1917">
        <v>27881980161</v>
      </c>
      <c r="I1917" t="s">
        <v>5136</v>
      </c>
      <c r="J1917" t="s">
        <v>5138</v>
      </c>
      <c r="K1917" t="s">
        <v>4634</v>
      </c>
    </row>
    <row r="1918" spans="1:11" ht="20" customHeight="1">
      <c r="A1918" t="s">
        <v>26</v>
      </c>
      <c r="B1918" t="s">
        <v>834</v>
      </c>
      <c r="C1918">
        <v>46057.21484375</v>
      </c>
      <c r="D1918">
        <v>46598.6796875</v>
      </c>
      <c r="E1918">
        <v>43591.3203125</v>
      </c>
      <c r="F1918">
        <v>44963.07421875</v>
      </c>
      <c r="G1918">
        <v>44963.07421875</v>
      </c>
      <c r="H1918">
        <v>40969943253</v>
      </c>
      <c r="I1918" t="s">
        <v>5138</v>
      </c>
      <c r="J1918" t="s">
        <v>5139</v>
      </c>
      <c r="K1918" t="s">
        <v>4634</v>
      </c>
    </row>
    <row r="1919" spans="1:11" ht="20" customHeight="1">
      <c r="A1919" t="s">
        <v>26</v>
      </c>
      <c r="B1919" t="s">
        <v>837</v>
      </c>
      <c r="C1919">
        <v>44960.05078125</v>
      </c>
      <c r="D1919">
        <v>47218.125</v>
      </c>
      <c r="E1919">
        <v>44752.33203125</v>
      </c>
      <c r="F1919">
        <v>47092.4921875</v>
      </c>
      <c r="G1919">
        <v>47092.4921875</v>
      </c>
      <c r="H1919">
        <v>38652152880</v>
      </c>
      <c r="I1919" t="s">
        <v>5139</v>
      </c>
      <c r="J1919" t="s">
        <v>5140</v>
      </c>
      <c r="K1919" t="s">
        <v>4634</v>
      </c>
    </row>
    <row r="1920" spans="1:11" ht="20" customHeight="1">
      <c r="A1920" t="s">
        <v>26</v>
      </c>
      <c r="B1920" t="s">
        <v>840</v>
      </c>
      <c r="C1920">
        <v>47098</v>
      </c>
      <c r="D1920">
        <v>48450.46875</v>
      </c>
      <c r="E1920">
        <v>46773.328125</v>
      </c>
      <c r="F1920">
        <v>48176.34765625</v>
      </c>
      <c r="G1920">
        <v>48176.34765625</v>
      </c>
      <c r="H1920">
        <v>30484496466</v>
      </c>
      <c r="I1920" t="s">
        <v>5140</v>
      </c>
      <c r="J1920" t="s">
        <v>5141</v>
      </c>
      <c r="K1920" t="s">
        <v>4634</v>
      </c>
    </row>
    <row r="1921" spans="1:11" ht="20" customHeight="1">
      <c r="A1921" t="s">
        <v>26</v>
      </c>
      <c r="B1921" t="s">
        <v>843</v>
      </c>
      <c r="C1921">
        <v>48158.90625</v>
      </c>
      <c r="D1921">
        <v>48486.828125</v>
      </c>
      <c r="E1921">
        <v>47079.55859375</v>
      </c>
      <c r="F1921">
        <v>47783.359375</v>
      </c>
      <c r="G1921">
        <v>47783.359375</v>
      </c>
      <c r="H1921">
        <v>31764293754</v>
      </c>
      <c r="I1921" t="s">
        <v>5141</v>
      </c>
      <c r="J1921" t="s">
        <v>5142</v>
      </c>
      <c r="K1921" t="s">
        <v>4634</v>
      </c>
    </row>
    <row r="1922" spans="1:11" ht="20" customHeight="1">
      <c r="A1922" t="s">
        <v>26</v>
      </c>
      <c r="B1922" t="s">
        <v>846</v>
      </c>
      <c r="C1922">
        <v>47771.00390625</v>
      </c>
      <c r="D1922">
        <v>48160.921875</v>
      </c>
      <c r="E1922">
        <v>46832.5234375</v>
      </c>
      <c r="F1922">
        <v>47267.51953125</v>
      </c>
      <c r="G1922">
        <v>47267.51953125</v>
      </c>
      <c r="H1922">
        <v>28727713711</v>
      </c>
      <c r="I1922" t="s">
        <v>5142</v>
      </c>
      <c r="J1922" t="s">
        <v>5143</v>
      </c>
      <c r="K1922" t="s">
        <v>4634</v>
      </c>
    </row>
    <row r="1923" spans="1:11" ht="20" customHeight="1">
      <c r="A1923" t="s">
        <v>26</v>
      </c>
      <c r="B1923" t="s">
        <v>5144</v>
      </c>
      <c r="C1923">
        <v>47273.52734375</v>
      </c>
      <c r="D1923">
        <v>48791.78125</v>
      </c>
      <c r="E1923">
        <v>47087.28515625</v>
      </c>
      <c r="F1923">
        <v>48278.36328125</v>
      </c>
      <c r="G1923">
        <v>48278.36328125</v>
      </c>
      <c r="H1923">
        <v>28575630451</v>
      </c>
      <c r="I1923" t="s">
        <v>5143</v>
      </c>
      <c r="J1923" t="s">
        <v>5145</v>
      </c>
      <c r="K1923" t="s">
        <v>4634</v>
      </c>
    </row>
    <row r="1924" spans="1:11" ht="20" customHeight="1">
      <c r="A1924" t="s">
        <v>26</v>
      </c>
      <c r="B1924" t="s">
        <v>5146</v>
      </c>
      <c r="C1924">
        <v>48268.85546875</v>
      </c>
      <c r="D1924">
        <v>48328.3671875</v>
      </c>
      <c r="E1924">
        <v>46919.8046875</v>
      </c>
      <c r="F1924">
        <v>47260.21875</v>
      </c>
      <c r="G1924">
        <v>47260.21875</v>
      </c>
      <c r="H1924">
        <v>26967722648</v>
      </c>
      <c r="I1924" t="s">
        <v>5145</v>
      </c>
      <c r="J1924" t="s">
        <v>5147</v>
      </c>
      <c r="K1924" t="s">
        <v>4634</v>
      </c>
    </row>
    <row r="1925" spans="1:11" ht="20" customHeight="1">
      <c r="A1925" t="s">
        <v>26</v>
      </c>
      <c r="B1925" t="s">
        <v>849</v>
      </c>
      <c r="C1925">
        <v>47261.40625</v>
      </c>
      <c r="D1925">
        <v>47328.19921875</v>
      </c>
      <c r="E1925">
        <v>42598.9140625</v>
      </c>
      <c r="F1925">
        <v>42843.80078125</v>
      </c>
      <c r="G1925">
        <v>42843.80078125</v>
      </c>
      <c r="H1925">
        <v>43909845642</v>
      </c>
      <c r="I1925" t="s">
        <v>5147</v>
      </c>
      <c r="J1925" t="s">
        <v>5148</v>
      </c>
      <c r="K1925" t="s">
        <v>4634</v>
      </c>
    </row>
    <row r="1926" spans="1:11" ht="20" customHeight="1">
      <c r="A1926" t="s">
        <v>26</v>
      </c>
      <c r="B1926" t="s">
        <v>852</v>
      </c>
      <c r="C1926">
        <v>43012.234375</v>
      </c>
      <c r="D1926">
        <v>43607.609375</v>
      </c>
      <c r="E1926">
        <v>39787.609375</v>
      </c>
      <c r="F1926">
        <v>40693.67578125</v>
      </c>
      <c r="G1926">
        <v>40693.67578125</v>
      </c>
      <c r="H1926">
        <v>48701090088</v>
      </c>
      <c r="I1926" t="s">
        <v>5148</v>
      </c>
      <c r="J1926" t="s">
        <v>5149</v>
      </c>
      <c r="K1926" t="s">
        <v>4634</v>
      </c>
    </row>
    <row r="1927" spans="1:11" ht="20" customHeight="1">
      <c r="A1927" t="s">
        <v>26</v>
      </c>
      <c r="B1927" t="s">
        <v>855</v>
      </c>
      <c r="C1927">
        <v>40677.953125</v>
      </c>
      <c r="D1927">
        <v>43978.62109375</v>
      </c>
      <c r="E1927">
        <v>40625.6328125</v>
      </c>
      <c r="F1927">
        <v>43574.5078125</v>
      </c>
      <c r="G1927">
        <v>43574.5078125</v>
      </c>
      <c r="H1927">
        <v>38139709246</v>
      </c>
      <c r="I1927" t="s">
        <v>5149</v>
      </c>
      <c r="J1927" t="s">
        <v>5150</v>
      </c>
      <c r="K1927" t="s">
        <v>4634</v>
      </c>
    </row>
    <row r="1928" spans="1:11" ht="20" customHeight="1">
      <c r="A1928" t="s">
        <v>26</v>
      </c>
      <c r="B1928" t="s">
        <v>858</v>
      </c>
      <c r="C1928">
        <v>43560.296875</v>
      </c>
      <c r="D1928">
        <v>44942.17578125</v>
      </c>
      <c r="E1928">
        <v>43109.33984375</v>
      </c>
      <c r="F1928">
        <v>44895.09765625</v>
      </c>
      <c r="G1928">
        <v>44895.09765625</v>
      </c>
      <c r="H1928">
        <v>34244064430</v>
      </c>
      <c r="I1928" t="s">
        <v>5150</v>
      </c>
      <c r="J1928" t="s">
        <v>5151</v>
      </c>
      <c r="K1928" t="s">
        <v>4634</v>
      </c>
    </row>
    <row r="1929" spans="1:11" ht="20" customHeight="1">
      <c r="A1929" t="s">
        <v>26</v>
      </c>
      <c r="B1929" t="s">
        <v>861</v>
      </c>
      <c r="C1929">
        <v>44894.30078125</v>
      </c>
      <c r="D1929">
        <v>45080.4921875</v>
      </c>
      <c r="E1929">
        <v>40936.55859375</v>
      </c>
      <c r="F1929">
        <v>42839.75</v>
      </c>
      <c r="G1929">
        <v>42839.75</v>
      </c>
      <c r="H1929">
        <v>42839345714</v>
      </c>
      <c r="I1929" t="s">
        <v>5151</v>
      </c>
      <c r="J1929" t="s">
        <v>5152</v>
      </c>
      <c r="K1929" t="s">
        <v>4634</v>
      </c>
    </row>
    <row r="1930" spans="1:11" ht="20" customHeight="1">
      <c r="A1930" t="s">
        <v>26</v>
      </c>
      <c r="B1930" t="s">
        <v>5153</v>
      </c>
      <c r="C1930">
        <v>42840.890625</v>
      </c>
      <c r="D1930">
        <v>42996.2578125</v>
      </c>
      <c r="E1930">
        <v>41759.921875</v>
      </c>
      <c r="F1930">
        <v>42716.59375</v>
      </c>
      <c r="G1930">
        <v>42716.59375</v>
      </c>
      <c r="H1930">
        <v>31604717236</v>
      </c>
      <c r="I1930" t="s">
        <v>5152</v>
      </c>
      <c r="J1930" t="s">
        <v>5154</v>
      </c>
      <c r="K1930" t="s">
        <v>4634</v>
      </c>
    </row>
    <row r="1931" spans="1:11" ht="20" customHeight="1">
      <c r="A1931" t="s">
        <v>26</v>
      </c>
      <c r="B1931" t="s">
        <v>5155</v>
      </c>
      <c r="C1931">
        <v>42721.62890625</v>
      </c>
      <c r="D1931">
        <v>43919.30078125</v>
      </c>
      <c r="E1931">
        <v>40848.4609375</v>
      </c>
      <c r="F1931">
        <v>43208.5390625</v>
      </c>
      <c r="G1931">
        <v>43208.5390625</v>
      </c>
      <c r="H1931">
        <v>30661222077</v>
      </c>
      <c r="I1931" t="s">
        <v>5154</v>
      </c>
      <c r="J1931" t="s">
        <v>5156</v>
      </c>
      <c r="K1931" t="s">
        <v>4634</v>
      </c>
    </row>
    <row r="1932" spans="1:11" ht="20" customHeight="1">
      <c r="A1932" t="s">
        <v>26</v>
      </c>
      <c r="B1932" t="s">
        <v>864</v>
      </c>
      <c r="C1932">
        <v>43234.18359375</v>
      </c>
      <c r="D1932">
        <v>44313.24609375</v>
      </c>
      <c r="E1932">
        <v>42190.6328125</v>
      </c>
      <c r="F1932">
        <v>42235.73046875</v>
      </c>
      <c r="G1932">
        <v>42235.73046875</v>
      </c>
      <c r="H1932">
        <v>30980029059</v>
      </c>
      <c r="I1932" t="s">
        <v>5156</v>
      </c>
      <c r="J1932" t="s">
        <v>5157</v>
      </c>
      <c r="K1932" t="s">
        <v>4634</v>
      </c>
    </row>
    <row r="1933" spans="1:11" ht="20" customHeight="1">
      <c r="A1933" t="s">
        <v>26</v>
      </c>
      <c r="B1933" t="s">
        <v>867</v>
      </c>
      <c r="C1933">
        <v>42200.8984375</v>
      </c>
      <c r="D1933">
        <v>42775.14453125</v>
      </c>
      <c r="E1933">
        <v>40931.6640625</v>
      </c>
      <c r="F1933">
        <v>41034.54296875</v>
      </c>
      <c r="G1933">
        <v>41034.54296875</v>
      </c>
      <c r="H1933">
        <v>30214940550</v>
      </c>
      <c r="I1933" t="s">
        <v>5157</v>
      </c>
      <c r="J1933" t="s">
        <v>5158</v>
      </c>
      <c r="K1933" t="s">
        <v>4634</v>
      </c>
    </row>
    <row r="1934" spans="1:11" ht="20" customHeight="1">
      <c r="A1934" t="s">
        <v>26</v>
      </c>
      <c r="B1934" t="s">
        <v>870</v>
      </c>
      <c r="C1934">
        <v>41064.984375</v>
      </c>
      <c r="D1934">
        <v>42545.2578125</v>
      </c>
      <c r="E1934">
        <v>40829.66796875</v>
      </c>
      <c r="F1934">
        <v>41564.36328125</v>
      </c>
      <c r="G1934">
        <v>41564.36328125</v>
      </c>
      <c r="H1934">
        <v>30602359905</v>
      </c>
      <c r="I1934" t="s">
        <v>5158</v>
      </c>
      <c r="J1934" t="s">
        <v>5159</v>
      </c>
      <c r="K1934" t="s">
        <v>4634</v>
      </c>
    </row>
    <row r="1935" spans="1:11" ht="20" customHeight="1">
      <c r="A1935" t="s">
        <v>26</v>
      </c>
      <c r="B1935" t="s">
        <v>873</v>
      </c>
      <c r="C1935">
        <v>41551.26953125</v>
      </c>
      <c r="D1935">
        <v>44092.6015625</v>
      </c>
      <c r="E1935">
        <v>41444.58203125</v>
      </c>
      <c r="F1935">
        <v>43790.89453125</v>
      </c>
      <c r="G1935">
        <v>43790.89453125</v>
      </c>
      <c r="H1935">
        <v>31141681925</v>
      </c>
      <c r="I1935" t="s">
        <v>5159</v>
      </c>
      <c r="J1935" t="s">
        <v>5160</v>
      </c>
      <c r="K1935" t="s">
        <v>4634</v>
      </c>
    </row>
    <row r="1936" spans="1:11" ht="20" customHeight="1">
      <c r="A1936" t="s">
        <v>26</v>
      </c>
      <c r="B1936" t="s">
        <v>876</v>
      </c>
      <c r="C1936">
        <v>43816.7421875</v>
      </c>
      <c r="D1936">
        <v>48436.01171875</v>
      </c>
      <c r="E1936">
        <v>43320.0234375</v>
      </c>
      <c r="F1936">
        <v>48116.94140625</v>
      </c>
      <c r="G1936">
        <v>48116.94140625</v>
      </c>
      <c r="H1936">
        <v>42850641582</v>
      </c>
      <c r="I1936" t="s">
        <v>5160</v>
      </c>
      <c r="J1936" t="s">
        <v>5161</v>
      </c>
      <c r="K1936" t="s">
        <v>4634</v>
      </c>
    </row>
    <row r="1937" spans="1:11" ht="20" customHeight="1">
      <c r="A1937" t="s">
        <v>26</v>
      </c>
      <c r="B1937" t="s">
        <v>5162</v>
      </c>
      <c r="C1937">
        <v>48137.46875</v>
      </c>
      <c r="D1937">
        <v>48282.0625</v>
      </c>
      <c r="E1937">
        <v>47465.49609375</v>
      </c>
      <c r="F1937">
        <v>47711.48828125</v>
      </c>
      <c r="G1937">
        <v>47711.48828125</v>
      </c>
      <c r="H1937">
        <v>30614346492</v>
      </c>
      <c r="I1937" t="s">
        <v>5161</v>
      </c>
      <c r="J1937" t="s">
        <v>5163</v>
      </c>
      <c r="K1937" t="s">
        <v>4634</v>
      </c>
    </row>
    <row r="1938" spans="1:11" ht="20" customHeight="1">
      <c r="A1938" t="s">
        <v>26</v>
      </c>
      <c r="B1938" t="s">
        <v>5164</v>
      </c>
      <c r="C1938">
        <v>47680.02734375</v>
      </c>
      <c r="D1938">
        <v>49130.69140625</v>
      </c>
      <c r="E1938">
        <v>47157.2890625</v>
      </c>
      <c r="F1938">
        <v>48199.953125</v>
      </c>
      <c r="G1938">
        <v>48199.953125</v>
      </c>
      <c r="H1938">
        <v>26638115879</v>
      </c>
      <c r="I1938" t="s">
        <v>5163</v>
      </c>
      <c r="J1938" t="s">
        <v>5165</v>
      </c>
      <c r="K1938" t="s">
        <v>4634</v>
      </c>
    </row>
    <row r="1939" spans="1:11" ht="20" customHeight="1">
      <c r="A1939" t="s">
        <v>26</v>
      </c>
      <c r="B1939" t="s">
        <v>879</v>
      </c>
      <c r="C1939">
        <v>48208.90625</v>
      </c>
      <c r="D1939">
        <v>49456.77734375</v>
      </c>
      <c r="E1939">
        <v>47045.00390625</v>
      </c>
      <c r="F1939">
        <v>49112.90234375</v>
      </c>
      <c r="G1939">
        <v>49112.90234375</v>
      </c>
      <c r="H1939">
        <v>33383173002</v>
      </c>
      <c r="I1939" t="s">
        <v>5165</v>
      </c>
      <c r="J1939" t="s">
        <v>5166</v>
      </c>
      <c r="K1939" t="s">
        <v>4634</v>
      </c>
    </row>
    <row r="1940" spans="1:11" ht="20" customHeight="1">
      <c r="A1940" t="s">
        <v>26</v>
      </c>
      <c r="B1940" t="s">
        <v>882</v>
      </c>
      <c r="C1940">
        <v>49174.9609375</v>
      </c>
      <c r="D1940">
        <v>51839.984375</v>
      </c>
      <c r="E1940">
        <v>49072.83984375</v>
      </c>
      <c r="F1940">
        <v>51514.8125</v>
      </c>
      <c r="G1940">
        <v>51514.8125</v>
      </c>
      <c r="H1940">
        <v>35873904236</v>
      </c>
      <c r="I1940" t="s">
        <v>5166</v>
      </c>
      <c r="J1940" t="s">
        <v>5167</v>
      </c>
      <c r="K1940" t="s">
        <v>4634</v>
      </c>
    </row>
    <row r="1941" spans="1:11" ht="20" customHeight="1">
      <c r="A1941" t="s">
        <v>26</v>
      </c>
      <c r="B1941" t="s">
        <v>885</v>
      </c>
      <c r="C1941">
        <v>51486.6640625</v>
      </c>
      <c r="D1941">
        <v>55568.46484375</v>
      </c>
      <c r="E1941">
        <v>50488.19140625</v>
      </c>
      <c r="F1941">
        <v>55361.44921875</v>
      </c>
      <c r="G1941">
        <v>55361.44921875</v>
      </c>
      <c r="H1941">
        <v>49034730168</v>
      </c>
      <c r="I1941" t="s">
        <v>5167</v>
      </c>
      <c r="J1941" t="s">
        <v>5168</v>
      </c>
      <c r="K1941" t="s">
        <v>4634</v>
      </c>
    </row>
    <row r="1942" spans="1:11" ht="20" customHeight="1">
      <c r="A1942" t="s">
        <v>26</v>
      </c>
      <c r="B1942" t="s">
        <v>888</v>
      </c>
      <c r="C1942">
        <v>55338.625</v>
      </c>
      <c r="D1942">
        <v>55338.625</v>
      </c>
      <c r="E1942">
        <v>53525.46875</v>
      </c>
      <c r="F1942">
        <v>53805.984375</v>
      </c>
      <c r="G1942">
        <v>53805.984375</v>
      </c>
      <c r="H1942">
        <v>36807860413</v>
      </c>
      <c r="I1942" t="s">
        <v>5168</v>
      </c>
      <c r="J1942" t="s">
        <v>5169</v>
      </c>
      <c r="K1942" t="s">
        <v>4634</v>
      </c>
    </row>
    <row r="1943" spans="1:11" ht="20" customHeight="1">
      <c r="A1943" t="s">
        <v>26</v>
      </c>
      <c r="B1943" t="s">
        <v>891</v>
      </c>
      <c r="C1943">
        <v>53802.14453125</v>
      </c>
      <c r="D1943">
        <v>55922.98046875</v>
      </c>
      <c r="E1943">
        <v>53688.0546875</v>
      </c>
      <c r="F1943">
        <v>53967.84765625</v>
      </c>
      <c r="G1943">
        <v>53967.84765625</v>
      </c>
      <c r="H1943">
        <v>34800873924</v>
      </c>
      <c r="I1943" t="s">
        <v>5169</v>
      </c>
      <c r="J1943" t="s">
        <v>5170</v>
      </c>
      <c r="K1943" t="s">
        <v>4634</v>
      </c>
    </row>
    <row r="1944" spans="1:11" ht="20" customHeight="1">
      <c r="A1944" t="s">
        <v>26</v>
      </c>
      <c r="B1944" t="s">
        <v>5171</v>
      </c>
      <c r="C1944">
        <v>53929.78125</v>
      </c>
      <c r="D1944">
        <v>55397.9453125</v>
      </c>
      <c r="E1944">
        <v>53735.14453125</v>
      </c>
      <c r="F1944">
        <v>54968.22265625</v>
      </c>
      <c r="G1944">
        <v>54968.22265625</v>
      </c>
      <c r="H1944">
        <v>32491211414</v>
      </c>
      <c r="I1944" t="s">
        <v>5170</v>
      </c>
      <c r="J1944" t="s">
        <v>5172</v>
      </c>
      <c r="K1944" t="s">
        <v>4634</v>
      </c>
    </row>
    <row r="1945" spans="1:11" ht="20" customHeight="1">
      <c r="A1945" t="s">
        <v>26</v>
      </c>
      <c r="B1945" t="s">
        <v>5173</v>
      </c>
      <c r="C1945">
        <v>54952.8203125</v>
      </c>
      <c r="D1945">
        <v>56401.3046875</v>
      </c>
      <c r="E1945">
        <v>54264.2578125</v>
      </c>
      <c r="F1945">
        <v>54771.578125</v>
      </c>
      <c r="G1945">
        <v>54771.578125</v>
      </c>
      <c r="H1945">
        <v>39527792364</v>
      </c>
      <c r="I1945" t="s">
        <v>5172</v>
      </c>
      <c r="J1945" t="s">
        <v>5174</v>
      </c>
      <c r="K1945" t="s">
        <v>4634</v>
      </c>
    </row>
    <row r="1946" spans="1:11" ht="20" customHeight="1">
      <c r="A1946" t="s">
        <v>26</v>
      </c>
      <c r="B1946" t="s">
        <v>894</v>
      </c>
      <c r="C1946">
        <v>54734.125</v>
      </c>
      <c r="D1946">
        <v>57793.0390625</v>
      </c>
      <c r="E1946">
        <v>54519.765625</v>
      </c>
      <c r="F1946">
        <v>57484.7890625</v>
      </c>
      <c r="G1946">
        <v>57484.7890625</v>
      </c>
      <c r="H1946">
        <v>42637331698</v>
      </c>
      <c r="I1946" t="s">
        <v>5174</v>
      </c>
      <c r="J1946" t="s">
        <v>5175</v>
      </c>
      <c r="K1946" t="s">
        <v>4634</v>
      </c>
    </row>
    <row r="1947" spans="1:11" ht="20" customHeight="1">
      <c r="A1947" t="s">
        <v>26</v>
      </c>
      <c r="B1947" t="s">
        <v>897</v>
      </c>
      <c r="C1947">
        <v>57526.83203125</v>
      </c>
      <c r="D1947">
        <v>57627.87890625</v>
      </c>
      <c r="E1947">
        <v>54477.97265625</v>
      </c>
      <c r="F1947">
        <v>56041.05859375</v>
      </c>
      <c r="G1947">
        <v>56041.05859375</v>
      </c>
      <c r="H1947">
        <v>41083758949</v>
      </c>
      <c r="I1947" t="s">
        <v>5175</v>
      </c>
      <c r="J1947" t="s">
        <v>5176</v>
      </c>
      <c r="K1947" t="s">
        <v>4634</v>
      </c>
    </row>
    <row r="1948" spans="1:11" ht="20" customHeight="1">
      <c r="A1948" t="s">
        <v>26</v>
      </c>
      <c r="B1948" t="s">
        <v>900</v>
      </c>
      <c r="C1948">
        <v>56038.2578125</v>
      </c>
      <c r="D1948">
        <v>57688.66015625</v>
      </c>
      <c r="E1948">
        <v>54370.97265625</v>
      </c>
      <c r="F1948">
        <v>57401.09765625</v>
      </c>
      <c r="G1948">
        <v>57401.09765625</v>
      </c>
      <c r="H1948">
        <v>41684252783</v>
      </c>
      <c r="I1948" t="s">
        <v>5176</v>
      </c>
      <c r="J1948" t="s">
        <v>5177</v>
      </c>
      <c r="K1948" t="s">
        <v>4634</v>
      </c>
    </row>
    <row r="1949" spans="1:11" ht="20" customHeight="1">
      <c r="A1949" t="s">
        <v>26</v>
      </c>
      <c r="B1949" t="s">
        <v>903</v>
      </c>
      <c r="C1949">
        <v>57372.83203125</v>
      </c>
      <c r="D1949">
        <v>58478.734375</v>
      </c>
      <c r="E1949">
        <v>56957.07421875</v>
      </c>
      <c r="F1949">
        <v>57321.5234375</v>
      </c>
      <c r="G1949">
        <v>57321.5234375</v>
      </c>
      <c r="H1949">
        <v>36615791366</v>
      </c>
      <c r="I1949" t="s">
        <v>5177</v>
      </c>
      <c r="J1949" t="s">
        <v>5178</v>
      </c>
      <c r="K1949" t="s">
        <v>4634</v>
      </c>
    </row>
    <row r="1950" spans="1:11" ht="20" customHeight="1">
      <c r="A1950" t="s">
        <v>26</v>
      </c>
      <c r="B1950" t="s">
        <v>906</v>
      </c>
      <c r="C1950">
        <v>57345.90234375</v>
      </c>
      <c r="D1950">
        <v>62757.12890625</v>
      </c>
      <c r="E1950">
        <v>56868.14453125</v>
      </c>
      <c r="F1950">
        <v>61593.94921875</v>
      </c>
      <c r="G1950">
        <v>61593.94921875</v>
      </c>
      <c r="H1950">
        <v>51780081801</v>
      </c>
      <c r="I1950" t="s">
        <v>5178</v>
      </c>
      <c r="J1950" t="s">
        <v>5179</v>
      </c>
      <c r="K1950" t="s">
        <v>4634</v>
      </c>
    </row>
    <row r="1951" spans="1:11" ht="20" customHeight="1">
      <c r="A1951" t="s">
        <v>26</v>
      </c>
      <c r="B1951" t="s">
        <v>5180</v>
      </c>
      <c r="C1951">
        <v>61609.52734375</v>
      </c>
      <c r="D1951">
        <v>62274.4765625</v>
      </c>
      <c r="E1951">
        <v>60206.12109375</v>
      </c>
      <c r="F1951">
        <v>60892.1796875</v>
      </c>
      <c r="G1951">
        <v>60892.1796875</v>
      </c>
      <c r="H1951">
        <v>34250964237</v>
      </c>
      <c r="I1951" t="s">
        <v>5179</v>
      </c>
      <c r="J1951" t="s">
        <v>5181</v>
      </c>
      <c r="K1951" t="s">
        <v>4634</v>
      </c>
    </row>
    <row r="1952" spans="1:11" ht="20" customHeight="1">
      <c r="A1952" t="s">
        <v>26</v>
      </c>
      <c r="B1952" t="s">
        <v>5182</v>
      </c>
      <c r="C1952">
        <v>60887.65234375</v>
      </c>
      <c r="D1952">
        <v>61645.5234375</v>
      </c>
      <c r="E1952">
        <v>59164.46875</v>
      </c>
      <c r="F1952">
        <v>61553.6171875</v>
      </c>
      <c r="G1952">
        <v>61553.6171875</v>
      </c>
      <c r="H1952">
        <v>29032367511</v>
      </c>
      <c r="I1952" t="s">
        <v>5181</v>
      </c>
      <c r="J1952" t="s">
        <v>5183</v>
      </c>
      <c r="K1952" t="s">
        <v>4634</v>
      </c>
    </row>
    <row r="1953" spans="1:11" ht="20" customHeight="1">
      <c r="A1953" t="s">
        <v>26</v>
      </c>
      <c r="B1953" t="s">
        <v>909</v>
      </c>
      <c r="C1953">
        <v>61548.8046875</v>
      </c>
      <c r="D1953">
        <v>62614.66015625</v>
      </c>
      <c r="E1953">
        <v>60012.7578125</v>
      </c>
      <c r="F1953">
        <v>62026.078125</v>
      </c>
      <c r="G1953">
        <v>62026.078125</v>
      </c>
      <c r="H1953">
        <v>38055562075</v>
      </c>
      <c r="I1953" t="s">
        <v>5183</v>
      </c>
      <c r="J1953" t="s">
        <v>5184</v>
      </c>
      <c r="K1953" t="s">
        <v>4634</v>
      </c>
    </row>
    <row r="1954" spans="1:11" ht="20" customHeight="1">
      <c r="A1954" t="s">
        <v>26</v>
      </c>
      <c r="B1954" t="s">
        <v>912</v>
      </c>
      <c r="C1954">
        <v>62043.1640625</v>
      </c>
      <c r="D1954">
        <v>64434.53515625</v>
      </c>
      <c r="E1954">
        <v>61622.93359375</v>
      </c>
      <c r="F1954">
        <v>64261.9921875</v>
      </c>
      <c r="G1954">
        <v>64261.9921875</v>
      </c>
      <c r="H1954">
        <v>40471196346</v>
      </c>
      <c r="I1954" t="s">
        <v>5184</v>
      </c>
      <c r="J1954" t="s">
        <v>5185</v>
      </c>
      <c r="K1954" t="s">
        <v>4634</v>
      </c>
    </row>
    <row r="1955" spans="1:11" ht="20" customHeight="1">
      <c r="A1955" t="s">
        <v>26</v>
      </c>
      <c r="B1955" t="s">
        <v>915</v>
      </c>
      <c r="C1955">
        <v>64284.5859375</v>
      </c>
      <c r="D1955">
        <v>66930.390625</v>
      </c>
      <c r="E1955">
        <v>63610.67578125</v>
      </c>
      <c r="F1955">
        <v>65992.8359375</v>
      </c>
      <c r="G1955">
        <v>65992.8359375</v>
      </c>
      <c r="H1955">
        <v>40788955582</v>
      </c>
      <c r="I1955" t="s">
        <v>5185</v>
      </c>
      <c r="J1955" t="s">
        <v>5186</v>
      </c>
      <c r="K1955" t="s">
        <v>4634</v>
      </c>
    </row>
    <row r="1956" spans="1:11" ht="20" customHeight="1">
      <c r="A1956" t="s">
        <v>26</v>
      </c>
      <c r="B1956" t="s">
        <v>918</v>
      </c>
      <c r="C1956">
        <v>66002.234375</v>
      </c>
      <c r="D1956">
        <v>66600.546875</v>
      </c>
      <c r="E1956">
        <v>62117.41015625</v>
      </c>
      <c r="F1956">
        <v>62210.171875</v>
      </c>
      <c r="G1956">
        <v>62210.171875</v>
      </c>
      <c r="H1956">
        <v>45908121370</v>
      </c>
      <c r="I1956" t="s">
        <v>5186</v>
      </c>
      <c r="J1956" t="s">
        <v>5187</v>
      </c>
      <c r="K1956" t="s">
        <v>4634</v>
      </c>
    </row>
    <row r="1957" spans="1:11" ht="20" customHeight="1">
      <c r="A1957" t="s">
        <v>26</v>
      </c>
      <c r="B1957" t="s">
        <v>921</v>
      </c>
      <c r="C1957">
        <v>62237.890625</v>
      </c>
      <c r="D1957">
        <v>63715.0234375</v>
      </c>
      <c r="E1957">
        <v>60122.796875</v>
      </c>
      <c r="F1957">
        <v>60692.265625</v>
      </c>
      <c r="G1957">
        <v>60692.265625</v>
      </c>
      <c r="H1957">
        <v>38434082775</v>
      </c>
      <c r="I1957" t="s">
        <v>5187</v>
      </c>
      <c r="J1957" t="s">
        <v>5188</v>
      </c>
      <c r="K1957" t="s">
        <v>4634</v>
      </c>
    </row>
    <row r="1958" spans="1:11" ht="20" customHeight="1">
      <c r="A1958" t="s">
        <v>26</v>
      </c>
      <c r="B1958" t="s">
        <v>5189</v>
      </c>
      <c r="C1958">
        <v>60694.62890625</v>
      </c>
      <c r="D1958">
        <v>61743.87890625</v>
      </c>
      <c r="E1958">
        <v>59826.5234375</v>
      </c>
      <c r="F1958">
        <v>61393.6171875</v>
      </c>
      <c r="G1958">
        <v>61393.6171875</v>
      </c>
      <c r="H1958">
        <v>26882546034</v>
      </c>
      <c r="I1958" t="s">
        <v>5188</v>
      </c>
      <c r="J1958" t="s">
        <v>5190</v>
      </c>
      <c r="K1958" t="s">
        <v>4634</v>
      </c>
    </row>
    <row r="1959" spans="1:11" ht="20" customHeight="1">
      <c r="A1959" t="s">
        <v>26</v>
      </c>
      <c r="B1959" t="s">
        <v>5191</v>
      </c>
      <c r="C1959">
        <v>61368.34375</v>
      </c>
      <c r="D1959">
        <v>61505.8046875</v>
      </c>
      <c r="E1959">
        <v>59643.34375</v>
      </c>
      <c r="F1959">
        <v>60930.8359375</v>
      </c>
      <c r="G1959">
        <v>60930.8359375</v>
      </c>
      <c r="H1959">
        <v>27316183882</v>
      </c>
      <c r="I1959" t="s">
        <v>5190</v>
      </c>
      <c r="J1959" t="s">
        <v>5192</v>
      </c>
      <c r="K1959" t="s">
        <v>4634</v>
      </c>
    </row>
    <row r="1960" spans="1:11" ht="20" customHeight="1">
      <c r="A1960" t="s">
        <v>26</v>
      </c>
      <c r="B1960" t="s">
        <v>924</v>
      </c>
      <c r="C1960">
        <v>60893.92578125</v>
      </c>
      <c r="D1960">
        <v>63729.32421875</v>
      </c>
      <c r="E1960">
        <v>60691.80078125</v>
      </c>
      <c r="F1960">
        <v>63039.82421875</v>
      </c>
      <c r="G1960">
        <v>63039.82421875</v>
      </c>
      <c r="H1960">
        <v>31064911614</v>
      </c>
      <c r="I1960" t="s">
        <v>5192</v>
      </c>
      <c r="J1960" t="s">
        <v>5193</v>
      </c>
      <c r="K1960" t="s">
        <v>4634</v>
      </c>
    </row>
    <row r="1961" spans="1:11" ht="20" customHeight="1">
      <c r="A1961" t="s">
        <v>26</v>
      </c>
      <c r="B1961" t="s">
        <v>927</v>
      </c>
      <c r="C1961">
        <v>63032.76171875</v>
      </c>
      <c r="D1961">
        <v>63229.02734375</v>
      </c>
      <c r="E1961">
        <v>59991.16015625</v>
      </c>
      <c r="F1961">
        <v>60363.79296875</v>
      </c>
      <c r="G1961">
        <v>60363.79296875</v>
      </c>
      <c r="H1961">
        <v>34878965587</v>
      </c>
      <c r="I1961" t="s">
        <v>5193</v>
      </c>
      <c r="J1961" t="s">
        <v>5194</v>
      </c>
      <c r="K1961" t="s">
        <v>4634</v>
      </c>
    </row>
    <row r="1962" spans="1:11" ht="20" customHeight="1">
      <c r="A1962" t="s">
        <v>26</v>
      </c>
      <c r="B1962" t="s">
        <v>930</v>
      </c>
      <c r="C1962">
        <v>60352</v>
      </c>
      <c r="D1962">
        <v>61435.18359375</v>
      </c>
      <c r="E1962">
        <v>58208.1875</v>
      </c>
      <c r="F1962">
        <v>58482.38671875</v>
      </c>
      <c r="G1962">
        <v>58482.38671875</v>
      </c>
      <c r="H1962">
        <v>43657076893</v>
      </c>
      <c r="I1962" t="s">
        <v>5194</v>
      </c>
      <c r="J1962" t="s">
        <v>5195</v>
      </c>
      <c r="K1962" t="s">
        <v>4634</v>
      </c>
    </row>
    <row r="1963" spans="1:11" ht="20" customHeight="1">
      <c r="A1963" t="s">
        <v>26</v>
      </c>
      <c r="B1963" t="s">
        <v>933</v>
      </c>
      <c r="C1963">
        <v>58470.73046875</v>
      </c>
      <c r="D1963">
        <v>62128.6328125</v>
      </c>
      <c r="E1963">
        <v>58206.91796875</v>
      </c>
      <c r="F1963">
        <v>60622.13671875</v>
      </c>
      <c r="G1963">
        <v>60622.13671875</v>
      </c>
      <c r="H1963">
        <v>45257083247</v>
      </c>
      <c r="I1963" t="s">
        <v>5195</v>
      </c>
      <c r="J1963" t="s">
        <v>5196</v>
      </c>
      <c r="K1963" t="s">
        <v>4634</v>
      </c>
    </row>
    <row r="1964" spans="1:11" ht="20" customHeight="1">
      <c r="A1964" t="s">
        <v>26</v>
      </c>
      <c r="B1964" t="s">
        <v>936</v>
      </c>
      <c r="C1964">
        <v>60624.87109375</v>
      </c>
      <c r="D1964">
        <v>62927.609375</v>
      </c>
      <c r="E1964">
        <v>60329.96484375</v>
      </c>
      <c r="F1964">
        <v>62227.96484375</v>
      </c>
      <c r="G1964">
        <v>62227.96484375</v>
      </c>
      <c r="H1964">
        <v>36856881767</v>
      </c>
      <c r="I1964" t="s">
        <v>5196</v>
      </c>
      <c r="J1964" t="s">
        <v>5197</v>
      </c>
      <c r="K1964" t="s">
        <v>4634</v>
      </c>
    </row>
    <row r="1965" spans="1:11" ht="20" customHeight="1">
      <c r="A1965" t="s">
        <v>26</v>
      </c>
      <c r="B1965" t="s">
        <v>5198</v>
      </c>
      <c r="C1965">
        <v>62239.36328125</v>
      </c>
      <c r="D1965">
        <v>62330.14453125</v>
      </c>
      <c r="E1965">
        <v>60918.38671875</v>
      </c>
      <c r="F1965">
        <v>61888.83203125</v>
      </c>
      <c r="G1965">
        <v>61888.83203125</v>
      </c>
      <c r="H1965">
        <v>32157938616</v>
      </c>
      <c r="I1965" t="s">
        <v>5197</v>
      </c>
      <c r="J1965" t="s">
        <v>5199</v>
      </c>
      <c r="K1965" t="s">
        <v>4634</v>
      </c>
    </row>
    <row r="1966" spans="1:11" ht="20" customHeight="1">
      <c r="A1966" t="s">
        <v>26</v>
      </c>
      <c r="B1966" t="s">
        <v>5200</v>
      </c>
      <c r="C1966">
        <v>61850.48828125</v>
      </c>
      <c r="D1966">
        <v>62406.171875</v>
      </c>
      <c r="E1966">
        <v>60074.328125</v>
      </c>
      <c r="F1966">
        <v>61318.95703125</v>
      </c>
      <c r="G1966">
        <v>61318.95703125</v>
      </c>
      <c r="H1966">
        <v>32241199927</v>
      </c>
      <c r="I1966" t="s">
        <v>5199</v>
      </c>
      <c r="J1966" t="s">
        <v>5201</v>
      </c>
      <c r="K1966" t="s">
        <v>4634</v>
      </c>
    </row>
    <row r="1967" spans="1:11" ht="20" customHeight="1">
      <c r="A1967" t="s">
        <v>26</v>
      </c>
      <c r="B1967" t="s">
        <v>939</v>
      </c>
      <c r="C1967">
        <v>61320.44921875</v>
      </c>
      <c r="D1967">
        <v>62419.00390625</v>
      </c>
      <c r="E1967">
        <v>59695.18359375</v>
      </c>
      <c r="F1967">
        <v>61004.40625</v>
      </c>
      <c r="G1967">
        <v>61004.40625</v>
      </c>
      <c r="H1967">
        <v>36150572843</v>
      </c>
      <c r="I1967" t="s">
        <v>5201</v>
      </c>
      <c r="J1967" t="s">
        <v>5202</v>
      </c>
      <c r="K1967" t="s">
        <v>4634</v>
      </c>
    </row>
    <row r="1968" spans="1:11" ht="20" customHeight="1">
      <c r="A1968" t="s">
        <v>26</v>
      </c>
      <c r="B1968" t="s">
        <v>942</v>
      </c>
      <c r="C1968">
        <v>60963.25390625</v>
      </c>
      <c r="D1968">
        <v>64242.79296875</v>
      </c>
      <c r="E1968">
        <v>60673.0546875</v>
      </c>
      <c r="F1968">
        <v>63226.40234375</v>
      </c>
      <c r="G1968">
        <v>63226.40234375</v>
      </c>
      <c r="H1968">
        <v>37746665647</v>
      </c>
      <c r="I1968" t="s">
        <v>5202</v>
      </c>
      <c r="J1968" t="s">
        <v>5203</v>
      </c>
      <c r="K1968" t="s">
        <v>4634</v>
      </c>
    </row>
    <row r="1969" spans="1:11" ht="20" customHeight="1">
      <c r="A1969" t="s">
        <v>26</v>
      </c>
      <c r="B1969" t="s">
        <v>945</v>
      </c>
      <c r="C1969">
        <v>63254.3359375</v>
      </c>
      <c r="D1969">
        <v>63516.9375</v>
      </c>
      <c r="E1969">
        <v>61184.23828125</v>
      </c>
      <c r="F1969">
        <v>62970.046875</v>
      </c>
      <c r="G1969">
        <v>62970.046875</v>
      </c>
      <c r="H1969">
        <v>36124731509</v>
      </c>
      <c r="I1969" t="s">
        <v>5203</v>
      </c>
      <c r="J1969" t="s">
        <v>5204</v>
      </c>
      <c r="K1969" t="s">
        <v>4634</v>
      </c>
    </row>
    <row r="1970" spans="1:11" ht="20" customHeight="1">
      <c r="A1970" t="s">
        <v>26</v>
      </c>
      <c r="B1970" t="s">
        <v>948</v>
      </c>
      <c r="C1970">
        <v>62941.8046875</v>
      </c>
      <c r="D1970">
        <v>63123.2890625</v>
      </c>
      <c r="E1970">
        <v>60799.6640625</v>
      </c>
      <c r="F1970">
        <v>61452.23046875</v>
      </c>
      <c r="G1970">
        <v>61452.23046875</v>
      </c>
      <c r="H1970">
        <v>32615846901</v>
      </c>
      <c r="I1970" t="s">
        <v>5204</v>
      </c>
      <c r="J1970" t="s">
        <v>5205</v>
      </c>
      <c r="K1970" t="s">
        <v>4634</v>
      </c>
    </row>
    <row r="1971" spans="1:11" ht="20" customHeight="1">
      <c r="A1971" t="s">
        <v>26</v>
      </c>
      <c r="B1971" t="s">
        <v>951</v>
      </c>
      <c r="C1971">
        <v>61460.078125</v>
      </c>
      <c r="D1971">
        <v>62541.46875</v>
      </c>
      <c r="E1971">
        <v>60844.609375</v>
      </c>
      <c r="F1971">
        <v>61125.67578125</v>
      </c>
      <c r="G1971">
        <v>61125.67578125</v>
      </c>
      <c r="H1971">
        <v>30605102446</v>
      </c>
      <c r="I1971" t="s">
        <v>5205</v>
      </c>
      <c r="J1971" t="s">
        <v>5206</v>
      </c>
      <c r="K1971" t="s">
        <v>4634</v>
      </c>
    </row>
    <row r="1972" spans="1:11" ht="20" customHeight="1">
      <c r="A1972" t="s">
        <v>26</v>
      </c>
      <c r="B1972" t="s">
        <v>5207</v>
      </c>
      <c r="C1972">
        <v>61068.875</v>
      </c>
      <c r="D1972">
        <v>61590.68359375</v>
      </c>
      <c r="E1972">
        <v>60163.78125</v>
      </c>
      <c r="F1972">
        <v>61527.48046875</v>
      </c>
      <c r="G1972">
        <v>61527.48046875</v>
      </c>
      <c r="H1972">
        <v>29094934221</v>
      </c>
      <c r="I1972" t="s">
        <v>5206</v>
      </c>
      <c r="J1972" t="s">
        <v>5208</v>
      </c>
      <c r="K1972" t="s">
        <v>4634</v>
      </c>
    </row>
    <row r="1973" spans="1:11" ht="20" customHeight="1">
      <c r="A1973" t="s">
        <v>26</v>
      </c>
      <c r="B1973" t="s">
        <v>5209</v>
      </c>
      <c r="C1973">
        <v>61554.921875</v>
      </c>
      <c r="D1973">
        <v>63326.98828125</v>
      </c>
      <c r="E1973">
        <v>61432.48828125</v>
      </c>
      <c r="F1973">
        <v>63326.98828125</v>
      </c>
      <c r="G1973">
        <v>63326.98828125</v>
      </c>
      <c r="H1973">
        <v>24726754302</v>
      </c>
      <c r="I1973" t="s">
        <v>5208</v>
      </c>
      <c r="J1973" t="s">
        <v>5210</v>
      </c>
      <c r="K1973" t="s">
        <v>4634</v>
      </c>
    </row>
    <row r="1974" spans="1:11" ht="20" customHeight="1">
      <c r="A1974" t="s">
        <v>26</v>
      </c>
      <c r="B1974" t="s">
        <v>954</v>
      </c>
      <c r="C1974">
        <v>63344.06640625</v>
      </c>
      <c r="D1974">
        <v>67673.7421875</v>
      </c>
      <c r="E1974">
        <v>63344.06640625</v>
      </c>
      <c r="F1974">
        <v>67566.828125</v>
      </c>
      <c r="G1974">
        <v>67566.828125</v>
      </c>
      <c r="H1974">
        <v>41125608330</v>
      </c>
      <c r="I1974" t="s">
        <v>5210</v>
      </c>
      <c r="J1974" t="s">
        <v>5211</v>
      </c>
      <c r="K1974" t="s">
        <v>4634</v>
      </c>
    </row>
    <row r="1975" spans="1:11" ht="20" customHeight="1">
      <c r="A1975" t="s">
        <v>26</v>
      </c>
      <c r="B1975" t="s">
        <v>957</v>
      </c>
      <c r="C1975">
        <v>67549.734375</v>
      </c>
      <c r="D1975">
        <v>68530.3359375</v>
      </c>
      <c r="E1975">
        <v>66382.0625</v>
      </c>
      <c r="F1975">
        <v>66971.828125</v>
      </c>
      <c r="G1975">
        <v>66971.828125</v>
      </c>
      <c r="H1975">
        <v>42357991721</v>
      </c>
      <c r="I1975" t="s">
        <v>5211</v>
      </c>
      <c r="J1975" t="s">
        <v>5212</v>
      </c>
      <c r="K1975" t="s">
        <v>4634</v>
      </c>
    </row>
    <row r="1976" spans="1:11" ht="20" customHeight="1">
      <c r="A1976" t="s">
        <v>26</v>
      </c>
      <c r="B1976" t="s">
        <v>960</v>
      </c>
      <c r="C1976">
        <v>66953.3359375</v>
      </c>
      <c r="D1976">
        <v>68789.625</v>
      </c>
      <c r="E1976">
        <v>63208.11328125</v>
      </c>
      <c r="F1976">
        <v>64995.23046875</v>
      </c>
      <c r="G1976">
        <v>64995.23046875</v>
      </c>
      <c r="H1976">
        <v>48730828378</v>
      </c>
      <c r="I1976" t="s">
        <v>5212</v>
      </c>
      <c r="J1976" t="s">
        <v>5213</v>
      </c>
      <c r="K1976" t="s">
        <v>4634</v>
      </c>
    </row>
    <row r="1977" spans="1:11" ht="20" customHeight="1">
      <c r="A1977" t="s">
        <v>26</v>
      </c>
      <c r="B1977" t="s">
        <v>963</v>
      </c>
      <c r="C1977">
        <v>64978.890625</v>
      </c>
      <c r="D1977">
        <v>65579.015625</v>
      </c>
      <c r="E1977">
        <v>64180.48828125</v>
      </c>
      <c r="F1977">
        <v>64949.9609375</v>
      </c>
      <c r="G1977">
        <v>64949.9609375</v>
      </c>
      <c r="H1977">
        <v>35880633236</v>
      </c>
      <c r="I1977" t="s">
        <v>5213</v>
      </c>
      <c r="J1977" t="s">
        <v>5214</v>
      </c>
      <c r="K1977" t="s">
        <v>4634</v>
      </c>
    </row>
    <row r="1978" spans="1:11" ht="20" customHeight="1">
      <c r="A1978" t="s">
        <v>26</v>
      </c>
      <c r="B1978" t="s">
        <v>966</v>
      </c>
      <c r="C1978">
        <v>64863.98046875</v>
      </c>
      <c r="D1978">
        <v>65460.81640625</v>
      </c>
      <c r="E1978">
        <v>62333.9140625</v>
      </c>
      <c r="F1978">
        <v>64155.94140625</v>
      </c>
      <c r="G1978">
        <v>64155.94140625</v>
      </c>
      <c r="H1978">
        <v>36084893887</v>
      </c>
      <c r="I1978" t="s">
        <v>5214</v>
      </c>
      <c r="J1978" t="s">
        <v>5215</v>
      </c>
      <c r="K1978" t="s">
        <v>4634</v>
      </c>
    </row>
    <row r="1979" spans="1:11" ht="20" customHeight="1">
      <c r="A1979" t="s">
        <v>26</v>
      </c>
      <c r="B1979" t="s">
        <v>5216</v>
      </c>
      <c r="C1979">
        <v>64158.12109375</v>
      </c>
      <c r="D1979">
        <v>64915.67578125</v>
      </c>
      <c r="E1979">
        <v>63303.734375</v>
      </c>
      <c r="F1979">
        <v>64469.52734375</v>
      </c>
      <c r="G1979">
        <v>64469.52734375</v>
      </c>
      <c r="H1979">
        <v>30474228777</v>
      </c>
      <c r="I1979" t="s">
        <v>5215</v>
      </c>
      <c r="J1979" t="s">
        <v>5217</v>
      </c>
      <c r="K1979" t="s">
        <v>4634</v>
      </c>
    </row>
    <row r="1980" spans="1:11" ht="20" customHeight="1">
      <c r="A1980" t="s">
        <v>26</v>
      </c>
      <c r="B1980" t="s">
        <v>5218</v>
      </c>
      <c r="C1980">
        <v>64455.37109375</v>
      </c>
      <c r="D1980">
        <v>65495.1796875</v>
      </c>
      <c r="E1980">
        <v>63647.80859375</v>
      </c>
      <c r="F1980">
        <v>65466.83984375</v>
      </c>
      <c r="G1980">
        <v>65466.83984375</v>
      </c>
      <c r="H1980">
        <v>25122092191</v>
      </c>
      <c r="I1980" t="s">
        <v>5217</v>
      </c>
      <c r="J1980" t="s">
        <v>5219</v>
      </c>
      <c r="K1980" t="s">
        <v>4634</v>
      </c>
    </row>
    <row r="1981" spans="1:11" ht="20" customHeight="1">
      <c r="A1981" t="s">
        <v>26</v>
      </c>
      <c r="B1981" t="s">
        <v>969</v>
      </c>
      <c r="C1981">
        <v>65521.2890625</v>
      </c>
      <c r="D1981">
        <v>66281.5703125</v>
      </c>
      <c r="E1981">
        <v>63548.14453125</v>
      </c>
      <c r="F1981">
        <v>63557.87109375</v>
      </c>
      <c r="G1981">
        <v>63557.87109375</v>
      </c>
      <c r="H1981">
        <v>30558763548</v>
      </c>
      <c r="I1981" t="s">
        <v>5219</v>
      </c>
      <c r="J1981" t="s">
        <v>5220</v>
      </c>
      <c r="K1981" t="s">
        <v>4634</v>
      </c>
    </row>
    <row r="1982" spans="1:11" ht="20" customHeight="1">
      <c r="A1982" t="s">
        <v>26</v>
      </c>
      <c r="B1982" t="s">
        <v>972</v>
      </c>
      <c r="C1982">
        <v>63721.1953125</v>
      </c>
      <c r="D1982">
        <v>63721.1953125</v>
      </c>
      <c r="E1982">
        <v>59016.3359375</v>
      </c>
      <c r="F1982">
        <v>60161.24609375</v>
      </c>
      <c r="G1982">
        <v>60161.24609375</v>
      </c>
      <c r="H1982">
        <v>46844335592</v>
      </c>
      <c r="I1982" t="s">
        <v>5220</v>
      </c>
      <c r="J1982" t="s">
        <v>5221</v>
      </c>
      <c r="K1982" t="s">
        <v>4634</v>
      </c>
    </row>
    <row r="1983" spans="1:11" ht="20" customHeight="1">
      <c r="A1983" t="s">
        <v>26</v>
      </c>
      <c r="B1983" t="s">
        <v>975</v>
      </c>
      <c r="C1983">
        <v>60139.62109375</v>
      </c>
      <c r="D1983">
        <v>60823.609375</v>
      </c>
      <c r="E1983">
        <v>58515.41015625</v>
      </c>
      <c r="F1983">
        <v>60368.01171875</v>
      </c>
      <c r="G1983">
        <v>60368.01171875</v>
      </c>
      <c r="H1983">
        <v>39178392930</v>
      </c>
      <c r="I1983" t="s">
        <v>5221</v>
      </c>
      <c r="J1983" t="s">
        <v>5222</v>
      </c>
      <c r="K1983" t="s">
        <v>4634</v>
      </c>
    </row>
    <row r="1984" spans="1:11" ht="20" customHeight="1">
      <c r="A1984" t="s">
        <v>26</v>
      </c>
      <c r="B1984" t="s">
        <v>978</v>
      </c>
      <c r="C1984">
        <v>60360.13671875</v>
      </c>
      <c r="D1984">
        <v>60948.5</v>
      </c>
      <c r="E1984">
        <v>56550.79296875</v>
      </c>
      <c r="F1984">
        <v>56942.13671875</v>
      </c>
      <c r="G1984">
        <v>56942.13671875</v>
      </c>
      <c r="H1984">
        <v>41388338699</v>
      </c>
      <c r="I1984" t="s">
        <v>5222</v>
      </c>
      <c r="J1984" t="s">
        <v>5223</v>
      </c>
      <c r="K1984" t="s">
        <v>4634</v>
      </c>
    </row>
    <row r="1985" spans="1:11" ht="20" customHeight="1">
      <c r="A1985" t="s">
        <v>26</v>
      </c>
      <c r="B1985" t="s">
        <v>981</v>
      </c>
      <c r="C1985">
        <v>56896.12890625</v>
      </c>
      <c r="D1985">
        <v>58351.11328125</v>
      </c>
      <c r="E1985">
        <v>55705.1796875</v>
      </c>
      <c r="F1985">
        <v>58119.578125</v>
      </c>
      <c r="G1985">
        <v>58119.578125</v>
      </c>
      <c r="H1985">
        <v>38702407772</v>
      </c>
      <c r="I1985" t="s">
        <v>5223</v>
      </c>
      <c r="J1985" t="s">
        <v>5224</v>
      </c>
      <c r="K1985" t="s">
        <v>4634</v>
      </c>
    </row>
    <row r="1986" spans="1:11" ht="20" customHeight="1">
      <c r="A1986" t="s">
        <v>26</v>
      </c>
      <c r="B1986" t="s">
        <v>5225</v>
      </c>
      <c r="C1986">
        <v>58115.08203125</v>
      </c>
      <c r="D1986">
        <v>59859.87890625</v>
      </c>
      <c r="E1986">
        <v>57469.7265625</v>
      </c>
      <c r="F1986">
        <v>59697.1953125</v>
      </c>
      <c r="G1986">
        <v>59697.1953125</v>
      </c>
      <c r="H1986">
        <v>30624264863</v>
      </c>
      <c r="I1986" t="s">
        <v>5224</v>
      </c>
      <c r="J1986" t="s">
        <v>5226</v>
      </c>
      <c r="K1986" t="s">
        <v>4634</v>
      </c>
    </row>
    <row r="1987" spans="1:11" ht="20" customHeight="1">
      <c r="A1987" t="s">
        <v>26</v>
      </c>
      <c r="B1987" t="s">
        <v>5227</v>
      </c>
      <c r="C1987">
        <v>59730.5078125</v>
      </c>
      <c r="D1987">
        <v>60004.42578125</v>
      </c>
      <c r="E1987">
        <v>58618.9296875</v>
      </c>
      <c r="F1987">
        <v>58730.4765625</v>
      </c>
      <c r="G1987">
        <v>58730.4765625</v>
      </c>
      <c r="H1987">
        <v>26123447605</v>
      </c>
      <c r="I1987" t="s">
        <v>5226</v>
      </c>
      <c r="J1987" t="s">
        <v>5228</v>
      </c>
      <c r="K1987" t="s">
        <v>4634</v>
      </c>
    </row>
    <row r="1988" spans="1:11" ht="20" customHeight="1">
      <c r="A1988" t="s">
        <v>26</v>
      </c>
      <c r="B1988" t="s">
        <v>984</v>
      </c>
      <c r="C1988">
        <v>58706.84765625</v>
      </c>
      <c r="D1988">
        <v>59266.359375</v>
      </c>
      <c r="E1988">
        <v>55679.83984375</v>
      </c>
      <c r="F1988">
        <v>56289.2890625</v>
      </c>
      <c r="G1988">
        <v>56289.2890625</v>
      </c>
      <c r="H1988">
        <v>35036121783</v>
      </c>
      <c r="I1988" t="s">
        <v>5228</v>
      </c>
      <c r="J1988" t="s">
        <v>5229</v>
      </c>
      <c r="K1988" t="s">
        <v>4634</v>
      </c>
    </row>
    <row r="1989" spans="1:11" ht="20" customHeight="1">
      <c r="A1989" t="s">
        <v>26</v>
      </c>
      <c r="B1989" t="s">
        <v>987</v>
      </c>
      <c r="C1989">
        <v>56304.5546875</v>
      </c>
      <c r="D1989">
        <v>57875.515625</v>
      </c>
      <c r="E1989">
        <v>55632.76171875</v>
      </c>
      <c r="F1989">
        <v>57569.07421875</v>
      </c>
      <c r="G1989">
        <v>57569.07421875</v>
      </c>
      <c r="H1989">
        <v>37485803899</v>
      </c>
      <c r="I1989" t="s">
        <v>5229</v>
      </c>
      <c r="J1989" t="s">
        <v>5230</v>
      </c>
      <c r="K1989" t="s">
        <v>4634</v>
      </c>
    </row>
    <row r="1990" spans="1:11" ht="20" customHeight="1">
      <c r="A1990" t="s">
        <v>26</v>
      </c>
      <c r="B1990" t="s">
        <v>990</v>
      </c>
      <c r="C1990">
        <v>57565.8515625</v>
      </c>
      <c r="D1990">
        <v>57803.06640625</v>
      </c>
      <c r="E1990">
        <v>55964.22265625</v>
      </c>
      <c r="F1990">
        <v>56280.42578125</v>
      </c>
      <c r="G1990">
        <v>56280.42578125</v>
      </c>
      <c r="H1990">
        <v>36635566789</v>
      </c>
      <c r="I1990" t="s">
        <v>5230</v>
      </c>
      <c r="J1990" t="s">
        <v>5231</v>
      </c>
      <c r="K1990" t="s">
        <v>4634</v>
      </c>
    </row>
    <row r="1991" spans="1:11" ht="20" customHeight="1">
      <c r="A1991" t="s">
        <v>26</v>
      </c>
      <c r="B1991" t="s">
        <v>5232</v>
      </c>
      <c r="C1991">
        <v>57165.41796875</v>
      </c>
      <c r="D1991">
        <v>59367.96875</v>
      </c>
      <c r="E1991">
        <v>57146.68359375</v>
      </c>
      <c r="F1991">
        <v>57274.6796875</v>
      </c>
      <c r="G1991">
        <v>57274.6796875</v>
      </c>
      <c r="H1991">
        <v>34284016248</v>
      </c>
      <c r="I1991" t="s">
        <v>5231</v>
      </c>
      <c r="J1991" t="s">
        <v>5233</v>
      </c>
      <c r="K1991" t="s">
        <v>4634</v>
      </c>
    </row>
    <row r="1992" spans="1:11" ht="20" customHeight="1">
      <c r="A1992" t="s">
        <v>26</v>
      </c>
      <c r="B1992" t="s">
        <v>993</v>
      </c>
      <c r="C1992">
        <v>58960.28515625</v>
      </c>
      <c r="D1992">
        <v>59183.48046875</v>
      </c>
      <c r="E1992">
        <v>53569.765625</v>
      </c>
      <c r="F1992">
        <v>53569.765625</v>
      </c>
      <c r="G1992">
        <v>53569.765625</v>
      </c>
      <c r="H1992">
        <v>41810748221</v>
      </c>
      <c r="I1992" t="s">
        <v>5233</v>
      </c>
      <c r="J1992" t="s">
        <v>5234</v>
      </c>
      <c r="K1992" t="s">
        <v>4634</v>
      </c>
    </row>
    <row r="1993" spans="1:11" ht="20" customHeight="1">
      <c r="A1993" t="s">
        <v>26</v>
      </c>
      <c r="B1993" t="s">
        <v>5235</v>
      </c>
      <c r="C1993">
        <v>53736.4296875</v>
      </c>
      <c r="D1993">
        <v>55329.2578125</v>
      </c>
      <c r="E1993">
        <v>53668.35546875</v>
      </c>
      <c r="F1993">
        <v>54815.078125</v>
      </c>
      <c r="G1993">
        <v>54815.078125</v>
      </c>
      <c r="H1993">
        <v>30560857714</v>
      </c>
      <c r="I1993" t="s">
        <v>5234</v>
      </c>
      <c r="J1993" t="s">
        <v>5236</v>
      </c>
      <c r="K1993" t="s">
        <v>4634</v>
      </c>
    </row>
    <row r="1994" spans="1:11" ht="20" customHeight="1">
      <c r="A1994" t="s">
        <v>26</v>
      </c>
      <c r="B1994" t="s">
        <v>5237</v>
      </c>
      <c r="C1994">
        <v>54813.0234375</v>
      </c>
      <c r="D1994">
        <v>57393.84375</v>
      </c>
      <c r="E1994">
        <v>53576.734375</v>
      </c>
      <c r="F1994">
        <v>57248.45703125</v>
      </c>
      <c r="G1994">
        <v>57248.45703125</v>
      </c>
      <c r="H1994">
        <v>28116886357</v>
      </c>
      <c r="I1994" t="s">
        <v>5236</v>
      </c>
      <c r="J1994" t="s">
        <v>5238</v>
      </c>
      <c r="K1994" t="s">
        <v>4634</v>
      </c>
    </row>
    <row r="1995" spans="1:11" ht="20" customHeight="1">
      <c r="A1995" t="s">
        <v>26</v>
      </c>
      <c r="B1995" t="s">
        <v>996</v>
      </c>
      <c r="C1995">
        <v>57291.90625</v>
      </c>
      <c r="D1995">
        <v>58872.87890625</v>
      </c>
      <c r="E1995">
        <v>56792.52734375</v>
      </c>
      <c r="F1995">
        <v>57806.56640625</v>
      </c>
      <c r="G1995">
        <v>57806.56640625</v>
      </c>
      <c r="H1995">
        <v>32370840356</v>
      </c>
      <c r="I1995" t="s">
        <v>5238</v>
      </c>
      <c r="J1995" t="s">
        <v>5239</v>
      </c>
      <c r="K1995" t="s">
        <v>4634</v>
      </c>
    </row>
    <row r="1996" spans="1:11" ht="20" customHeight="1">
      <c r="A1996" t="s">
        <v>26</v>
      </c>
      <c r="B1996" t="s">
        <v>999</v>
      </c>
      <c r="C1996">
        <v>57830.11328125</v>
      </c>
      <c r="D1996">
        <v>59113.40234375</v>
      </c>
      <c r="E1996">
        <v>56057.28125</v>
      </c>
      <c r="F1996">
        <v>57005.42578125</v>
      </c>
      <c r="G1996">
        <v>57005.42578125</v>
      </c>
      <c r="H1996">
        <v>36708594618</v>
      </c>
      <c r="I1996" t="s">
        <v>5239</v>
      </c>
      <c r="J1996" t="s">
        <v>5240</v>
      </c>
      <c r="K1996" t="s">
        <v>4634</v>
      </c>
    </row>
    <row r="1997" spans="1:11" ht="20" customHeight="1">
      <c r="A1997" t="s">
        <v>26</v>
      </c>
      <c r="B1997" t="s">
        <v>1002</v>
      </c>
      <c r="C1997">
        <v>56907.96484375</v>
      </c>
      <c r="D1997">
        <v>59041.68359375</v>
      </c>
      <c r="E1997">
        <v>56553.08203125</v>
      </c>
      <c r="F1997">
        <v>57229.828125</v>
      </c>
      <c r="G1997">
        <v>57229.828125</v>
      </c>
      <c r="H1997">
        <v>36858195307</v>
      </c>
      <c r="I1997" t="s">
        <v>5240</v>
      </c>
      <c r="J1997" t="s">
        <v>5241</v>
      </c>
      <c r="K1997" t="s">
        <v>4634</v>
      </c>
    </row>
    <row r="1998" spans="1:11" ht="20" customHeight="1">
      <c r="A1998" t="s">
        <v>26</v>
      </c>
      <c r="B1998" t="s">
        <v>1005</v>
      </c>
      <c r="C1998">
        <v>57217.37109375</v>
      </c>
      <c r="D1998">
        <v>57349.234375</v>
      </c>
      <c r="E1998">
        <v>55895.1328125</v>
      </c>
      <c r="F1998">
        <v>56477.81640625</v>
      </c>
      <c r="G1998">
        <v>56477.81640625</v>
      </c>
      <c r="H1998">
        <v>32379968686</v>
      </c>
      <c r="I1998" t="s">
        <v>5241</v>
      </c>
      <c r="J1998" t="s">
        <v>5242</v>
      </c>
      <c r="K1998" t="s">
        <v>4634</v>
      </c>
    </row>
    <row r="1999" spans="1:11" ht="20" customHeight="1">
      <c r="A1999" t="s">
        <v>26</v>
      </c>
      <c r="B1999" t="s">
        <v>1008</v>
      </c>
      <c r="C1999">
        <v>56509.1640625</v>
      </c>
      <c r="D1999">
        <v>57482.16796875</v>
      </c>
      <c r="E1999">
        <v>52496.5859375</v>
      </c>
      <c r="F1999">
        <v>53598.24609375</v>
      </c>
      <c r="G1999">
        <v>53598.24609375</v>
      </c>
      <c r="H1999">
        <v>39789134215</v>
      </c>
      <c r="I1999" t="s">
        <v>5242</v>
      </c>
      <c r="J1999" t="s">
        <v>5243</v>
      </c>
      <c r="K1999" t="s">
        <v>4634</v>
      </c>
    </row>
    <row r="2000" spans="1:11" ht="20" customHeight="1">
      <c r="A2000" t="s">
        <v>26</v>
      </c>
      <c r="B2000" t="s">
        <v>5244</v>
      </c>
      <c r="C2000">
        <v>53727.87890625</v>
      </c>
      <c r="D2000">
        <v>53904.6796875</v>
      </c>
      <c r="E2000">
        <v>42874.6171875</v>
      </c>
      <c r="F2000">
        <v>49200.703125</v>
      </c>
      <c r="G2000">
        <v>49200.703125</v>
      </c>
      <c r="H2000">
        <v>61385677469</v>
      </c>
      <c r="I2000" t="s">
        <v>5243</v>
      </c>
      <c r="J2000" t="s">
        <v>5245</v>
      </c>
      <c r="K2000" t="s">
        <v>4634</v>
      </c>
    </row>
    <row r="2001" spans="1:11" ht="20" customHeight="1">
      <c r="A2001" t="s">
        <v>26</v>
      </c>
      <c r="B2001" t="s">
        <v>5246</v>
      </c>
      <c r="C2001">
        <v>49201.51953125</v>
      </c>
      <c r="D2001">
        <v>49768.1484375</v>
      </c>
      <c r="E2001">
        <v>47857.49609375</v>
      </c>
      <c r="F2001">
        <v>49368.84765625</v>
      </c>
      <c r="G2001">
        <v>49368.84765625</v>
      </c>
      <c r="H2001">
        <v>37198201161</v>
      </c>
      <c r="I2001" t="s">
        <v>5245</v>
      </c>
      <c r="J2001" t="s">
        <v>5247</v>
      </c>
      <c r="K2001" t="s">
        <v>4634</v>
      </c>
    </row>
    <row r="2002" spans="1:11" ht="20" customHeight="1">
      <c r="A2002" t="s">
        <v>26</v>
      </c>
      <c r="B2002" t="s">
        <v>1011</v>
      </c>
      <c r="C2002">
        <v>49413.48046875</v>
      </c>
      <c r="D2002">
        <v>50929.51953125</v>
      </c>
      <c r="E2002">
        <v>47281.03515625</v>
      </c>
      <c r="F2002">
        <v>50582.625</v>
      </c>
      <c r="G2002">
        <v>50582.625</v>
      </c>
      <c r="H2002">
        <v>37707308001</v>
      </c>
      <c r="I2002" t="s">
        <v>5247</v>
      </c>
      <c r="J2002" t="s">
        <v>5248</v>
      </c>
      <c r="K2002" t="s">
        <v>4634</v>
      </c>
    </row>
    <row r="2003" spans="1:11" ht="20" customHeight="1">
      <c r="A2003" t="s">
        <v>26</v>
      </c>
      <c r="B2003" t="s">
        <v>1014</v>
      </c>
      <c r="C2003">
        <v>50581.828125</v>
      </c>
      <c r="D2003">
        <v>51934.78125</v>
      </c>
      <c r="E2003">
        <v>50175.80859375</v>
      </c>
      <c r="F2003">
        <v>50700.0859375</v>
      </c>
      <c r="G2003">
        <v>50700.0859375</v>
      </c>
      <c r="H2003">
        <v>33676814852</v>
      </c>
      <c r="I2003" t="s">
        <v>5248</v>
      </c>
      <c r="J2003" t="s">
        <v>5249</v>
      </c>
      <c r="K2003" t="s">
        <v>4634</v>
      </c>
    </row>
    <row r="2004" spans="1:11" ht="20" customHeight="1">
      <c r="A2004" t="s">
        <v>26</v>
      </c>
      <c r="B2004" t="s">
        <v>1017</v>
      </c>
      <c r="C2004">
        <v>50667.6484375</v>
      </c>
      <c r="D2004">
        <v>51171.375</v>
      </c>
      <c r="E2004">
        <v>48765.98828125</v>
      </c>
      <c r="F2004">
        <v>50504.796875</v>
      </c>
      <c r="G2004">
        <v>50504.796875</v>
      </c>
      <c r="H2004">
        <v>28479699446</v>
      </c>
      <c r="I2004" t="s">
        <v>5249</v>
      </c>
      <c r="J2004" t="s">
        <v>5250</v>
      </c>
      <c r="K2004" t="s">
        <v>4634</v>
      </c>
    </row>
    <row r="2005" spans="1:11" ht="20" customHeight="1">
      <c r="A2005" t="s">
        <v>26</v>
      </c>
      <c r="B2005" t="s">
        <v>1020</v>
      </c>
      <c r="C2005">
        <v>50450.08203125</v>
      </c>
      <c r="D2005">
        <v>50797.1640625</v>
      </c>
      <c r="E2005">
        <v>47358.3515625</v>
      </c>
      <c r="F2005">
        <v>47672.12109375</v>
      </c>
      <c r="G2005">
        <v>47672.12109375</v>
      </c>
      <c r="H2005">
        <v>29603577251</v>
      </c>
      <c r="I2005" t="s">
        <v>5250</v>
      </c>
      <c r="J2005" t="s">
        <v>5251</v>
      </c>
      <c r="K2005" t="s">
        <v>4634</v>
      </c>
    </row>
    <row r="2006" spans="1:11" ht="20" customHeight="1">
      <c r="A2006" t="s">
        <v>26</v>
      </c>
      <c r="B2006" t="s">
        <v>1023</v>
      </c>
      <c r="C2006">
        <v>47642.14453125</v>
      </c>
      <c r="D2006">
        <v>50015.25390625</v>
      </c>
      <c r="E2006">
        <v>47023.69921875</v>
      </c>
      <c r="F2006">
        <v>47243.3046875</v>
      </c>
      <c r="G2006">
        <v>47243.3046875</v>
      </c>
      <c r="H2006">
        <v>30966005122</v>
      </c>
      <c r="I2006" t="s">
        <v>5251</v>
      </c>
      <c r="J2006" t="s">
        <v>5252</v>
      </c>
      <c r="K2006" t="s">
        <v>4634</v>
      </c>
    </row>
    <row r="2007" spans="1:11" ht="20" customHeight="1">
      <c r="A2007" t="s">
        <v>26</v>
      </c>
      <c r="B2007" t="s">
        <v>5253</v>
      </c>
      <c r="C2007">
        <v>47264.6328125</v>
      </c>
      <c r="D2007">
        <v>49458.2109375</v>
      </c>
      <c r="E2007">
        <v>46942.34765625</v>
      </c>
      <c r="F2007">
        <v>49362.5078125</v>
      </c>
      <c r="G2007">
        <v>49362.5078125</v>
      </c>
      <c r="H2007">
        <v>25775869261</v>
      </c>
      <c r="I2007" t="s">
        <v>5252</v>
      </c>
      <c r="J2007" t="s">
        <v>5254</v>
      </c>
      <c r="K2007" t="s">
        <v>4634</v>
      </c>
    </row>
    <row r="2008" spans="1:11" ht="20" customHeight="1">
      <c r="A2008" t="s">
        <v>26</v>
      </c>
      <c r="B2008" t="s">
        <v>5255</v>
      </c>
      <c r="C2008">
        <v>49354.85546875</v>
      </c>
      <c r="D2008">
        <v>50724.8671875</v>
      </c>
      <c r="E2008">
        <v>48725.8515625</v>
      </c>
      <c r="F2008">
        <v>50098.3359375</v>
      </c>
      <c r="G2008">
        <v>50098.3359375</v>
      </c>
      <c r="H2008">
        <v>21939223599</v>
      </c>
      <c r="I2008" t="s">
        <v>5254</v>
      </c>
      <c r="J2008" t="s">
        <v>5256</v>
      </c>
      <c r="K2008" t="s">
        <v>4634</v>
      </c>
    </row>
    <row r="2009" spans="1:11" ht="20" customHeight="1">
      <c r="A2009" t="s">
        <v>26</v>
      </c>
      <c r="B2009" t="s">
        <v>1026</v>
      </c>
      <c r="C2009">
        <v>50114.7421875</v>
      </c>
      <c r="D2009">
        <v>50205</v>
      </c>
      <c r="E2009">
        <v>45894.84765625</v>
      </c>
      <c r="F2009">
        <v>46737.48046875</v>
      </c>
      <c r="G2009">
        <v>46737.48046875</v>
      </c>
      <c r="H2009">
        <v>32166727776</v>
      </c>
      <c r="I2009" t="s">
        <v>5256</v>
      </c>
      <c r="J2009" t="s">
        <v>5257</v>
      </c>
      <c r="K2009" t="s">
        <v>4634</v>
      </c>
    </row>
    <row r="2010" spans="1:11" ht="20" customHeight="1">
      <c r="A2010" t="s">
        <v>26</v>
      </c>
      <c r="B2010" t="s">
        <v>1029</v>
      </c>
      <c r="C2010">
        <v>46709.82421875</v>
      </c>
      <c r="D2010">
        <v>48431.3984375</v>
      </c>
      <c r="E2010">
        <v>46424.49609375</v>
      </c>
      <c r="F2010">
        <v>46612.6328125</v>
      </c>
      <c r="G2010">
        <v>46612.6328125</v>
      </c>
      <c r="H2010">
        <v>34638619079</v>
      </c>
      <c r="I2010" t="s">
        <v>5257</v>
      </c>
      <c r="J2010" t="s">
        <v>5258</v>
      </c>
      <c r="K2010" t="s">
        <v>4634</v>
      </c>
    </row>
    <row r="2011" spans="1:11" ht="20" customHeight="1">
      <c r="A2011" t="s">
        <v>26</v>
      </c>
      <c r="B2011" t="s">
        <v>1032</v>
      </c>
      <c r="C2011">
        <v>48379.75390625</v>
      </c>
      <c r="D2011">
        <v>49473.95703125</v>
      </c>
      <c r="E2011">
        <v>46671.96484375</v>
      </c>
      <c r="F2011">
        <v>48896.72265625</v>
      </c>
      <c r="G2011">
        <v>48896.72265625</v>
      </c>
      <c r="H2011">
        <v>36541828520</v>
      </c>
      <c r="I2011" t="s">
        <v>5258</v>
      </c>
      <c r="J2011" t="s">
        <v>5259</v>
      </c>
      <c r="K2011" t="s">
        <v>4634</v>
      </c>
    </row>
    <row r="2012" spans="1:11" ht="20" customHeight="1">
      <c r="A2012" t="s">
        <v>26</v>
      </c>
      <c r="B2012" t="s">
        <v>1035</v>
      </c>
      <c r="C2012">
        <v>48900.46484375</v>
      </c>
      <c r="D2012">
        <v>49425.57421875</v>
      </c>
      <c r="E2012">
        <v>47529.87890625</v>
      </c>
      <c r="F2012">
        <v>47665.42578125</v>
      </c>
      <c r="G2012">
        <v>47665.42578125</v>
      </c>
      <c r="H2012">
        <v>27268150947</v>
      </c>
      <c r="I2012" t="s">
        <v>5259</v>
      </c>
      <c r="J2012" t="s">
        <v>5260</v>
      </c>
      <c r="K2012" t="s">
        <v>4634</v>
      </c>
    </row>
    <row r="2013" spans="1:11" ht="20" customHeight="1">
      <c r="A2013" t="s">
        <v>26</v>
      </c>
      <c r="B2013" t="s">
        <v>1038</v>
      </c>
      <c r="C2013">
        <v>47653.73046875</v>
      </c>
      <c r="D2013">
        <v>48004.89453125</v>
      </c>
      <c r="E2013">
        <v>45618.21484375</v>
      </c>
      <c r="F2013">
        <v>46202.14453125</v>
      </c>
      <c r="G2013">
        <v>46202.14453125</v>
      </c>
      <c r="H2013">
        <v>32902725329</v>
      </c>
      <c r="I2013" t="s">
        <v>5260</v>
      </c>
      <c r="J2013" t="s">
        <v>5261</v>
      </c>
      <c r="K2013" t="s">
        <v>4634</v>
      </c>
    </row>
    <row r="2014" spans="1:11" ht="20" customHeight="1">
      <c r="A2014" t="s">
        <v>26</v>
      </c>
      <c r="B2014" t="s">
        <v>5262</v>
      </c>
      <c r="C2014">
        <v>46219.25390625</v>
      </c>
      <c r="D2014">
        <v>47313.828125</v>
      </c>
      <c r="E2014">
        <v>45598.44140625</v>
      </c>
      <c r="F2014">
        <v>46848.77734375</v>
      </c>
      <c r="G2014">
        <v>46848.77734375</v>
      </c>
      <c r="H2014">
        <v>26098292690</v>
      </c>
      <c r="I2014" t="s">
        <v>5261</v>
      </c>
      <c r="J2014" t="s">
        <v>5263</v>
      </c>
      <c r="K2014" t="s">
        <v>4634</v>
      </c>
    </row>
    <row r="2015" spans="1:11" ht="20" customHeight="1">
      <c r="A2015" t="s">
        <v>26</v>
      </c>
      <c r="B2015" t="s">
        <v>5264</v>
      </c>
      <c r="C2015">
        <v>46853.8671875</v>
      </c>
      <c r="D2015">
        <v>48089.6640625</v>
      </c>
      <c r="E2015">
        <v>46502.953125</v>
      </c>
      <c r="F2015">
        <v>46707.015625</v>
      </c>
      <c r="G2015">
        <v>46707.015625</v>
      </c>
      <c r="H2015">
        <v>25154053861</v>
      </c>
      <c r="I2015" t="s">
        <v>5263</v>
      </c>
      <c r="J2015" t="s">
        <v>5265</v>
      </c>
      <c r="K2015" t="s">
        <v>4634</v>
      </c>
    </row>
    <row r="2016" spans="1:11" ht="20" customHeight="1">
      <c r="A2016" t="s">
        <v>26</v>
      </c>
      <c r="B2016" t="s">
        <v>1041</v>
      </c>
      <c r="C2016">
        <v>46707.0625</v>
      </c>
      <c r="D2016">
        <v>47401.71875</v>
      </c>
      <c r="E2016">
        <v>45579.80859375</v>
      </c>
      <c r="F2016">
        <v>46880.27734375</v>
      </c>
      <c r="G2016">
        <v>46880.27734375</v>
      </c>
      <c r="H2016">
        <v>30961902129</v>
      </c>
      <c r="I2016" t="s">
        <v>5265</v>
      </c>
      <c r="J2016" t="s">
        <v>5266</v>
      </c>
      <c r="K2016" t="s">
        <v>4634</v>
      </c>
    </row>
    <row r="2017" spans="1:11" ht="20" customHeight="1">
      <c r="A2017" t="s">
        <v>26</v>
      </c>
      <c r="B2017" t="s">
        <v>1044</v>
      </c>
      <c r="C2017">
        <v>46886.078125</v>
      </c>
      <c r="D2017">
        <v>49300.91796875</v>
      </c>
      <c r="E2017">
        <v>46698.7734375</v>
      </c>
      <c r="F2017">
        <v>48936.61328125</v>
      </c>
      <c r="G2017">
        <v>48936.61328125</v>
      </c>
      <c r="H2017">
        <v>27055803928</v>
      </c>
      <c r="I2017" t="s">
        <v>5266</v>
      </c>
      <c r="J2017" t="s">
        <v>5267</v>
      </c>
      <c r="K2017" t="s">
        <v>4634</v>
      </c>
    </row>
    <row r="2018" spans="1:11" ht="20" customHeight="1">
      <c r="A2018" t="s">
        <v>26</v>
      </c>
      <c r="B2018" t="s">
        <v>1047</v>
      </c>
      <c r="C2018">
        <v>48937.09765625</v>
      </c>
      <c r="D2018">
        <v>49544.796875</v>
      </c>
      <c r="E2018">
        <v>48450.94140625</v>
      </c>
      <c r="F2018">
        <v>48628.51171875</v>
      </c>
      <c r="G2018">
        <v>48628.51171875</v>
      </c>
      <c r="H2018">
        <v>24447979559</v>
      </c>
      <c r="I2018" t="s">
        <v>5267</v>
      </c>
      <c r="J2018" t="s">
        <v>5268</v>
      </c>
      <c r="K2018" t="s">
        <v>4634</v>
      </c>
    </row>
    <row r="2019" spans="1:11" ht="20" customHeight="1">
      <c r="A2019" t="s">
        <v>26</v>
      </c>
      <c r="B2019" t="s">
        <v>1050</v>
      </c>
      <c r="C2019">
        <v>48626.34375</v>
      </c>
      <c r="D2019">
        <v>51332.33984375</v>
      </c>
      <c r="E2019">
        <v>48065.8359375</v>
      </c>
      <c r="F2019">
        <v>50784.5390625</v>
      </c>
      <c r="G2019">
        <v>50784.5390625</v>
      </c>
      <c r="H2019">
        <v>28223878108</v>
      </c>
      <c r="I2019" t="s">
        <v>5268</v>
      </c>
      <c r="J2019" t="s">
        <v>5269</v>
      </c>
      <c r="K2019" t="s">
        <v>4634</v>
      </c>
    </row>
    <row r="2020" spans="1:11" ht="20" customHeight="1">
      <c r="A2020" t="s">
        <v>26</v>
      </c>
      <c r="B2020" t="s">
        <v>5270</v>
      </c>
      <c r="C2020">
        <v>50806.05078125</v>
      </c>
      <c r="D2020">
        <v>51814.02734375</v>
      </c>
      <c r="E2020">
        <v>50514.49609375</v>
      </c>
      <c r="F2020">
        <v>50822.1953125</v>
      </c>
      <c r="G2020">
        <v>50822.1953125</v>
      </c>
      <c r="H2020">
        <v>24367912228</v>
      </c>
      <c r="I2020" t="s">
        <v>5269</v>
      </c>
      <c r="J2020" t="s">
        <v>5271</v>
      </c>
      <c r="K2020" t="s">
        <v>4634</v>
      </c>
    </row>
    <row r="2021" spans="1:11" ht="20" customHeight="1">
      <c r="A2021" t="s">
        <v>26</v>
      </c>
      <c r="B2021" t="s">
        <v>5272</v>
      </c>
      <c r="C2021">
        <v>50854.91796875</v>
      </c>
      <c r="D2021">
        <v>51176.59765625</v>
      </c>
      <c r="E2021">
        <v>50236.70703125</v>
      </c>
      <c r="F2021">
        <v>50429.859375</v>
      </c>
      <c r="G2021">
        <v>50429.859375</v>
      </c>
      <c r="H2021">
        <v>19030650914</v>
      </c>
      <c r="I2021" t="s">
        <v>5271</v>
      </c>
      <c r="J2021" t="s">
        <v>5273</v>
      </c>
      <c r="K2021" t="s">
        <v>4634</v>
      </c>
    </row>
    <row r="2022" spans="1:11" ht="20" customHeight="1">
      <c r="A2022" t="s">
        <v>26</v>
      </c>
      <c r="B2022" t="s">
        <v>5274</v>
      </c>
      <c r="C2022">
        <v>50428.69140625</v>
      </c>
      <c r="D2022">
        <v>51196.37890625</v>
      </c>
      <c r="E2022">
        <v>49623.10546875</v>
      </c>
      <c r="F2022">
        <v>50809.515625</v>
      </c>
      <c r="G2022">
        <v>50809.515625</v>
      </c>
      <c r="H2022">
        <v>20964372926</v>
      </c>
      <c r="I2022" t="s">
        <v>5273</v>
      </c>
      <c r="J2022" t="s">
        <v>5275</v>
      </c>
      <c r="K2022" t="s">
        <v>4634</v>
      </c>
    </row>
    <row r="2023" spans="1:11" ht="20" customHeight="1">
      <c r="A2023" t="s">
        <v>26</v>
      </c>
      <c r="B2023" t="s">
        <v>1053</v>
      </c>
      <c r="C2023">
        <v>50802.609375</v>
      </c>
      <c r="D2023">
        <v>51956.328125</v>
      </c>
      <c r="E2023">
        <v>50499.46875</v>
      </c>
      <c r="F2023">
        <v>50640.41796875</v>
      </c>
      <c r="G2023">
        <v>50640.41796875</v>
      </c>
      <c r="H2023">
        <v>24324345758</v>
      </c>
      <c r="I2023" t="s">
        <v>5275</v>
      </c>
      <c r="J2023" t="s">
        <v>5276</v>
      </c>
      <c r="K2023" t="s">
        <v>4634</v>
      </c>
    </row>
    <row r="2024" spans="1:11" ht="20" customHeight="1">
      <c r="A2024" t="s">
        <v>26</v>
      </c>
      <c r="B2024" t="s">
        <v>1056</v>
      </c>
      <c r="C2024">
        <v>50679.859375</v>
      </c>
      <c r="D2024">
        <v>50679.859375</v>
      </c>
      <c r="E2024">
        <v>47414.2109375</v>
      </c>
      <c r="F2024">
        <v>47588.85546875</v>
      </c>
      <c r="G2024">
        <v>47588.85546875</v>
      </c>
      <c r="H2024">
        <v>33430376883</v>
      </c>
      <c r="I2024" t="s">
        <v>5276</v>
      </c>
      <c r="J2024" t="s">
        <v>5277</v>
      </c>
      <c r="K2024" t="s">
        <v>4634</v>
      </c>
    </row>
    <row r="2025" spans="1:11" ht="20" customHeight="1">
      <c r="A2025" t="s">
        <v>26</v>
      </c>
      <c r="B2025" t="s">
        <v>1059</v>
      </c>
      <c r="C2025">
        <v>47623.87109375</v>
      </c>
      <c r="D2025">
        <v>48119.7421875</v>
      </c>
      <c r="E2025">
        <v>46201.49609375</v>
      </c>
      <c r="F2025">
        <v>46444.7109375</v>
      </c>
      <c r="G2025">
        <v>46444.7109375</v>
      </c>
      <c r="H2025">
        <v>30049226299</v>
      </c>
      <c r="I2025" t="s">
        <v>5277</v>
      </c>
      <c r="J2025" t="s">
        <v>5278</v>
      </c>
      <c r="K2025" t="s">
        <v>4634</v>
      </c>
    </row>
    <row r="2026" spans="1:11" ht="20" customHeight="1">
      <c r="A2026" t="s">
        <v>26</v>
      </c>
      <c r="B2026" t="s">
        <v>1062</v>
      </c>
      <c r="C2026">
        <v>46490.60546875</v>
      </c>
      <c r="D2026">
        <v>47879.96484375</v>
      </c>
      <c r="E2026">
        <v>46060.3125</v>
      </c>
      <c r="F2026">
        <v>47178.125</v>
      </c>
      <c r="G2026">
        <v>47178.125</v>
      </c>
      <c r="H2026">
        <v>26686491018</v>
      </c>
      <c r="I2026" t="s">
        <v>5278</v>
      </c>
      <c r="J2026" t="s">
        <v>5279</v>
      </c>
      <c r="K2026" t="s">
        <v>4634</v>
      </c>
    </row>
    <row r="2027" spans="1:11" ht="20" customHeight="1">
      <c r="A2027" t="s">
        <v>26</v>
      </c>
      <c r="B2027" t="s">
        <v>1065</v>
      </c>
      <c r="C2027">
        <v>47169.37109375</v>
      </c>
      <c r="D2027">
        <v>48472.52734375</v>
      </c>
      <c r="E2027">
        <v>45819.953125</v>
      </c>
      <c r="F2027">
        <v>46306.4453125</v>
      </c>
      <c r="G2027">
        <v>46306.4453125</v>
      </c>
      <c r="H2027">
        <v>36974172400</v>
      </c>
      <c r="I2027" t="s">
        <v>5279</v>
      </c>
      <c r="J2027" t="s">
        <v>5280</v>
      </c>
      <c r="K2027" t="s">
        <v>4634</v>
      </c>
    </row>
    <row r="2028" spans="1:11" ht="20" customHeight="1">
      <c r="A2028" t="s">
        <v>26</v>
      </c>
      <c r="B2028" t="s">
        <v>5281</v>
      </c>
      <c r="C2028">
        <v>46311.74609375</v>
      </c>
      <c r="D2028">
        <v>47827.3125</v>
      </c>
      <c r="E2028">
        <v>46288.484375</v>
      </c>
      <c r="F2028">
        <v>47686.8125</v>
      </c>
      <c r="G2028">
        <v>47686.8125</v>
      </c>
      <c r="H2028">
        <v>24582667004</v>
      </c>
      <c r="I2028" t="s">
        <v>5280</v>
      </c>
      <c r="J2028" t="s">
        <v>5282</v>
      </c>
      <c r="K2028" t="s">
        <v>4634</v>
      </c>
    </row>
    <row r="2029" spans="1:11" ht="20" customHeight="1">
      <c r="A2029" t="s">
        <v>26</v>
      </c>
      <c r="B2029" t="s">
        <v>5283</v>
      </c>
      <c r="C2029">
        <v>47680.92578125</v>
      </c>
      <c r="D2029">
        <v>47881.40625</v>
      </c>
      <c r="E2029">
        <v>46856.9375</v>
      </c>
      <c r="F2029">
        <v>47345.21875</v>
      </c>
      <c r="G2029">
        <v>47345.21875</v>
      </c>
      <c r="H2029">
        <v>27951569547</v>
      </c>
      <c r="I2029" t="s">
        <v>5282</v>
      </c>
      <c r="J2029" t="s">
        <v>5284</v>
      </c>
      <c r="K2029" t="s">
        <v>4634</v>
      </c>
    </row>
    <row r="2030" spans="1:11" ht="20" customHeight="1">
      <c r="A2030" t="s">
        <v>26</v>
      </c>
      <c r="B2030" t="s">
        <v>1068</v>
      </c>
      <c r="C2030">
        <v>47343.54296875</v>
      </c>
      <c r="D2030">
        <v>47510.7265625</v>
      </c>
      <c r="E2030">
        <v>45835.96484375</v>
      </c>
      <c r="F2030">
        <v>46458.1171875</v>
      </c>
      <c r="G2030">
        <v>46458.1171875</v>
      </c>
      <c r="H2030">
        <v>33071628362</v>
      </c>
      <c r="I2030" t="s">
        <v>5284</v>
      </c>
      <c r="J2030" t="s">
        <v>5285</v>
      </c>
      <c r="K2030" t="s">
        <v>4634</v>
      </c>
    </row>
    <row r="2031" spans="1:11" ht="20" customHeight="1">
      <c r="A2031" t="s">
        <v>26</v>
      </c>
      <c r="B2031" t="s">
        <v>1071</v>
      </c>
      <c r="C2031">
        <v>46458.8515625</v>
      </c>
      <c r="D2031">
        <v>47406.546875</v>
      </c>
      <c r="E2031">
        <v>45752.46484375</v>
      </c>
      <c r="F2031">
        <v>45897.57421875</v>
      </c>
      <c r="G2031">
        <v>45897.57421875</v>
      </c>
      <c r="H2031">
        <v>42494677905</v>
      </c>
      <c r="I2031" t="s">
        <v>5285</v>
      </c>
      <c r="J2031" t="s">
        <v>5286</v>
      </c>
      <c r="K2031" t="s">
        <v>4634</v>
      </c>
    </row>
    <row r="2032" spans="1:11" ht="20" customHeight="1">
      <c r="A2032" t="s">
        <v>26</v>
      </c>
      <c r="B2032" t="s">
        <v>1074</v>
      </c>
      <c r="C2032">
        <v>45899.359375</v>
      </c>
      <c r="D2032">
        <v>46929.046875</v>
      </c>
      <c r="E2032">
        <v>42798.22265625</v>
      </c>
      <c r="F2032">
        <v>43569.00390625</v>
      </c>
      <c r="G2032">
        <v>43569.00390625</v>
      </c>
      <c r="H2032">
        <v>36851084859</v>
      </c>
      <c r="I2032" t="s">
        <v>5286</v>
      </c>
      <c r="J2032" t="s">
        <v>5287</v>
      </c>
      <c r="K2032" t="s">
        <v>4634</v>
      </c>
    </row>
    <row r="2033" spans="1:11" ht="20" customHeight="1">
      <c r="A2033" t="s">
        <v>26</v>
      </c>
      <c r="B2033" t="s">
        <v>1077</v>
      </c>
      <c r="C2033">
        <v>43565.51171875</v>
      </c>
      <c r="D2033">
        <v>43748.71875</v>
      </c>
      <c r="E2033">
        <v>42645.5390625</v>
      </c>
      <c r="F2033">
        <v>43160.9296875</v>
      </c>
      <c r="G2033">
        <v>43160.9296875</v>
      </c>
      <c r="H2033">
        <v>30208048289</v>
      </c>
      <c r="I2033" t="s">
        <v>5287</v>
      </c>
      <c r="J2033" t="s">
        <v>5288</v>
      </c>
      <c r="K2033" t="s">
        <v>4634</v>
      </c>
    </row>
    <row r="2034" spans="1:11" ht="20" customHeight="1">
      <c r="A2034" t="s">
        <v>26</v>
      </c>
      <c r="B2034" t="s">
        <v>1080</v>
      </c>
      <c r="C2034">
        <v>43153.5703125</v>
      </c>
      <c r="D2034">
        <v>43153.5703125</v>
      </c>
      <c r="E2034">
        <v>41077.4453125</v>
      </c>
      <c r="F2034">
        <v>41557.90234375</v>
      </c>
      <c r="G2034">
        <v>41557.90234375</v>
      </c>
      <c r="H2034">
        <v>84196607520</v>
      </c>
      <c r="I2034" t="s">
        <v>5288</v>
      </c>
      <c r="J2034" t="s">
        <v>5289</v>
      </c>
      <c r="K2034" t="s">
        <v>4634</v>
      </c>
    </row>
    <row r="2035" spans="1:11" ht="20" customHeight="1">
      <c r="A2035" t="s">
        <v>26</v>
      </c>
      <c r="B2035" t="s">
        <v>5290</v>
      </c>
      <c r="C2035">
        <v>41561.46484375</v>
      </c>
      <c r="D2035">
        <v>42228.94140625</v>
      </c>
      <c r="E2035">
        <v>40672.27734375</v>
      </c>
      <c r="F2035">
        <v>41733.94140625</v>
      </c>
      <c r="G2035">
        <v>41733.94140625</v>
      </c>
      <c r="H2035">
        <v>28066355845</v>
      </c>
      <c r="I2035" t="s">
        <v>5289</v>
      </c>
      <c r="J2035" t="s">
        <v>5291</v>
      </c>
      <c r="K2035" t="s">
        <v>4634</v>
      </c>
    </row>
    <row r="2036" spans="1:11" ht="20" customHeight="1">
      <c r="A2036" t="s">
        <v>26</v>
      </c>
      <c r="B2036" t="s">
        <v>5292</v>
      </c>
      <c r="C2036">
        <v>41734.7265625</v>
      </c>
      <c r="D2036">
        <v>42663.94921875</v>
      </c>
      <c r="E2036">
        <v>41338.16015625</v>
      </c>
      <c r="F2036">
        <v>41911.6015625</v>
      </c>
      <c r="G2036">
        <v>41911.6015625</v>
      </c>
      <c r="H2036">
        <v>21294384372</v>
      </c>
      <c r="I2036" t="s">
        <v>5291</v>
      </c>
      <c r="J2036" t="s">
        <v>5293</v>
      </c>
      <c r="K2036" t="s">
        <v>4634</v>
      </c>
    </row>
    <row r="2037" spans="1:11" ht="20" customHeight="1">
      <c r="A2037" t="s">
        <v>26</v>
      </c>
      <c r="B2037" t="s">
        <v>1083</v>
      </c>
      <c r="C2037">
        <v>41910.23046875</v>
      </c>
      <c r="D2037">
        <v>42199.484375</v>
      </c>
      <c r="E2037">
        <v>39796.5703125</v>
      </c>
      <c r="F2037">
        <v>41821.26171875</v>
      </c>
      <c r="G2037">
        <v>41821.26171875</v>
      </c>
      <c r="H2037">
        <v>32104232331</v>
      </c>
      <c r="I2037" t="s">
        <v>5293</v>
      </c>
      <c r="J2037" t="s">
        <v>5294</v>
      </c>
      <c r="K2037" t="s">
        <v>4634</v>
      </c>
    </row>
    <row r="2038" spans="1:11" ht="20" customHeight="1">
      <c r="A2038" t="s">
        <v>26</v>
      </c>
      <c r="B2038" t="s">
        <v>1086</v>
      </c>
      <c r="C2038">
        <v>41819.5078125</v>
      </c>
      <c r="D2038">
        <v>43001.15625</v>
      </c>
      <c r="E2038">
        <v>41407.75390625</v>
      </c>
      <c r="F2038">
        <v>42735.85546875</v>
      </c>
      <c r="G2038">
        <v>42735.85546875</v>
      </c>
      <c r="H2038">
        <v>26327648900</v>
      </c>
      <c r="I2038" t="s">
        <v>5294</v>
      </c>
      <c r="J2038" t="s">
        <v>5295</v>
      </c>
      <c r="K2038" t="s">
        <v>4634</v>
      </c>
    </row>
    <row r="2039" spans="1:11" ht="20" customHeight="1">
      <c r="A2039" t="s">
        <v>26</v>
      </c>
      <c r="B2039" t="s">
        <v>1089</v>
      </c>
      <c r="C2039">
        <v>42742.1796875</v>
      </c>
      <c r="D2039">
        <v>44135.3671875</v>
      </c>
      <c r="E2039">
        <v>42528.98828125</v>
      </c>
      <c r="F2039">
        <v>43949.1015625</v>
      </c>
      <c r="G2039">
        <v>43949.1015625</v>
      </c>
      <c r="H2039">
        <v>33499938689</v>
      </c>
      <c r="I2039" t="s">
        <v>5295</v>
      </c>
      <c r="J2039" t="s">
        <v>5296</v>
      </c>
      <c r="K2039" t="s">
        <v>4634</v>
      </c>
    </row>
    <row r="2040" spans="1:11" ht="20" customHeight="1">
      <c r="A2040" t="s">
        <v>26</v>
      </c>
      <c r="B2040" t="s">
        <v>1092</v>
      </c>
      <c r="C2040">
        <v>43946.7421875</v>
      </c>
      <c r="D2040">
        <v>44278.421875</v>
      </c>
      <c r="E2040">
        <v>42447.04296875</v>
      </c>
      <c r="F2040">
        <v>42591.5703125</v>
      </c>
      <c r="G2040">
        <v>42591.5703125</v>
      </c>
      <c r="H2040">
        <v>47691135082</v>
      </c>
      <c r="I2040" t="s">
        <v>5296</v>
      </c>
      <c r="J2040" t="s">
        <v>5297</v>
      </c>
      <c r="K2040" t="s">
        <v>4634</v>
      </c>
    </row>
    <row r="2041" spans="1:11" ht="20" customHeight="1">
      <c r="A2041" t="s">
        <v>26</v>
      </c>
      <c r="B2041" t="s">
        <v>1095</v>
      </c>
      <c r="C2041">
        <v>42598.87109375</v>
      </c>
      <c r="D2041">
        <v>43346.6875</v>
      </c>
      <c r="E2041">
        <v>41982.6171875</v>
      </c>
      <c r="F2041">
        <v>43099.69921875</v>
      </c>
      <c r="G2041">
        <v>43099.69921875</v>
      </c>
      <c r="H2041">
        <v>23577403399</v>
      </c>
      <c r="I2041" t="s">
        <v>5297</v>
      </c>
      <c r="J2041" t="s">
        <v>5298</v>
      </c>
      <c r="K2041" t="s">
        <v>4634</v>
      </c>
    </row>
    <row r="2042" spans="1:11" ht="20" customHeight="1">
      <c r="A2042" t="s">
        <v>26</v>
      </c>
      <c r="B2042" t="s">
        <v>5299</v>
      </c>
      <c r="C2042">
        <v>43101.8984375</v>
      </c>
      <c r="D2042">
        <v>43724.671875</v>
      </c>
      <c r="E2042">
        <v>42669.03515625</v>
      </c>
      <c r="F2042">
        <v>43177.3984375</v>
      </c>
      <c r="G2042">
        <v>43177.3984375</v>
      </c>
      <c r="H2042">
        <v>18371348298</v>
      </c>
      <c r="I2042" t="s">
        <v>5298</v>
      </c>
      <c r="J2042" t="s">
        <v>5300</v>
      </c>
      <c r="K2042" t="s">
        <v>4634</v>
      </c>
    </row>
    <row r="2043" spans="1:11" ht="20" customHeight="1">
      <c r="A2043" t="s">
        <v>26</v>
      </c>
      <c r="B2043" t="s">
        <v>5301</v>
      </c>
      <c r="C2043">
        <v>43172.0390625</v>
      </c>
      <c r="D2043">
        <v>43436.80859375</v>
      </c>
      <c r="E2043">
        <v>42691.0234375</v>
      </c>
      <c r="F2043">
        <v>43113.87890625</v>
      </c>
      <c r="G2043">
        <v>43113.87890625</v>
      </c>
      <c r="H2043">
        <v>17902097845</v>
      </c>
      <c r="I2043" t="s">
        <v>5300</v>
      </c>
      <c r="J2043" t="s">
        <v>5302</v>
      </c>
      <c r="K2043" t="s">
        <v>4634</v>
      </c>
    </row>
    <row r="2044" spans="1:11" ht="20" customHeight="1">
      <c r="A2044" t="s">
        <v>26</v>
      </c>
      <c r="B2044" t="s">
        <v>5303</v>
      </c>
      <c r="C2044">
        <v>43118.12109375</v>
      </c>
      <c r="D2044">
        <v>43179.390625</v>
      </c>
      <c r="E2044">
        <v>41680.3203125</v>
      </c>
      <c r="F2044">
        <v>42250.55078125</v>
      </c>
      <c r="G2044">
        <v>42250.55078125</v>
      </c>
      <c r="H2044">
        <v>21690904261</v>
      </c>
      <c r="I2044" t="s">
        <v>5302</v>
      </c>
      <c r="J2044" t="s">
        <v>5304</v>
      </c>
      <c r="K2044" t="s">
        <v>4634</v>
      </c>
    </row>
    <row r="2045" spans="1:11" ht="20" customHeight="1">
      <c r="A2045" t="s">
        <v>26</v>
      </c>
      <c r="B2045" t="s">
        <v>1098</v>
      </c>
      <c r="C2045">
        <v>42250.07421875</v>
      </c>
      <c r="D2045">
        <v>42534.40234375</v>
      </c>
      <c r="E2045">
        <v>41392.21484375</v>
      </c>
      <c r="F2045">
        <v>42375.6328125</v>
      </c>
      <c r="G2045">
        <v>42375.6328125</v>
      </c>
      <c r="H2045">
        <v>22417209227</v>
      </c>
      <c r="I2045" t="s">
        <v>5304</v>
      </c>
      <c r="J2045" t="s">
        <v>5305</v>
      </c>
      <c r="K2045" t="s">
        <v>4634</v>
      </c>
    </row>
    <row r="2046" spans="1:11" ht="20" customHeight="1">
      <c r="A2046" t="s">
        <v>26</v>
      </c>
      <c r="B2046" t="s">
        <v>1101</v>
      </c>
      <c r="C2046">
        <v>42374.0390625</v>
      </c>
      <c r="D2046">
        <v>42478.3046875</v>
      </c>
      <c r="E2046">
        <v>41242.9140625</v>
      </c>
      <c r="F2046">
        <v>41744.328125</v>
      </c>
      <c r="G2046">
        <v>41744.328125</v>
      </c>
      <c r="H2046">
        <v>23091543258</v>
      </c>
      <c r="I2046" t="s">
        <v>5305</v>
      </c>
      <c r="J2046" t="s">
        <v>5306</v>
      </c>
      <c r="K2046" t="s">
        <v>4634</v>
      </c>
    </row>
    <row r="2047" spans="1:11" ht="20" customHeight="1">
      <c r="A2047" t="s">
        <v>26</v>
      </c>
      <c r="B2047" t="s">
        <v>1104</v>
      </c>
      <c r="C2047">
        <v>41744.02734375</v>
      </c>
      <c r="D2047">
        <v>43413.0234375</v>
      </c>
      <c r="E2047">
        <v>40672.82421875</v>
      </c>
      <c r="F2047">
        <v>40680.41796875</v>
      </c>
      <c r="G2047">
        <v>40680.41796875</v>
      </c>
      <c r="H2047">
        <v>20382033940</v>
      </c>
      <c r="I2047" t="s">
        <v>5306</v>
      </c>
      <c r="J2047" t="s">
        <v>5307</v>
      </c>
      <c r="K2047" t="s">
        <v>4634</v>
      </c>
    </row>
    <row r="2048" spans="1:11" ht="20" customHeight="1">
      <c r="A2048" t="s">
        <v>26</v>
      </c>
      <c r="B2048" t="s">
        <v>1107</v>
      </c>
      <c r="C2048">
        <v>40699.60546875</v>
      </c>
      <c r="D2048">
        <v>41060.52734375</v>
      </c>
      <c r="E2048">
        <v>35791.42578125</v>
      </c>
      <c r="F2048">
        <v>36457.31640625</v>
      </c>
      <c r="G2048">
        <v>36457.31640625</v>
      </c>
      <c r="H2048">
        <v>43011992031</v>
      </c>
      <c r="I2048" t="s">
        <v>5307</v>
      </c>
      <c r="J2048" t="s">
        <v>5308</v>
      </c>
      <c r="K2048" t="s">
        <v>4634</v>
      </c>
    </row>
    <row r="2049" spans="1:11" ht="20" customHeight="1">
      <c r="A2049" t="s">
        <v>26</v>
      </c>
      <c r="B2049" t="s">
        <v>5309</v>
      </c>
      <c r="C2049">
        <v>36471.58984375</v>
      </c>
      <c r="D2049">
        <v>36688.8125</v>
      </c>
      <c r="E2049">
        <v>34349.25</v>
      </c>
      <c r="F2049">
        <v>35030.25</v>
      </c>
      <c r="G2049">
        <v>35030.25</v>
      </c>
      <c r="H2049">
        <v>39714385405</v>
      </c>
      <c r="I2049" t="s">
        <v>5308</v>
      </c>
      <c r="J2049" t="s">
        <v>5310</v>
      </c>
      <c r="K2049" t="s">
        <v>4634</v>
      </c>
    </row>
    <row r="2050" spans="1:11" ht="20" customHeight="1">
      <c r="A2050" t="s">
        <v>26</v>
      </c>
      <c r="B2050" t="s">
        <v>5311</v>
      </c>
      <c r="C2050">
        <v>35047.359375</v>
      </c>
      <c r="D2050">
        <v>36433.3125</v>
      </c>
      <c r="E2050">
        <v>34784.96875</v>
      </c>
      <c r="F2050">
        <v>36276.8046875</v>
      </c>
      <c r="G2050">
        <v>36276.8046875</v>
      </c>
      <c r="H2050">
        <v>26017975951</v>
      </c>
      <c r="I2050" t="s">
        <v>5310</v>
      </c>
      <c r="J2050" t="s">
        <v>5312</v>
      </c>
      <c r="K2050" t="s">
        <v>4634</v>
      </c>
    </row>
    <row r="2051" spans="1:11" ht="20" customHeight="1">
      <c r="A2051" t="s">
        <v>26</v>
      </c>
      <c r="B2051" t="s">
        <v>1110</v>
      </c>
      <c r="C2051">
        <v>36275.734375</v>
      </c>
      <c r="D2051">
        <v>37247.51953125</v>
      </c>
      <c r="E2051">
        <v>33184.05859375</v>
      </c>
      <c r="F2051">
        <v>36654.328125</v>
      </c>
      <c r="G2051">
        <v>36654.328125</v>
      </c>
      <c r="H2051">
        <v>41856658597</v>
      </c>
      <c r="I2051" t="s">
        <v>5312</v>
      </c>
      <c r="J2051" t="s">
        <v>5313</v>
      </c>
      <c r="K2051" t="s">
        <v>4634</v>
      </c>
    </row>
    <row r="2052" spans="1:11" ht="20" customHeight="1">
      <c r="A2052" t="s">
        <v>26</v>
      </c>
      <c r="B2052" t="s">
        <v>1113</v>
      </c>
      <c r="C2052">
        <v>36654.8046875</v>
      </c>
      <c r="D2052">
        <v>37444.5703125</v>
      </c>
      <c r="E2052">
        <v>35779.4296875</v>
      </c>
      <c r="F2052">
        <v>36954.00390625</v>
      </c>
      <c r="G2052">
        <v>36954.00390625</v>
      </c>
      <c r="H2052">
        <v>26428189594</v>
      </c>
      <c r="I2052" t="s">
        <v>5313</v>
      </c>
      <c r="J2052" t="s">
        <v>5314</v>
      </c>
      <c r="K2052" t="s">
        <v>4634</v>
      </c>
    </row>
    <row r="2053" spans="1:11" ht="20" customHeight="1">
      <c r="A2053" t="s">
        <v>26</v>
      </c>
      <c r="B2053" t="s">
        <v>1116</v>
      </c>
      <c r="C2053">
        <v>36950.515625</v>
      </c>
      <c r="D2053">
        <v>38825.41015625</v>
      </c>
      <c r="E2053">
        <v>36374.90625</v>
      </c>
      <c r="F2053">
        <v>36852.12109375</v>
      </c>
      <c r="G2053">
        <v>36852.12109375</v>
      </c>
      <c r="H2053">
        <v>31324598034</v>
      </c>
      <c r="I2053" t="s">
        <v>5314</v>
      </c>
      <c r="J2053" t="s">
        <v>5315</v>
      </c>
      <c r="K2053" t="s">
        <v>4634</v>
      </c>
    </row>
    <row r="2054" spans="1:11" ht="20" customHeight="1">
      <c r="A2054" t="s">
        <v>26</v>
      </c>
      <c r="B2054" t="s">
        <v>1119</v>
      </c>
      <c r="C2054">
        <v>36841.87890625</v>
      </c>
      <c r="D2054">
        <v>37148.32421875</v>
      </c>
      <c r="E2054">
        <v>35629.28125</v>
      </c>
      <c r="F2054">
        <v>37138.234375</v>
      </c>
      <c r="G2054">
        <v>37138.234375</v>
      </c>
      <c r="H2054">
        <v>25041426629</v>
      </c>
      <c r="I2054" t="s">
        <v>5315</v>
      </c>
      <c r="J2054" t="s">
        <v>5316</v>
      </c>
      <c r="K2054" t="s">
        <v>4634</v>
      </c>
    </row>
    <row r="2055" spans="1:11" ht="20" customHeight="1">
      <c r="A2055" t="s">
        <v>26</v>
      </c>
      <c r="B2055" t="s">
        <v>1122</v>
      </c>
      <c r="C2055">
        <v>37128.4453125</v>
      </c>
      <c r="D2055">
        <v>37952.87890625</v>
      </c>
      <c r="E2055">
        <v>36211.109375</v>
      </c>
      <c r="F2055">
        <v>37784.33203125</v>
      </c>
      <c r="G2055">
        <v>37784.33203125</v>
      </c>
      <c r="H2055">
        <v>22238830523</v>
      </c>
      <c r="I2055" t="s">
        <v>5316</v>
      </c>
      <c r="J2055" t="s">
        <v>5317</v>
      </c>
      <c r="K2055" t="s">
        <v>4634</v>
      </c>
    </row>
    <row r="2056" spans="1:11" ht="20" customHeight="1">
      <c r="A2056" t="s">
        <v>26</v>
      </c>
      <c r="B2056" t="s">
        <v>5318</v>
      </c>
      <c r="C2056">
        <v>37780.71484375</v>
      </c>
      <c r="D2056">
        <v>38576.26171875</v>
      </c>
      <c r="E2056">
        <v>37406.47265625</v>
      </c>
      <c r="F2056">
        <v>38138.1796875</v>
      </c>
      <c r="G2056">
        <v>38138.1796875</v>
      </c>
      <c r="H2056">
        <v>17194183075</v>
      </c>
      <c r="I2056" t="s">
        <v>5317</v>
      </c>
      <c r="J2056" t="s">
        <v>5319</v>
      </c>
      <c r="K2056" t="s">
        <v>4634</v>
      </c>
    </row>
    <row r="2057" spans="1:11" ht="20" customHeight="1">
      <c r="A2057" t="s">
        <v>26</v>
      </c>
      <c r="B2057" t="s">
        <v>5320</v>
      </c>
      <c r="C2057">
        <v>38151.91796875</v>
      </c>
      <c r="D2057">
        <v>38266.33984375</v>
      </c>
      <c r="E2057">
        <v>37437.7109375</v>
      </c>
      <c r="F2057">
        <v>37917.6015625</v>
      </c>
      <c r="G2057">
        <v>37917.6015625</v>
      </c>
      <c r="H2057">
        <v>14643548444</v>
      </c>
      <c r="I2057" t="s">
        <v>5319</v>
      </c>
      <c r="J2057" t="s">
        <v>5321</v>
      </c>
      <c r="K2057" t="s">
        <v>4634</v>
      </c>
    </row>
    <row r="2058" spans="1:11" ht="20" customHeight="1">
      <c r="A2058" t="s">
        <v>26</v>
      </c>
      <c r="B2058" t="s">
        <v>1125</v>
      </c>
      <c r="C2058">
        <v>37920.28125</v>
      </c>
      <c r="D2058">
        <v>38647.26171875</v>
      </c>
      <c r="E2058">
        <v>36733.57421875</v>
      </c>
      <c r="F2058">
        <v>38483.125</v>
      </c>
      <c r="G2058">
        <v>38483.125</v>
      </c>
      <c r="H2058">
        <v>20734730465</v>
      </c>
      <c r="I2058" t="s">
        <v>5321</v>
      </c>
      <c r="J2058" t="s">
        <v>5322</v>
      </c>
      <c r="K2058" t="s">
        <v>4634</v>
      </c>
    </row>
    <row r="2059" spans="1:11" ht="20" customHeight="1">
      <c r="A2059" t="s">
        <v>26</v>
      </c>
      <c r="B2059" t="s">
        <v>1128</v>
      </c>
      <c r="C2059">
        <v>38481.765625</v>
      </c>
      <c r="D2059">
        <v>39115.1328125</v>
      </c>
      <c r="E2059">
        <v>38113.6640625</v>
      </c>
      <c r="F2059">
        <v>38743.2734375</v>
      </c>
      <c r="G2059">
        <v>38743.2734375</v>
      </c>
      <c r="H2059">
        <v>20288500328</v>
      </c>
      <c r="I2059" t="s">
        <v>5322</v>
      </c>
      <c r="J2059" t="s">
        <v>5323</v>
      </c>
      <c r="K2059" t="s">
        <v>4634</v>
      </c>
    </row>
    <row r="2060" spans="1:11" ht="20" customHeight="1">
      <c r="A2060" t="s">
        <v>26</v>
      </c>
      <c r="B2060" t="s">
        <v>1131</v>
      </c>
      <c r="C2060">
        <v>38743.71484375</v>
      </c>
      <c r="D2060">
        <v>38834.6171875</v>
      </c>
      <c r="E2060">
        <v>36832.73046875</v>
      </c>
      <c r="F2060">
        <v>36952.984375</v>
      </c>
      <c r="G2060">
        <v>36952.984375</v>
      </c>
      <c r="H2060">
        <v>19155189416</v>
      </c>
      <c r="I2060" t="s">
        <v>5323</v>
      </c>
      <c r="J2060" t="s">
        <v>5324</v>
      </c>
      <c r="K2060" t="s">
        <v>4634</v>
      </c>
    </row>
    <row r="2061" spans="1:11" ht="20" customHeight="1">
      <c r="A2061" t="s">
        <v>26</v>
      </c>
      <c r="B2061" t="s">
        <v>1134</v>
      </c>
      <c r="C2061">
        <v>36944.8046875</v>
      </c>
      <c r="D2061">
        <v>37154.6015625</v>
      </c>
      <c r="E2061">
        <v>36375.5390625</v>
      </c>
      <c r="F2061">
        <v>37154.6015625</v>
      </c>
      <c r="G2061">
        <v>37154.6015625</v>
      </c>
      <c r="H2061">
        <v>18591534769</v>
      </c>
      <c r="I2061" t="s">
        <v>5324</v>
      </c>
      <c r="J2061" t="s">
        <v>5325</v>
      </c>
      <c r="K2061" t="s">
        <v>4634</v>
      </c>
    </row>
    <row r="2062" spans="1:11" ht="20" customHeight="1">
      <c r="A2062" t="s">
        <v>26</v>
      </c>
      <c r="B2062" t="s">
        <v>1137</v>
      </c>
      <c r="C2062">
        <v>37149.265625</v>
      </c>
      <c r="D2062">
        <v>41527.78515625</v>
      </c>
      <c r="E2062">
        <v>37093.62890625</v>
      </c>
      <c r="F2062">
        <v>41500.875</v>
      </c>
      <c r="G2062">
        <v>41500.875</v>
      </c>
      <c r="H2062">
        <v>29412210792</v>
      </c>
      <c r="I2062" t="s">
        <v>5325</v>
      </c>
      <c r="J2062" t="s">
        <v>5326</v>
      </c>
      <c r="K2062" t="s">
        <v>4634</v>
      </c>
    </row>
    <row r="2063" spans="1:11" ht="20" customHeight="1">
      <c r="A2063" t="s">
        <v>26</v>
      </c>
      <c r="B2063" t="s">
        <v>5327</v>
      </c>
      <c r="C2063">
        <v>41501.48046875</v>
      </c>
      <c r="D2063">
        <v>41847.1640625</v>
      </c>
      <c r="E2063">
        <v>41038.09765625</v>
      </c>
      <c r="F2063">
        <v>41441.1640625</v>
      </c>
      <c r="G2063">
        <v>41441.1640625</v>
      </c>
      <c r="H2063">
        <v>19652846215</v>
      </c>
      <c r="I2063" t="s">
        <v>5326</v>
      </c>
      <c r="J2063" t="s">
        <v>5328</v>
      </c>
      <c r="K2063" t="s">
        <v>4634</v>
      </c>
    </row>
    <row r="2064" spans="1:11" ht="20" customHeight="1">
      <c r="A2064" t="s">
        <v>26</v>
      </c>
      <c r="B2064" t="s">
        <v>5329</v>
      </c>
      <c r="C2064">
        <v>41441.12109375</v>
      </c>
      <c r="D2064">
        <v>42500.78515625</v>
      </c>
      <c r="E2064">
        <v>41244.90625</v>
      </c>
      <c r="F2064">
        <v>42412.43359375</v>
      </c>
      <c r="G2064">
        <v>42412.43359375</v>
      </c>
      <c r="H2064">
        <v>16142097334</v>
      </c>
      <c r="I2064" t="s">
        <v>5328</v>
      </c>
      <c r="J2064" t="s">
        <v>5330</v>
      </c>
      <c r="K2064" t="s">
        <v>4634</v>
      </c>
    </row>
    <row r="2065" spans="1:11" ht="20" customHeight="1">
      <c r="A2065" t="s">
        <v>26</v>
      </c>
      <c r="B2065" t="s">
        <v>1140</v>
      </c>
      <c r="C2065">
        <v>42406.78125</v>
      </c>
      <c r="D2065">
        <v>44401.86328125</v>
      </c>
      <c r="E2065">
        <v>41748.15625</v>
      </c>
      <c r="F2065">
        <v>43840.28515625</v>
      </c>
      <c r="G2065">
        <v>43840.28515625</v>
      </c>
      <c r="H2065">
        <v>28641855926</v>
      </c>
      <c r="I2065" t="s">
        <v>5330</v>
      </c>
      <c r="J2065" t="s">
        <v>5331</v>
      </c>
      <c r="K2065" t="s">
        <v>4634</v>
      </c>
    </row>
    <row r="2066" spans="1:11" ht="20" customHeight="1">
      <c r="A2066" t="s">
        <v>26</v>
      </c>
      <c r="B2066" t="s">
        <v>1143</v>
      </c>
      <c r="C2066">
        <v>43854.65234375</v>
      </c>
      <c r="D2066">
        <v>45293.8671875</v>
      </c>
      <c r="E2066">
        <v>42807.8359375</v>
      </c>
      <c r="F2066">
        <v>44118.4453125</v>
      </c>
      <c r="G2066">
        <v>44118.4453125</v>
      </c>
      <c r="H2066">
        <v>33079398868</v>
      </c>
      <c r="I2066" t="s">
        <v>5331</v>
      </c>
      <c r="J2066" t="s">
        <v>5332</v>
      </c>
      <c r="K2066" t="s">
        <v>4634</v>
      </c>
    </row>
    <row r="2067" spans="1:11" ht="20" customHeight="1">
      <c r="A2067" t="s">
        <v>26</v>
      </c>
      <c r="B2067" t="s">
        <v>1146</v>
      </c>
      <c r="C2067">
        <v>44096.703125</v>
      </c>
      <c r="D2067">
        <v>44727.80078125</v>
      </c>
      <c r="E2067">
        <v>43232.96875</v>
      </c>
      <c r="F2067">
        <v>44338.796875</v>
      </c>
      <c r="G2067">
        <v>44338.796875</v>
      </c>
      <c r="H2067">
        <v>23245887300</v>
      </c>
      <c r="I2067" t="s">
        <v>5332</v>
      </c>
      <c r="J2067" t="s">
        <v>5333</v>
      </c>
      <c r="K2067" t="s">
        <v>4634</v>
      </c>
    </row>
    <row r="2068" spans="1:11" ht="20" customHeight="1">
      <c r="A2068" t="s">
        <v>26</v>
      </c>
      <c r="B2068" t="s">
        <v>1149</v>
      </c>
      <c r="C2068">
        <v>44347.80078125</v>
      </c>
      <c r="D2068">
        <v>45661.171875</v>
      </c>
      <c r="E2068">
        <v>43402.80859375</v>
      </c>
      <c r="F2068">
        <v>43565.11328125</v>
      </c>
      <c r="G2068">
        <v>43565.11328125</v>
      </c>
      <c r="H2068">
        <v>32142048537</v>
      </c>
      <c r="I2068" t="s">
        <v>5333</v>
      </c>
      <c r="J2068" t="s">
        <v>5334</v>
      </c>
      <c r="K2068" t="s">
        <v>4634</v>
      </c>
    </row>
    <row r="2069" spans="1:11" ht="20" customHeight="1">
      <c r="A2069" t="s">
        <v>26</v>
      </c>
      <c r="B2069" t="s">
        <v>1152</v>
      </c>
      <c r="C2069">
        <v>43571.12890625</v>
      </c>
      <c r="D2069">
        <v>43810.83203125</v>
      </c>
      <c r="E2069">
        <v>42114.5390625</v>
      </c>
      <c r="F2069">
        <v>42407.9375</v>
      </c>
      <c r="G2069">
        <v>42407.9375</v>
      </c>
      <c r="H2069">
        <v>26954925781</v>
      </c>
      <c r="I2069" t="s">
        <v>5334</v>
      </c>
      <c r="J2069" t="s">
        <v>5335</v>
      </c>
      <c r="K2069" t="s">
        <v>4634</v>
      </c>
    </row>
    <row r="2070" spans="1:11" ht="20" customHeight="1">
      <c r="A2070" t="s">
        <v>26</v>
      </c>
      <c r="B2070" t="s">
        <v>5336</v>
      </c>
      <c r="C2070">
        <v>42412.30078125</v>
      </c>
      <c r="D2070">
        <v>42992.55078125</v>
      </c>
      <c r="E2070">
        <v>41852.57421875</v>
      </c>
      <c r="F2070">
        <v>42244.46875</v>
      </c>
      <c r="G2070">
        <v>42244.46875</v>
      </c>
      <c r="H2070">
        <v>18152390304</v>
      </c>
      <c r="I2070" t="s">
        <v>5335</v>
      </c>
      <c r="J2070" t="s">
        <v>5337</v>
      </c>
      <c r="K2070" t="s">
        <v>4634</v>
      </c>
    </row>
    <row r="2071" spans="1:11" ht="20" customHeight="1">
      <c r="A2071" t="s">
        <v>26</v>
      </c>
      <c r="B2071" t="s">
        <v>5338</v>
      </c>
      <c r="C2071">
        <v>42236.56640625</v>
      </c>
      <c r="D2071">
        <v>42693.0546875</v>
      </c>
      <c r="E2071">
        <v>41950.94140625</v>
      </c>
      <c r="F2071">
        <v>42197.515625</v>
      </c>
      <c r="G2071">
        <v>42197.515625</v>
      </c>
      <c r="H2071">
        <v>14741589015</v>
      </c>
      <c r="I2071" t="s">
        <v>5337</v>
      </c>
      <c r="J2071" t="s">
        <v>5339</v>
      </c>
      <c r="K2071" t="s">
        <v>4634</v>
      </c>
    </row>
    <row r="2072" spans="1:11" ht="20" customHeight="1">
      <c r="A2072" t="s">
        <v>26</v>
      </c>
      <c r="B2072" t="s">
        <v>1155</v>
      </c>
      <c r="C2072">
        <v>42157.3984375</v>
      </c>
      <c r="D2072">
        <v>42775.77734375</v>
      </c>
      <c r="E2072">
        <v>41681.95703125</v>
      </c>
      <c r="F2072">
        <v>42586.91796875</v>
      </c>
      <c r="G2072">
        <v>42586.91796875</v>
      </c>
      <c r="H2072">
        <v>20827783012</v>
      </c>
      <c r="I2072" t="s">
        <v>5339</v>
      </c>
      <c r="J2072" t="s">
        <v>5340</v>
      </c>
      <c r="K2072" t="s">
        <v>4634</v>
      </c>
    </row>
    <row r="2073" spans="1:11" ht="20" customHeight="1">
      <c r="A2073" t="s">
        <v>26</v>
      </c>
      <c r="B2073" t="s">
        <v>1158</v>
      </c>
      <c r="C2073">
        <v>42586.46484375</v>
      </c>
      <c r="D2073">
        <v>44667.21875</v>
      </c>
      <c r="E2073">
        <v>42491.03515625</v>
      </c>
      <c r="F2073">
        <v>44575.203125</v>
      </c>
      <c r="G2073">
        <v>44575.203125</v>
      </c>
      <c r="H2073">
        <v>22721659051</v>
      </c>
      <c r="I2073" t="s">
        <v>5340</v>
      </c>
      <c r="J2073" t="s">
        <v>5341</v>
      </c>
      <c r="K2073" t="s">
        <v>4634</v>
      </c>
    </row>
    <row r="2074" spans="1:11" ht="20" customHeight="1">
      <c r="A2074" t="s">
        <v>26</v>
      </c>
      <c r="B2074" t="s">
        <v>1161</v>
      </c>
      <c r="C2074">
        <v>44578.27734375</v>
      </c>
      <c r="D2074">
        <v>44578.27734375</v>
      </c>
      <c r="E2074">
        <v>43456.69140625</v>
      </c>
      <c r="F2074">
        <v>43961.859375</v>
      </c>
      <c r="G2074">
        <v>43961.859375</v>
      </c>
      <c r="H2074">
        <v>19792547657</v>
      </c>
      <c r="I2074" t="s">
        <v>5341</v>
      </c>
      <c r="J2074" t="s">
        <v>5342</v>
      </c>
      <c r="K2074" t="s">
        <v>4634</v>
      </c>
    </row>
    <row r="2075" spans="1:11" ht="20" customHeight="1">
      <c r="A2075" t="s">
        <v>26</v>
      </c>
      <c r="B2075" t="s">
        <v>1164</v>
      </c>
      <c r="C2075">
        <v>43937.0703125</v>
      </c>
      <c r="D2075">
        <v>44132.97265625</v>
      </c>
      <c r="E2075">
        <v>40249.37109375</v>
      </c>
      <c r="F2075">
        <v>40538.01171875</v>
      </c>
      <c r="G2075">
        <v>40538.01171875</v>
      </c>
      <c r="H2075">
        <v>26246662813</v>
      </c>
      <c r="I2075" t="s">
        <v>5342</v>
      </c>
      <c r="J2075" t="s">
        <v>5343</v>
      </c>
      <c r="K2075" t="s">
        <v>4634</v>
      </c>
    </row>
    <row r="2076" spans="1:11" ht="20" customHeight="1">
      <c r="A2076" t="s">
        <v>26</v>
      </c>
      <c r="B2076" t="s">
        <v>1167</v>
      </c>
      <c r="C2076">
        <v>40552.1328125</v>
      </c>
      <c r="D2076">
        <v>40929.15234375</v>
      </c>
      <c r="E2076">
        <v>39637.6171875</v>
      </c>
      <c r="F2076">
        <v>40030.9765625</v>
      </c>
      <c r="G2076">
        <v>40030.9765625</v>
      </c>
      <c r="H2076">
        <v>23310007704</v>
      </c>
      <c r="I2076" t="s">
        <v>5343</v>
      </c>
      <c r="J2076" t="s">
        <v>5344</v>
      </c>
      <c r="K2076" t="s">
        <v>4634</v>
      </c>
    </row>
    <row r="2077" spans="1:11" ht="20" customHeight="1">
      <c r="A2077" t="s">
        <v>26</v>
      </c>
      <c r="B2077" t="s">
        <v>5345</v>
      </c>
      <c r="C2077">
        <v>40026.0234375</v>
      </c>
      <c r="D2077">
        <v>40418.87890625</v>
      </c>
      <c r="E2077">
        <v>39713.05859375</v>
      </c>
      <c r="F2077">
        <v>40122.15625</v>
      </c>
      <c r="G2077">
        <v>40122.15625</v>
      </c>
      <c r="H2077">
        <v>13736557863</v>
      </c>
      <c r="I2077" t="s">
        <v>5344</v>
      </c>
      <c r="J2077" t="s">
        <v>5346</v>
      </c>
      <c r="K2077" t="s">
        <v>4634</v>
      </c>
    </row>
    <row r="2078" spans="1:11" ht="20" customHeight="1">
      <c r="A2078" t="s">
        <v>26</v>
      </c>
      <c r="B2078" t="s">
        <v>5347</v>
      </c>
      <c r="C2078">
        <v>40118.1015625</v>
      </c>
      <c r="D2078">
        <v>40119.890625</v>
      </c>
      <c r="E2078">
        <v>38112.8125</v>
      </c>
      <c r="F2078">
        <v>38431.37890625</v>
      </c>
      <c r="G2078">
        <v>38431.37890625</v>
      </c>
      <c r="H2078">
        <v>18340576452</v>
      </c>
      <c r="I2078" t="s">
        <v>5346</v>
      </c>
      <c r="J2078" t="s">
        <v>5348</v>
      </c>
      <c r="K2078" t="s">
        <v>4634</v>
      </c>
    </row>
    <row r="2079" spans="1:11" ht="20" customHeight="1">
      <c r="A2079" t="s">
        <v>26</v>
      </c>
      <c r="B2079" t="s">
        <v>5349</v>
      </c>
      <c r="C2079">
        <v>38423.2109375</v>
      </c>
      <c r="D2079">
        <v>39394.4375</v>
      </c>
      <c r="E2079">
        <v>36950.4765625</v>
      </c>
      <c r="F2079">
        <v>37075.28125</v>
      </c>
      <c r="G2079">
        <v>37075.28125</v>
      </c>
      <c r="H2079">
        <v>29280402798</v>
      </c>
      <c r="I2079" t="s">
        <v>5348</v>
      </c>
      <c r="J2079" t="s">
        <v>5350</v>
      </c>
      <c r="K2079" t="s">
        <v>4634</v>
      </c>
    </row>
    <row r="2080" spans="1:11" ht="20" customHeight="1">
      <c r="A2080" t="s">
        <v>26</v>
      </c>
      <c r="B2080" t="s">
        <v>1170</v>
      </c>
      <c r="C2080">
        <v>37068.76953125</v>
      </c>
      <c r="D2080">
        <v>38359.85546875</v>
      </c>
      <c r="E2080">
        <v>36488.93359375</v>
      </c>
      <c r="F2080">
        <v>38286.02734375</v>
      </c>
      <c r="G2080">
        <v>38286.02734375</v>
      </c>
      <c r="H2080">
        <v>25493150450</v>
      </c>
      <c r="I2080" t="s">
        <v>5350</v>
      </c>
      <c r="J2080" t="s">
        <v>5351</v>
      </c>
      <c r="K2080" t="s">
        <v>4634</v>
      </c>
    </row>
    <row r="2081" spans="1:11" ht="20" customHeight="1">
      <c r="A2081" t="s">
        <v>26</v>
      </c>
      <c r="B2081" t="s">
        <v>1173</v>
      </c>
      <c r="C2081">
        <v>38285.28125</v>
      </c>
      <c r="D2081">
        <v>39122.39453125</v>
      </c>
      <c r="E2081">
        <v>37201.81640625</v>
      </c>
      <c r="F2081">
        <v>37296.5703125</v>
      </c>
      <c r="G2081">
        <v>37296.5703125</v>
      </c>
      <c r="H2081">
        <v>21849073843</v>
      </c>
      <c r="I2081" t="s">
        <v>5351</v>
      </c>
      <c r="J2081" t="s">
        <v>5352</v>
      </c>
      <c r="K2081" t="s">
        <v>4634</v>
      </c>
    </row>
    <row r="2082" spans="1:11" ht="20" customHeight="1">
      <c r="A2082" t="s">
        <v>26</v>
      </c>
      <c r="B2082" t="s">
        <v>1176</v>
      </c>
      <c r="C2082">
        <v>37278.56640625</v>
      </c>
      <c r="D2082">
        <v>38968.83984375</v>
      </c>
      <c r="E2082">
        <v>34459.21875</v>
      </c>
      <c r="F2082">
        <v>38332.609375</v>
      </c>
      <c r="G2082">
        <v>38332.609375</v>
      </c>
      <c r="H2082">
        <v>46383802093</v>
      </c>
      <c r="I2082" t="s">
        <v>5352</v>
      </c>
      <c r="J2082" t="s">
        <v>5353</v>
      </c>
      <c r="K2082" t="s">
        <v>4634</v>
      </c>
    </row>
    <row r="2083" spans="1:11" ht="20" customHeight="1">
      <c r="A2083" t="s">
        <v>26</v>
      </c>
      <c r="B2083" t="s">
        <v>1179</v>
      </c>
      <c r="C2083">
        <v>38333.74609375</v>
      </c>
      <c r="D2083">
        <v>39630.32421875</v>
      </c>
      <c r="E2083">
        <v>38111.34375</v>
      </c>
      <c r="F2083">
        <v>39214.21875</v>
      </c>
      <c r="G2083">
        <v>39214.21875</v>
      </c>
      <c r="H2083">
        <v>26545599159</v>
      </c>
      <c r="I2083" t="s">
        <v>5353</v>
      </c>
      <c r="J2083" t="s">
        <v>5354</v>
      </c>
      <c r="K2083" t="s">
        <v>4634</v>
      </c>
    </row>
    <row r="2084" spans="1:11" ht="20" customHeight="1">
      <c r="A2084" t="s">
        <v>26</v>
      </c>
      <c r="B2084" t="s">
        <v>5355</v>
      </c>
      <c r="C2084">
        <v>39213.08203125</v>
      </c>
      <c r="D2084">
        <v>40005.34765625</v>
      </c>
      <c r="E2084">
        <v>38702.53515625</v>
      </c>
      <c r="F2084">
        <v>39105.1484375</v>
      </c>
      <c r="G2084">
        <v>39105.1484375</v>
      </c>
      <c r="H2084">
        <v>17467554129</v>
      </c>
      <c r="I2084" t="s">
        <v>5354</v>
      </c>
      <c r="J2084" t="s">
        <v>5356</v>
      </c>
      <c r="K2084" t="s">
        <v>4634</v>
      </c>
    </row>
    <row r="2085" spans="1:11" ht="20" customHeight="1">
      <c r="A2085" t="s">
        <v>26</v>
      </c>
      <c r="B2085" t="s">
        <v>5357</v>
      </c>
      <c r="C2085">
        <v>39098.69921875</v>
      </c>
      <c r="D2085">
        <v>39778.94140625</v>
      </c>
      <c r="E2085">
        <v>37268.9765625</v>
      </c>
      <c r="F2085">
        <v>37709.78515625</v>
      </c>
      <c r="G2085">
        <v>37709.78515625</v>
      </c>
      <c r="H2085">
        <v>23450127612</v>
      </c>
      <c r="I2085" t="s">
        <v>5356</v>
      </c>
      <c r="J2085" t="s">
        <v>5358</v>
      </c>
      <c r="K2085" t="s">
        <v>4634</v>
      </c>
    </row>
    <row r="2086" spans="1:11" ht="20" customHeight="1">
      <c r="A2086" t="s">
        <v>26</v>
      </c>
      <c r="B2086" t="s">
        <v>1182</v>
      </c>
      <c r="C2086">
        <v>37706</v>
      </c>
      <c r="D2086">
        <v>43760.45703125</v>
      </c>
      <c r="E2086">
        <v>37518.21484375</v>
      </c>
      <c r="F2086">
        <v>43193.234375</v>
      </c>
      <c r="G2086">
        <v>43193.234375</v>
      </c>
      <c r="H2086">
        <v>35690014104</v>
      </c>
      <c r="I2086" t="s">
        <v>5358</v>
      </c>
      <c r="J2086" t="s">
        <v>5359</v>
      </c>
      <c r="K2086" t="s">
        <v>4634</v>
      </c>
    </row>
    <row r="2087" spans="1:11" ht="20" customHeight="1">
      <c r="A2087" t="s">
        <v>26</v>
      </c>
      <c r="B2087" t="s">
        <v>1185</v>
      </c>
      <c r="C2087">
        <v>43194.50390625</v>
      </c>
      <c r="D2087">
        <v>44793.6015625</v>
      </c>
      <c r="E2087">
        <v>42952.5859375</v>
      </c>
      <c r="F2087">
        <v>44354.63671875</v>
      </c>
      <c r="G2087">
        <v>44354.63671875</v>
      </c>
      <c r="H2087">
        <v>32479047645</v>
      </c>
      <c r="I2087" t="s">
        <v>5359</v>
      </c>
      <c r="J2087" t="s">
        <v>5360</v>
      </c>
      <c r="K2087" t="s">
        <v>4634</v>
      </c>
    </row>
    <row r="2088" spans="1:11" ht="20" customHeight="1">
      <c r="A2088" t="s">
        <v>26</v>
      </c>
      <c r="B2088" t="s">
        <v>1188</v>
      </c>
      <c r="C2088">
        <v>44357.6171875</v>
      </c>
      <c r="D2088">
        <v>45077.578125</v>
      </c>
      <c r="E2088">
        <v>43432.8515625</v>
      </c>
      <c r="F2088">
        <v>43924.1171875</v>
      </c>
      <c r="G2088">
        <v>43924.1171875</v>
      </c>
      <c r="H2088">
        <v>29183112630</v>
      </c>
      <c r="I2088" t="s">
        <v>5360</v>
      </c>
      <c r="J2088" t="s">
        <v>5361</v>
      </c>
      <c r="K2088" t="s">
        <v>4634</v>
      </c>
    </row>
    <row r="2089" spans="1:11" ht="20" customHeight="1">
      <c r="A2089" t="s">
        <v>26</v>
      </c>
      <c r="B2089" t="s">
        <v>1191</v>
      </c>
      <c r="C2089">
        <v>43925.1953125</v>
      </c>
      <c r="D2089">
        <v>44021.578125</v>
      </c>
      <c r="E2089">
        <v>41914.75</v>
      </c>
      <c r="F2089">
        <v>42451.7890625</v>
      </c>
      <c r="G2089">
        <v>42451.7890625</v>
      </c>
      <c r="H2089">
        <v>24967782593</v>
      </c>
      <c r="I2089" t="s">
        <v>5361</v>
      </c>
      <c r="J2089" t="s">
        <v>5362</v>
      </c>
      <c r="K2089" t="s">
        <v>4634</v>
      </c>
    </row>
    <row r="2090" spans="1:11" ht="20" customHeight="1">
      <c r="A2090" t="s">
        <v>26</v>
      </c>
      <c r="B2090" t="s">
        <v>1194</v>
      </c>
      <c r="C2090">
        <v>42458.140625</v>
      </c>
      <c r="D2090">
        <v>42479.61328125</v>
      </c>
      <c r="E2090">
        <v>38805.84765625</v>
      </c>
      <c r="F2090">
        <v>39137.60546875</v>
      </c>
      <c r="G2090">
        <v>39137.60546875</v>
      </c>
      <c r="H2090">
        <v>28516271427</v>
      </c>
      <c r="I2090" t="s">
        <v>5362</v>
      </c>
      <c r="J2090" t="s">
        <v>5363</v>
      </c>
      <c r="K2090" t="s">
        <v>4634</v>
      </c>
    </row>
    <row r="2091" spans="1:11" ht="20" customHeight="1">
      <c r="A2091" t="s">
        <v>26</v>
      </c>
      <c r="B2091" t="s">
        <v>5364</v>
      </c>
      <c r="C2091">
        <v>39148.44921875</v>
      </c>
      <c r="D2091">
        <v>39566.3359375</v>
      </c>
      <c r="E2091">
        <v>38777.03515625</v>
      </c>
      <c r="F2091">
        <v>39400.5859375</v>
      </c>
      <c r="G2091">
        <v>39400.5859375</v>
      </c>
      <c r="H2091">
        <v>16975917450</v>
      </c>
      <c r="I2091" t="s">
        <v>5363</v>
      </c>
      <c r="J2091" t="s">
        <v>5365</v>
      </c>
      <c r="K2091" t="s">
        <v>4634</v>
      </c>
    </row>
    <row r="2092" spans="1:11" ht="20" customHeight="1">
      <c r="A2092" t="s">
        <v>26</v>
      </c>
      <c r="B2092" t="s">
        <v>5366</v>
      </c>
      <c r="C2092">
        <v>39404.19921875</v>
      </c>
      <c r="D2092">
        <v>39640.17578125</v>
      </c>
      <c r="E2092">
        <v>38211.6484375</v>
      </c>
      <c r="F2092">
        <v>38419.984375</v>
      </c>
      <c r="G2092">
        <v>38419.984375</v>
      </c>
      <c r="H2092">
        <v>19745229902</v>
      </c>
      <c r="I2092" t="s">
        <v>5365</v>
      </c>
      <c r="J2092" t="s">
        <v>5367</v>
      </c>
      <c r="K2092" t="s">
        <v>4634</v>
      </c>
    </row>
    <row r="2093" spans="1:11" ht="20" customHeight="1">
      <c r="A2093" t="s">
        <v>26</v>
      </c>
      <c r="B2093" t="s">
        <v>1197</v>
      </c>
      <c r="C2093">
        <v>38429.3046875</v>
      </c>
      <c r="D2093">
        <v>39430.2265625</v>
      </c>
      <c r="E2093">
        <v>37260.203125</v>
      </c>
      <c r="F2093">
        <v>38062.0390625</v>
      </c>
      <c r="G2093">
        <v>38062.0390625</v>
      </c>
      <c r="H2093">
        <v>28546143503</v>
      </c>
      <c r="I2093" t="s">
        <v>5367</v>
      </c>
      <c r="J2093" t="s">
        <v>5368</v>
      </c>
      <c r="K2093" t="s">
        <v>4634</v>
      </c>
    </row>
    <row r="2094" spans="1:11" ht="20" customHeight="1">
      <c r="A2094" t="s">
        <v>26</v>
      </c>
      <c r="B2094" t="s">
        <v>1200</v>
      </c>
      <c r="C2094">
        <v>38059.90234375</v>
      </c>
      <c r="D2094">
        <v>39304.44140625</v>
      </c>
      <c r="E2094">
        <v>37957.38671875</v>
      </c>
      <c r="F2094">
        <v>38737.26953125</v>
      </c>
      <c r="G2094">
        <v>38737.26953125</v>
      </c>
      <c r="H2094">
        <v>25776583476</v>
      </c>
      <c r="I2094" t="s">
        <v>5368</v>
      </c>
      <c r="J2094" t="s">
        <v>5369</v>
      </c>
      <c r="K2094" t="s">
        <v>4634</v>
      </c>
    </row>
    <row r="2095" spans="1:11" ht="20" customHeight="1">
      <c r="A2095" t="s">
        <v>26</v>
      </c>
      <c r="B2095" t="s">
        <v>1203</v>
      </c>
      <c r="C2095">
        <v>38742.81640625</v>
      </c>
      <c r="D2095">
        <v>42465.671875</v>
      </c>
      <c r="E2095">
        <v>38706.09375</v>
      </c>
      <c r="F2095">
        <v>41982.92578125</v>
      </c>
      <c r="G2095">
        <v>41982.92578125</v>
      </c>
      <c r="H2095">
        <v>32284121034</v>
      </c>
      <c r="I2095" t="s">
        <v>5369</v>
      </c>
      <c r="J2095" t="s">
        <v>5370</v>
      </c>
      <c r="K2095" t="s">
        <v>4634</v>
      </c>
    </row>
    <row r="2096" spans="1:11" ht="20" customHeight="1">
      <c r="A2096" t="s">
        <v>26</v>
      </c>
      <c r="B2096" t="s">
        <v>1206</v>
      </c>
      <c r="C2096">
        <v>41974.0703125</v>
      </c>
      <c r="D2096">
        <v>42004.7265625</v>
      </c>
      <c r="E2096">
        <v>38832.94140625</v>
      </c>
      <c r="F2096">
        <v>39437.4609375</v>
      </c>
      <c r="G2096">
        <v>39437.4609375</v>
      </c>
      <c r="H2096">
        <v>31078064711</v>
      </c>
      <c r="I2096" t="s">
        <v>5370</v>
      </c>
      <c r="J2096" t="s">
        <v>5371</v>
      </c>
      <c r="K2096" t="s">
        <v>4634</v>
      </c>
    </row>
    <row r="2097" spans="1:11" ht="20" customHeight="1">
      <c r="A2097" t="s">
        <v>26</v>
      </c>
      <c r="B2097" t="s">
        <v>1209</v>
      </c>
      <c r="C2097">
        <v>39439.96875</v>
      </c>
      <c r="D2097">
        <v>40081.6796875</v>
      </c>
      <c r="E2097">
        <v>38347.43359375</v>
      </c>
      <c r="F2097">
        <v>38794.97265625</v>
      </c>
      <c r="G2097">
        <v>38794.97265625</v>
      </c>
      <c r="H2097">
        <v>26364890465</v>
      </c>
      <c r="I2097" t="s">
        <v>5371</v>
      </c>
      <c r="J2097" t="s">
        <v>5372</v>
      </c>
      <c r="K2097" t="s">
        <v>4634</v>
      </c>
    </row>
    <row r="2098" spans="1:11" ht="20" customHeight="1">
      <c r="A2098" t="s">
        <v>26</v>
      </c>
      <c r="B2098" t="s">
        <v>5373</v>
      </c>
      <c r="C2098">
        <v>38794.46484375</v>
      </c>
      <c r="D2098">
        <v>39308.59765625</v>
      </c>
      <c r="E2098">
        <v>38772.53515625</v>
      </c>
      <c r="F2098">
        <v>38904.01171875</v>
      </c>
      <c r="G2098">
        <v>38904.01171875</v>
      </c>
      <c r="H2098">
        <v>14616450657</v>
      </c>
      <c r="I2098" t="s">
        <v>5372</v>
      </c>
      <c r="J2098" t="s">
        <v>5374</v>
      </c>
      <c r="K2098" t="s">
        <v>4634</v>
      </c>
    </row>
    <row r="2099" spans="1:11" ht="20" customHeight="1">
      <c r="A2099" t="s">
        <v>26</v>
      </c>
      <c r="B2099" t="s">
        <v>5375</v>
      </c>
      <c r="C2099">
        <v>38884.7265625</v>
      </c>
      <c r="D2099">
        <v>39209.3515625</v>
      </c>
      <c r="E2099">
        <v>37728.14453125</v>
      </c>
      <c r="F2099">
        <v>37849.6640625</v>
      </c>
      <c r="G2099">
        <v>37849.6640625</v>
      </c>
      <c r="H2099">
        <v>17300745310</v>
      </c>
      <c r="I2099" t="s">
        <v>5374</v>
      </c>
      <c r="J2099" t="s">
        <v>5376</v>
      </c>
      <c r="K2099" t="s">
        <v>4634</v>
      </c>
    </row>
    <row r="2100" spans="1:11" ht="20" customHeight="1">
      <c r="A2100" t="s">
        <v>26</v>
      </c>
      <c r="B2100" t="s">
        <v>1212</v>
      </c>
      <c r="C2100">
        <v>37846.31640625</v>
      </c>
      <c r="D2100">
        <v>39742.5</v>
      </c>
      <c r="E2100">
        <v>37680.734375</v>
      </c>
      <c r="F2100">
        <v>39666.75390625</v>
      </c>
      <c r="G2100">
        <v>39666.75390625</v>
      </c>
      <c r="H2100">
        <v>24322159070</v>
      </c>
      <c r="I2100" t="s">
        <v>5376</v>
      </c>
      <c r="J2100" t="s">
        <v>5377</v>
      </c>
      <c r="K2100" t="s">
        <v>4634</v>
      </c>
    </row>
    <row r="2101" spans="1:11" ht="20" customHeight="1">
      <c r="A2101" t="s">
        <v>26</v>
      </c>
      <c r="B2101" t="s">
        <v>1215</v>
      </c>
      <c r="C2101">
        <v>39664.25</v>
      </c>
      <c r="D2101">
        <v>39794.62890625</v>
      </c>
      <c r="E2101">
        <v>38310.2109375</v>
      </c>
      <c r="F2101">
        <v>39338.78515625</v>
      </c>
      <c r="G2101">
        <v>39338.78515625</v>
      </c>
      <c r="H2101">
        <v>23934000868</v>
      </c>
      <c r="I2101" t="s">
        <v>5377</v>
      </c>
      <c r="J2101" t="s">
        <v>5378</v>
      </c>
      <c r="K2101" t="s">
        <v>4634</v>
      </c>
    </row>
    <row r="2102" spans="1:11" ht="20" customHeight="1">
      <c r="A2102" t="s">
        <v>26</v>
      </c>
      <c r="B2102" t="s">
        <v>1218</v>
      </c>
      <c r="C2102">
        <v>39335.5703125</v>
      </c>
      <c r="D2102">
        <v>41465.453125</v>
      </c>
      <c r="E2102">
        <v>39022.34765625</v>
      </c>
      <c r="F2102">
        <v>41143.9296875</v>
      </c>
      <c r="G2102">
        <v>41143.9296875</v>
      </c>
      <c r="H2102">
        <v>39616916192</v>
      </c>
      <c r="I2102" t="s">
        <v>5378</v>
      </c>
      <c r="J2102" t="s">
        <v>5379</v>
      </c>
      <c r="K2102" t="s">
        <v>4634</v>
      </c>
    </row>
    <row r="2103" spans="1:11" ht="20" customHeight="1">
      <c r="A2103" t="s">
        <v>26</v>
      </c>
      <c r="B2103" t="s">
        <v>1221</v>
      </c>
      <c r="C2103">
        <v>41140.84375</v>
      </c>
      <c r="D2103">
        <v>41287.53515625</v>
      </c>
      <c r="E2103">
        <v>40662.87109375</v>
      </c>
      <c r="F2103">
        <v>40951.37890625</v>
      </c>
      <c r="G2103">
        <v>40951.37890625</v>
      </c>
      <c r="H2103">
        <v>22009601093</v>
      </c>
      <c r="I2103" t="s">
        <v>5379</v>
      </c>
      <c r="J2103" t="s">
        <v>5380</v>
      </c>
      <c r="K2103" t="s">
        <v>4634</v>
      </c>
    </row>
    <row r="2104" spans="1:11" ht="20" customHeight="1">
      <c r="A2104" t="s">
        <v>26</v>
      </c>
      <c r="B2104" t="s">
        <v>1224</v>
      </c>
      <c r="C2104">
        <v>40944.83984375</v>
      </c>
      <c r="D2104">
        <v>42195.74609375</v>
      </c>
      <c r="E2104">
        <v>40302.3984375</v>
      </c>
      <c r="F2104">
        <v>41801.15625</v>
      </c>
      <c r="G2104">
        <v>41801.15625</v>
      </c>
      <c r="H2104">
        <v>34421564942</v>
      </c>
      <c r="I2104" t="s">
        <v>5380</v>
      </c>
      <c r="J2104" t="s">
        <v>5381</v>
      </c>
      <c r="K2104" t="s">
        <v>4634</v>
      </c>
    </row>
    <row r="2105" spans="1:11" ht="20" customHeight="1">
      <c r="A2105" t="s">
        <v>26</v>
      </c>
      <c r="B2105" t="s">
        <v>5382</v>
      </c>
      <c r="C2105">
        <v>41794.6484375</v>
      </c>
      <c r="D2105">
        <v>42316.5546875</v>
      </c>
      <c r="E2105">
        <v>41602.66796875</v>
      </c>
      <c r="F2105">
        <v>42190.65234375</v>
      </c>
      <c r="G2105">
        <v>42190.65234375</v>
      </c>
      <c r="H2105">
        <v>19664853187</v>
      </c>
      <c r="I2105" t="s">
        <v>5381</v>
      </c>
      <c r="J2105" t="s">
        <v>5383</v>
      </c>
      <c r="K2105" t="s">
        <v>4634</v>
      </c>
    </row>
    <row r="2106" spans="1:11" ht="20" customHeight="1">
      <c r="A2106" t="s">
        <v>26</v>
      </c>
      <c r="B2106" t="s">
        <v>5384</v>
      </c>
      <c r="C2106">
        <v>42191.40625</v>
      </c>
      <c r="D2106">
        <v>42241.1640625</v>
      </c>
      <c r="E2106">
        <v>41004.7578125</v>
      </c>
      <c r="F2106">
        <v>41247.82421875</v>
      </c>
      <c r="G2106">
        <v>41247.82421875</v>
      </c>
      <c r="H2106">
        <v>20127946682</v>
      </c>
      <c r="I2106" t="s">
        <v>5383</v>
      </c>
      <c r="J2106" t="s">
        <v>5385</v>
      </c>
      <c r="K2106" t="s">
        <v>4634</v>
      </c>
    </row>
    <row r="2107" spans="1:11" ht="20" customHeight="1">
      <c r="A2107" t="s">
        <v>26</v>
      </c>
      <c r="B2107" t="s">
        <v>1227</v>
      </c>
      <c r="C2107">
        <v>41246.1328125</v>
      </c>
      <c r="D2107">
        <v>41454.41015625</v>
      </c>
      <c r="E2107">
        <v>40668.04296875</v>
      </c>
      <c r="F2107">
        <v>41077.99609375</v>
      </c>
      <c r="G2107">
        <v>41077.99609375</v>
      </c>
      <c r="H2107">
        <v>24615543271</v>
      </c>
      <c r="I2107" t="s">
        <v>5385</v>
      </c>
      <c r="J2107" t="s">
        <v>5386</v>
      </c>
      <c r="K2107" t="s">
        <v>4634</v>
      </c>
    </row>
    <row r="2108" spans="1:11" ht="20" customHeight="1">
      <c r="A2108" t="s">
        <v>26</v>
      </c>
      <c r="B2108" t="s">
        <v>1230</v>
      </c>
      <c r="C2108">
        <v>41074.10546875</v>
      </c>
      <c r="D2108">
        <v>43124.70703125</v>
      </c>
      <c r="E2108">
        <v>40948.28125</v>
      </c>
      <c r="F2108">
        <v>42358.80859375</v>
      </c>
      <c r="G2108">
        <v>42358.80859375</v>
      </c>
      <c r="H2108">
        <v>32004652376</v>
      </c>
      <c r="I2108" t="s">
        <v>5386</v>
      </c>
      <c r="J2108" t="s">
        <v>5387</v>
      </c>
      <c r="K2108" t="s">
        <v>4634</v>
      </c>
    </row>
    <row r="2109" spans="1:11" ht="20" customHeight="1">
      <c r="A2109" t="s">
        <v>26</v>
      </c>
      <c r="B2109" t="s">
        <v>1233</v>
      </c>
      <c r="C2109">
        <v>42364.37890625</v>
      </c>
      <c r="D2109">
        <v>42893.5078125</v>
      </c>
      <c r="E2109">
        <v>41877.5078125</v>
      </c>
      <c r="F2109">
        <v>42892.95703125</v>
      </c>
      <c r="G2109">
        <v>42892.95703125</v>
      </c>
      <c r="H2109">
        <v>25242943069</v>
      </c>
      <c r="I2109" t="s">
        <v>5387</v>
      </c>
      <c r="J2109" t="s">
        <v>5388</v>
      </c>
      <c r="K2109" t="s">
        <v>4634</v>
      </c>
    </row>
    <row r="2110" spans="1:11" ht="20" customHeight="1">
      <c r="A2110" t="s">
        <v>26</v>
      </c>
      <c r="B2110" t="s">
        <v>1236</v>
      </c>
      <c r="C2110">
        <v>42886.65234375</v>
      </c>
      <c r="D2110">
        <v>44131.85546875</v>
      </c>
      <c r="E2110">
        <v>42726.1640625</v>
      </c>
      <c r="F2110">
        <v>43960.93359375</v>
      </c>
      <c r="G2110">
        <v>43960.93359375</v>
      </c>
      <c r="H2110">
        <v>31042992291</v>
      </c>
      <c r="I2110" t="s">
        <v>5388</v>
      </c>
      <c r="J2110" t="s">
        <v>5389</v>
      </c>
      <c r="K2110" t="s">
        <v>4634</v>
      </c>
    </row>
    <row r="2111" spans="1:11" ht="20" customHeight="1">
      <c r="A2111" t="s">
        <v>26</v>
      </c>
      <c r="B2111" t="s">
        <v>1239</v>
      </c>
      <c r="C2111">
        <v>43964.546875</v>
      </c>
      <c r="D2111">
        <v>44999.4921875</v>
      </c>
      <c r="E2111">
        <v>43706.28515625</v>
      </c>
      <c r="F2111">
        <v>44348.73046875</v>
      </c>
      <c r="G2111">
        <v>44348.73046875</v>
      </c>
      <c r="H2111">
        <v>30574413034</v>
      </c>
      <c r="I2111" t="s">
        <v>5389</v>
      </c>
      <c r="J2111" t="s">
        <v>5390</v>
      </c>
      <c r="K2111" t="s">
        <v>4634</v>
      </c>
    </row>
    <row r="2112" spans="1:11" ht="20" customHeight="1">
      <c r="A2112" t="s">
        <v>26</v>
      </c>
      <c r="B2112" t="s">
        <v>5391</v>
      </c>
      <c r="C2112">
        <v>44349.859375</v>
      </c>
      <c r="D2112">
        <v>44735.99609375</v>
      </c>
      <c r="E2112">
        <v>44166.2734375</v>
      </c>
      <c r="F2112">
        <v>44500.828125</v>
      </c>
      <c r="G2112">
        <v>44500.828125</v>
      </c>
      <c r="H2112">
        <v>16950455995</v>
      </c>
      <c r="I2112" t="s">
        <v>5390</v>
      </c>
      <c r="J2112" t="s">
        <v>5392</v>
      </c>
      <c r="K2112" t="s">
        <v>4634</v>
      </c>
    </row>
    <row r="2113" spans="1:11" ht="20" customHeight="1">
      <c r="A2113" t="s">
        <v>26</v>
      </c>
      <c r="B2113" t="s">
        <v>5393</v>
      </c>
      <c r="C2113">
        <v>44505.35546875</v>
      </c>
      <c r="D2113">
        <v>46827.546875</v>
      </c>
      <c r="E2113">
        <v>44437.29296875</v>
      </c>
      <c r="F2113">
        <v>46820.4921875</v>
      </c>
      <c r="G2113">
        <v>46820.4921875</v>
      </c>
      <c r="H2113">
        <v>28160889722</v>
      </c>
      <c r="I2113" t="s">
        <v>5392</v>
      </c>
      <c r="J2113" t="s">
        <v>5394</v>
      </c>
      <c r="K2113" t="s">
        <v>4634</v>
      </c>
    </row>
    <row r="2114" spans="1:11" ht="20" customHeight="1">
      <c r="A2114" t="s">
        <v>26</v>
      </c>
      <c r="B2114" t="s">
        <v>1242</v>
      </c>
      <c r="C2114">
        <v>46821.8515625</v>
      </c>
      <c r="D2114">
        <v>48086.8359375</v>
      </c>
      <c r="E2114">
        <v>46690.203125</v>
      </c>
      <c r="F2114">
        <v>47128.00390625</v>
      </c>
      <c r="G2114">
        <v>47128.00390625</v>
      </c>
      <c r="H2114">
        <v>36362175703</v>
      </c>
      <c r="I2114" t="s">
        <v>5394</v>
      </c>
      <c r="J2114" t="s">
        <v>5395</v>
      </c>
      <c r="K2114" t="s">
        <v>4634</v>
      </c>
    </row>
    <row r="2115" spans="1:11" ht="20" customHeight="1">
      <c r="A2115" t="s">
        <v>26</v>
      </c>
      <c r="B2115" t="s">
        <v>1245</v>
      </c>
      <c r="C2115">
        <v>47100.4375</v>
      </c>
      <c r="D2115">
        <v>48022.2890625</v>
      </c>
      <c r="E2115">
        <v>47100.4375</v>
      </c>
      <c r="F2115">
        <v>47465.73046875</v>
      </c>
      <c r="G2115">
        <v>47465.73046875</v>
      </c>
      <c r="H2115">
        <v>31397059069</v>
      </c>
      <c r="I2115" t="s">
        <v>5395</v>
      </c>
      <c r="J2115" t="s">
        <v>5396</v>
      </c>
      <c r="K2115" t="s">
        <v>4634</v>
      </c>
    </row>
    <row r="2116" spans="1:11" ht="20" customHeight="1">
      <c r="A2116" t="s">
        <v>26</v>
      </c>
      <c r="B2116" t="s">
        <v>1248</v>
      </c>
      <c r="C2116">
        <v>47456.8984375</v>
      </c>
      <c r="D2116">
        <v>47655.1484375</v>
      </c>
      <c r="E2116">
        <v>46746.2109375</v>
      </c>
      <c r="F2116">
        <v>47062.6640625</v>
      </c>
      <c r="G2116">
        <v>47062.6640625</v>
      </c>
      <c r="H2116">
        <v>29333883962</v>
      </c>
      <c r="I2116" t="s">
        <v>5396</v>
      </c>
      <c r="J2116" t="s">
        <v>5397</v>
      </c>
      <c r="K2116" t="s">
        <v>4634</v>
      </c>
    </row>
    <row r="2117" spans="1:11" ht="20" customHeight="1">
      <c r="A2117" t="s">
        <v>26</v>
      </c>
      <c r="B2117" t="s">
        <v>1251</v>
      </c>
      <c r="C2117">
        <v>47062.1484375</v>
      </c>
      <c r="D2117">
        <v>47512.02734375</v>
      </c>
      <c r="E2117">
        <v>45390.5390625</v>
      </c>
      <c r="F2117">
        <v>45538.67578125</v>
      </c>
      <c r="G2117">
        <v>45538.67578125</v>
      </c>
      <c r="H2117">
        <v>33327427106</v>
      </c>
      <c r="I2117" t="s">
        <v>5397</v>
      </c>
      <c r="J2117" t="s">
        <v>5398</v>
      </c>
      <c r="K2117" t="s">
        <v>4634</v>
      </c>
    </row>
    <row r="2118" spans="1:11" ht="20" customHeight="1">
      <c r="A2118" t="s">
        <v>26</v>
      </c>
      <c r="B2118" t="s">
        <v>1254</v>
      </c>
      <c r="C2118">
        <v>45554.1640625</v>
      </c>
      <c r="D2118">
        <v>46616.2421875</v>
      </c>
      <c r="E2118">
        <v>44403.140625</v>
      </c>
      <c r="F2118">
        <v>46281.64453125</v>
      </c>
      <c r="G2118">
        <v>46281.64453125</v>
      </c>
      <c r="H2118">
        <v>38162644287</v>
      </c>
      <c r="I2118" t="s">
        <v>5398</v>
      </c>
      <c r="J2118" t="s">
        <v>5399</v>
      </c>
      <c r="K2118" t="s">
        <v>4634</v>
      </c>
    </row>
    <row r="2119" spans="1:11" ht="20" customHeight="1">
      <c r="A2119" t="s">
        <v>26</v>
      </c>
      <c r="B2119" t="s">
        <v>5400</v>
      </c>
      <c r="C2119">
        <v>46285.5</v>
      </c>
      <c r="D2119">
        <v>47028.28125</v>
      </c>
      <c r="E2119">
        <v>45782.51171875</v>
      </c>
      <c r="F2119">
        <v>45868.94921875</v>
      </c>
      <c r="G2119">
        <v>45868.94921875</v>
      </c>
      <c r="H2119">
        <v>29336594194</v>
      </c>
      <c r="I2119" t="s">
        <v>5399</v>
      </c>
      <c r="J2119" t="s">
        <v>5401</v>
      </c>
      <c r="K2119" t="s">
        <v>4634</v>
      </c>
    </row>
    <row r="2120" spans="1:11" ht="20" customHeight="1">
      <c r="A2120" t="s">
        <v>26</v>
      </c>
      <c r="B2120" t="s">
        <v>5402</v>
      </c>
      <c r="C2120">
        <v>45859.12890625</v>
      </c>
      <c r="D2120">
        <v>47313.4765625</v>
      </c>
      <c r="E2120">
        <v>45634.10546875</v>
      </c>
      <c r="F2120">
        <v>46453.56640625</v>
      </c>
      <c r="G2120">
        <v>46453.56640625</v>
      </c>
      <c r="H2120">
        <v>25414397610</v>
      </c>
      <c r="I2120" t="s">
        <v>5401</v>
      </c>
      <c r="J2120" t="s">
        <v>5403</v>
      </c>
      <c r="K2120" t="s">
        <v>4634</v>
      </c>
    </row>
    <row r="2121" spans="1:11" ht="20" customHeight="1">
      <c r="A2121" t="s">
        <v>26</v>
      </c>
      <c r="B2121" t="s">
        <v>1257</v>
      </c>
      <c r="C2121">
        <v>46445.2734375</v>
      </c>
      <c r="D2121">
        <v>46791.08984375</v>
      </c>
      <c r="E2121">
        <v>45235.81640625</v>
      </c>
      <c r="F2121">
        <v>46622.67578125</v>
      </c>
      <c r="G2121">
        <v>46622.67578125</v>
      </c>
      <c r="H2121">
        <v>32499785455</v>
      </c>
      <c r="I2121" t="s">
        <v>5403</v>
      </c>
      <c r="J2121" t="s">
        <v>5404</v>
      </c>
      <c r="K2121" t="s">
        <v>4634</v>
      </c>
    </row>
    <row r="2122" spans="1:11" ht="20" customHeight="1">
      <c r="A2122" t="s">
        <v>26</v>
      </c>
      <c r="B2122" t="s">
        <v>1260</v>
      </c>
      <c r="C2122">
        <v>46624.5078125</v>
      </c>
      <c r="D2122">
        <v>47106.140625</v>
      </c>
      <c r="E2122">
        <v>45544.80859375</v>
      </c>
      <c r="F2122">
        <v>45555.9921875</v>
      </c>
      <c r="G2122">
        <v>45555.9921875</v>
      </c>
      <c r="H2122">
        <v>29640604055</v>
      </c>
      <c r="I2122" t="s">
        <v>5404</v>
      </c>
      <c r="J2122" t="s">
        <v>5405</v>
      </c>
      <c r="K2122" t="s">
        <v>4634</v>
      </c>
    </row>
    <row r="2123" spans="1:11" ht="20" customHeight="1">
      <c r="A2123" t="s">
        <v>26</v>
      </c>
      <c r="B2123" t="s">
        <v>1263</v>
      </c>
      <c r="C2123">
        <v>45544.35546875</v>
      </c>
      <c r="D2123">
        <v>45544.35546875</v>
      </c>
      <c r="E2123">
        <v>43193.953125</v>
      </c>
      <c r="F2123">
        <v>43206.73828125</v>
      </c>
      <c r="G2123">
        <v>43206.73828125</v>
      </c>
      <c r="H2123">
        <v>39393395788</v>
      </c>
      <c r="I2123" t="s">
        <v>5405</v>
      </c>
      <c r="J2123" t="s">
        <v>5406</v>
      </c>
      <c r="K2123" t="s">
        <v>4634</v>
      </c>
    </row>
    <row r="2124" spans="1:11" ht="20" customHeight="1">
      <c r="A2124" t="s">
        <v>26</v>
      </c>
      <c r="B2124" t="s">
        <v>1266</v>
      </c>
      <c r="C2124">
        <v>43207.5</v>
      </c>
      <c r="D2124">
        <v>43860.69921875</v>
      </c>
      <c r="E2124">
        <v>42899.90625</v>
      </c>
      <c r="F2124">
        <v>43503.84765625</v>
      </c>
      <c r="G2124">
        <v>43503.84765625</v>
      </c>
      <c r="H2124">
        <v>26101973106</v>
      </c>
      <c r="I2124" t="s">
        <v>5406</v>
      </c>
      <c r="J2124" t="s">
        <v>5407</v>
      </c>
      <c r="K2124" t="s">
        <v>4634</v>
      </c>
    </row>
    <row r="2125" spans="1:11" ht="20" customHeight="1">
      <c r="A2125" t="s">
        <v>26</v>
      </c>
      <c r="B2125" t="s">
        <v>1269</v>
      </c>
      <c r="C2125">
        <v>43505.13671875</v>
      </c>
      <c r="D2125">
        <v>43903.01953125</v>
      </c>
      <c r="E2125">
        <v>42183.2890625</v>
      </c>
      <c r="F2125">
        <v>42287.6640625</v>
      </c>
      <c r="G2125">
        <v>42287.6640625</v>
      </c>
      <c r="H2125">
        <v>27215995394</v>
      </c>
      <c r="I2125" t="s">
        <v>5407</v>
      </c>
      <c r="J2125" t="s">
        <v>5408</v>
      </c>
      <c r="K2125" t="s">
        <v>4634</v>
      </c>
    </row>
    <row r="2126" spans="1:11" ht="20" customHeight="1">
      <c r="A2126" t="s">
        <v>26</v>
      </c>
      <c r="B2126" t="s">
        <v>5409</v>
      </c>
      <c r="C2126">
        <v>42282.078125</v>
      </c>
      <c r="D2126">
        <v>42786.81640625</v>
      </c>
      <c r="E2126">
        <v>42183.25390625</v>
      </c>
      <c r="F2126">
        <v>42782.13671875</v>
      </c>
      <c r="G2126">
        <v>42782.13671875</v>
      </c>
      <c r="H2126">
        <v>16050772496</v>
      </c>
      <c r="I2126" t="s">
        <v>5408</v>
      </c>
      <c r="J2126" t="s">
        <v>5410</v>
      </c>
      <c r="K2126" t="s">
        <v>4634</v>
      </c>
    </row>
    <row r="2127" spans="1:11" ht="20" customHeight="1">
      <c r="A2127" t="s">
        <v>26</v>
      </c>
      <c r="B2127" t="s">
        <v>5411</v>
      </c>
      <c r="C2127">
        <v>42781.08984375</v>
      </c>
      <c r="D2127">
        <v>43376.37890625</v>
      </c>
      <c r="E2127">
        <v>42021.20703125</v>
      </c>
      <c r="F2127">
        <v>42207.671875</v>
      </c>
      <c r="G2127">
        <v>42207.671875</v>
      </c>
      <c r="H2127">
        <v>17654475582</v>
      </c>
      <c r="I2127" t="s">
        <v>5410</v>
      </c>
      <c r="J2127" t="s">
        <v>5412</v>
      </c>
      <c r="K2127" t="s">
        <v>4634</v>
      </c>
    </row>
    <row r="2128" spans="1:11" ht="20" customHeight="1">
      <c r="A2128" t="s">
        <v>26</v>
      </c>
      <c r="B2128" t="s">
        <v>1272</v>
      </c>
      <c r="C2128">
        <v>42201.0390625</v>
      </c>
      <c r="D2128">
        <v>42424.58984375</v>
      </c>
      <c r="E2128">
        <v>39373.05859375</v>
      </c>
      <c r="F2128">
        <v>39521.90234375</v>
      </c>
      <c r="G2128">
        <v>39521.90234375</v>
      </c>
      <c r="H2128">
        <v>33949912166</v>
      </c>
      <c r="I2128" t="s">
        <v>5412</v>
      </c>
      <c r="J2128" t="s">
        <v>5413</v>
      </c>
      <c r="K2128" t="s">
        <v>4634</v>
      </c>
    </row>
    <row r="2129" spans="1:11" ht="20" customHeight="1">
      <c r="A2129" t="s">
        <v>26</v>
      </c>
      <c r="B2129" t="s">
        <v>1275</v>
      </c>
      <c r="C2129">
        <v>39533.71484375</v>
      </c>
      <c r="D2129">
        <v>40617.5859375</v>
      </c>
      <c r="E2129">
        <v>39388.328125</v>
      </c>
      <c r="F2129">
        <v>40127.18359375</v>
      </c>
      <c r="G2129">
        <v>40127.18359375</v>
      </c>
      <c r="H2129">
        <v>30991500854</v>
      </c>
      <c r="I2129" t="s">
        <v>5413</v>
      </c>
      <c r="J2129" t="s">
        <v>5414</v>
      </c>
      <c r="K2129" t="s">
        <v>4634</v>
      </c>
    </row>
    <row r="2130" spans="1:11" ht="20" customHeight="1">
      <c r="A2130" t="s">
        <v>26</v>
      </c>
      <c r="B2130" t="s">
        <v>1278</v>
      </c>
      <c r="C2130">
        <v>40123.5703125</v>
      </c>
      <c r="D2130">
        <v>41430.0546875</v>
      </c>
      <c r="E2130">
        <v>39712.74609375</v>
      </c>
      <c r="F2130">
        <v>41166.73046875</v>
      </c>
      <c r="G2130">
        <v>41166.73046875</v>
      </c>
      <c r="H2130">
        <v>27691105228</v>
      </c>
      <c r="I2130" t="s">
        <v>5414</v>
      </c>
      <c r="J2130" t="s">
        <v>5415</v>
      </c>
      <c r="K2130" t="s">
        <v>4634</v>
      </c>
    </row>
    <row r="2131" spans="1:11" ht="20" customHeight="1">
      <c r="A2131" t="s">
        <v>26</v>
      </c>
      <c r="B2131" t="s">
        <v>1281</v>
      </c>
      <c r="C2131">
        <v>41160.21875</v>
      </c>
      <c r="D2131">
        <v>41451.48046875</v>
      </c>
      <c r="E2131">
        <v>39695.74609375</v>
      </c>
      <c r="F2131">
        <v>39935.515625</v>
      </c>
      <c r="G2131">
        <v>39935.515625</v>
      </c>
      <c r="H2131">
        <v>24342001973</v>
      </c>
      <c r="I2131" t="s">
        <v>5415</v>
      </c>
      <c r="J2131" t="s">
        <v>5416</v>
      </c>
      <c r="K2131" t="s">
        <v>4634</v>
      </c>
    </row>
    <row r="2132" spans="1:11" ht="20" customHeight="1">
      <c r="A2132" t="s">
        <v>26</v>
      </c>
      <c r="B2132" t="s">
        <v>5417</v>
      </c>
      <c r="C2132">
        <v>39939.40234375</v>
      </c>
      <c r="D2132">
        <v>40617.72265625</v>
      </c>
      <c r="E2132">
        <v>39866.83203125</v>
      </c>
      <c r="F2132">
        <v>40553.46484375</v>
      </c>
      <c r="G2132">
        <v>40553.46484375</v>
      </c>
      <c r="H2132">
        <v>21756855753</v>
      </c>
      <c r="I2132" t="s">
        <v>5416</v>
      </c>
      <c r="J2132" t="s">
        <v>5418</v>
      </c>
      <c r="K2132" t="s">
        <v>4634</v>
      </c>
    </row>
    <row r="2133" spans="1:11" ht="20" customHeight="1">
      <c r="A2133" t="s">
        <v>26</v>
      </c>
      <c r="B2133" t="s">
        <v>5419</v>
      </c>
      <c r="C2133">
        <v>40552.31640625</v>
      </c>
      <c r="D2133">
        <v>40633.6796875</v>
      </c>
      <c r="E2133">
        <v>40078.42578125</v>
      </c>
      <c r="F2133">
        <v>40424.484375</v>
      </c>
      <c r="G2133">
        <v>40424.484375</v>
      </c>
      <c r="H2133">
        <v>16833150693</v>
      </c>
      <c r="I2133" t="s">
        <v>5418</v>
      </c>
      <c r="J2133" t="s">
        <v>5420</v>
      </c>
      <c r="K2133" t="s">
        <v>4634</v>
      </c>
    </row>
    <row r="2134" spans="1:11" ht="20" customHeight="1">
      <c r="A2134" t="s">
        <v>26</v>
      </c>
      <c r="B2134" t="s">
        <v>5421</v>
      </c>
      <c r="C2134">
        <v>40417.77734375</v>
      </c>
      <c r="D2134">
        <v>40570.7265625</v>
      </c>
      <c r="E2134">
        <v>39620.89453125</v>
      </c>
      <c r="F2134">
        <v>39716.953125</v>
      </c>
      <c r="G2134">
        <v>39716.953125</v>
      </c>
      <c r="H2134">
        <v>19087633042</v>
      </c>
      <c r="I2134" t="s">
        <v>5420</v>
      </c>
      <c r="J2134" t="s">
        <v>5422</v>
      </c>
      <c r="K2134" t="s">
        <v>4634</v>
      </c>
    </row>
    <row r="2135" spans="1:11" ht="20" customHeight="1">
      <c r="A2135" t="s">
        <v>26</v>
      </c>
      <c r="B2135" t="s">
        <v>1284</v>
      </c>
      <c r="C2135">
        <v>39721.203125</v>
      </c>
      <c r="D2135">
        <v>40986.3203125</v>
      </c>
      <c r="E2135">
        <v>38696.19140625</v>
      </c>
      <c r="F2135">
        <v>40826.21484375</v>
      </c>
      <c r="G2135">
        <v>40826.21484375</v>
      </c>
      <c r="H2135">
        <v>33705182072</v>
      </c>
      <c r="I2135" t="s">
        <v>5422</v>
      </c>
      <c r="J2135" t="s">
        <v>5423</v>
      </c>
      <c r="K2135" t="s">
        <v>4634</v>
      </c>
    </row>
    <row r="2136" spans="1:11" ht="20" customHeight="1">
      <c r="A2136" t="s">
        <v>26</v>
      </c>
      <c r="B2136" t="s">
        <v>1287</v>
      </c>
      <c r="C2136">
        <v>40828.17578125</v>
      </c>
      <c r="D2136">
        <v>41672.9609375</v>
      </c>
      <c r="E2136">
        <v>40618.6328125</v>
      </c>
      <c r="F2136">
        <v>41502.75</v>
      </c>
      <c r="G2136">
        <v>41502.75</v>
      </c>
      <c r="H2136">
        <v>25303206547</v>
      </c>
      <c r="I2136" t="s">
        <v>5423</v>
      </c>
      <c r="J2136" t="s">
        <v>5424</v>
      </c>
      <c r="K2136" t="s">
        <v>4634</v>
      </c>
    </row>
    <row r="2137" spans="1:11" ht="20" customHeight="1">
      <c r="A2137" t="s">
        <v>26</v>
      </c>
      <c r="B2137" t="s">
        <v>1290</v>
      </c>
      <c r="C2137">
        <v>41501.74609375</v>
      </c>
      <c r="D2137">
        <v>42126.30078125</v>
      </c>
      <c r="E2137">
        <v>40961.09765625</v>
      </c>
      <c r="F2137">
        <v>41374.37890625</v>
      </c>
      <c r="G2137">
        <v>41374.37890625</v>
      </c>
      <c r="H2137">
        <v>27819532341</v>
      </c>
      <c r="I2137" t="s">
        <v>5424</v>
      </c>
      <c r="J2137" t="s">
        <v>5425</v>
      </c>
      <c r="K2137" t="s">
        <v>4634</v>
      </c>
    </row>
    <row r="2138" spans="1:11" ht="20" customHeight="1">
      <c r="A2138" t="s">
        <v>26</v>
      </c>
      <c r="B2138" t="s">
        <v>1293</v>
      </c>
      <c r="C2138">
        <v>41371.515625</v>
      </c>
      <c r="D2138">
        <v>42893.58203125</v>
      </c>
      <c r="E2138">
        <v>40063.828125</v>
      </c>
      <c r="F2138">
        <v>40527.36328125</v>
      </c>
      <c r="G2138">
        <v>40527.36328125</v>
      </c>
      <c r="H2138">
        <v>35372786395</v>
      </c>
      <c r="I2138" t="s">
        <v>5425</v>
      </c>
      <c r="J2138" t="s">
        <v>5426</v>
      </c>
      <c r="K2138" t="s">
        <v>4634</v>
      </c>
    </row>
    <row r="2139" spans="1:11" ht="20" customHeight="1">
      <c r="A2139" t="s">
        <v>26</v>
      </c>
      <c r="B2139" t="s">
        <v>1296</v>
      </c>
      <c r="C2139">
        <v>40525.86328125</v>
      </c>
      <c r="D2139">
        <v>40777.7578125</v>
      </c>
      <c r="E2139">
        <v>39315.41796875</v>
      </c>
      <c r="F2139">
        <v>39740.3203125</v>
      </c>
      <c r="G2139">
        <v>39740.3203125</v>
      </c>
      <c r="H2139">
        <v>28011716745</v>
      </c>
      <c r="I2139" t="s">
        <v>5426</v>
      </c>
      <c r="J2139" t="s">
        <v>5427</v>
      </c>
      <c r="K2139" t="s">
        <v>4634</v>
      </c>
    </row>
    <row r="2140" spans="1:11" ht="20" customHeight="1">
      <c r="A2140" t="s">
        <v>26</v>
      </c>
      <c r="B2140" t="s">
        <v>5428</v>
      </c>
      <c r="C2140">
        <v>39738.72265625</v>
      </c>
      <c r="D2140">
        <v>39935.859375</v>
      </c>
      <c r="E2140">
        <v>39352.203125</v>
      </c>
      <c r="F2140">
        <v>39486.73046875</v>
      </c>
      <c r="G2140">
        <v>39486.73046875</v>
      </c>
      <c r="H2140">
        <v>16138021249</v>
      </c>
      <c r="I2140" t="s">
        <v>5427</v>
      </c>
      <c r="J2140" t="s">
        <v>5429</v>
      </c>
      <c r="K2140" t="s">
        <v>4634</v>
      </c>
    </row>
    <row r="2141" spans="1:11" ht="20" customHeight="1">
      <c r="A2141" t="s">
        <v>26</v>
      </c>
      <c r="B2141" t="s">
        <v>5430</v>
      </c>
      <c r="C2141">
        <v>39478.375</v>
      </c>
      <c r="D2141">
        <v>39845.92578125</v>
      </c>
      <c r="E2141">
        <v>39233.5390625</v>
      </c>
      <c r="F2141">
        <v>39469.29296875</v>
      </c>
      <c r="G2141">
        <v>39469.29296875</v>
      </c>
      <c r="H2141">
        <v>17964398167</v>
      </c>
      <c r="I2141" t="s">
        <v>5429</v>
      </c>
      <c r="J2141" t="s">
        <v>5431</v>
      </c>
      <c r="K2141" t="s">
        <v>4634</v>
      </c>
    </row>
    <row r="2142" spans="1:11" ht="20" customHeight="1">
      <c r="A2142" t="s">
        <v>26</v>
      </c>
      <c r="B2142" t="s">
        <v>1299</v>
      </c>
      <c r="C2142">
        <v>39472.60546875</v>
      </c>
      <c r="D2142">
        <v>40491.75390625</v>
      </c>
      <c r="E2142">
        <v>38338.37890625</v>
      </c>
      <c r="F2142">
        <v>40458.30859375</v>
      </c>
      <c r="G2142">
        <v>40458.30859375</v>
      </c>
      <c r="H2142">
        <v>35445730570</v>
      </c>
      <c r="I2142" t="s">
        <v>5431</v>
      </c>
      <c r="J2142" t="s">
        <v>5432</v>
      </c>
      <c r="K2142" t="s">
        <v>4634</v>
      </c>
    </row>
    <row r="2143" spans="1:11" ht="20" customHeight="1">
      <c r="A2143" t="s">
        <v>26</v>
      </c>
      <c r="B2143" t="s">
        <v>1302</v>
      </c>
      <c r="C2143">
        <v>40448.421875</v>
      </c>
      <c r="D2143">
        <v>40713.890625</v>
      </c>
      <c r="E2143">
        <v>37884.984375</v>
      </c>
      <c r="F2143">
        <v>38117.4609375</v>
      </c>
      <c r="G2143">
        <v>38117.4609375</v>
      </c>
      <c r="H2143">
        <v>34569088416</v>
      </c>
      <c r="I2143" t="s">
        <v>5432</v>
      </c>
      <c r="J2143" t="s">
        <v>5433</v>
      </c>
      <c r="K2143" t="s">
        <v>4634</v>
      </c>
    </row>
    <row r="2144" spans="1:11" ht="20" customHeight="1">
      <c r="A2144" t="s">
        <v>26</v>
      </c>
      <c r="B2144" t="s">
        <v>1305</v>
      </c>
      <c r="C2144">
        <v>38120.30078125</v>
      </c>
      <c r="D2144">
        <v>39397.91796875</v>
      </c>
      <c r="E2144">
        <v>37997.3125</v>
      </c>
      <c r="F2144">
        <v>39241.12109375</v>
      </c>
      <c r="G2144">
        <v>39241.12109375</v>
      </c>
      <c r="H2144">
        <v>30981015184</v>
      </c>
      <c r="I2144" t="s">
        <v>5433</v>
      </c>
      <c r="J2144" t="s">
        <v>5434</v>
      </c>
      <c r="K2144" t="s">
        <v>4634</v>
      </c>
    </row>
    <row r="2145" spans="1:11" ht="20" customHeight="1">
      <c r="A2145" t="s">
        <v>26</v>
      </c>
      <c r="B2145" t="s">
        <v>1308</v>
      </c>
      <c r="C2145">
        <v>39241.4296875</v>
      </c>
      <c r="D2145">
        <v>40269.46484375</v>
      </c>
      <c r="E2145">
        <v>38941.421875</v>
      </c>
      <c r="F2145">
        <v>39773.828125</v>
      </c>
      <c r="G2145">
        <v>39773.828125</v>
      </c>
      <c r="H2145">
        <v>33903704907</v>
      </c>
      <c r="I2145" t="s">
        <v>5434</v>
      </c>
      <c r="J2145" t="s">
        <v>5435</v>
      </c>
      <c r="K2145" t="s">
        <v>4634</v>
      </c>
    </row>
    <row r="2146" spans="1:11" ht="20" customHeight="1">
      <c r="A2146" t="s">
        <v>26</v>
      </c>
      <c r="B2146" t="s">
        <v>1311</v>
      </c>
      <c r="C2146">
        <v>39768.6171875</v>
      </c>
      <c r="D2146">
        <v>39887.26953125</v>
      </c>
      <c r="E2146">
        <v>38235.53515625</v>
      </c>
      <c r="F2146">
        <v>38609.82421875</v>
      </c>
      <c r="G2146">
        <v>38609.82421875</v>
      </c>
      <c r="H2146">
        <v>30882994649</v>
      </c>
      <c r="I2146" t="s">
        <v>5435</v>
      </c>
      <c r="J2146" t="s">
        <v>5436</v>
      </c>
      <c r="K2146" t="s">
        <v>4634</v>
      </c>
    </row>
    <row r="2147" spans="1:11" ht="20" customHeight="1">
      <c r="A2147" t="s">
        <v>26</v>
      </c>
      <c r="B2147" t="s">
        <v>5437</v>
      </c>
      <c r="C2147">
        <v>38605.859375</v>
      </c>
      <c r="D2147">
        <v>38771.2109375</v>
      </c>
      <c r="E2147">
        <v>37697.94140625</v>
      </c>
      <c r="F2147">
        <v>37714.875</v>
      </c>
      <c r="G2147">
        <v>37714.875</v>
      </c>
      <c r="H2147">
        <v>23895713731</v>
      </c>
      <c r="I2147" t="s">
        <v>5436</v>
      </c>
      <c r="J2147" t="s">
        <v>5438</v>
      </c>
      <c r="K2147" t="s">
        <v>4634</v>
      </c>
    </row>
    <row r="2148" spans="1:11" ht="20" customHeight="1">
      <c r="A2148" t="s">
        <v>26</v>
      </c>
      <c r="B2148" t="s">
        <v>5439</v>
      </c>
      <c r="C2148">
        <v>37713.265625</v>
      </c>
      <c r="D2148">
        <v>38627.859375</v>
      </c>
      <c r="E2148">
        <v>37585.7890625</v>
      </c>
      <c r="F2148">
        <v>38469.09375</v>
      </c>
      <c r="G2148">
        <v>38469.09375</v>
      </c>
      <c r="H2148">
        <v>27002760110</v>
      </c>
      <c r="I2148" t="s">
        <v>5438</v>
      </c>
      <c r="J2148" t="s">
        <v>5440</v>
      </c>
      <c r="K2148" t="s">
        <v>4634</v>
      </c>
    </row>
    <row r="2149" spans="1:11" ht="20" customHeight="1">
      <c r="A2149" t="s">
        <v>26</v>
      </c>
      <c r="B2149" t="s">
        <v>1314</v>
      </c>
      <c r="C2149">
        <v>38472.1875</v>
      </c>
      <c r="D2149">
        <v>39074.97265625</v>
      </c>
      <c r="E2149">
        <v>38156.5625</v>
      </c>
      <c r="F2149">
        <v>38529.328125</v>
      </c>
      <c r="G2149">
        <v>38529.328125</v>
      </c>
      <c r="H2149">
        <v>32922642426</v>
      </c>
      <c r="I2149" t="s">
        <v>5440</v>
      </c>
      <c r="J2149" t="s">
        <v>5441</v>
      </c>
      <c r="K2149" t="s">
        <v>4634</v>
      </c>
    </row>
    <row r="2150" spans="1:11" ht="20" customHeight="1">
      <c r="A2150" t="s">
        <v>26</v>
      </c>
      <c r="B2150" t="s">
        <v>1317</v>
      </c>
      <c r="C2150">
        <v>38528.109375</v>
      </c>
      <c r="D2150">
        <v>38629.99609375</v>
      </c>
      <c r="E2150">
        <v>37585.62109375</v>
      </c>
      <c r="F2150">
        <v>37750.453125</v>
      </c>
      <c r="G2150">
        <v>37750.453125</v>
      </c>
      <c r="H2150">
        <v>27326943244</v>
      </c>
      <c r="I2150" t="s">
        <v>5441</v>
      </c>
      <c r="J2150" t="s">
        <v>5442</v>
      </c>
      <c r="K2150" t="s">
        <v>4634</v>
      </c>
    </row>
    <row r="2151" spans="1:11" ht="20" customHeight="1">
      <c r="A2151" t="s">
        <v>26</v>
      </c>
      <c r="B2151" t="s">
        <v>1320</v>
      </c>
      <c r="C2151">
        <v>37748.01171875</v>
      </c>
      <c r="D2151">
        <v>39902.94921875</v>
      </c>
      <c r="E2151">
        <v>37732.05859375</v>
      </c>
      <c r="F2151">
        <v>39698.37109375</v>
      </c>
      <c r="G2151">
        <v>39698.37109375</v>
      </c>
      <c r="H2151">
        <v>36754404490</v>
      </c>
      <c r="I2151" t="s">
        <v>5442</v>
      </c>
      <c r="J2151" t="s">
        <v>5443</v>
      </c>
      <c r="K2151" t="s">
        <v>4634</v>
      </c>
    </row>
    <row r="2152" spans="1:11" ht="20" customHeight="1">
      <c r="A2152" t="s">
        <v>26</v>
      </c>
      <c r="B2152" t="s">
        <v>1323</v>
      </c>
      <c r="C2152">
        <v>39695.74609375</v>
      </c>
      <c r="D2152">
        <v>39789.28125</v>
      </c>
      <c r="E2152">
        <v>35856.515625</v>
      </c>
      <c r="F2152">
        <v>36575.140625</v>
      </c>
      <c r="G2152">
        <v>36575.140625</v>
      </c>
      <c r="H2152">
        <v>43106256317</v>
      </c>
      <c r="I2152" t="s">
        <v>5443</v>
      </c>
      <c r="J2152" t="s">
        <v>5444</v>
      </c>
      <c r="K2152" t="s">
        <v>4634</v>
      </c>
    </row>
    <row r="2153" spans="1:11" ht="20" customHeight="1">
      <c r="A2153" t="s">
        <v>26</v>
      </c>
      <c r="B2153" t="s">
        <v>1326</v>
      </c>
      <c r="C2153">
        <v>36573.18359375</v>
      </c>
      <c r="D2153">
        <v>36624.359375</v>
      </c>
      <c r="E2153">
        <v>35482.1328125</v>
      </c>
      <c r="F2153">
        <v>36040.921875</v>
      </c>
      <c r="G2153">
        <v>36040.921875</v>
      </c>
      <c r="H2153">
        <v>37795577489</v>
      </c>
      <c r="I2153" t="s">
        <v>5444</v>
      </c>
      <c r="J2153" t="s">
        <v>5445</v>
      </c>
      <c r="K2153" t="s">
        <v>4634</v>
      </c>
    </row>
    <row r="2154" spans="1:11" ht="20" customHeight="1">
      <c r="A2154" t="s">
        <v>26</v>
      </c>
      <c r="B2154" t="s">
        <v>5446</v>
      </c>
      <c r="C2154">
        <v>36042.50390625</v>
      </c>
      <c r="D2154">
        <v>36129.92578125</v>
      </c>
      <c r="E2154">
        <v>34940.82421875</v>
      </c>
      <c r="F2154">
        <v>35501.953125</v>
      </c>
      <c r="G2154">
        <v>35501.953125</v>
      </c>
      <c r="H2154">
        <v>24375896406</v>
      </c>
      <c r="I2154" t="s">
        <v>5445</v>
      </c>
      <c r="J2154" t="s">
        <v>5447</v>
      </c>
      <c r="K2154" t="s">
        <v>4634</v>
      </c>
    </row>
    <row r="2155" spans="1:11" ht="20" customHeight="1">
      <c r="A2155" t="s">
        <v>26</v>
      </c>
      <c r="B2155" t="s">
        <v>5448</v>
      </c>
      <c r="C2155">
        <v>35502.94140625</v>
      </c>
      <c r="D2155">
        <v>35502.94140625</v>
      </c>
      <c r="E2155">
        <v>33878.96484375</v>
      </c>
      <c r="F2155">
        <v>34059.265625</v>
      </c>
      <c r="G2155">
        <v>34059.265625</v>
      </c>
      <c r="H2155">
        <v>36763041910</v>
      </c>
      <c r="I2155" t="s">
        <v>5447</v>
      </c>
      <c r="J2155" t="s">
        <v>5449</v>
      </c>
      <c r="K2155" t="s">
        <v>4634</v>
      </c>
    </row>
    <row r="2156" spans="1:11" ht="20" customHeight="1">
      <c r="A2156" t="s">
        <v>26</v>
      </c>
      <c r="B2156" t="s">
        <v>1329</v>
      </c>
      <c r="C2156">
        <v>34060.015625</v>
      </c>
      <c r="D2156">
        <v>34222.07421875</v>
      </c>
      <c r="E2156">
        <v>30296.953125</v>
      </c>
      <c r="F2156">
        <v>30296.953125</v>
      </c>
      <c r="G2156">
        <v>30296.953125</v>
      </c>
      <c r="H2156">
        <v>63355494961</v>
      </c>
      <c r="I2156" t="s">
        <v>5449</v>
      </c>
      <c r="J2156" t="s">
        <v>5450</v>
      </c>
      <c r="K2156" t="s">
        <v>4634</v>
      </c>
    </row>
    <row r="2157" spans="1:11" ht="20" customHeight="1">
      <c r="A2157" t="s">
        <v>26</v>
      </c>
      <c r="B2157" t="s">
        <v>1332</v>
      </c>
      <c r="C2157">
        <v>30273.654296875</v>
      </c>
      <c r="D2157">
        <v>32596.30859375</v>
      </c>
      <c r="E2157">
        <v>29944.802734375</v>
      </c>
      <c r="F2157">
        <v>31022.90625</v>
      </c>
      <c r="G2157">
        <v>31022.90625</v>
      </c>
      <c r="H2157">
        <v>59811038817</v>
      </c>
      <c r="I2157" t="s">
        <v>5450</v>
      </c>
      <c r="J2157" t="s">
        <v>5451</v>
      </c>
      <c r="K2157" t="s">
        <v>4634</v>
      </c>
    </row>
    <row r="2158" spans="1:11" ht="20" customHeight="1">
      <c r="A2158" t="s">
        <v>26</v>
      </c>
      <c r="B2158" t="s">
        <v>1335</v>
      </c>
      <c r="C2158">
        <v>31016.18359375</v>
      </c>
      <c r="D2158">
        <v>32013.40234375</v>
      </c>
      <c r="E2158">
        <v>28170.4140625</v>
      </c>
      <c r="F2158">
        <v>28936.35546875</v>
      </c>
      <c r="G2158">
        <v>28936.35546875</v>
      </c>
      <c r="H2158">
        <v>70388855818</v>
      </c>
      <c r="I2158" t="s">
        <v>5451</v>
      </c>
      <c r="J2158" t="s">
        <v>5452</v>
      </c>
      <c r="K2158" t="s">
        <v>4634</v>
      </c>
    </row>
    <row r="2159" spans="1:11" ht="20" customHeight="1">
      <c r="A2159" t="s">
        <v>26</v>
      </c>
      <c r="B2159" t="s">
        <v>1338</v>
      </c>
      <c r="C2159">
        <v>28936.734375</v>
      </c>
      <c r="D2159">
        <v>30032.439453125</v>
      </c>
      <c r="E2159">
        <v>26350.490234375</v>
      </c>
      <c r="F2159">
        <v>29047.751953125</v>
      </c>
      <c r="G2159">
        <v>29047.751953125</v>
      </c>
      <c r="H2159">
        <v>66989173272</v>
      </c>
      <c r="I2159" t="s">
        <v>5452</v>
      </c>
      <c r="J2159" t="s">
        <v>5453</v>
      </c>
      <c r="K2159" t="s">
        <v>4634</v>
      </c>
    </row>
    <row r="2160" spans="1:11" ht="20" customHeight="1">
      <c r="A2160" t="s">
        <v>26</v>
      </c>
      <c r="B2160" t="s">
        <v>1341</v>
      </c>
      <c r="C2160">
        <v>29030.91015625</v>
      </c>
      <c r="D2160">
        <v>30924.802734375</v>
      </c>
      <c r="E2160">
        <v>28782.330078125</v>
      </c>
      <c r="F2160">
        <v>29283.103515625</v>
      </c>
      <c r="G2160">
        <v>29283.103515625</v>
      </c>
      <c r="H2160">
        <v>42841124537</v>
      </c>
      <c r="I2160" t="s">
        <v>5453</v>
      </c>
      <c r="J2160" t="s">
        <v>5454</v>
      </c>
      <c r="K2160" t="s">
        <v>4634</v>
      </c>
    </row>
    <row r="2161" spans="1:11" ht="20" customHeight="1">
      <c r="A2161" t="s">
        <v>26</v>
      </c>
      <c r="B2161" t="s">
        <v>5455</v>
      </c>
      <c r="C2161">
        <v>29285.642578125</v>
      </c>
      <c r="D2161">
        <v>30192.802734375</v>
      </c>
      <c r="E2161">
        <v>28702.91015625</v>
      </c>
      <c r="F2161">
        <v>30101.265625</v>
      </c>
      <c r="G2161">
        <v>30101.265625</v>
      </c>
      <c r="H2161">
        <v>28579868620</v>
      </c>
      <c r="I2161" t="s">
        <v>5454</v>
      </c>
      <c r="J2161" t="s">
        <v>5456</v>
      </c>
      <c r="K2161" t="s">
        <v>4634</v>
      </c>
    </row>
    <row r="2162" spans="1:11" ht="20" customHeight="1">
      <c r="A2162" t="s">
        <v>26</v>
      </c>
      <c r="B2162" t="s">
        <v>5457</v>
      </c>
      <c r="C2162">
        <v>30098.5859375</v>
      </c>
      <c r="D2162">
        <v>31308.19140625</v>
      </c>
      <c r="E2162">
        <v>29527.740234375</v>
      </c>
      <c r="F2162">
        <v>31305.11328125</v>
      </c>
      <c r="G2162">
        <v>31305.11328125</v>
      </c>
      <c r="H2162">
        <v>25835372065</v>
      </c>
      <c r="I2162" t="s">
        <v>5456</v>
      </c>
      <c r="J2162" t="s">
        <v>5458</v>
      </c>
      <c r="K2162" t="s">
        <v>4634</v>
      </c>
    </row>
    <row r="2163" spans="1:11" ht="20" customHeight="1">
      <c r="A2163" t="s">
        <v>26</v>
      </c>
      <c r="B2163" t="s">
        <v>1344</v>
      </c>
      <c r="C2163">
        <v>31304.375</v>
      </c>
      <c r="D2163">
        <v>31305.341796875</v>
      </c>
      <c r="E2163">
        <v>29251.884765625</v>
      </c>
      <c r="F2163">
        <v>29862.91796875</v>
      </c>
      <c r="G2163">
        <v>29862.91796875</v>
      </c>
      <c r="H2163">
        <v>32613897286</v>
      </c>
      <c r="I2163" t="s">
        <v>5458</v>
      </c>
      <c r="J2163" t="s">
        <v>5459</v>
      </c>
      <c r="K2163" t="s">
        <v>4634</v>
      </c>
    </row>
    <row r="2164" spans="1:11" ht="20" customHeight="1">
      <c r="A2164" t="s">
        <v>26</v>
      </c>
      <c r="B2164" t="s">
        <v>1347</v>
      </c>
      <c r="C2164">
        <v>29862.408203125</v>
      </c>
      <c r="D2164">
        <v>30694.490234375</v>
      </c>
      <c r="E2164">
        <v>29570.302734375</v>
      </c>
      <c r="F2164">
        <v>30425.857421875</v>
      </c>
      <c r="G2164">
        <v>30425.857421875</v>
      </c>
      <c r="H2164">
        <v>29101473475</v>
      </c>
      <c r="I2164" t="s">
        <v>5459</v>
      </c>
      <c r="J2164" t="s">
        <v>5460</v>
      </c>
      <c r="K2164" t="s">
        <v>4634</v>
      </c>
    </row>
    <row r="2165" spans="1:11" ht="20" customHeight="1">
      <c r="A2165" t="s">
        <v>26</v>
      </c>
      <c r="B2165" t="s">
        <v>1350</v>
      </c>
      <c r="C2165">
        <v>30424.478515625</v>
      </c>
      <c r="D2165">
        <v>30618.716796875</v>
      </c>
      <c r="E2165">
        <v>28720.271484375</v>
      </c>
      <c r="F2165">
        <v>28720.271484375</v>
      </c>
      <c r="G2165">
        <v>28720.271484375</v>
      </c>
      <c r="H2165">
        <v>31285268319</v>
      </c>
      <c r="I2165" t="s">
        <v>5460</v>
      </c>
      <c r="J2165" t="s">
        <v>5461</v>
      </c>
      <c r="K2165" t="s">
        <v>4634</v>
      </c>
    </row>
    <row r="2166" spans="1:11" ht="20" customHeight="1">
      <c r="A2166" t="s">
        <v>26</v>
      </c>
      <c r="B2166" t="s">
        <v>1353</v>
      </c>
      <c r="C2166">
        <v>28720.359375</v>
      </c>
      <c r="D2166">
        <v>30430.751953125</v>
      </c>
      <c r="E2166">
        <v>28708.955078125</v>
      </c>
      <c r="F2166">
        <v>30314.333984375</v>
      </c>
      <c r="G2166">
        <v>30314.333984375</v>
      </c>
      <c r="H2166">
        <v>33773447707</v>
      </c>
      <c r="I2166" t="s">
        <v>5461</v>
      </c>
      <c r="J2166" t="s">
        <v>5462</v>
      </c>
      <c r="K2166" t="s">
        <v>4634</v>
      </c>
    </row>
    <row r="2167" spans="1:11" ht="20" customHeight="1">
      <c r="A2167" t="s">
        <v>26</v>
      </c>
      <c r="B2167" t="s">
        <v>1356</v>
      </c>
      <c r="C2167">
        <v>30311.119140625</v>
      </c>
      <c r="D2167">
        <v>30664.9765625</v>
      </c>
      <c r="E2167">
        <v>28793.60546875</v>
      </c>
      <c r="F2167">
        <v>29200.740234375</v>
      </c>
      <c r="G2167">
        <v>29200.740234375</v>
      </c>
      <c r="H2167">
        <v>30749382605</v>
      </c>
      <c r="I2167" t="s">
        <v>5462</v>
      </c>
      <c r="J2167" t="s">
        <v>5463</v>
      </c>
      <c r="K2167" t="s">
        <v>4634</v>
      </c>
    </row>
    <row r="2168" spans="1:11" ht="20" customHeight="1">
      <c r="A2168" t="s">
        <v>26</v>
      </c>
      <c r="B2168" t="s">
        <v>5464</v>
      </c>
      <c r="C2168">
        <v>29199.859375</v>
      </c>
      <c r="D2168">
        <v>29588.869140625</v>
      </c>
      <c r="E2168">
        <v>29027.39453125</v>
      </c>
      <c r="F2168">
        <v>29432.2265625</v>
      </c>
      <c r="G2168">
        <v>29432.2265625</v>
      </c>
      <c r="H2168">
        <v>17274840442</v>
      </c>
      <c r="I2168" t="s">
        <v>5463</v>
      </c>
      <c r="J2168" t="s">
        <v>5465</v>
      </c>
      <c r="K2168" t="s">
        <v>4634</v>
      </c>
    </row>
    <row r="2169" spans="1:11" ht="20" customHeight="1">
      <c r="A2169" t="s">
        <v>26</v>
      </c>
      <c r="B2169" t="s">
        <v>5466</v>
      </c>
      <c r="C2169">
        <v>29432.47265625</v>
      </c>
      <c r="D2169">
        <v>30425.861328125</v>
      </c>
      <c r="E2169">
        <v>29275.18359375</v>
      </c>
      <c r="F2169">
        <v>30323.72265625</v>
      </c>
      <c r="G2169">
        <v>30323.72265625</v>
      </c>
      <c r="H2169">
        <v>21631532270</v>
      </c>
      <c r="I2169" t="s">
        <v>5465</v>
      </c>
      <c r="J2169" t="s">
        <v>5467</v>
      </c>
      <c r="K2169" t="s">
        <v>4634</v>
      </c>
    </row>
    <row r="2170" spans="1:11" ht="20" customHeight="1">
      <c r="A2170" t="s">
        <v>26</v>
      </c>
      <c r="B2170" t="s">
        <v>1359</v>
      </c>
      <c r="C2170">
        <v>30309.396484375</v>
      </c>
      <c r="D2170">
        <v>30590.5859375</v>
      </c>
      <c r="E2170">
        <v>28975.560546875</v>
      </c>
      <c r="F2170">
        <v>29098.91015625</v>
      </c>
      <c r="G2170">
        <v>29098.91015625</v>
      </c>
      <c r="H2170">
        <v>31483454557</v>
      </c>
      <c r="I2170" t="s">
        <v>5467</v>
      </c>
      <c r="J2170" t="s">
        <v>5468</v>
      </c>
      <c r="K2170" t="s">
        <v>4634</v>
      </c>
    </row>
    <row r="2171" spans="1:11" ht="20" customHeight="1">
      <c r="A2171" t="s">
        <v>26</v>
      </c>
      <c r="B2171" t="s">
        <v>1362</v>
      </c>
      <c r="C2171">
        <v>29101.125</v>
      </c>
      <c r="D2171">
        <v>29774.35546875</v>
      </c>
      <c r="E2171">
        <v>28786.58984375</v>
      </c>
      <c r="F2171">
        <v>29655.5859375</v>
      </c>
      <c r="G2171">
        <v>29655.5859375</v>
      </c>
      <c r="H2171">
        <v>26616506245</v>
      </c>
      <c r="I2171" t="s">
        <v>5468</v>
      </c>
      <c r="J2171" t="s">
        <v>5469</v>
      </c>
      <c r="K2171" t="s">
        <v>4634</v>
      </c>
    </row>
    <row r="2172" spans="1:11" ht="20" customHeight="1">
      <c r="A2172" t="s">
        <v>26</v>
      </c>
      <c r="B2172" t="s">
        <v>1365</v>
      </c>
      <c r="C2172">
        <v>29653.134765625</v>
      </c>
      <c r="D2172">
        <v>30157.78515625</v>
      </c>
      <c r="E2172">
        <v>29384.94921875</v>
      </c>
      <c r="F2172">
        <v>29562.361328125</v>
      </c>
      <c r="G2172">
        <v>29562.361328125</v>
      </c>
      <c r="H2172">
        <v>27525063551</v>
      </c>
      <c r="I2172" t="s">
        <v>5469</v>
      </c>
      <c r="J2172" t="s">
        <v>5470</v>
      </c>
      <c r="K2172" t="s">
        <v>4634</v>
      </c>
    </row>
    <row r="2173" spans="1:11" ht="20" customHeight="1">
      <c r="A2173" t="s">
        <v>26</v>
      </c>
      <c r="B2173" t="s">
        <v>1368</v>
      </c>
      <c r="C2173">
        <v>29564.77734375</v>
      </c>
      <c r="D2173">
        <v>29834.16015625</v>
      </c>
      <c r="E2173">
        <v>28261.90625</v>
      </c>
      <c r="F2173">
        <v>29267.224609375</v>
      </c>
      <c r="G2173">
        <v>29267.224609375</v>
      </c>
      <c r="H2173">
        <v>36774325352</v>
      </c>
      <c r="I2173" t="s">
        <v>5470</v>
      </c>
      <c r="J2173" t="s">
        <v>5471</v>
      </c>
      <c r="K2173" t="s">
        <v>4634</v>
      </c>
    </row>
    <row r="2174" spans="1:11" ht="20" customHeight="1">
      <c r="A2174" t="s">
        <v>26</v>
      </c>
      <c r="B2174" t="s">
        <v>1371</v>
      </c>
      <c r="C2174">
        <v>29251.140625</v>
      </c>
      <c r="D2174">
        <v>29346.943359375</v>
      </c>
      <c r="E2174">
        <v>28326.61328125</v>
      </c>
      <c r="F2174">
        <v>28627.57421875</v>
      </c>
      <c r="G2174">
        <v>28627.57421875</v>
      </c>
      <c r="H2174">
        <v>36582005748</v>
      </c>
      <c r="I2174" t="s">
        <v>5471</v>
      </c>
      <c r="J2174" t="s">
        <v>5472</v>
      </c>
      <c r="K2174" t="s">
        <v>4634</v>
      </c>
    </row>
    <row r="2175" spans="1:11" ht="20" customHeight="1">
      <c r="A2175" t="s">
        <v>26</v>
      </c>
      <c r="B2175" t="s">
        <v>5473</v>
      </c>
      <c r="C2175">
        <v>28622.625</v>
      </c>
      <c r="D2175">
        <v>28814.900390625</v>
      </c>
      <c r="E2175">
        <v>28554.56640625</v>
      </c>
      <c r="F2175">
        <v>28814.900390625</v>
      </c>
      <c r="G2175">
        <v>28814.900390625</v>
      </c>
      <c r="H2175">
        <v>35519577634</v>
      </c>
      <c r="I2175" t="s">
        <v>5472</v>
      </c>
      <c r="J2175" t="s">
        <v>5474</v>
      </c>
      <c r="K2175" t="s">
        <v>4634</v>
      </c>
    </row>
    <row r="2176" spans="1:11" ht="20" customHeight="1">
      <c r="A2176" t="s">
        <v>26</v>
      </c>
      <c r="B2176" t="s">
        <v>5475</v>
      </c>
      <c r="C2176">
        <v>29019.8671875</v>
      </c>
      <c r="D2176">
        <v>29498.009765625</v>
      </c>
      <c r="E2176">
        <v>28841.107421875</v>
      </c>
      <c r="F2176">
        <v>29445.95703125</v>
      </c>
      <c r="G2176">
        <v>29445.95703125</v>
      </c>
      <c r="H2176">
        <v>18093886409</v>
      </c>
      <c r="I2176" t="s">
        <v>5474</v>
      </c>
      <c r="J2176" t="s">
        <v>5476</v>
      </c>
      <c r="K2176" t="s">
        <v>4634</v>
      </c>
    </row>
    <row r="2177" spans="1:11" ht="20" customHeight="1">
      <c r="A2177" t="s">
        <v>26</v>
      </c>
      <c r="B2177" t="s">
        <v>5477</v>
      </c>
      <c r="C2177">
        <v>29443.365234375</v>
      </c>
      <c r="D2177">
        <v>31949.630859375</v>
      </c>
      <c r="E2177">
        <v>29303.572265625</v>
      </c>
      <c r="F2177">
        <v>31726.390625</v>
      </c>
      <c r="G2177">
        <v>31726.390625</v>
      </c>
      <c r="H2177">
        <v>39277993274</v>
      </c>
      <c r="I2177" t="s">
        <v>5476</v>
      </c>
      <c r="J2177" t="s">
        <v>5478</v>
      </c>
      <c r="K2177" t="s">
        <v>4634</v>
      </c>
    </row>
    <row r="2178" spans="1:11" ht="20" customHeight="1">
      <c r="A2178" t="s">
        <v>26</v>
      </c>
      <c r="B2178" t="s">
        <v>1374</v>
      </c>
      <c r="C2178">
        <v>31723.865234375</v>
      </c>
      <c r="D2178">
        <v>32249.86328125</v>
      </c>
      <c r="E2178">
        <v>31286.154296875</v>
      </c>
      <c r="F2178">
        <v>31792.310546875</v>
      </c>
      <c r="G2178">
        <v>31792.310546875</v>
      </c>
      <c r="H2178">
        <v>33538210634</v>
      </c>
      <c r="I2178" t="s">
        <v>5478</v>
      </c>
      <c r="J2178" t="s">
        <v>5479</v>
      </c>
      <c r="K2178" t="s">
        <v>4634</v>
      </c>
    </row>
    <row r="2179" spans="1:11" ht="20" customHeight="1">
      <c r="A2179" t="s">
        <v>26</v>
      </c>
      <c r="B2179" t="s">
        <v>1377</v>
      </c>
      <c r="C2179">
        <v>31792.5546875</v>
      </c>
      <c r="D2179">
        <v>31957.28515625</v>
      </c>
      <c r="E2179">
        <v>29501.587890625</v>
      </c>
      <c r="F2179">
        <v>29799.080078125</v>
      </c>
      <c r="G2179">
        <v>29799.080078125</v>
      </c>
      <c r="H2179">
        <v>41135817341</v>
      </c>
      <c r="I2179" t="s">
        <v>5479</v>
      </c>
      <c r="J2179" t="s">
        <v>5480</v>
      </c>
      <c r="K2179" t="s">
        <v>4634</v>
      </c>
    </row>
    <row r="2180" spans="1:11" ht="20" customHeight="1">
      <c r="A2180" t="s">
        <v>26</v>
      </c>
      <c r="B2180" t="s">
        <v>1380</v>
      </c>
      <c r="C2180">
        <v>29794.890625</v>
      </c>
      <c r="D2180">
        <v>30604.734375</v>
      </c>
      <c r="E2180">
        <v>29652.705078125</v>
      </c>
      <c r="F2180">
        <v>30467.48828125</v>
      </c>
      <c r="G2180">
        <v>30467.48828125</v>
      </c>
      <c r="H2180">
        <v>29083562061</v>
      </c>
      <c r="I2180" t="s">
        <v>5480</v>
      </c>
      <c r="J2180" t="s">
        <v>5481</v>
      </c>
      <c r="K2180" t="s">
        <v>4634</v>
      </c>
    </row>
    <row r="2181" spans="1:11" ht="20" customHeight="1">
      <c r="A2181" t="s">
        <v>26</v>
      </c>
      <c r="B2181" t="s">
        <v>1383</v>
      </c>
      <c r="C2181">
        <v>30467.806640625</v>
      </c>
      <c r="D2181">
        <v>30633.03515625</v>
      </c>
      <c r="E2181">
        <v>29375.689453125</v>
      </c>
      <c r="F2181">
        <v>29704.390625</v>
      </c>
      <c r="G2181">
        <v>29704.390625</v>
      </c>
      <c r="H2181">
        <v>26175547452</v>
      </c>
      <c r="I2181" t="s">
        <v>5481</v>
      </c>
      <c r="J2181" t="s">
        <v>5482</v>
      </c>
      <c r="K2181" t="s">
        <v>4634</v>
      </c>
    </row>
    <row r="2182" spans="1:11" ht="20" customHeight="1">
      <c r="A2182" t="s">
        <v>26</v>
      </c>
      <c r="B2182" t="s">
        <v>5483</v>
      </c>
      <c r="C2182">
        <v>29706.138671875</v>
      </c>
      <c r="D2182">
        <v>29930.564453125</v>
      </c>
      <c r="E2182">
        <v>29500.005859375</v>
      </c>
      <c r="F2182">
        <v>29832.9140625</v>
      </c>
      <c r="G2182">
        <v>29832.9140625</v>
      </c>
      <c r="H2182">
        <v>16588370958</v>
      </c>
      <c r="I2182" t="s">
        <v>5482</v>
      </c>
      <c r="J2182" t="s">
        <v>5484</v>
      </c>
      <c r="K2182" t="s">
        <v>4634</v>
      </c>
    </row>
    <row r="2183" spans="1:11" ht="20" customHeight="1">
      <c r="A2183" t="s">
        <v>26</v>
      </c>
      <c r="B2183" t="s">
        <v>5485</v>
      </c>
      <c r="C2183">
        <v>29835.1171875</v>
      </c>
      <c r="D2183">
        <v>30117.744140625</v>
      </c>
      <c r="E2183">
        <v>29574.44921875</v>
      </c>
      <c r="F2183">
        <v>29906.662109375</v>
      </c>
      <c r="G2183">
        <v>29906.662109375</v>
      </c>
      <c r="H2183">
        <v>17264085441</v>
      </c>
      <c r="I2183" t="s">
        <v>5484</v>
      </c>
      <c r="J2183" t="s">
        <v>5486</v>
      </c>
      <c r="K2183" t="s">
        <v>4634</v>
      </c>
    </row>
    <row r="2184" spans="1:11" ht="20" customHeight="1">
      <c r="A2184" t="s">
        <v>26</v>
      </c>
      <c r="B2184" t="s">
        <v>1386</v>
      </c>
      <c r="C2184">
        <v>29910.283203125</v>
      </c>
      <c r="D2184">
        <v>31693.291015625</v>
      </c>
      <c r="E2184">
        <v>29894.1875</v>
      </c>
      <c r="F2184">
        <v>31370.671875</v>
      </c>
      <c r="G2184">
        <v>31370.671875</v>
      </c>
      <c r="H2184">
        <v>31947336829</v>
      </c>
      <c r="I2184" t="s">
        <v>5486</v>
      </c>
      <c r="J2184" t="s">
        <v>5487</v>
      </c>
      <c r="K2184" t="s">
        <v>4634</v>
      </c>
    </row>
    <row r="2185" spans="1:11" ht="20" customHeight="1">
      <c r="A2185" t="s">
        <v>26</v>
      </c>
      <c r="B2185" t="s">
        <v>1389</v>
      </c>
      <c r="C2185">
        <v>31371.7421875</v>
      </c>
      <c r="D2185">
        <v>31489.68359375</v>
      </c>
      <c r="E2185">
        <v>29311.68359375</v>
      </c>
      <c r="F2185">
        <v>31155.478515625</v>
      </c>
      <c r="G2185">
        <v>31155.478515625</v>
      </c>
      <c r="H2185">
        <v>40770974039</v>
      </c>
      <c r="I2185" t="s">
        <v>5487</v>
      </c>
      <c r="J2185" t="s">
        <v>5488</v>
      </c>
      <c r="K2185" t="s">
        <v>4634</v>
      </c>
    </row>
    <row r="2186" spans="1:11" ht="20" customHeight="1">
      <c r="A2186" t="s">
        <v>26</v>
      </c>
      <c r="B2186" t="s">
        <v>1392</v>
      </c>
      <c r="C2186">
        <v>31151.48046875</v>
      </c>
      <c r="D2186">
        <v>31253.69140625</v>
      </c>
      <c r="E2186">
        <v>29944.404296875</v>
      </c>
      <c r="F2186">
        <v>30214.35546875</v>
      </c>
      <c r="G2186">
        <v>30214.35546875</v>
      </c>
      <c r="H2186">
        <v>30242059107</v>
      </c>
      <c r="I2186" t="s">
        <v>5488</v>
      </c>
      <c r="J2186" t="s">
        <v>5489</v>
      </c>
      <c r="K2186" t="s">
        <v>4634</v>
      </c>
    </row>
    <row r="2187" spans="1:11" ht="20" customHeight="1">
      <c r="A2187" t="s">
        <v>26</v>
      </c>
      <c r="B2187" t="s">
        <v>1395</v>
      </c>
      <c r="C2187">
        <v>30215.279296875</v>
      </c>
      <c r="D2187">
        <v>30609.310546875</v>
      </c>
      <c r="E2187">
        <v>30020.265625</v>
      </c>
      <c r="F2187">
        <v>30111.998046875</v>
      </c>
      <c r="G2187">
        <v>30111.998046875</v>
      </c>
      <c r="H2187">
        <v>21692004719</v>
      </c>
      <c r="I2187" t="s">
        <v>5489</v>
      </c>
      <c r="J2187" t="s">
        <v>5490</v>
      </c>
      <c r="K2187" t="s">
        <v>4634</v>
      </c>
    </row>
    <row r="2188" spans="1:11" ht="20" customHeight="1">
      <c r="A2188" t="s">
        <v>26</v>
      </c>
      <c r="B2188" t="s">
        <v>1398</v>
      </c>
      <c r="C2188">
        <v>30110.330078125</v>
      </c>
      <c r="D2188">
        <v>30245.80859375</v>
      </c>
      <c r="E2188">
        <v>28978.146484375</v>
      </c>
      <c r="F2188">
        <v>29083.8046875</v>
      </c>
      <c r="G2188">
        <v>29083.8046875</v>
      </c>
      <c r="H2188">
        <v>29867476527</v>
      </c>
      <c r="I2188" t="s">
        <v>5490</v>
      </c>
      <c r="J2188" t="s">
        <v>5491</v>
      </c>
      <c r="K2188" t="s">
        <v>4634</v>
      </c>
    </row>
    <row r="2189" spans="1:11" ht="20" customHeight="1">
      <c r="A2189" t="s">
        <v>26</v>
      </c>
      <c r="B2189" t="s">
        <v>5492</v>
      </c>
      <c r="C2189">
        <v>29084.666015625</v>
      </c>
      <c r="D2189">
        <v>29401.916015625</v>
      </c>
      <c r="E2189">
        <v>28236.212890625</v>
      </c>
      <c r="F2189">
        <v>28360.810546875</v>
      </c>
      <c r="G2189">
        <v>28360.810546875</v>
      </c>
      <c r="H2189">
        <v>27246574439</v>
      </c>
      <c r="I2189" t="s">
        <v>5491</v>
      </c>
      <c r="J2189" t="s">
        <v>5493</v>
      </c>
      <c r="K2189" t="s">
        <v>4634</v>
      </c>
    </row>
    <row r="2190" spans="1:11" ht="20" customHeight="1">
      <c r="A2190" t="s">
        <v>26</v>
      </c>
      <c r="B2190" t="s">
        <v>5494</v>
      </c>
      <c r="C2190">
        <v>28373.513671875</v>
      </c>
      <c r="D2190">
        <v>28502.685546875</v>
      </c>
      <c r="E2190">
        <v>26762.6484375</v>
      </c>
      <c r="F2190">
        <v>26762.6484375</v>
      </c>
      <c r="G2190">
        <v>26762.6484375</v>
      </c>
      <c r="H2190">
        <v>34163220274</v>
      </c>
      <c r="I2190" t="s">
        <v>5493</v>
      </c>
      <c r="J2190" t="s">
        <v>5495</v>
      </c>
      <c r="K2190" t="s">
        <v>4634</v>
      </c>
    </row>
    <row r="2191" spans="1:11" ht="20" customHeight="1">
      <c r="A2191" t="s">
        <v>26</v>
      </c>
      <c r="B2191" t="s">
        <v>1401</v>
      </c>
      <c r="C2191">
        <v>26737.578125</v>
      </c>
      <c r="D2191">
        <v>26795.58984375</v>
      </c>
      <c r="E2191">
        <v>22141.2578125</v>
      </c>
      <c r="F2191">
        <v>22487.388671875</v>
      </c>
      <c r="G2191">
        <v>22487.388671875</v>
      </c>
      <c r="H2191">
        <v>68204556440</v>
      </c>
      <c r="I2191" t="s">
        <v>5495</v>
      </c>
      <c r="J2191" t="s">
        <v>5496</v>
      </c>
      <c r="K2191" t="s">
        <v>4634</v>
      </c>
    </row>
    <row r="2192" spans="1:11" ht="20" customHeight="1">
      <c r="A2192" t="s">
        <v>26</v>
      </c>
      <c r="B2192" t="s">
        <v>1404</v>
      </c>
      <c r="C2192">
        <v>22487.986328125</v>
      </c>
      <c r="D2192">
        <v>23018.951171875</v>
      </c>
      <c r="E2192">
        <v>20950.818359375</v>
      </c>
      <c r="F2192">
        <v>22206.79296875</v>
      </c>
      <c r="G2192">
        <v>22206.79296875</v>
      </c>
      <c r="H2192">
        <v>50913575242</v>
      </c>
      <c r="I2192" t="s">
        <v>5496</v>
      </c>
      <c r="J2192" t="s">
        <v>5497</v>
      </c>
      <c r="K2192" t="s">
        <v>4634</v>
      </c>
    </row>
    <row r="2193" spans="1:11" ht="20" customHeight="1">
      <c r="A2193" t="s">
        <v>26</v>
      </c>
      <c r="B2193" t="s">
        <v>1407</v>
      </c>
      <c r="C2193">
        <v>22196.73046875</v>
      </c>
      <c r="D2193">
        <v>22642.671875</v>
      </c>
      <c r="E2193">
        <v>20178.376953125</v>
      </c>
      <c r="F2193">
        <v>22572.83984375</v>
      </c>
      <c r="G2193">
        <v>22572.83984375</v>
      </c>
      <c r="H2193">
        <v>54912007015</v>
      </c>
      <c r="I2193" t="s">
        <v>5497</v>
      </c>
      <c r="J2193" t="s">
        <v>5498</v>
      </c>
      <c r="K2193" t="s">
        <v>4634</v>
      </c>
    </row>
    <row r="2194" spans="1:11" ht="20" customHeight="1">
      <c r="A2194" t="s">
        <v>26</v>
      </c>
      <c r="B2194" t="s">
        <v>1410</v>
      </c>
      <c r="C2194">
        <v>22576.3046875</v>
      </c>
      <c r="D2194">
        <v>22868.921875</v>
      </c>
      <c r="E2194">
        <v>20265.2265625</v>
      </c>
      <c r="F2194">
        <v>20381.650390625</v>
      </c>
      <c r="G2194">
        <v>20381.650390625</v>
      </c>
      <c r="H2194">
        <v>31183975654</v>
      </c>
      <c r="I2194" t="s">
        <v>5498</v>
      </c>
      <c r="J2194" t="s">
        <v>5499</v>
      </c>
      <c r="K2194" t="s">
        <v>4634</v>
      </c>
    </row>
    <row r="2195" spans="1:11" ht="20" customHeight="1">
      <c r="A2195" t="s">
        <v>26</v>
      </c>
      <c r="B2195" t="s">
        <v>1413</v>
      </c>
      <c r="C2195">
        <v>20385.71875</v>
      </c>
      <c r="D2195">
        <v>21243.3125</v>
      </c>
      <c r="E2195">
        <v>20326.51953125</v>
      </c>
      <c r="F2195">
        <v>20471.482421875</v>
      </c>
      <c r="G2195">
        <v>20471.482421875</v>
      </c>
      <c r="H2195">
        <v>27132421514</v>
      </c>
      <c r="I2195" t="s">
        <v>5499</v>
      </c>
      <c r="J2195" t="s">
        <v>5500</v>
      </c>
      <c r="K2195" t="s">
        <v>4634</v>
      </c>
    </row>
    <row r="2196" spans="1:11" ht="20" customHeight="1">
      <c r="A2196" t="s">
        <v>26</v>
      </c>
      <c r="B2196" t="s">
        <v>5501</v>
      </c>
      <c r="C2196">
        <v>20473.42578125</v>
      </c>
      <c r="D2196">
        <v>20736.041015625</v>
      </c>
      <c r="E2196">
        <v>17708.623046875</v>
      </c>
      <c r="F2196">
        <v>19017.642578125</v>
      </c>
      <c r="G2196">
        <v>19017.642578125</v>
      </c>
      <c r="H2196">
        <v>42009436760</v>
      </c>
      <c r="I2196" t="s">
        <v>5500</v>
      </c>
      <c r="J2196" t="s">
        <v>5502</v>
      </c>
      <c r="K2196" t="s">
        <v>4634</v>
      </c>
    </row>
    <row r="2197" spans="1:11" ht="20" customHeight="1">
      <c r="A2197" t="s">
        <v>26</v>
      </c>
      <c r="B2197" t="s">
        <v>5503</v>
      </c>
      <c r="C2197">
        <v>19010.90234375</v>
      </c>
      <c r="D2197">
        <v>20683.822265625</v>
      </c>
      <c r="E2197">
        <v>18067.15234375</v>
      </c>
      <c r="F2197">
        <v>20553.271484375</v>
      </c>
      <c r="G2197">
        <v>20553.271484375</v>
      </c>
      <c r="H2197">
        <v>35329942625</v>
      </c>
      <c r="I2197" t="s">
        <v>5502</v>
      </c>
      <c r="J2197" t="s">
        <v>5504</v>
      </c>
      <c r="K2197" t="s">
        <v>4634</v>
      </c>
    </row>
    <row r="2198" spans="1:11" ht="20" customHeight="1">
      <c r="A2198" t="s">
        <v>26</v>
      </c>
      <c r="B2198" t="s">
        <v>5505</v>
      </c>
      <c r="C2198">
        <v>20553.37109375</v>
      </c>
      <c r="D2198">
        <v>20913.322265625</v>
      </c>
      <c r="E2198">
        <v>19689.169921875</v>
      </c>
      <c r="F2198">
        <v>20599.537109375</v>
      </c>
      <c r="G2198">
        <v>20599.537109375</v>
      </c>
      <c r="H2198">
        <v>30818458597</v>
      </c>
      <c r="I2198" t="s">
        <v>5504</v>
      </c>
      <c r="J2198" t="s">
        <v>5506</v>
      </c>
      <c r="K2198" t="s">
        <v>4634</v>
      </c>
    </row>
    <row r="2199" spans="1:11" ht="20" customHeight="1">
      <c r="A2199" t="s">
        <v>26</v>
      </c>
      <c r="B2199" t="s">
        <v>1416</v>
      </c>
      <c r="C2199">
        <v>20594.294921875</v>
      </c>
      <c r="D2199">
        <v>21620.62890625</v>
      </c>
      <c r="E2199">
        <v>20415.0625</v>
      </c>
      <c r="F2199">
        <v>20710.59765625</v>
      </c>
      <c r="G2199">
        <v>20710.59765625</v>
      </c>
      <c r="H2199">
        <v>28970212744</v>
      </c>
      <c r="I2199" t="s">
        <v>5506</v>
      </c>
      <c r="J2199" t="s">
        <v>5507</v>
      </c>
      <c r="K2199" t="s">
        <v>4634</v>
      </c>
    </row>
    <row r="2200" spans="1:11" ht="20" customHeight="1">
      <c r="A2200" t="s">
        <v>26</v>
      </c>
      <c r="B2200" t="s">
        <v>1419</v>
      </c>
      <c r="C2200">
        <v>20719.4140625</v>
      </c>
      <c r="D2200">
        <v>20835.75</v>
      </c>
      <c r="E2200">
        <v>19848.078125</v>
      </c>
      <c r="F2200">
        <v>19987.029296875</v>
      </c>
      <c r="G2200">
        <v>19987.029296875</v>
      </c>
      <c r="H2200">
        <v>28574793478</v>
      </c>
      <c r="I2200" t="s">
        <v>5507</v>
      </c>
      <c r="J2200" t="s">
        <v>5508</v>
      </c>
      <c r="K2200" t="s">
        <v>4634</v>
      </c>
    </row>
    <row r="2201" spans="1:11" ht="20" customHeight="1">
      <c r="A2201" t="s">
        <v>26</v>
      </c>
      <c r="B2201" t="s">
        <v>1422</v>
      </c>
      <c r="C2201">
        <v>19986.607421875</v>
      </c>
      <c r="D2201">
        <v>21135.76171875</v>
      </c>
      <c r="E2201">
        <v>19950.1171875</v>
      </c>
      <c r="F2201">
        <v>21085.876953125</v>
      </c>
      <c r="G2201">
        <v>21085.876953125</v>
      </c>
      <c r="H2201">
        <v>26188097173</v>
      </c>
      <c r="I2201" t="s">
        <v>5508</v>
      </c>
      <c r="J2201" t="s">
        <v>5509</v>
      </c>
      <c r="K2201" t="s">
        <v>4634</v>
      </c>
    </row>
    <row r="2202" spans="1:11" ht="20" customHeight="1">
      <c r="A2202" t="s">
        <v>26</v>
      </c>
      <c r="B2202" t="s">
        <v>1425</v>
      </c>
      <c r="C2202">
        <v>21084.6484375</v>
      </c>
      <c r="D2202">
        <v>21472.91796875</v>
      </c>
      <c r="E2202">
        <v>20777.51171875</v>
      </c>
      <c r="F2202">
        <v>21231.65625</v>
      </c>
      <c r="G2202">
        <v>21231.65625</v>
      </c>
      <c r="H2202">
        <v>24957784918</v>
      </c>
      <c r="I2202" t="s">
        <v>5509</v>
      </c>
      <c r="J2202" t="s">
        <v>5510</v>
      </c>
      <c r="K2202" t="s">
        <v>4634</v>
      </c>
    </row>
    <row r="2203" spans="1:11" ht="20" customHeight="1">
      <c r="A2203" t="s">
        <v>26</v>
      </c>
      <c r="B2203" t="s">
        <v>5511</v>
      </c>
      <c r="C2203">
        <v>21233.609375</v>
      </c>
      <c r="D2203">
        <v>21520.9140625</v>
      </c>
      <c r="E2203">
        <v>20964.5859375</v>
      </c>
      <c r="F2203">
        <v>21502.337890625</v>
      </c>
      <c r="G2203">
        <v>21502.337890625</v>
      </c>
      <c r="H2203">
        <v>18372538715</v>
      </c>
      <c r="I2203" t="s">
        <v>5510</v>
      </c>
      <c r="J2203" t="s">
        <v>5512</v>
      </c>
      <c r="K2203" t="s">
        <v>4634</v>
      </c>
    </row>
    <row r="2204" spans="1:11" ht="20" customHeight="1">
      <c r="A2204" t="s">
        <v>26</v>
      </c>
      <c r="B2204" t="s">
        <v>5513</v>
      </c>
      <c r="C2204">
        <v>21496.494140625</v>
      </c>
      <c r="D2204">
        <v>21783.724609375</v>
      </c>
      <c r="E2204">
        <v>21016.26953125</v>
      </c>
      <c r="F2204">
        <v>21027.294921875</v>
      </c>
      <c r="G2204">
        <v>21027.294921875</v>
      </c>
      <c r="H2204">
        <v>18027170497</v>
      </c>
      <c r="I2204" t="s">
        <v>5512</v>
      </c>
      <c r="J2204" t="s">
        <v>5514</v>
      </c>
      <c r="K2204" t="s">
        <v>4634</v>
      </c>
    </row>
    <row r="2205" spans="1:11" ht="20" customHeight="1">
      <c r="A2205" t="s">
        <v>26</v>
      </c>
      <c r="B2205" t="s">
        <v>1428</v>
      </c>
      <c r="C2205">
        <v>21028.23828125</v>
      </c>
      <c r="D2205">
        <v>21478.08984375</v>
      </c>
      <c r="E2205">
        <v>20620.19921875</v>
      </c>
      <c r="F2205">
        <v>20735.478515625</v>
      </c>
      <c r="G2205">
        <v>20735.478515625</v>
      </c>
      <c r="H2205">
        <v>20965695707</v>
      </c>
      <c r="I2205" t="s">
        <v>5514</v>
      </c>
      <c r="J2205" t="s">
        <v>5515</v>
      </c>
      <c r="K2205" t="s">
        <v>4634</v>
      </c>
    </row>
    <row r="2206" spans="1:11" ht="20" customHeight="1">
      <c r="A2206" t="s">
        <v>26</v>
      </c>
      <c r="B2206" t="s">
        <v>1431</v>
      </c>
      <c r="C2206">
        <v>20731.544921875</v>
      </c>
      <c r="D2206">
        <v>21164.423828125</v>
      </c>
      <c r="E2206">
        <v>20228.8125</v>
      </c>
      <c r="F2206">
        <v>20280.634765625</v>
      </c>
      <c r="G2206">
        <v>20280.634765625</v>
      </c>
      <c r="H2206">
        <v>21381535161</v>
      </c>
      <c r="I2206" t="s">
        <v>5515</v>
      </c>
      <c r="J2206" t="s">
        <v>5516</v>
      </c>
      <c r="K2206" t="s">
        <v>4634</v>
      </c>
    </row>
    <row r="2207" spans="1:11" ht="20" customHeight="1">
      <c r="A2207" t="s">
        <v>26</v>
      </c>
      <c r="B2207" t="s">
        <v>1434</v>
      </c>
      <c r="C2207">
        <v>20281.169921875</v>
      </c>
      <c r="D2207">
        <v>20364.15625</v>
      </c>
      <c r="E2207">
        <v>19937.791015625</v>
      </c>
      <c r="F2207">
        <v>20104.0234375</v>
      </c>
      <c r="G2207">
        <v>20104.0234375</v>
      </c>
      <c r="H2207">
        <v>23552740328</v>
      </c>
      <c r="I2207" t="s">
        <v>5516</v>
      </c>
      <c r="J2207" t="s">
        <v>5517</v>
      </c>
      <c r="K2207" t="s">
        <v>4634</v>
      </c>
    </row>
    <row r="2208" spans="1:11" ht="20" customHeight="1">
      <c r="A2208" t="s">
        <v>26</v>
      </c>
      <c r="B2208" t="s">
        <v>1437</v>
      </c>
      <c r="C2208">
        <v>20108.3125</v>
      </c>
      <c r="D2208">
        <v>20141.16015625</v>
      </c>
      <c r="E2208">
        <v>18729.65625</v>
      </c>
      <c r="F2208">
        <v>19784.7265625</v>
      </c>
      <c r="G2208">
        <v>19784.7265625</v>
      </c>
      <c r="H2208">
        <v>26267239923</v>
      </c>
      <c r="I2208" t="s">
        <v>5517</v>
      </c>
      <c r="J2208" t="s">
        <v>5518</v>
      </c>
      <c r="K2208" t="s">
        <v>4634</v>
      </c>
    </row>
    <row r="2209" spans="1:11" ht="20" customHeight="1">
      <c r="A2209" t="s">
        <v>26</v>
      </c>
      <c r="B2209" t="s">
        <v>1440</v>
      </c>
      <c r="C2209">
        <v>19820.470703125</v>
      </c>
      <c r="D2209">
        <v>20632.671875</v>
      </c>
      <c r="E2209">
        <v>19073.708984375</v>
      </c>
      <c r="F2209">
        <v>19269.3671875</v>
      </c>
      <c r="G2209">
        <v>19269.3671875</v>
      </c>
      <c r="H2209">
        <v>30767551159</v>
      </c>
      <c r="I2209" t="s">
        <v>5518</v>
      </c>
      <c r="J2209" t="s">
        <v>5519</v>
      </c>
      <c r="K2209" t="s">
        <v>4634</v>
      </c>
    </row>
    <row r="2210" spans="1:11" ht="20" customHeight="1">
      <c r="A2210" t="s">
        <v>26</v>
      </c>
      <c r="B2210" t="s">
        <v>5520</v>
      </c>
      <c r="C2210">
        <v>19274.8359375</v>
      </c>
      <c r="D2210">
        <v>19371.748046875</v>
      </c>
      <c r="E2210">
        <v>19027.08203125</v>
      </c>
      <c r="F2210">
        <v>19242.255859375</v>
      </c>
      <c r="G2210">
        <v>19242.255859375</v>
      </c>
      <c r="H2210">
        <v>18100418740</v>
      </c>
      <c r="I2210" t="s">
        <v>5519</v>
      </c>
      <c r="J2210" t="s">
        <v>5521</v>
      </c>
      <c r="K2210" t="s">
        <v>4634</v>
      </c>
    </row>
    <row r="2211" spans="1:11" ht="20" customHeight="1">
      <c r="A2211" t="s">
        <v>26</v>
      </c>
      <c r="B2211" t="s">
        <v>5522</v>
      </c>
      <c r="C2211">
        <v>19242.095703125</v>
      </c>
      <c r="D2211">
        <v>19558.26953125</v>
      </c>
      <c r="E2211">
        <v>18966.951171875</v>
      </c>
      <c r="F2211">
        <v>19297.076171875</v>
      </c>
      <c r="G2211">
        <v>19297.076171875</v>
      </c>
      <c r="H2211">
        <v>16390821947</v>
      </c>
      <c r="I2211" t="s">
        <v>5521</v>
      </c>
      <c r="J2211" t="s">
        <v>5523</v>
      </c>
      <c r="K2211" t="s">
        <v>4634</v>
      </c>
    </row>
    <row r="2212" spans="1:11" ht="20" customHeight="1">
      <c r="A2212" t="s">
        <v>26</v>
      </c>
      <c r="B2212" t="s">
        <v>5524</v>
      </c>
      <c r="C2212">
        <v>19297.314453125</v>
      </c>
      <c r="D2212">
        <v>20258.748046875</v>
      </c>
      <c r="E2212">
        <v>19063.06640625</v>
      </c>
      <c r="F2212">
        <v>20231.26171875</v>
      </c>
      <c r="G2212">
        <v>20231.26171875</v>
      </c>
      <c r="H2212">
        <v>21594638208</v>
      </c>
      <c r="I2212" t="s">
        <v>5523</v>
      </c>
      <c r="J2212" t="s">
        <v>5525</v>
      </c>
      <c r="K2212" t="s">
        <v>4634</v>
      </c>
    </row>
    <row r="2213" spans="1:11" ht="20" customHeight="1">
      <c r="A2213" t="s">
        <v>26</v>
      </c>
      <c r="B2213" t="s">
        <v>1443</v>
      </c>
      <c r="C2213">
        <v>20225.353515625</v>
      </c>
      <c r="D2213">
        <v>20635.466796875</v>
      </c>
      <c r="E2213">
        <v>19341.232421875</v>
      </c>
      <c r="F2213">
        <v>20190.115234375</v>
      </c>
      <c r="G2213">
        <v>20190.115234375</v>
      </c>
      <c r="H2213">
        <v>26715546990</v>
      </c>
      <c r="I2213" t="s">
        <v>5525</v>
      </c>
      <c r="J2213" t="s">
        <v>5526</v>
      </c>
      <c r="K2213" t="s">
        <v>4634</v>
      </c>
    </row>
    <row r="2214" spans="1:11" ht="20" customHeight="1">
      <c r="A2214" t="s">
        <v>26</v>
      </c>
      <c r="B2214" t="s">
        <v>1446</v>
      </c>
      <c r="C2214">
        <v>20194.619140625</v>
      </c>
      <c r="D2214">
        <v>20595.529296875</v>
      </c>
      <c r="E2214">
        <v>19823.51171875</v>
      </c>
      <c r="F2214">
        <v>20548.24609375</v>
      </c>
      <c r="G2214">
        <v>20548.24609375</v>
      </c>
      <c r="H2214">
        <v>24598943708</v>
      </c>
      <c r="I2214" t="s">
        <v>5526</v>
      </c>
      <c r="J2214" t="s">
        <v>5527</v>
      </c>
      <c r="K2214" t="s">
        <v>4634</v>
      </c>
    </row>
    <row r="2215" spans="1:11" ht="20" customHeight="1">
      <c r="A2215" t="s">
        <v>26</v>
      </c>
      <c r="B2215" t="s">
        <v>1449</v>
      </c>
      <c r="C2215">
        <v>20547.814453125</v>
      </c>
      <c r="D2215">
        <v>21771.81640625</v>
      </c>
      <c r="E2215">
        <v>20296.103515625</v>
      </c>
      <c r="F2215">
        <v>21637.587890625</v>
      </c>
      <c r="G2215">
        <v>21637.587890625</v>
      </c>
      <c r="H2215">
        <v>25814972520</v>
      </c>
      <c r="I2215" t="s">
        <v>5527</v>
      </c>
      <c r="J2215" t="s">
        <v>5528</v>
      </c>
      <c r="K2215" t="s">
        <v>4634</v>
      </c>
    </row>
    <row r="2216" spans="1:11" ht="20" customHeight="1">
      <c r="A2216" t="s">
        <v>26</v>
      </c>
      <c r="B2216" t="s">
        <v>1452</v>
      </c>
      <c r="C2216">
        <v>21637.154296875</v>
      </c>
      <c r="D2216">
        <v>22314.94140625</v>
      </c>
      <c r="E2216">
        <v>21257.453125</v>
      </c>
      <c r="F2216">
        <v>21731.1171875</v>
      </c>
      <c r="G2216">
        <v>21731.1171875</v>
      </c>
      <c r="H2216">
        <v>49899834488</v>
      </c>
      <c r="I2216" t="s">
        <v>5528</v>
      </c>
      <c r="J2216" t="s">
        <v>5529</v>
      </c>
      <c r="K2216" t="s">
        <v>4634</v>
      </c>
    </row>
    <row r="2217" spans="1:11" ht="20" customHeight="1">
      <c r="A2217" t="s">
        <v>26</v>
      </c>
      <c r="B2217" t="s">
        <v>5530</v>
      </c>
      <c r="C2217">
        <v>21716.828125</v>
      </c>
      <c r="D2217">
        <v>21877.138671875</v>
      </c>
      <c r="E2217">
        <v>21445.95703125</v>
      </c>
      <c r="F2217">
        <v>21592.20703125</v>
      </c>
      <c r="G2217">
        <v>21592.20703125</v>
      </c>
      <c r="H2217">
        <v>29641127858</v>
      </c>
      <c r="I2217" t="s">
        <v>5529</v>
      </c>
      <c r="J2217" t="s">
        <v>5531</v>
      </c>
      <c r="K2217" t="s">
        <v>4634</v>
      </c>
    </row>
    <row r="2218" spans="1:11" ht="20" customHeight="1">
      <c r="A2218" t="s">
        <v>26</v>
      </c>
      <c r="B2218" t="s">
        <v>5532</v>
      </c>
      <c r="C2218">
        <v>21591.080078125</v>
      </c>
      <c r="D2218">
        <v>21591.080078125</v>
      </c>
      <c r="E2218">
        <v>20727.123046875</v>
      </c>
      <c r="F2218">
        <v>20860.44921875</v>
      </c>
      <c r="G2218">
        <v>20860.44921875</v>
      </c>
      <c r="H2218">
        <v>28688807249</v>
      </c>
      <c r="I2218" t="s">
        <v>5531</v>
      </c>
      <c r="J2218" t="s">
        <v>5533</v>
      </c>
      <c r="K2218" t="s">
        <v>4634</v>
      </c>
    </row>
    <row r="2219" spans="1:11" ht="20" customHeight="1">
      <c r="A2219" t="s">
        <v>26</v>
      </c>
      <c r="B2219" t="s">
        <v>1455</v>
      </c>
      <c r="C2219">
        <v>20856.353515625</v>
      </c>
      <c r="D2219">
        <v>20856.353515625</v>
      </c>
      <c r="E2219">
        <v>19924.5390625</v>
      </c>
      <c r="F2219">
        <v>19970.556640625</v>
      </c>
      <c r="G2219">
        <v>19970.556640625</v>
      </c>
      <c r="H2219">
        <v>24150249025</v>
      </c>
      <c r="I2219" t="s">
        <v>5533</v>
      </c>
      <c r="J2219" t="s">
        <v>5534</v>
      </c>
      <c r="K2219" t="s">
        <v>4634</v>
      </c>
    </row>
    <row r="2220" spans="1:11" ht="20" customHeight="1">
      <c r="A2220" t="s">
        <v>26</v>
      </c>
      <c r="B2220" t="s">
        <v>1458</v>
      </c>
      <c r="C2220">
        <v>19970.474609375</v>
      </c>
      <c r="D2220">
        <v>20043.4453125</v>
      </c>
      <c r="E2220">
        <v>19308.53125</v>
      </c>
      <c r="F2220">
        <v>19323.9140625</v>
      </c>
      <c r="G2220">
        <v>19323.9140625</v>
      </c>
      <c r="H2220">
        <v>25810220018</v>
      </c>
      <c r="I2220" t="s">
        <v>5534</v>
      </c>
      <c r="J2220" t="s">
        <v>5535</v>
      </c>
      <c r="K2220" t="s">
        <v>4634</v>
      </c>
    </row>
    <row r="2221" spans="1:11" ht="20" customHeight="1">
      <c r="A2221" t="s">
        <v>26</v>
      </c>
      <c r="B2221" t="s">
        <v>1461</v>
      </c>
      <c r="C2221">
        <v>19325.97265625</v>
      </c>
      <c r="D2221">
        <v>20223.052734375</v>
      </c>
      <c r="E2221">
        <v>18999.953125</v>
      </c>
      <c r="F2221">
        <v>20212.07421875</v>
      </c>
      <c r="G2221">
        <v>20212.07421875</v>
      </c>
      <c r="H2221">
        <v>33042430345</v>
      </c>
      <c r="I2221" t="s">
        <v>5535</v>
      </c>
      <c r="J2221" t="s">
        <v>5536</v>
      </c>
      <c r="K2221" t="s">
        <v>4634</v>
      </c>
    </row>
    <row r="2222" spans="1:11" ht="20" customHeight="1">
      <c r="A2222" t="s">
        <v>26</v>
      </c>
      <c r="B2222" t="s">
        <v>1464</v>
      </c>
      <c r="C2222">
        <v>20211.466796875</v>
      </c>
      <c r="D2222">
        <v>20789.89453125</v>
      </c>
      <c r="E2222">
        <v>19689.2578125</v>
      </c>
      <c r="F2222">
        <v>20569.919921875</v>
      </c>
      <c r="G2222">
        <v>20569.919921875</v>
      </c>
      <c r="H2222">
        <v>31158743333</v>
      </c>
      <c r="I2222" t="s">
        <v>5536</v>
      </c>
      <c r="J2222" t="s">
        <v>5537</v>
      </c>
      <c r="K2222" t="s">
        <v>4634</v>
      </c>
    </row>
    <row r="2223" spans="1:11" ht="20" customHeight="1">
      <c r="A2223" t="s">
        <v>26</v>
      </c>
      <c r="B2223" t="s">
        <v>1467</v>
      </c>
      <c r="C2223">
        <v>20573.15625</v>
      </c>
      <c r="D2223">
        <v>21138.244140625</v>
      </c>
      <c r="E2223">
        <v>20397</v>
      </c>
      <c r="F2223">
        <v>20836.328125</v>
      </c>
      <c r="G2223">
        <v>20836.328125</v>
      </c>
      <c r="H2223">
        <v>25905575359</v>
      </c>
      <c r="I2223" t="s">
        <v>5537</v>
      </c>
      <c r="J2223" t="s">
        <v>5538</v>
      </c>
      <c r="K2223" t="s">
        <v>4634</v>
      </c>
    </row>
    <row r="2224" spans="1:11" ht="20" customHeight="1">
      <c r="A2224" t="s">
        <v>26</v>
      </c>
      <c r="B2224" t="s">
        <v>5539</v>
      </c>
      <c r="C2224">
        <v>20834.103515625</v>
      </c>
      <c r="D2224">
        <v>21514.404296875</v>
      </c>
      <c r="E2224">
        <v>20518.8984375</v>
      </c>
      <c r="F2224">
        <v>21190.31640625</v>
      </c>
      <c r="G2224">
        <v>21190.31640625</v>
      </c>
      <c r="H2224">
        <v>24302954056</v>
      </c>
      <c r="I2224" t="s">
        <v>5538</v>
      </c>
      <c r="J2224" t="s">
        <v>5540</v>
      </c>
      <c r="K2224" t="s">
        <v>4634</v>
      </c>
    </row>
    <row r="2225" spans="1:11" ht="20" customHeight="1">
      <c r="A2225" t="s">
        <v>26</v>
      </c>
      <c r="B2225" t="s">
        <v>5541</v>
      </c>
      <c r="C2225">
        <v>21195.041015625</v>
      </c>
      <c r="D2225">
        <v>21600.640625</v>
      </c>
      <c r="E2225">
        <v>20778.1796875</v>
      </c>
      <c r="F2225">
        <v>20779.34375</v>
      </c>
      <c r="G2225">
        <v>20779.34375</v>
      </c>
      <c r="H2225">
        <v>22927802083</v>
      </c>
      <c r="I2225" t="s">
        <v>5540</v>
      </c>
      <c r="J2225" t="s">
        <v>5542</v>
      </c>
      <c r="K2225" t="s">
        <v>4634</v>
      </c>
    </row>
    <row r="2226" spans="1:11" ht="20" customHeight="1">
      <c r="A2226" t="s">
        <v>26</v>
      </c>
      <c r="B2226" t="s">
        <v>1470</v>
      </c>
      <c r="C2226">
        <v>20781.912109375</v>
      </c>
      <c r="D2226">
        <v>22633.033203125</v>
      </c>
      <c r="E2226">
        <v>20781.912109375</v>
      </c>
      <c r="F2226">
        <v>22485.689453125</v>
      </c>
      <c r="G2226">
        <v>22485.689453125</v>
      </c>
      <c r="H2226">
        <v>39974475562</v>
      </c>
      <c r="I2226" t="s">
        <v>5542</v>
      </c>
      <c r="J2226" t="s">
        <v>5543</v>
      </c>
      <c r="K2226" t="s">
        <v>4634</v>
      </c>
    </row>
    <row r="2227" spans="1:11" ht="20" customHeight="1">
      <c r="A2227" t="s">
        <v>26</v>
      </c>
      <c r="B2227" t="s">
        <v>1473</v>
      </c>
      <c r="C2227">
        <v>22467.849609375</v>
      </c>
      <c r="D2227">
        <v>23666.962890625</v>
      </c>
      <c r="E2227">
        <v>21683.40625</v>
      </c>
      <c r="F2227">
        <v>23389.43359375</v>
      </c>
      <c r="G2227">
        <v>23389.43359375</v>
      </c>
      <c r="H2227">
        <v>48765202697</v>
      </c>
      <c r="I2227" t="s">
        <v>5543</v>
      </c>
      <c r="J2227" t="s">
        <v>5544</v>
      </c>
      <c r="K2227" t="s">
        <v>4634</v>
      </c>
    </row>
    <row r="2228" spans="1:11" ht="20" customHeight="1">
      <c r="A2228" t="s">
        <v>26</v>
      </c>
      <c r="B2228" t="s">
        <v>1476</v>
      </c>
      <c r="C2228">
        <v>23393.19140625</v>
      </c>
      <c r="D2228">
        <v>24196.818359375</v>
      </c>
      <c r="E2228">
        <v>23009.94921875</v>
      </c>
      <c r="F2228">
        <v>23231.732421875</v>
      </c>
      <c r="G2228">
        <v>23231.732421875</v>
      </c>
      <c r="H2228">
        <v>42932549127</v>
      </c>
      <c r="I2228" t="s">
        <v>5544</v>
      </c>
      <c r="J2228" t="s">
        <v>5545</v>
      </c>
      <c r="K2228" t="s">
        <v>4634</v>
      </c>
    </row>
    <row r="2229" spans="1:11" ht="20" customHeight="1">
      <c r="A2229" t="s">
        <v>26</v>
      </c>
      <c r="B2229" t="s">
        <v>1479</v>
      </c>
      <c r="C2229">
        <v>23233.201171875</v>
      </c>
      <c r="D2229">
        <v>23388.322265625</v>
      </c>
      <c r="E2229">
        <v>22431.1484375</v>
      </c>
      <c r="F2229">
        <v>23164.62890625</v>
      </c>
      <c r="G2229">
        <v>23164.62890625</v>
      </c>
      <c r="H2229">
        <v>33631012204</v>
      </c>
      <c r="I2229" t="s">
        <v>5545</v>
      </c>
      <c r="J2229" t="s">
        <v>5546</v>
      </c>
      <c r="K2229" t="s">
        <v>4634</v>
      </c>
    </row>
    <row r="2230" spans="1:11" ht="20" customHeight="1">
      <c r="A2230" t="s">
        <v>26</v>
      </c>
      <c r="B2230" t="s">
        <v>1482</v>
      </c>
      <c r="C2230">
        <v>23163.751953125</v>
      </c>
      <c r="D2230">
        <v>23671.927734375</v>
      </c>
      <c r="E2230">
        <v>22603.416015625</v>
      </c>
      <c r="F2230">
        <v>22714.978515625</v>
      </c>
      <c r="G2230">
        <v>22714.978515625</v>
      </c>
      <c r="H2230">
        <v>31421555646</v>
      </c>
      <c r="I2230" t="s">
        <v>5546</v>
      </c>
      <c r="J2230" t="s">
        <v>5547</v>
      </c>
      <c r="K2230" t="s">
        <v>4634</v>
      </c>
    </row>
    <row r="2231" spans="1:11" ht="20" customHeight="1">
      <c r="A2231" t="s">
        <v>26</v>
      </c>
      <c r="B2231" t="s">
        <v>5548</v>
      </c>
      <c r="C2231">
        <v>22706.984375</v>
      </c>
      <c r="D2231">
        <v>22977.2109375</v>
      </c>
      <c r="E2231">
        <v>22002.91015625</v>
      </c>
      <c r="F2231">
        <v>22465.478515625</v>
      </c>
      <c r="G2231">
        <v>22465.478515625</v>
      </c>
      <c r="H2231">
        <v>24021799169</v>
      </c>
      <c r="I2231" t="s">
        <v>5547</v>
      </c>
      <c r="J2231" t="s">
        <v>5549</v>
      </c>
      <c r="K2231" t="s">
        <v>4634</v>
      </c>
    </row>
    <row r="2232" spans="1:11" ht="20" customHeight="1">
      <c r="A2232" t="s">
        <v>26</v>
      </c>
      <c r="B2232" t="s">
        <v>5550</v>
      </c>
      <c r="C2232">
        <v>22465.509765625</v>
      </c>
      <c r="D2232">
        <v>22974.001953125</v>
      </c>
      <c r="E2232">
        <v>22306.83984375</v>
      </c>
      <c r="F2232">
        <v>22609.1640625</v>
      </c>
      <c r="G2232">
        <v>22609.1640625</v>
      </c>
      <c r="H2232">
        <v>23565495303</v>
      </c>
      <c r="I2232" t="s">
        <v>5549</v>
      </c>
      <c r="J2232" t="s">
        <v>5551</v>
      </c>
      <c r="K2232" t="s">
        <v>4634</v>
      </c>
    </row>
    <row r="2233" spans="1:11" ht="20" customHeight="1">
      <c r="A2233" t="s">
        <v>26</v>
      </c>
      <c r="B2233" t="s">
        <v>1485</v>
      </c>
      <c r="C2233">
        <v>22607.15625</v>
      </c>
      <c r="D2233">
        <v>22649.12109375</v>
      </c>
      <c r="E2233">
        <v>21361.642578125</v>
      </c>
      <c r="F2233">
        <v>21361.701171875</v>
      </c>
      <c r="G2233">
        <v>21361.701171875</v>
      </c>
      <c r="H2233">
        <v>35574561406</v>
      </c>
      <c r="I2233" t="s">
        <v>5551</v>
      </c>
      <c r="J2233" t="s">
        <v>5552</v>
      </c>
      <c r="K2233" t="s">
        <v>4634</v>
      </c>
    </row>
    <row r="2234" spans="1:11" ht="20" customHeight="1">
      <c r="A2234" t="s">
        <v>26</v>
      </c>
      <c r="B2234" t="s">
        <v>1488</v>
      </c>
      <c r="C2234">
        <v>21361.12109375</v>
      </c>
      <c r="D2234">
        <v>21361.12109375</v>
      </c>
      <c r="E2234">
        <v>20776.81640625</v>
      </c>
      <c r="F2234">
        <v>21239.75390625</v>
      </c>
      <c r="G2234">
        <v>21239.75390625</v>
      </c>
      <c r="H2234">
        <v>28624673855</v>
      </c>
      <c r="I2234" t="s">
        <v>5552</v>
      </c>
      <c r="J2234" t="s">
        <v>5553</v>
      </c>
      <c r="K2234" t="s">
        <v>4634</v>
      </c>
    </row>
    <row r="2235" spans="1:11" ht="20" customHeight="1">
      <c r="A2235" t="s">
        <v>26</v>
      </c>
      <c r="B2235" t="s">
        <v>1491</v>
      </c>
      <c r="C2235">
        <v>21244.169921875</v>
      </c>
      <c r="D2235">
        <v>22986.529296875</v>
      </c>
      <c r="E2235">
        <v>21070.806640625</v>
      </c>
      <c r="F2235">
        <v>22930.548828125</v>
      </c>
      <c r="G2235">
        <v>22930.548828125</v>
      </c>
      <c r="H2235">
        <v>31758955233</v>
      </c>
      <c r="I2235" t="s">
        <v>5553</v>
      </c>
      <c r="J2235" t="s">
        <v>5554</v>
      </c>
      <c r="K2235" t="s">
        <v>4634</v>
      </c>
    </row>
    <row r="2236" spans="1:11" ht="20" customHeight="1">
      <c r="A2236" t="s">
        <v>26</v>
      </c>
      <c r="B2236" t="s">
        <v>1494</v>
      </c>
      <c r="C2236">
        <v>22933.640625</v>
      </c>
      <c r="D2236">
        <v>24110.470703125</v>
      </c>
      <c r="E2236">
        <v>22722.265625</v>
      </c>
      <c r="F2236">
        <v>23843.88671875</v>
      </c>
      <c r="G2236">
        <v>23843.88671875</v>
      </c>
      <c r="H2236">
        <v>40212386158</v>
      </c>
      <c r="I2236" t="s">
        <v>5554</v>
      </c>
      <c r="J2236" t="s">
        <v>5555</v>
      </c>
      <c r="K2236" t="s">
        <v>4634</v>
      </c>
    </row>
    <row r="2237" spans="1:11" ht="20" customHeight="1">
      <c r="A2237" t="s">
        <v>26</v>
      </c>
      <c r="B2237" t="s">
        <v>1497</v>
      </c>
      <c r="C2237">
        <v>23845.212890625</v>
      </c>
      <c r="D2237">
        <v>24294.787109375</v>
      </c>
      <c r="E2237">
        <v>23481.173828125</v>
      </c>
      <c r="F2237">
        <v>23804.6328125</v>
      </c>
      <c r="G2237">
        <v>23804.6328125</v>
      </c>
      <c r="H2237">
        <v>35887249746</v>
      </c>
      <c r="I2237" t="s">
        <v>5555</v>
      </c>
      <c r="J2237" t="s">
        <v>5556</v>
      </c>
      <c r="K2237" t="s">
        <v>4634</v>
      </c>
    </row>
    <row r="2238" spans="1:11" ht="20" customHeight="1">
      <c r="A2238" t="s">
        <v>26</v>
      </c>
      <c r="B2238" t="s">
        <v>5557</v>
      </c>
      <c r="C2238">
        <v>23796.818359375</v>
      </c>
      <c r="D2238">
        <v>24572.580078125</v>
      </c>
      <c r="E2238">
        <v>23580.5078125</v>
      </c>
      <c r="F2238">
        <v>23656.20703125</v>
      </c>
      <c r="G2238">
        <v>23656.20703125</v>
      </c>
      <c r="H2238">
        <v>28148218301</v>
      </c>
      <c r="I2238" t="s">
        <v>5556</v>
      </c>
      <c r="J2238" t="s">
        <v>5558</v>
      </c>
      <c r="K2238" t="s">
        <v>4634</v>
      </c>
    </row>
    <row r="2239" spans="1:11" ht="20" customHeight="1">
      <c r="A2239" t="s">
        <v>26</v>
      </c>
      <c r="B2239" t="s">
        <v>5559</v>
      </c>
      <c r="C2239">
        <v>23652.0703125</v>
      </c>
      <c r="D2239">
        <v>24121.642578125</v>
      </c>
      <c r="E2239">
        <v>23275.703125</v>
      </c>
      <c r="F2239">
        <v>23336.896484375</v>
      </c>
      <c r="G2239">
        <v>23336.896484375</v>
      </c>
      <c r="H2239">
        <v>23553591896</v>
      </c>
      <c r="I2239" t="s">
        <v>5558</v>
      </c>
      <c r="J2239" t="s">
        <v>5560</v>
      </c>
      <c r="K2239" t="s">
        <v>4634</v>
      </c>
    </row>
    <row r="2240" spans="1:11" ht="20" customHeight="1">
      <c r="A2240" t="s">
        <v>26</v>
      </c>
      <c r="B2240" t="s">
        <v>1500</v>
      </c>
      <c r="C2240">
        <v>23336.71875</v>
      </c>
      <c r="D2240">
        <v>23464.787109375</v>
      </c>
      <c r="E2240">
        <v>22890.796875</v>
      </c>
      <c r="F2240">
        <v>23314.19921875</v>
      </c>
      <c r="G2240">
        <v>23314.19921875</v>
      </c>
      <c r="H2240">
        <v>25849159141</v>
      </c>
      <c r="I2240" t="s">
        <v>5560</v>
      </c>
      <c r="J2240" t="s">
        <v>5561</v>
      </c>
      <c r="K2240" t="s">
        <v>4634</v>
      </c>
    </row>
    <row r="2241" spans="1:11" ht="20" customHeight="1">
      <c r="A2241" t="s">
        <v>26</v>
      </c>
      <c r="B2241" t="s">
        <v>1503</v>
      </c>
      <c r="C2241">
        <v>23308.43359375</v>
      </c>
      <c r="D2241">
        <v>23415.041015625</v>
      </c>
      <c r="E2241">
        <v>22710.083984375</v>
      </c>
      <c r="F2241">
        <v>22978.1171875</v>
      </c>
      <c r="G2241">
        <v>22978.1171875</v>
      </c>
      <c r="H2241">
        <v>28389250717</v>
      </c>
      <c r="I2241" t="s">
        <v>5561</v>
      </c>
      <c r="J2241" t="s">
        <v>5562</v>
      </c>
      <c r="K2241" t="s">
        <v>4634</v>
      </c>
    </row>
    <row r="2242" spans="1:11" ht="20" customHeight="1">
      <c r="A2242" t="s">
        <v>26</v>
      </c>
      <c r="B2242" t="s">
        <v>1506</v>
      </c>
      <c r="C2242">
        <v>22981.302734375</v>
      </c>
      <c r="D2242">
        <v>23578.650390625</v>
      </c>
      <c r="E2242">
        <v>22747.8359375</v>
      </c>
      <c r="F2242">
        <v>22846.5078125</v>
      </c>
      <c r="G2242">
        <v>22846.5078125</v>
      </c>
      <c r="H2242">
        <v>26288169966</v>
      </c>
      <c r="I2242" t="s">
        <v>5562</v>
      </c>
      <c r="J2242" t="s">
        <v>5563</v>
      </c>
      <c r="K2242" t="s">
        <v>4634</v>
      </c>
    </row>
    <row r="2243" spans="1:11" ht="20" customHeight="1">
      <c r="A2243" t="s">
        <v>26</v>
      </c>
      <c r="B2243" t="s">
        <v>1509</v>
      </c>
      <c r="C2243">
        <v>22848.21484375</v>
      </c>
      <c r="D2243">
        <v>23198.009765625</v>
      </c>
      <c r="E2243">
        <v>22485.701171875</v>
      </c>
      <c r="F2243">
        <v>22630.95703125</v>
      </c>
      <c r="G2243">
        <v>22630.95703125</v>
      </c>
      <c r="H2243">
        <v>25120229769</v>
      </c>
      <c r="I2243" t="s">
        <v>5563</v>
      </c>
      <c r="J2243" t="s">
        <v>5564</v>
      </c>
      <c r="K2243" t="s">
        <v>4634</v>
      </c>
    </row>
    <row r="2244" spans="1:11" ht="20" customHeight="1">
      <c r="A2244" t="s">
        <v>26</v>
      </c>
      <c r="B2244" t="s">
        <v>1512</v>
      </c>
      <c r="C2244">
        <v>22626.833984375</v>
      </c>
      <c r="D2244">
        <v>23422.828125</v>
      </c>
      <c r="E2244">
        <v>22612.177734375</v>
      </c>
      <c r="F2244">
        <v>23289.314453125</v>
      </c>
      <c r="G2244">
        <v>23289.314453125</v>
      </c>
      <c r="H2244">
        <v>28881249043</v>
      </c>
      <c r="I2244" t="s">
        <v>5564</v>
      </c>
      <c r="J2244" t="s">
        <v>5565</v>
      </c>
      <c r="K2244" t="s">
        <v>4634</v>
      </c>
    </row>
    <row r="2245" spans="1:11" ht="20" customHeight="1">
      <c r="A2245" t="s">
        <v>26</v>
      </c>
      <c r="B2245" t="s">
        <v>5566</v>
      </c>
      <c r="C2245">
        <v>23291.423828125</v>
      </c>
      <c r="D2245">
        <v>23326.5625</v>
      </c>
      <c r="E2245">
        <v>22961.279296875</v>
      </c>
      <c r="F2245">
        <v>22961.279296875</v>
      </c>
      <c r="G2245">
        <v>22961.279296875</v>
      </c>
      <c r="H2245">
        <v>15978259885</v>
      </c>
      <c r="I2245" t="s">
        <v>5565</v>
      </c>
      <c r="J2245" t="s">
        <v>5567</v>
      </c>
      <c r="K2245" t="s">
        <v>4634</v>
      </c>
    </row>
    <row r="2246" spans="1:11" ht="20" customHeight="1">
      <c r="A2246" t="s">
        <v>26</v>
      </c>
      <c r="B2246" t="s">
        <v>5568</v>
      </c>
      <c r="C2246">
        <v>22963.505859375</v>
      </c>
      <c r="D2246">
        <v>23359.009765625</v>
      </c>
      <c r="E2246">
        <v>22894.556640625</v>
      </c>
      <c r="F2246">
        <v>23175.890625</v>
      </c>
      <c r="G2246">
        <v>23175.890625</v>
      </c>
      <c r="H2246">
        <v>15886817043</v>
      </c>
      <c r="I2246" t="s">
        <v>5567</v>
      </c>
      <c r="J2246" t="s">
        <v>5569</v>
      </c>
      <c r="K2246" t="s">
        <v>4634</v>
      </c>
    </row>
    <row r="2247" spans="1:11" ht="20" customHeight="1">
      <c r="A2247" t="s">
        <v>26</v>
      </c>
      <c r="B2247" t="s">
        <v>1515</v>
      </c>
      <c r="C2247">
        <v>23179.52734375</v>
      </c>
      <c r="D2247">
        <v>24203.689453125</v>
      </c>
      <c r="E2247">
        <v>23176.546875</v>
      </c>
      <c r="F2247">
        <v>23809.486328125</v>
      </c>
      <c r="G2247">
        <v>23809.486328125</v>
      </c>
      <c r="H2247">
        <v>28575544847</v>
      </c>
      <c r="I2247" t="s">
        <v>5569</v>
      </c>
      <c r="J2247" t="s">
        <v>5570</v>
      </c>
      <c r="K2247" t="s">
        <v>4634</v>
      </c>
    </row>
    <row r="2248" spans="1:11" ht="20" customHeight="1">
      <c r="A2248" t="s">
        <v>26</v>
      </c>
      <c r="B2248" t="s">
        <v>1518</v>
      </c>
      <c r="C2248">
        <v>23811.484375</v>
      </c>
      <c r="D2248">
        <v>23898.615234375</v>
      </c>
      <c r="E2248">
        <v>22982</v>
      </c>
      <c r="F2248">
        <v>23164.318359375</v>
      </c>
      <c r="G2248">
        <v>23164.318359375</v>
      </c>
      <c r="H2248">
        <v>23555719219</v>
      </c>
      <c r="I2248" t="s">
        <v>5570</v>
      </c>
      <c r="J2248" t="s">
        <v>5571</v>
      </c>
      <c r="K2248" t="s">
        <v>4634</v>
      </c>
    </row>
    <row r="2249" spans="1:11" ht="20" customHeight="1">
      <c r="A2249" t="s">
        <v>26</v>
      </c>
      <c r="B2249" t="s">
        <v>1521</v>
      </c>
      <c r="C2249">
        <v>23162.8984375</v>
      </c>
      <c r="D2249">
        <v>24127.4140625</v>
      </c>
      <c r="E2249">
        <v>22771.51953125</v>
      </c>
      <c r="F2249">
        <v>23947.642578125</v>
      </c>
      <c r="G2249">
        <v>23947.642578125</v>
      </c>
      <c r="H2249">
        <v>32837431722</v>
      </c>
      <c r="I2249" t="s">
        <v>5571</v>
      </c>
      <c r="J2249" t="s">
        <v>5572</v>
      </c>
      <c r="K2249" t="s">
        <v>4634</v>
      </c>
    </row>
    <row r="2250" spans="1:11" ht="20" customHeight="1">
      <c r="A2250" t="s">
        <v>26</v>
      </c>
      <c r="B2250" t="s">
        <v>1524</v>
      </c>
      <c r="C2250">
        <v>23948.345703125</v>
      </c>
      <c r="D2250">
        <v>24822.62890625</v>
      </c>
      <c r="E2250">
        <v>23900.99609375</v>
      </c>
      <c r="F2250">
        <v>23957.529296875</v>
      </c>
      <c r="G2250">
        <v>23957.529296875</v>
      </c>
      <c r="H2250">
        <v>37127036580</v>
      </c>
      <c r="I2250" t="s">
        <v>5572</v>
      </c>
      <c r="J2250" t="s">
        <v>5573</v>
      </c>
      <c r="K2250" t="s">
        <v>4634</v>
      </c>
    </row>
    <row r="2251" spans="1:11" ht="20" customHeight="1">
      <c r="A2251" t="s">
        <v>26</v>
      </c>
      <c r="B2251" t="s">
        <v>1527</v>
      </c>
      <c r="C2251">
        <v>23957.203125</v>
      </c>
      <c r="D2251">
        <v>24412.56640625</v>
      </c>
      <c r="E2251">
        <v>23657.265625</v>
      </c>
      <c r="F2251">
        <v>24402.818359375</v>
      </c>
      <c r="G2251">
        <v>24402.818359375</v>
      </c>
      <c r="H2251">
        <v>27265804688</v>
      </c>
      <c r="I2251" t="s">
        <v>5573</v>
      </c>
      <c r="J2251" t="s">
        <v>5574</v>
      </c>
      <c r="K2251" t="s">
        <v>4634</v>
      </c>
    </row>
    <row r="2252" spans="1:11" ht="20" customHeight="1">
      <c r="A2252" t="s">
        <v>26</v>
      </c>
      <c r="B2252" t="s">
        <v>5575</v>
      </c>
      <c r="C2252">
        <v>24402.1875</v>
      </c>
      <c r="D2252">
        <v>24860.05078125</v>
      </c>
      <c r="E2252">
        <v>24346.115234375</v>
      </c>
      <c r="F2252">
        <v>24424.068359375</v>
      </c>
      <c r="G2252">
        <v>24424.068359375</v>
      </c>
      <c r="H2252">
        <v>22987346289</v>
      </c>
      <c r="I2252" t="s">
        <v>5574</v>
      </c>
      <c r="J2252" t="s">
        <v>5576</v>
      </c>
      <c r="K2252" t="s">
        <v>4634</v>
      </c>
    </row>
    <row r="2253" spans="1:11" ht="20" customHeight="1">
      <c r="A2253" t="s">
        <v>26</v>
      </c>
      <c r="B2253" t="s">
        <v>5577</v>
      </c>
      <c r="C2253">
        <v>24429.056640625</v>
      </c>
      <c r="D2253">
        <v>24974.9140625</v>
      </c>
      <c r="E2253">
        <v>24206.259765625</v>
      </c>
      <c r="F2253">
        <v>24319.333984375</v>
      </c>
      <c r="G2253">
        <v>24319.333984375</v>
      </c>
      <c r="H2253">
        <v>22994133555</v>
      </c>
      <c r="I2253" t="s">
        <v>5576</v>
      </c>
      <c r="J2253" t="s">
        <v>5578</v>
      </c>
      <c r="K2253" t="s">
        <v>4634</v>
      </c>
    </row>
    <row r="2254" spans="1:11" ht="20" customHeight="1">
      <c r="A2254" t="s">
        <v>26</v>
      </c>
      <c r="B2254" t="s">
        <v>1530</v>
      </c>
      <c r="C2254">
        <v>24318.31640625</v>
      </c>
      <c r="D2254">
        <v>25135.58984375</v>
      </c>
      <c r="E2254">
        <v>23839.775390625</v>
      </c>
      <c r="F2254">
        <v>24136.97265625</v>
      </c>
      <c r="G2254">
        <v>24136.97265625</v>
      </c>
      <c r="H2254">
        <v>35123501685</v>
      </c>
      <c r="I2254" t="s">
        <v>5578</v>
      </c>
      <c r="J2254" t="s">
        <v>5579</v>
      </c>
      <c r="K2254" t="s">
        <v>4634</v>
      </c>
    </row>
    <row r="2255" spans="1:11" ht="20" customHeight="1">
      <c r="A2255" t="s">
        <v>26</v>
      </c>
      <c r="B2255" t="s">
        <v>1533</v>
      </c>
      <c r="C2255">
        <v>24126.13671875</v>
      </c>
      <c r="D2255">
        <v>24228.416015625</v>
      </c>
      <c r="E2255">
        <v>23733.5</v>
      </c>
      <c r="F2255">
        <v>23883.291015625</v>
      </c>
      <c r="G2255">
        <v>23883.291015625</v>
      </c>
      <c r="H2255">
        <v>27753685646</v>
      </c>
      <c r="I2255" t="s">
        <v>5579</v>
      </c>
      <c r="J2255" t="s">
        <v>5580</v>
      </c>
      <c r="K2255" t="s">
        <v>4634</v>
      </c>
    </row>
    <row r="2256" spans="1:11" ht="20" customHeight="1">
      <c r="A2256" t="s">
        <v>26</v>
      </c>
      <c r="B2256" t="s">
        <v>1536</v>
      </c>
      <c r="C2256">
        <v>23881.31640625</v>
      </c>
      <c r="D2256">
        <v>24407.05859375</v>
      </c>
      <c r="E2256">
        <v>23243.353515625</v>
      </c>
      <c r="F2256">
        <v>23335.998046875</v>
      </c>
      <c r="G2256">
        <v>23335.998046875</v>
      </c>
      <c r="H2256">
        <v>30931623076</v>
      </c>
      <c r="I2256" t="s">
        <v>5580</v>
      </c>
      <c r="J2256" t="s">
        <v>5581</v>
      </c>
      <c r="K2256" t="s">
        <v>4634</v>
      </c>
    </row>
    <row r="2257" spans="1:11" ht="20" customHeight="1">
      <c r="A2257" t="s">
        <v>26</v>
      </c>
      <c r="B2257" t="s">
        <v>1539</v>
      </c>
      <c r="C2257">
        <v>23341.0390625</v>
      </c>
      <c r="D2257">
        <v>23563.83203125</v>
      </c>
      <c r="E2257">
        <v>23177.6015625</v>
      </c>
      <c r="F2257">
        <v>23212.73828125</v>
      </c>
      <c r="G2257">
        <v>23212.73828125</v>
      </c>
      <c r="H2257">
        <v>23747613147</v>
      </c>
      <c r="I2257" t="s">
        <v>5581</v>
      </c>
      <c r="J2257" t="s">
        <v>5582</v>
      </c>
      <c r="K2257" t="s">
        <v>4634</v>
      </c>
    </row>
    <row r="2258" spans="1:11" ht="20" customHeight="1">
      <c r="A2258" t="s">
        <v>26</v>
      </c>
      <c r="B2258" t="s">
        <v>1542</v>
      </c>
      <c r="C2258">
        <v>23213.3125</v>
      </c>
      <c r="D2258">
        <v>23213.3125</v>
      </c>
      <c r="E2258">
        <v>20868.84765625</v>
      </c>
      <c r="F2258">
        <v>20877.552734375</v>
      </c>
      <c r="G2258">
        <v>20877.552734375</v>
      </c>
      <c r="H2258">
        <v>40509610260</v>
      </c>
      <c r="I2258" t="s">
        <v>5582</v>
      </c>
      <c r="J2258" t="s">
        <v>5583</v>
      </c>
      <c r="K2258" t="s">
        <v>4634</v>
      </c>
    </row>
    <row r="2259" spans="1:11" ht="20" customHeight="1">
      <c r="A2259" t="s">
        <v>26</v>
      </c>
      <c r="B2259" t="s">
        <v>5584</v>
      </c>
      <c r="C2259">
        <v>20872.841796875</v>
      </c>
      <c r="D2259">
        <v>21350.806640625</v>
      </c>
      <c r="E2259">
        <v>20856.73046875</v>
      </c>
      <c r="F2259">
        <v>21166.060546875</v>
      </c>
      <c r="G2259">
        <v>21166.060546875</v>
      </c>
      <c r="H2259">
        <v>27595671000</v>
      </c>
      <c r="I2259" t="s">
        <v>5583</v>
      </c>
      <c r="J2259" t="s">
        <v>5585</v>
      </c>
      <c r="K2259" t="s">
        <v>4634</v>
      </c>
    </row>
    <row r="2260" spans="1:11" ht="20" customHeight="1">
      <c r="A2260" t="s">
        <v>26</v>
      </c>
      <c r="B2260" t="s">
        <v>5586</v>
      </c>
      <c r="C2260">
        <v>21160.392578125</v>
      </c>
      <c r="D2260">
        <v>21668.845703125</v>
      </c>
      <c r="E2260">
        <v>21103.197265625</v>
      </c>
      <c r="F2260">
        <v>21534.12109375</v>
      </c>
      <c r="G2260">
        <v>21534.12109375</v>
      </c>
      <c r="H2260">
        <v>23102307723</v>
      </c>
      <c r="I2260" t="s">
        <v>5585</v>
      </c>
      <c r="J2260" t="s">
        <v>5587</v>
      </c>
      <c r="K2260" t="s">
        <v>4634</v>
      </c>
    </row>
    <row r="2261" spans="1:11" ht="20" customHeight="1">
      <c r="A2261" t="s">
        <v>26</v>
      </c>
      <c r="B2261" t="s">
        <v>1545</v>
      </c>
      <c r="C2261">
        <v>21531.462890625</v>
      </c>
      <c r="D2261">
        <v>21531.462890625</v>
      </c>
      <c r="E2261">
        <v>20939.18359375</v>
      </c>
      <c r="F2261">
        <v>21398.908203125</v>
      </c>
      <c r="G2261">
        <v>21398.908203125</v>
      </c>
      <c r="H2261">
        <v>31666498758</v>
      </c>
      <c r="I2261" t="s">
        <v>5587</v>
      </c>
      <c r="J2261" t="s">
        <v>5588</v>
      </c>
      <c r="K2261" t="s">
        <v>4634</v>
      </c>
    </row>
    <row r="2262" spans="1:11" ht="20" customHeight="1">
      <c r="A2262" t="s">
        <v>26</v>
      </c>
      <c r="B2262" t="s">
        <v>1548</v>
      </c>
      <c r="C2262">
        <v>21401.044921875</v>
      </c>
      <c r="D2262">
        <v>21646.203125</v>
      </c>
      <c r="E2262">
        <v>20955.138671875</v>
      </c>
      <c r="F2262">
        <v>21528.087890625</v>
      </c>
      <c r="G2262">
        <v>21528.087890625</v>
      </c>
      <c r="H2262">
        <v>31878280659</v>
      </c>
      <c r="I2262" t="s">
        <v>5588</v>
      </c>
      <c r="J2262" t="s">
        <v>5589</v>
      </c>
      <c r="K2262" t="s">
        <v>4634</v>
      </c>
    </row>
    <row r="2263" spans="1:11" ht="20" customHeight="1">
      <c r="A2263" t="s">
        <v>26</v>
      </c>
      <c r="B2263" t="s">
        <v>1551</v>
      </c>
      <c r="C2263">
        <v>21526.455078125</v>
      </c>
      <c r="D2263">
        <v>21783.076171875</v>
      </c>
      <c r="E2263">
        <v>21195.005859375</v>
      </c>
      <c r="F2263">
        <v>21395.01953125</v>
      </c>
      <c r="G2263">
        <v>21395.01953125</v>
      </c>
      <c r="H2263">
        <v>31962253368</v>
      </c>
      <c r="I2263" t="s">
        <v>5589</v>
      </c>
      <c r="J2263" t="s">
        <v>5590</v>
      </c>
      <c r="K2263" t="s">
        <v>4634</v>
      </c>
    </row>
    <row r="2264" spans="1:11" ht="20" customHeight="1">
      <c r="A2264" t="s">
        <v>26</v>
      </c>
      <c r="B2264" t="s">
        <v>1554</v>
      </c>
      <c r="C2264">
        <v>21395.458984375</v>
      </c>
      <c r="D2264">
        <v>21789.63671875</v>
      </c>
      <c r="E2264">
        <v>21362.44140625</v>
      </c>
      <c r="F2264">
        <v>21600.904296875</v>
      </c>
      <c r="G2264">
        <v>21600.904296875</v>
      </c>
      <c r="H2264">
        <v>31028679593</v>
      </c>
      <c r="I2264" t="s">
        <v>5590</v>
      </c>
      <c r="J2264" t="s">
        <v>5591</v>
      </c>
      <c r="K2264" t="s">
        <v>4634</v>
      </c>
    </row>
    <row r="2265" spans="1:11" ht="20" customHeight="1">
      <c r="A2265" t="s">
        <v>26</v>
      </c>
      <c r="B2265" t="s">
        <v>1557</v>
      </c>
      <c r="C2265">
        <v>21596.0859375</v>
      </c>
      <c r="D2265">
        <v>21804.908203125</v>
      </c>
      <c r="E2265">
        <v>20199.482421875</v>
      </c>
      <c r="F2265">
        <v>20260.01953125</v>
      </c>
      <c r="G2265">
        <v>20260.01953125</v>
      </c>
      <c r="H2265">
        <v>42326789564</v>
      </c>
      <c r="I2265" t="s">
        <v>5591</v>
      </c>
      <c r="J2265" t="s">
        <v>5592</v>
      </c>
      <c r="K2265" t="s">
        <v>4634</v>
      </c>
    </row>
    <row r="2266" spans="1:11" ht="20" customHeight="1">
      <c r="A2266" t="s">
        <v>26</v>
      </c>
      <c r="B2266" t="s">
        <v>5593</v>
      </c>
      <c r="C2266">
        <v>20262.48046875</v>
      </c>
      <c r="D2266">
        <v>20340.775390625</v>
      </c>
      <c r="E2266">
        <v>19890.5234375</v>
      </c>
      <c r="F2266">
        <v>20041.73828125</v>
      </c>
      <c r="G2266">
        <v>20041.73828125</v>
      </c>
      <c r="H2266">
        <v>30116729776</v>
      </c>
      <c r="I2266" t="s">
        <v>5592</v>
      </c>
      <c r="J2266" t="s">
        <v>5594</v>
      </c>
      <c r="K2266" t="s">
        <v>4634</v>
      </c>
    </row>
    <row r="2267" spans="1:11" ht="20" customHeight="1">
      <c r="A2267" t="s">
        <v>26</v>
      </c>
      <c r="B2267" t="s">
        <v>5595</v>
      </c>
      <c r="C2267">
        <v>20041.03515625</v>
      </c>
      <c r="D2267">
        <v>20139.0546875</v>
      </c>
      <c r="E2267">
        <v>19616.814453125</v>
      </c>
      <c r="F2267">
        <v>19616.814453125</v>
      </c>
      <c r="G2267">
        <v>19616.814453125</v>
      </c>
      <c r="H2267">
        <v>24366810591</v>
      </c>
      <c r="I2267" t="s">
        <v>5594</v>
      </c>
      <c r="J2267" t="s">
        <v>5596</v>
      </c>
      <c r="K2267" t="s">
        <v>4634</v>
      </c>
    </row>
    <row r="2268" spans="1:11" ht="20" customHeight="1">
      <c r="A2268" t="s">
        <v>26</v>
      </c>
      <c r="B2268" t="s">
        <v>1560</v>
      </c>
      <c r="C2268">
        <v>19615.154296875</v>
      </c>
      <c r="D2268">
        <v>20357.462890625</v>
      </c>
      <c r="E2268">
        <v>19600.78515625</v>
      </c>
      <c r="F2268">
        <v>20297.994140625</v>
      </c>
      <c r="G2268">
        <v>20297.994140625</v>
      </c>
      <c r="H2268">
        <v>32637854078</v>
      </c>
      <c r="I2268" t="s">
        <v>5596</v>
      </c>
      <c r="J2268" t="s">
        <v>5597</v>
      </c>
      <c r="K2268" t="s">
        <v>4634</v>
      </c>
    </row>
    <row r="2269" spans="1:11" ht="20" customHeight="1">
      <c r="A2269" t="s">
        <v>26</v>
      </c>
      <c r="B2269" t="s">
        <v>1563</v>
      </c>
      <c r="C2269">
        <v>20298.611328125</v>
      </c>
      <c r="D2269">
        <v>20542.64453125</v>
      </c>
      <c r="E2269">
        <v>19617.640625</v>
      </c>
      <c r="F2269">
        <v>19796.80859375</v>
      </c>
      <c r="G2269">
        <v>19796.80859375</v>
      </c>
      <c r="H2269">
        <v>34483360283</v>
      </c>
      <c r="I2269" t="s">
        <v>5597</v>
      </c>
      <c r="J2269" t="s">
        <v>5598</v>
      </c>
      <c r="K2269" t="s">
        <v>4634</v>
      </c>
    </row>
    <row r="2270" spans="1:11" ht="20" customHeight="1">
      <c r="A2270" t="s">
        <v>26</v>
      </c>
      <c r="B2270" t="s">
        <v>1566</v>
      </c>
      <c r="C2270">
        <v>19799.58203125</v>
      </c>
      <c r="D2270">
        <v>20420.990234375</v>
      </c>
      <c r="E2270">
        <v>19799.58203125</v>
      </c>
      <c r="F2270">
        <v>20049.763671875</v>
      </c>
      <c r="G2270">
        <v>20049.763671875</v>
      </c>
      <c r="H2270">
        <v>33225232872</v>
      </c>
      <c r="I2270" t="s">
        <v>5598</v>
      </c>
      <c r="J2270" t="s">
        <v>5599</v>
      </c>
      <c r="K2270" t="s">
        <v>4634</v>
      </c>
    </row>
    <row r="2271" spans="1:11" ht="20" customHeight="1">
      <c r="A2271" t="s">
        <v>26</v>
      </c>
      <c r="B2271" t="s">
        <v>1569</v>
      </c>
      <c r="C2271">
        <v>20050.498046875</v>
      </c>
      <c r="D2271">
        <v>20198.390625</v>
      </c>
      <c r="E2271">
        <v>19653.96875</v>
      </c>
      <c r="F2271">
        <v>20127.140625</v>
      </c>
      <c r="G2271">
        <v>20127.140625</v>
      </c>
      <c r="H2271">
        <v>30182031010</v>
      </c>
      <c r="I2271" t="s">
        <v>5599</v>
      </c>
      <c r="J2271" t="s">
        <v>5600</v>
      </c>
      <c r="K2271" t="s">
        <v>4634</v>
      </c>
    </row>
    <row r="2272" spans="1:11" ht="20" customHeight="1">
      <c r="A2272" t="s">
        <v>26</v>
      </c>
      <c r="B2272" t="s">
        <v>1572</v>
      </c>
      <c r="C2272">
        <v>20126.072265625</v>
      </c>
      <c r="D2272">
        <v>20401.568359375</v>
      </c>
      <c r="E2272">
        <v>19814.765625</v>
      </c>
      <c r="F2272">
        <v>19969.771484375</v>
      </c>
      <c r="G2272">
        <v>19969.771484375</v>
      </c>
      <c r="H2272">
        <v>29123998928</v>
      </c>
      <c r="I2272" t="s">
        <v>5600</v>
      </c>
      <c r="J2272" t="s">
        <v>5601</v>
      </c>
      <c r="K2272" t="s">
        <v>4634</v>
      </c>
    </row>
    <row r="2273" spans="1:11" ht="20" customHeight="1">
      <c r="A2273" t="s">
        <v>26</v>
      </c>
      <c r="B2273" t="s">
        <v>5602</v>
      </c>
      <c r="C2273">
        <v>19969.71875</v>
      </c>
      <c r="D2273">
        <v>20037.009765625</v>
      </c>
      <c r="E2273">
        <v>19698.35546875</v>
      </c>
      <c r="F2273">
        <v>19832.087890625</v>
      </c>
      <c r="G2273">
        <v>19832.087890625</v>
      </c>
      <c r="H2273">
        <v>23613051457</v>
      </c>
      <c r="I2273" t="s">
        <v>5601</v>
      </c>
      <c r="J2273" t="s">
        <v>5603</v>
      </c>
      <c r="K2273" t="s">
        <v>4634</v>
      </c>
    </row>
    <row r="2274" spans="1:11" ht="20" customHeight="1">
      <c r="A2274" t="s">
        <v>26</v>
      </c>
      <c r="B2274" t="s">
        <v>5604</v>
      </c>
      <c r="C2274">
        <v>19832.470703125</v>
      </c>
      <c r="D2274">
        <v>19999.689453125</v>
      </c>
      <c r="E2274">
        <v>19636.81640625</v>
      </c>
      <c r="F2274">
        <v>19986.712890625</v>
      </c>
      <c r="G2274">
        <v>19986.712890625</v>
      </c>
      <c r="H2274">
        <v>25245861652</v>
      </c>
      <c r="I2274" t="s">
        <v>5603</v>
      </c>
      <c r="J2274" t="s">
        <v>5605</v>
      </c>
      <c r="K2274" t="s">
        <v>4634</v>
      </c>
    </row>
    <row r="2275" spans="1:11" ht="20" customHeight="1">
      <c r="A2275" t="s">
        <v>26</v>
      </c>
      <c r="B2275" t="s">
        <v>5606</v>
      </c>
      <c r="C2275">
        <v>19988.7890625</v>
      </c>
      <c r="D2275">
        <v>20031.16015625</v>
      </c>
      <c r="E2275">
        <v>19673.046875</v>
      </c>
      <c r="F2275">
        <v>19812.37109375</v>
      </c>
      <c r="G2275">
        <v>19812.37109375</v>
      </c>
      <c r="H2275">
        <v>28813460025</v>
      </c>
      <c r="I2275" t="s">
        <v>5605</v>
      </c>
      <c r="J2275" t="s">
        <v>5607</v>
      </c>
      <c r="K2275" t="s">
        <v>4634</v>
      </c>
    </row>
    <row r="2276" spans="1:11" ht="20" customHeight="1">
      <c r="A2276" t="s">
        <v>26</v>
      </c>
      <c r="B2276" t="s">
        <v>1575</v>
      </c>
      <c r="C2276">
        <v>19817.724609375</v>
      </c>
      <c r="D2276">
        <v>20155.26953125</v>
      </c>
      <c r="E2276">
        <v>18800.171875</v>
      </c>
      <c r="F2276">
        <v>18837.66796875</v>
      </c>
      <c r="G2276">
        <v>18837.66796875</v>
      </c>
      <c r="H2276">
        <v>43403978910</v>
      </c>
      <c r="I2276" t="s">
        <v>5607</v>
      </c>
      <c r="J2276" t="s">
        <v>5608</v>
      </c>
      <c r="K2276" t="s">
        <v>4634</v>
      </c>
    </row>
    <row r="2277" spans="1:11" ht="20" customHeight="1">
      <c r="A2277" t="s">
        <v>26</v>
      </c>
      <c r="B2277" t="s">
        <v>1578</v>
      </c>
      <c r="C2277">
        <v>18837.68359375</v>
      </c>
      <c r="D2277">
        <v>19427.171875</v>
      </c>
      <c r="E2277">
        <v>18644.466796875</v>
      </c>
      <c r="F2277">
        <v>19290.32421875</v>
      </c>
      <c r="G2277">
        <v>19290.32421875</v>
      </c>
      <c r="H2277">
        <v>35239757134</v>
      </c>
      <c r="I2277" t="s">
        <v>5608</v>
      </c>
      <c r="J2277" t="s">
        <v>5609</v>
      </c>
      <c r="K2277" t="s">
        <v>4634</v>
      </c>
    </row>
    <row r="2278" spans="1:11" ht="20" customHeight="1">
      <c r="A2278" t="s">
        <v>26</v>
      </c>
      <c r="B2278" t="s">
        <v>1581</v>
      </c>
      <c r="C2278">
        <v>19289.94140625</v>
      </c>
      <c r="D2278">
        <v>19417.3515625</v>
      </c>
      <c r="E2278">
        <v>19076.71484375</v>
      </c>
      <c r="F2278">
        <v>19329.833984375</v>
      </c>
      <c r="G2278">
        <v>19329.833984375</v>
      </c>
      <c r="H2278">
        <v>32194477850</v>
      </c>
      <c r="I2278" t="s">
        <v>5609</v>
      </c>
      <c r="J2278" t="s">
        <v>5610</v>
      </c>
      <c r="K2278" t="s">
        <v>4634</v>
      </c>
    </row>
    <row r="2279" spans="1:11" ht="20" customHeight="1">
      <c r="A2279" t="s">
        <v>26</v>
      </c>
      <c r="B2279" t="s">
        <v>1584</v>
      </c>
      <c r="C2279">
        <v>19328.140625</v>
      </c>
      <c r="D2279">
        <v>21439.41015625</v>
      </c>
      <c r="E2279">
        <v>19310.962890625</v>
      </c>
      <c r="F2279">
        <v>21381.15234375</v>
      </c>
      <c r="G2279">
        <v>21381.15234375</v>
      </c>
      <c r="H2279">
        <v>48469528171</v>
      </c>
      <c r="I2279" t="s">
        <v>5610</v>
      </c>
      <c r="J2279" t="s">
        <v>5611</v>
      </c>
      <c r="K2279" t="s">
        <v>4634</v>
      </c>
    </row>
    <row r="2280" spans="1:11" ht="20" customHeight="1">
      <c r="A2280" t="s">
        <v>26</v>
      </c>
      <c r="B2280" t="s">
        <v>5612</v>
      </c>
      <c r="C2280">
        <v>21376.912109375</v>
      </c>
      <c r="D2280">
        <v>21760.275390625</v>
      </c>
      <c r="E2280">
        <v>21168.72265625</v>
      </c>
      <c r="F2280">
        <v>21680.5390625</v>
      </c>
      <c r="G2280">
        <v>21680.5390625</v>
      </c>
      <c r="H2280">
        <v>36913738894</v>
      </c>
      <c r="I2280" t="s">
        <v>5611</v>
      </c>
      <c r="J2280" t="s">
        <v>5613</v>
      </c>
      <c r="K2280" t="s">
        <v>4634</v>
      </c>
    </row>
    <row r="2281" spans="1:11" ht="20" customHeight="1">
      <c r="A2281" t="s">
        <v>26</v>
      </c>
      <c r="B2281" t="s">
        <v>5614</v>
      </c>
      <c r="C2281">
        <v>21678.54296875</v>
      </c>
      <c r="D2281">
        <v>21770.552734375</v>
      </c>
      <c r="E2281">
        <v>21406.9453125</v>
      </c>
      <c r="F2281">
        <v>21769.255859375</v>
      </c>
      <c r="G2281">
        <v>21769.255859375</v>
      </c>
      <c r="H2281">
        <v>34493951963</v>
      </c>
      <c r="I2281" t="s">
        <v>5613</v>
      </c>
      <c r="J2281" t="s">
        <v>5615</v>
      </c>
      <c r="K2281" t="s">
        <v>4634</v>
      </c>
    </row>
    <row r="2282" spans="1:11" ht="20" customHeight="1">
      <c r="A2282" t="s">
        <v>26</v>
      </c>
      <c r="B2282" t="s">
        <v>1587</v>
      </c>
      <c r="C2282">
        <v>21770.1484375</v>
      </c>
      <c r="D2282">
        <v>22439.181640625</v>
      </c>
      <c r="E2282">
        <v>21603.896484375</v>
      </c>
      <c r="F2282">
        <v>22370.44921875</v>
      </c>
      <c r="G2282">
        <v>22370.44921875</v>
      </c>
      <c r="H2282">
        <v>50212088965</v>
      </c>
      <c r="I2282" t="s">
        <v>5615</v>
      </c>
      <c r="J2282" t="s">
        <v>5616</v>
      </c>
      <c r="K2282" t="s">
        <v>4634</v>
      </c>
    </row>
    <row r="2283" spans="1:11" ht="20" customHeight="1">
      <c r="A2283" t="s">
        <v>26</v>
      </c>
      <c r="B2283" t="s">
        <v>1590</v>
      </c>
      <c r="C2283">
        <v>22371.48046875</v>
      </c>
      <c r="D2283">
        <v>22673.8203125</v>
      </c>
      <c r="E2283">
        <v>20062.669921875</v>
      </c>
      <c r="F2283">
        <v>20296.70703125</v>
      </c>
      <c r="G2283">
        <v>20296.70703125</v>
      </c>
      <c r="H2283">
        <v>51091116622</v>
      </c>
      <c r="I2283" t="s">
        <v>5616</v>
      </c>
      <c r="J2283" t="s">
        <v>5617</v>
      </c>
      <c r="K2283" t="s">
        <v>4634</v>
      </c>
    </row>
    <row r="2284" spans="1:11" ht="20" customHeight="1">
      <c r="A2284" t="s">
        <v>26</v>
      </c>
      <c r="B2284" t="s">
        <v>1593</v>
      </c>
      <c r="C2284">
        <v>20184.5546875</v>
      </c>
      <c r="D2284">
        <v>20467.201171875</v>
      </c>
      <c r="E2284">
        <v>19793.396484375</v>
      </c>
      <c r="F2284">
        <v>20241.08984375</v>
      </c>
      <c r="G2284">
        <v>20241.08984375</v>
      </c>
      <c r="H2284">
        <v>37872380889</v>
      </c>
      <c r="I2284" t="s">
        <v>5617</v>
      </c>
      <c r="J2284" t="s">
        <v>5618</v>
      </c>
      <c r="K2284" t="s">
        <v>4634</v>
      </c>
    </row>
    <row r="2285" spans="1:11" ht="20" customHeight="1">
      <c r="A2285" t="s">
        <v>26</v>
      </c>
      <c r="B2285" t="s">
        <v>1596</v>
      </c>
      <c r="C2285">
        <v>20242.2890625</v>
      </c>
      <c r="D2285">
        <v>20318.166015625</v>
      </c>
      <c r="E2285">
        <v>19636.734375</v>
      </c>
      <c r="F2285">
        <v>19701.2109375</v>
      </c>
      <c r="G2285">
        <v>19701.2109375</v>
      </c>
      <c r="H2285">
        <v>36389011503</v>
      </c>
      <c r="I2285" t="s">
        <v>5618</v>
      </c>
      <c r="J2285" t="s">
        <v>5619</v>
      </c>
      <c r="K2285" t="s">
        <v>4634</v>
      </c>
    </row>
    <row r="2286" spans="1:11" ht="20" customHeight="1">
      <c r="A2286" t="s">
        <v>26</v>
      </c>
      <c r="B2286" t="s">
        <v>1599</v>
      </c>
      <c r="C2286">
        <v>19704.005859375</v>
      </c>
      <c r="D2286">
        <v>19870.62890625</v>
      </c>
      <c r="E2286">
        <v>19400.076171875</v>
      </c>
      <c r="F2286">
        <v>19772.583984375</v>
      </c>
      <c r="G2286">
        <v>19772.583984375</v>
      </c>
      <c r="H2286">
        <v>30123362273</v>
      </c>
      <c r="I2286" t="s">
        <v>5619</v>
      </c>
      <c r="J2286" t="s">
        <v>5620</v>
      </c>
      <c r="K2286" t="s">
        <v>4634</v>
      </c>
    </row>
    <row r="2287" spans="1:11" ht="20" customHeight="1">
      <c r="A2287" t="s">
        <v>26</v>
      </c>
      <c r="B2287" t="s">
        <v>5621</v>
      </c>
      <c r="C2287">
        <v>19777.033203125</v>
      </c>
      <c r="D2287">
        <v>20162.53125</v>
      </c>
      <c r="E2287">
        <v>19777.033203125</v>
      </c>
      <c r="F2287">
        <v>20127.576171875</v>
      </c>
      <c r="G2287">
        <v>20127.576171875</v>
      </c>
      <c r="H2287">
        <v>24957448100</v>
      </c>
      <c r="I2287" t="s">
        <v>5620</v>
      </c>
      <c r="J2287" t="s">
        <v>5622</v>
      </c>
      <c r="K2287" t="s">
        <v>4634</v>
      </c>
    </row>
    <row r="2288" spans="1:11" ht="20" customHeight="1">
      <c r="A2288" t="s">
        <v>26</v>
      </c>
      <c r="B2288" t="s">
        <v>5623</v>
      </c>
      <c r="C2288">
        <v>20127.234375</v>
      </c>
      <c r="D2288">
        <v>20127.234375</v>
      </c>
      <c r="E2288">
        <v>19387.4921875</v>
      </c>
      <c r="F2288">
        <v>19419.505859375</v>
      </c>
      <c r="G2288">
        <v>19419.505859375</v>
      </c>
      <c r="H2288">
        <v>31254779144</v>
      </c>
      <c r="I2288" t="s">
        <v>5622</v>
      </c>
      <c r="J2288" t="s">
        <v>5624</v>
      </c>
      <c r="K2288" t="s">
        <v>4634</v>
      </c>
    </row>
    <row r="2289" spans="1:11" ht="20" customHeight="1">
      <c r="A2289" t="s">
        <v>26</v>
      </c>
      <c r="B2289" t="s">
        <v>1602</v>
      </c>
      <c r="C2289">
        <v>19418.572265625</v>
      </c>
      <c r="D2289">
        <v>19639.48046875</v>
      </c>
      <c r="E2289">
        <v>18390.318359375</v>
      </c>
      <c r="F2289">
        <v>19544.12890625</v>
      </c>
      <c r="G2289">
        <v>19544.12890625</v>
      </c>
      <c r="H2289">
        <v>40177002624</v>
      </c>
      <c r="I2289" t="s">
        <v>5624</v>
      </c>
      <c r="J2289" t="s">
        <v>5625</v>
      </c>
      <c r="K2289" t="s">
        <v>4634</v>
      </c>
    </row>
    <row r="2290" spans="1:11" ht="20" customHeight="1">
      <c r="A2290" t="s">
        <v>26</v>
      </c>
      <c r="B2290" t="s">
        <v>1605</v>
      </c>
      <c r="C2290">
        <v>19545.591796875</v>
      </c>
      <c r="D2290">
        <v>19602.45703125</v>
      </c>
      <c r="E2290">
        <v>18813.455078125</v>
      </c>
      <c r="F2290">
        <v>18890.7890625</v>
      </c>
      <c r="G2290">
        <v>18890.7890625</v>
      </c>
      <c r="H2290">
        <v>36791346508</v>
      </c>
      <c r="I2290" t="s">
        <v>5625</v>
      </c>
      <c r="J2290" t="s">
        <v>5626</v>
      </c>
      <c r="K2290" t="s">
        <v>4634</v>
      </c>
    </row>
    <row r="2291" spans="1:11" ht="20" customHeight="1">
      <c r="A2291" t="s">
        <v>26</v>
      </c>
      <c r="B2291" t="s">
        <v>1608</v>
      </c>
      <c r="C2291">
        <v>18891.283203125</v>
      </c>
      <c r="D2291">
        <v>19674.630859375</v>
      </c>
      <c r="E2291">
        <v>18290.314453125</v>
      </c>
      <c r="F2291">
        <v>18547.400390625</v>
      </c>
      <c r="G2291">
        <v>18547.400390625</v>
      </c>
      <c r="H2291">
        <v>46363793975</v>
      </c>
      <c r="I2291" t="s">
        <v>5626</v>
      </c>
      <c r="J2291" t="s">
        <v>5627</v>
      </c>
      <c r="K2291" t="s">
        <v>4634</v>
      </c>
    </row>
    <row r="2292" spans="1:11" ht="20" customHeight="1">
      <c r="A2292" t="s">
        <v>26</v>
      </c>
      <c r="B2292" t="s">
        <v>1611</v>
      </c>
      <c r="C2292">
        <v>18534.650390625</v>
      </c>
      <c r="D2292">
        <v>19456.91015625</v>
      </c>
      <c r="E2292">
        <v>18415.591796875</v>
      </c>
      <c r="F2292">
        <v>19413.55078125</v>
      </c>
      <c r="G2292">
        <v>19413.55078125</v>
      </c>
      <c r="H2292">
        <v>41135767926</v>
      </c>
      <c r="I2292" t="s">
        <v>5627</v>
      </c>
      <c r="J2292" t="s">
        <v>5628</v>
      </c>
      <c r="K2292" t="s">
        <v>4634</v>
      </c>
    </row>
    <row r="2293" spans="1:11" ht="20" customHeight="1">
      <c r="A2293" t="s">
        <v>26</v>
      </c>
      <c r="B2293" t="s">
        <v>1614</v>
      </c>
      <c r="C2293">
        <v>19412.400390625</v>
      </c>
      <c r="D2293">
        <v>19464.671875</v>
      </c>
      <c r="E2293">
        <v>18617.552734375</v>
      </c>
      <c r="F2293">
        <v>19297.638671875</v>
      </c>
      <c r="G2293">
        <v>19297.638671875</v>
      </c>
      <c r="H2293">
        <v>38896078052</v>
      </c>
      <c r="I2293" t="s">
        <v>5628</v>
      </c>
      <c r="J2293" t="s">
        <v>5629</v>
      </c>
      <c r="K2293" t="s">
        <v>4634</v>
      </c>
    </row>
    <row r="2294" spans="1:11" ht="20" customHeight="1">
      <c r="A2294" t="s">
        <v>26</v>
      </c>
      <c r="B2294" t="s">
        <v>5630</v>
      </c>
      <c r="C2294">
        <v>19296.990234375</v>
      </c>
      <c r="D2294">
        <v>19310.197265625</v>
      </c>
      <c r="E2294">
        <v>18861.974609375</v>
      </c>
      <c r="F2294">
        <v>18937.01171875</v>
      </c>
      <c r="G2294">
        <v>18937.01171875</v>
      </c>
      <c r="H2294">
        <v>26149643168</v>
      </c>
      <c r="I2294" t="s">
        <v>5629</v>
      </c>
      <c r="J2294" t="s">
        <v>5631</v>
      </c>
      <c r="K2294" t="s">
        <v>4634</v>
      </c>
    </row>
    <row r="2295" spans="1:11" ht="20" customHeight="1">
      <c r="A2295" t="s">
        <v>26</v>
      </c>
      <c r="B2295" t="s">
        <v>5632</v>
      </c>
      <c r="C2295">
        <v>18936.310546875</v>
      </c>
      <c r="D2295">
        <v>19134.732421875</v>
      </c>
      <c r="E2295">
        <v>18696.46875</v>
      </c>
      <c r="F2295">
        <v>18802.09765625</v>
      </c>
      <c r="G2295">
        <v>18802.09765625</v>
      </c>
      <c r="H2295">
        <v>23359966112</v>
      </c>
      <c r="I2295" t="s">
        <v>5631</v>
      </c>
      <c r="J2295" t="s">
        <v>5633</v>
      </c>
      <c r="K2295" t="s">
        <v>4634</v>
      </c>
    </row>
    <row r="2296" spans="1:11" ht="20" customHeight="1">
      <c r="A2296" t="s">
        <v>26</v>
      </c>
      <c r="B2296" t="s">
        <v>1617</v>
      </c>
      <c r="C2296">
        <v>18803.900390625</v>
      </c>
      <c r="D2296">
        <v>19274.873046875</v>
      </c>
      <c r="E2296">
        <v>18721.28515625</v>
      </c>
      <c r="F2296">
        <v>19222.671875</v>
      </c>
      <c r="G2296">
        <v>19222.671875</v>
      </c>
      <c r="H2296">
        <v>44148798321</v>
      </c>
      <c r="I2296" t="s">
        <v>5633</v>
      </c>
      <c r="J2296" t="s">
        <v>5634</v>
      </c>
      <c r="K2296" t="s">
        <v>4634</v>
      </c>
    </row>
    <row r="2297" spans="1:11" ht="20" customHeight="1">
      <c r="A2297" t="s">
        <v>26</v>
      </c>
      <c r="B2297" t="s">
        <v>1620</v>
      </c>
      <c r="C2297">
        <v>19221.83984375</v>
      </c>
      <c r="D2297">
        <v>20338.455078125</v>
      </c>
      <c r="E2297">
        <v>18915.66796875</v>
      </c>
      <c r="F2297">
        <v>19110.546875</v>
      </c>
      <c r="G2297">
        <v>19110.546875</v>
      </c>
      <c r="H2297">
        <v>58571439619</v>
      </c>
      <c r="I2297" t="s">
        <v>5634</v>
      </c>
      <c r="J2297" t="s">
        <v>5635</v>
      </c>
      <c r="K2297" t="s">
        <v>4634</v>
      </c>
    </row>
    <row r="2298" spans="1:11" ht="20" customHeight="1">
      <c r="A2298" t="s">
        <v>26</v>
      </c>
      <c r="B2298" t="s">
        <v>1623</v>
      </c>
      <c r="C2298">
        <v>19104.62109375</v>
      </c>
      <c r="D2298">
        <v>19688.34375</v>
      </c>
      <c r="E2298">
        <v>18553.296875</v>
      </c>
      <c r="F2298">
        <v>19426.720703125</v>
      </c>
      <c r="G2298">
        <v>19426.720703125</v>
      </c>
      <c r="H2298">
        <v>53071298734</v>
      </c>
      <c r="I2298" t="s">
        <v>5635</v>
      </c>
      <c r="J2298" t="s">
        <v>5636</v>
      </c>
      <c r="K2298" t="s">
        <v>4634</v>
      </c>
    </row>
    <row r="2299" spans="1:11" ht="20" customHeight="1">
      <c r="A2299" t="s">
        <v>26</v>
      </c>
      <c r="B2299" t="s">
        <v>1626</v>
      </c>
      <c r="C2299">
        <v>19427.779296875</v>
      </c>
      <c r="D2299">
        <v>19589.265625</v>
      </c>
      <c r="E2299">
        <v>18924.353515625</v>
      </c>
      <c r="F2299">
        <v>19573.05078125</v>
      </c>
      <c r="G2299">
        <v>19573.05078125</v>
      </c>
      <c r="H2299">
        <v>41037843771</v>
      </c>
      <c r="I2299" t="s">
        <v>5636</v>
      </c>
      <c r="J2299" t="s">
        <v>5637</v>
      </c>
      <c r="K2299" t="s">
        <v>4634</v>
      </c>
    </row>
    <row r="2300" spans="1:11" ht="20" customHeight="1">
      <c r="A2300" t="s">
        <v>26</v>
      </c>
      <c r="B2300" t="s">
        <v>1629</v>
      </c>
      <c r="C2300">
        <v>19573.431640625</v>
      </c>
      <c r="D2300">
        <v>20109.849609375</v>
      </c>
      <c r="E2300">
        <v>19265.662109375</v>
      </c>
      <c r="F2300">
        <v>19431.7890625</v>
      </c>
      <c r="G2300">
        <v>19431.7890625</v>
      </c>
      <c r="H2300">
        <v>43975248085</v>
      </c>
      <c r="I2300" t="s">
        <v>5637</v>
      </c>
      <c r="J2300" t="s">
        <v>5638</v>
      </c>
      <c r="K2300" t="s">
        <v>4634</v>
      </c>
    </row>
    <row r="2301" spans="1:11" ht="20" customHeight="1">
      <c r="A2301" t="s">
        <v>26</v>
      </c>
      <c r="B2301" t="s">
        <v>5639</v>
      </c>
      <c r="C2301">
        <v>19431.10546875</v>
      </c>
      <c r="D2301">
        <v>19471.154296875</v>
      </c>
      <c r="E2301">
        <v>19231.08203125</v>
      </c>
      <c r="F2301">
        <v>19312.095703125</v>
      </c>
      <c r="G2301">
        <v>19312.095703125</v>
      </c>
      <c r="H2301">
        <v>18719537670</v>
      </c>
      <c r="I2301" t="s">
        <v>5638</v>
      </c>
      <c r="J2301" t="s">
        <v>5640</v>
      </c>
      <c r="K2301" t="s">
        <v>4634</v>
      </c>
    </row>
    <row r="2302" spans="1:11" ht="20" customHeight="1">
      <c r="A2302" t="s">
        <v>26</v>
      </c>
      <c r="B2302" t="s">
        <v>5641</v>
      </c>
      <c r="C2302">
        <v>19311.849609375</v>
      </c>
      <c r="D2302">
        <v>19370.30859375</v>
      </c>
      <c r="E2302">
        <v>18970.62109375</v>
      </c>
      <c r="F2302">
        <v>19044.107421875</v>
      </c>
      <c r="G2302">
        <v>19044.107421875</v>
      </c>
      <c r="H2302">
        <v>20765955327</v>
      </c>
      <c r="I2302" t="s">
        <v>5640</v>
      </c>
      <c r="J2302" t="s">
        <v>5642</v>
      </c>
      <c r="K2302" t="s">
        <v>4634</v>
      </c>
    </row>
    <row r="2303" spans="1:11" ht="20" customHeight="1">
      <c r="A2303" t="s">
        <v>26</v>
      </c>
      <c r="B2303" t="s">
        <v>1632</v>
      </c>
      <c r="C2303">
        <v>19044.068359375</v>
      </c>
      <c r="D2303">
        <v>19653.54296875</v>
      </c>
      <c r="E2303">
        <v>19025.2265625</v>
      </c>
      <c r="F2303">
        <v>19623.580078125</v>
      </c>
      <c r="G2303">
        <v>19623.580078125</v>
      </c>
      <c r="H2303">
        <v>30484729489</v>
      </c>
      <c r="I2303" t="s">
        <v>5642</v>
      </c>
      <c r="J2303" t="s">
        <v>5643</v>
      </c>
      <c r="K2303" t="s">
        <v>4634</v>
      </c>
    </row>
    <row r="2304" spans="1:11" ht="20" customHeight="1">
      <c r="A2304" t="s">
        <v>26</v>
      </c>
      <c r="B2304" t="s">
        <v>1635</v>
      </c>
      <c r="C2304">
        <v>19623.583984375</v>
      </c>
      <c r="D2304">
        <v>20380.34375</v>
      </c>
      <c r="E2304">
        <v>19523.83984375</v>
      </c>
      <c r="F2304">
        <v>20336.84375</v>
      </c>
      <c r="G2304">
        <v>20336.84375</v>
      </c>
      <c r="H2304">
        <v>35887278685</v>
      </c>
      <c r="I2304" t="s">
        <v>5643</v>
      </c>
      <c r="J2304" t="s">
        <v>5644</v>
      </c>
      <c r="K2304" t="s">
        <v>4634</v>
      </c>
    </row>
    <row r="2305" spans="1:11" ht="20" customHeight="1">
      <c r="A2305" t="s">
        <v>26</v>
      </c>
      <c r="B2305" t="s">
        <v>1638</v>
      </c>
      <c r="C2305">
        <v>20335.900390625</v>
      </c>
      <c r="D2305">
        <v>20343.748046875</v>
      </c>
      <c r="E2305">
        <v>19801.80078125</v>
      </c>
      <c r="F2305">
        <v>20160.716796875</v>
      </c>
      <c r="G2305">
        <v>20160.716796875</v>
      </c>
      <c r="H2305">
        <v>33223790572</v>
      </c>
      <c r="I2305" t="s">
        <v>5644</v>
      </c>
      <c r="J2305" t="s">
        <v>5645</v>
      </c>
      <c r="K2305" t="s">
        <v>4634</v>
      </c>
    </row>
    <row r="2306" spans="1:11" ht="20" customHeight="1">
      <c r="A2306" t="s">
        <v>26</v>
      </c>
      <c r="B2306" t="s">
        <v>1641</v>
      </c>
      <c r="C2306">
        <v>20161.0390625</v>
      </c>
      <c r="D2306">
        <v>20408.392578125</v>
      </c>
      <c r="E2306">
        <v>19900.087890625</v>
      </c>
      <c r="F2306">
        <v>19955.443359375</v>
      </c>
      <c r="G2306">
        <v>19955.443359375</v>
      </c>
      <c r="H2306">
        <v>34711412966</v>
      </c>
      <c r="I2306" t="s">
        <v>5645</v>
      </c>
      <c r="J2306" t="s">
        <v>5646</v>
      </c>
      <c r="K2306" t="s">
        <v>4634</v>
      </c>
    </row>
    <row r="2307" spans="1:11" ht="20" customHeight="1">
      <c r="A2307" t="s">
        <v>26</v>
      </c>
      <c r="B2307" t="s">
        <v>1644</v>
      </c>
      <c r="C2307">
        <v>19957.55859375</v>
      </c>
      <c r="D2307">
        <v>20041.0859375</v>
      </c>
      <c r="E2307">
        <v>19395.79296875</v>
      </c>
      <c r="F2307">
        <v>19546.849609375</v>
      </c>
      <c r="G2307">
        <v>19546.849609375</v>
      </c>
      <c r="H2307">
        <v>29227315390</v>
      </c>
      <c r="I2307" t="s">
        <v>5646</v>
      </c>
      <c r="J2307" t="s">
        <v>5647</v>
      </c>
      <c r="K2307" t="s">
        <v>4634</v>
      </c>
    </row>
    <row r="2308" spans="1:11" ht="20" customHeight="1">
      <c r="A2308" t="s">
        <v>26</v>
      </c>
      <c r="B2308" t="s">
        <v>5648</v>
      </c>
      <c r="C2308">
        <v>19546.328125</v>
      </c>
      <c r="D2308">
        <v>19601.6953125</v>
      </c>
      <c r="E2308">
        <v>19299.4140625</v>
      </c>
      <c r="F2308">
        <v>19416.568359375</v>
      </c>
      <c r="G2308">
        <v>19416.568359375</v>
      </c>
      <c r="H2308">
        <v>16437423167</v>
      </c>
      <c r="I2308" t="s">
        <v>5647</v>
      </c>
      <c r="J2308" t="s">
        <v>5649</v>
      </c>
      <c r="K2308" t="s">
        <v>4634</v>
      </c>
    </row>
    <row r="2309" spans="1:11" ht="20" customHeight="1">
      <c r="A2309" t="s">
        <v>26</v>
      </c>
      <c r="B2309" t="s">
        <v>5650</v>
      </c>
      <c r="C2309">
        <v>19417.478515625</v>
      </c>
      <c r="D2309">
        <v>19542.5390625</v>
      </c>
      <c r="E2309">
        <v>19349.259765625</v>
      </c>
      <c r="F2309">
        <v>19446.42578125</v>
      </c>
      <c r="G2309">
        <v>19446.42578125</v>
      </c>
      <c r="H2309">
        <v>16837262532</v>
      </c>
      <c r="I2309" t="s">
        <v>5649</v>
      </c>
      <c r="J2309" t="s">
        <v>5651</v>
      </c>
      <c r="K2309" t="s">
        <v>4634</v>
      </c>
    </row>
    <row r="2310" spans="1:11" ht="20" customHeight="1">
      <c r="A2310" t="s">
        <v>26</v>
      </c>
      <c r="B2310" t="s">
        <v>1647</v>
      </c>
      <c r="C2310">
        <v>19446.416015625</v>
      </c>
      <c r="D2310">
        <v>19515.466796875</v>
      </c>
      <c r="E2310">
        <v>19102.978515625</v>
      </c>
      <c r="F2310">
        <v>19141.484375</v>
      </c>
      <c r="G2310">
        <v>19141.484375</v>
      </c>
      <c r="H2310">
        <v>27425022774</v>
      </c>
      <c r="I2310" t="s">
        <v>5651</v>
      </c>
      <c r="J2310" t="s">
        <v>5652</v>
      </c>
      <c r="K2310" t="s">
        <v>4634</v>
      </c>
    </row>
    <row r="2311" spans="1:11" ht="20" customHeight="1">
      <c r="A2311" t="s">
        <v>26</v>
      </c>
      <c r="B2311" t="s">
        <v>1650</v>
      </c>
      <c r="C2311">
        <v>19139</v>
      </c>
      <c r="D2311">
        <v>19241.9609375</v>
      </c>
      <c r="E2311">
        <v>18925.603515625</v>
      </c>
      <c r="F2311">
        <v>19051.41796875</v>
      </c>
      <c r="G2311">
        <v>19051.41796875</v>
      </c>
      <c r="H2311">
        <v>28711532910</v>
      </c>
      <c r="I2311" t="s">
        <v>5652</v>
      </c>
      <c r="J2311" t="s">
        <v>5653</v>
      </c>
      <c r="K2311" t="s">
        <v>4634</v>
      </c>
    </row>
    <row r="2312" spans="1:11" ht="20" customHeight="1">
      <c r="A2312" t="s">
        <v>26</v>
      </c>
      <c r="B2312" t="s">
        <v>1653</v>
      </c>
      <c r="C2312">
        <v>19052.646484375</v>
      </c>
      <c r="D2312">
        <v>19203.19921875</v>
      </c>
      <c r="E2312">
        <v>19029.7578125</v>
      </c>
      <c r="F2312">
        <v>19157.4453125</v>
      </c>
      <c r="G2312">
        <v>19157.4453125</v>
      </c>
      <c r="H2312">
        <v>24950173846</v>
      </c>
      <c r="I2312" t="s">
        <v>5653</v>
      </c>
      <c r="J2312" t="s">
        <v>5654</v>
      </c>
      <c r="K2312" t="s">
        <v>4634</v>
      </c>
    </row>
    <row r="2313" spans="1:11" ht="20" customHeight="1">
      <c r="A2313" t="s">
        <v>26</v>
      </c>
      <c r="B2313" t="s">
        <v>1656</v>
      </c>
      <c r="C2313">
        <v>19156.966796875</v>
      </c>
      <c r="D2313">
        <v>19453.328125</v>
      </c>
      <c r="E2313">
        <v>18319.822265625</v>
      </c>
      <c r="F2313">
        <v>19382.904296875</v>
      </c>
      <c r="G2313">
        <v>19382.904296875</v>
      </c>
      <c r="H2313">
        <v>44219840004</v>
      </c>
      <c r="I2313" t="s">
        <v>5654</v>
      </c>
      <c r="J2313" t="s">
        <v>5655</v>
      </c>
      <c r="K2313" t="s">
        <v>4634</v>
      </c>
    </row>
    <row r="2314" spans="1:11" ht="20" customHeight="1">
      <c r="A2314" t="s">
        <v>26</v>
      </c>
      <c r="B2314" t="s">
        <v>1659</v>
      </c>
      <c r="C2314">
        <v>19382.533203125</v>
      </c>
      <c r="D2314">
        <v>19889.146484375</v>
      </c>
      <c r="E2314">
        <v>19115.408203125</v>
      </c>
      <c r="F2314">
        <v>19185.65625</v>
      </c>
      <c r="G2314">
        <v>19185.65625</v>
      </c>
      <c r="H2314">
        <v>38452356727</v>
      </c>
      <c r="I2314" t="s">
        <v>5655</v>
      </c>
      <c r="J2314" t="s">
        <v>5656</v>
      </c>
      <c r="K2314" t="s">
        <v>4634</v>
      </c>
    </row>
    <row r="2315" spans="1:11" ht="20" customHeight="1">
      <c r="A2315" t="s">
        <v>26</v>
      </c>
      <c r="B2315" t="s">
        <v>5657</v>
      </c>
      <c r="C2315">
        <v>19185.4375</v>
      </c>
      <c r="D2315">
        <v>19212.541015625</v>
      </c>
      <c r="E2315">
        <v>19019.25</v>
      </c>
      <c r="F2315">
        <v>19067.634765625</v>
      </c>
      <c r="G2315">
        <v>19067.634765625</v>
      </c>
      <c r="H2315">
        <v>16192235532</v>
      </c>
      <c r="I2315" t="s">
        <v>5656</v>
      </c>
      <c r="J2315" t="s">
        <v>5658</v>
      </c>
      <c r="K2315" t="s">
        <v>4634</v>
      </c>
    </row>
    <row r="2316" spans="1:11" ht="20" customHeight="1">
      <c r="A2316" t="s">
        <v>26</v>
      </c>
      <c r="B2316" t="s">
        <v>5659</v>
      </c>
      <c r="C2316">
        <v>19068.9140625</v>
      </c>
      <c r="D2316">
        <v>19389.603515625</v>
      </c>
      <c r="E2316">
        <v>19068.9140625</v>
      </c>
      <c r="F2316">
        <v>19268.09375</v>
      </c>
      <c r="G2316">
        <v>19268.09375</v>
      </c>
      <c r="H2316">
        <v>17988916650</v>
      </c>
      <c r="I2316" t="s">
        <v>5658</v>
      </c>
      <c r="J2316" t="s">
        <v>5660</v>
      </c>
      <c r="K2316" t="s">
        <v>4634</v>
      </c>
    </row>
    <row r="2317" spans="1:11" ht="20" customHeight="1">
      <c r="A2317" t="s">
        <v>26</v>
      </c>
      <c r="B2317" t="s">
        <v>1662</v>
      </c>
      <c r="C2317">
        <v>19268.5625</v>
      </c>
      <c r="D2317">
        <v>19635.802734375</v>
      </c>
      <c r="E2317">
        <v>19173.333984375</v>
      </c>
      <c r="F2317">
        <v>19550.7578125</v>
      </c>
      <c r="G2317">
        <v>19550.7578125</v>
      </c>
      <c r="H2317">
        <v>27472552998</v>
      </c>
      <c r="I2317" t="s">
        <v>5660</v>
      </c>
      <c r="J2317" t="s">
        <v>5661</v>
      </c>
      <c r="K2317" t="s">
        <v>4634</v>
      </c>
    </row>
    <row r="2318" spans="1:11" ht="20" customHeight="1">
      <c r="A2318" t="s">
        <v>26</v>
      </c>
      <c r="B2318" t="s">
        <v>1665</v>
      </c>
      <c r="C2318">
        <v>19550.466796875</v>
      </c>
      <c r="D2318">
        <v>19666.994140625</v>
      </c>
      <c r="E2318">
        <v>19144.76953125</v>
      </c>
      <c r="F2318">
        <v>19334.416015625</v>
      </c>
      <c r="G2318">
        <v>19334.416015625</v>
      </c>
      <c r="H2318">
        <v>30580012344</v>
      </c>
      <c r="I2318" t="s">
        <v>5661</v>
      </c>
      <c r="J2318" t="s">
        <v>5662</v>
      </c>
      <c r="K2318" t="s">
        <v>4634</v>
      </c>
    </row>
    <row r="2319" spans="1:11" ht="20" customHeight="1">
      <c r="A2319" t="s">
        <v>26</v>
      </c>
      <c r="B2319" t="s">
        <v>1668</v>
      </c>
      <c r="C2319">
        <v>19335.02734375</v>
      </c>
      <c r="D2319">
        <v>19348.416015625</v>
      </c>
      <c r="E2319">
        <v>19127.6875</v>
      </c>
      <c r="F2319">
        <v>19139.53515625</v>
      </c>
      <c r="G2319">
        <v>19139.53515625</v>
      </c>
      <c r="H2319">
        <v>22425387184</v>
      </c>
      <c r="I2319" t="s">
        <v>5662</v>
      </c>
      <c r="J2319" t="s">
        <v>5663</v>
      </c>
      <c r="K2319" t="s">
        <v>4634</v>
      </c>
    </row>
    <row r="2320" spans="1:11" ht="20" customHeight="1">
      <c r="A2320" t="s">
        <v>26</v>
      </c>
      <c r="B2320" t="s">
        <v>1671</v>
      </c>
      <c r="C2320">
        <v>19138.0859375</v>
      </c>
      <c r="D2320">
        <v>19315.19921875</v>
      </c>
      <c r="E2320">
        <v>18971.458984375</v>
      </c>
      <c r="F2320">
        <v>19053.740234375</v>
      </c>
      <c r="G2320">
        <v>19053.740234375</v>
      </c>
      <c r="H2320">
        <v>24493974420</v>
      </c>
      <c r="I2320" t="s">
        <v>5663</v>
      </c>
      <c r="J2320" t="s">
        <v>5664</v>
      </c>
      <c r="K2320" t="s">
        <v>4634</v>
      </c>
    </row>
    <row r="2321" spans="1:11" ht="20" customHeight="1">
      <c r="A2321" t="s">
        <v>26</v>
      </c>
      <c r="B2321" t="s">
        <v>1674</v>
      </c>
      <c r="C2321">
        <v>19053.203125</v>
      </c>
      <c r="D2321">
        <v>19237.384765625</v>
      </c>
      <c r="E2321">
        <v>18770.970703125</v>
      </c>
      <c r="F2321">
        <v>19172.46875</v>
      </c>
      <c r="G2321">
        <v>19172.46875</v>
      </c>
      <c r="H2321">
        <v>32459287866</v>
      </c>
      <c r="I2321" t="s">
        <v>5664</v>
      </c>
      <c r="J2321" t="s">
        <v>5665</v>
      </c>
      <c r="K2321" t="s">
        <v>4634</v>
      </c>
    </row>
    <row r="2322" spans="1:11" ht="20" customHeight="1">
      <c r="A2322" t="s">
        <v>26</v>
      </c>
      <c r="B2322" t="s">
        <v>5666</v>
      </c>
      <c r="C2322">
        <v>19172.380859375</v>
      </c>
      <c r="D2322">
        <v>19248.068359375</v>
      </c>
      <c r="E2322">
        <v>19132.244140625</v>
      </c>
      <c r="F2322">
        <v>19208.189453125</v>
      </c>
      <c r="G2322">
        <v>19208.189453125</v>
      </c>
      <c r="H2322">
        <v>16104440957</v>
      </c>
      <c r="I2322" t="s">
        <v>5665</v>
      </c>
      <c r="J2322" t="s">
        <v>5667</v>
      </c>
      <c r="K2322" t="s">
        <v>4634</v>
      </c>
    </row>
    <row r="2323" spans="1:11" ht="20" customHeight="1">
      <c r="A2323" t="s">
        <v>26</v>
      </c>
      <c r="B2323" t="s">
        <v>5668</v>
      </c>
      <c r="C2323">
        <v>19207.734375</v>
      </c>
      <c r="D2323">
        <v>19646.65234375</v>
      </c>
      <c r="E2323">
        <v>19124.197265625</v>
      </c>
      <c r="F2323">
        <v>19567.0078125</v>
      </c>
      <c r="G2323">
        <v>19567.0078125</v>
      </c>
      <c r="H2323">
        <v>22128794335</v>
      </c>
      <c r="I2323" t="s">
        <v>5667</v>
      </c>
      <c r="J2323" t="s">
        <v>5669</v>
      </c>
      <c r="K2323" t="s">
        <v>4634</v>
      </c>
    </row>
    <row r="2324" spans="1:11" ht="20" customHeight="1">
      <c r="A2324" t="s">
        <v>26</v>
      </c>
      <c r="B2324" t="s">
        <v>1677</v>
      </c>
      <c r="C2324">
        <v>19567.76953125</v>
      </c>
      <c r="D2324">
        <v>19589.125</v>
      </c>
      <c r="E2324">
        <v>19206.32421875</v>
      </c>
      <c r="F2324">
        <v>19345.572265625</v>
      </c>
      <c r="G2324">
        <v>19345.572265625</v>
      </c>
      <c r="H2324">
        <v>30202235805</v>
      </c>
      <c r="I2324" t="s">
        <v>5669</v>
      </c>
      <c r="J2324" t="s">
        <v>5670</v>
      </c>
      <c r="K2324" t="s">
        <v>4634</v>
      </c>
    </row>
    <row r="2325" spans="1:11" ht="20" customHeight="1">
      <c r="A2325" t="s">
        <v>26</v>
      </c>
      <c r="B2325" t="s">
        <v>1680</v>
      </c>
      <c r="C2325">
        <v>19344.96484375</v>
      </c>
      <c r="D2325">
        <v>20348.412109375</v>
      </c>
      <c r="E2325">
        <v>19261.447265625</v>
      </c>
      <c r="F2325">
        <v>20095.857421875</v>
      </c>
      <c r="G2325">
        <v>20095.857421875</v>
      </c>
      <c r="H2325">
        <v>47761524910</v>
      </c>
      <c r="I2325" t="s">
        <v>5670</v>
      </c>
      <c r="J2325" t="s">
        <v>5671</v>
      </c>
      <c r="K2325" t="s">
        <v>4634</v>
      </c>
    </row>
    <row r="2326" spans="1:11" ht="20" customHeight="1">
      <c r="A2326" t="s">
        <v>26</v>
      </c>
      <c r="B2326" t="s">
        <v>1683</v>
      </c>
      <c r="C2326">
        <v>20092.236328125</v>
      </c>
      <c r="D2326">
        <v>20938.134765625</v>
      </c>
      <c r="E2326">
        <v>20076.1171875</v>
      </c>
      <c r="F2326">
        <v>20770.44140625</v>
      </c>
      <c r="G2326">
        <v>20770.44140625</v>
      </c>
      <c r="H2326">
        <v>58895950537</v>
      </c>
      <c r="I2326" t="s">
        <v>5671</v>
      </c>
      <c r="J2326" t="s">
        <v>5672</v>
      </c>
      <c r="K2326" t="s">
        <v>4634</v>
      </c>
    </row>
    <row r="2327" spans="1:11" ht="20" customHeight="1">
      <c r="A2327" t="s">
        <v>26</v>
      </c>
      <c r="B2327" t="s">
        <v>1686</v>
      </c>
      <c r="C2327">
        <v>20772.802734375</v>
      </c>
      <c r="D2327">
        <v>20854.044921875</v>
      </c>
      <c r="E2327">
        <v>20255.373046875</v>
      </c>
      <c r="F2327">
        <v>20285.8359375</v>
      </c>
      <c r="G2327">
        <v>20285.8359375</v>
      </c>
      <c r="H2327">
        <v>49625110402</v>
      </c>
      <c r="I2327" t="s">
        <v>5672</v>
      </c>
      <c r="J2327" t="s">
        <v>5673</v>
      </c>
      <c r="K2327" t="s">
        <v>4634</v>
      </c>
    </row>
    <row r="2328" spans="1:11" ht="20" customHeight="1">
      <c r="A2328" t="s">
        <v>26</v>
      </c>
      <c r="B2328" t="s">
        <v>1689</v>
      </c>
      <c r="C2328">
        <v>20287.95703125</v>
      </c>
      <c r="D2328">
        <v>20724.98046875</v>
      </c>
      <c r="E2328">
        <v>20086.068359375</v>
      </c>
      <c r="F2328">
        <v>20595.3515625</v>
      </c>
      <c r="G2328">
        <v>20595.3515625</v>
      </c>
      <c r="H2328">
        <v>43994715910</v>
      </c>
      <c r="I2328" t="s">
        <v>5673</v>
      </c>
      <c r="J2328" t="s">
        <v>5674</v>
      </c>
      <c r="K2328" t="s">
        <v>4634</v>
      </c>
    </row>
    <row r="2329" spans="1:11" ht="20" customHeight="1">
      <c r="A2329" t="s">
        <v>26</v>
      </c>
      <c r="B2329" t="s">
        <v>5675</v>
      </c>
      <c r="C2329">
        <v>20595.103515625</v>
      </c>
      <c r="D2329">
        <v>20988.39453125</v>
      </c>
      <c r="E2329">
        <v>20566.484375</v>
      </c>
      <c r="F2329">
        <v>20818.4765625</v>
      </c>
      <c r="G2329">
        <v>20818.4765625</v>
      </c>
      <c r="H2329">
        <v>40369840645</v>
      </c>
      <c r="I2329" t="s">
        <v>5674</v>
      </c>
      <c r="J2329" t="s">
        <v>5676</v>
      </c>
      <c r="K2329" t="s">
        <v>4634</v>
      </c>
    </row>
    <row r="2330" spans="1:11" ht="20" customHeight="1">
      <c r="A2330" t="s">
        <v>26</v>
      </c>
      <c r="B2330" t="s">
        <v>5677</v>
      </c>
      <c r="C2330">
        <v>20817.982421875</v>
      </c>
      <c r="D2330">
        <v>20917.005859375</v>
      </c>
      <c r="E2330">
        <v>20547.462890625</v>
      </c>
      <c r="F2330">
        <v>20635.603515625</v>
      </c>
      <c r="G2330">
        <v>20635.603515625</v>
      </c>
      <c r="H2330">
        <v>31486345556</v>
      </c>
      <c r="I2330" t="s">
        <v>5676</v>
      </c>
      <c r="J2330" t="s">
        <v>5678</v>
      </c>
      <c r="K2330" t="s">
        <v>4634</v>
      </c>
    </row>
    <row r="2331" spans="1:11" ht="20" customHeight="1">
      <c r="A2331" t="s">
        <v>26</v>
      </c>
      <c r="B2331" t="s">
        <v>1692</v>
      </c>
      <c r="C2331">
        <v>20633.6953125</v>
      </c>
      <c r="D2331">
        <v>20795.3203125</v>
      </c>
      <c r="E2331">
        <v>20287.458984375</v>
      </c>
      <c r="F2331">
        <v>20495.7734375</v>
      </c>
      <c r="G2331">
        <v>20495.7734375</v>
      </c>
      <c r="H2331">
        <v>45668466815</v>
      </c>
      <c r="I2331" t="s">
        <v>5678</v>
      </c>
      <c r="J2331" t="s">
        <v>5679</v>
      </c>
      <c r="K2331" t="s">
        <v>4634</v>
      </c>
    </row>
    <row r="2332" spans="1:11" ht="20" customHeight="1">
      <c r="A2332" t="s">
        <v>26</v>
      </c>
      <c r="B2332" t="s">
        <v>1695</v>
      </c>
      <c r="C2332">
        <v>20494.8984375</v>
      </c>
      <c r="D2332">
        <v>20647.2890625</v>
      </c>
      <c r="E2332">
        <v>20359.845703125</v>
      </c>
      <c r="F2332">
        <v>20485.2734375</v>
      </c>
      <c r="G2332">
        <v>20485.2734375</v>
      </c>
      <c r="H2332">
        <v>39819303159</v>
      </c>
      <c r="I2332" t="s">
        <v>5679</v>
      </c>
      <c r="J2332" t="s">
        <v>5680</v>
      </c>
      <c r="K2332" t="s">
        <v>4634</v>
      </c>
    </row>
    <row r="2333" spans="1:11" ht="20" customHeight="1">
      <c r="A2333" t="s">
        <v>26</v>
      </c>
      <c r="B2333" t="s">
        <v>1698</v>
      </c>
      <c r="C2333">
        <v>20482.958984375</v>
      </c>
      <c r="D2333">
        <v>20742.810546875</v>
      </c>
      <c r="E2333">
        <v>20087.134765625</v>
      </c>
      <c r="F2333">
        <v>20159.50390625</v>
      </c>
      <c r="G2333">
        <v>20159.50390625</v>
      </c>
      <c r="H2333">
        <v>55552169483</v>
      </c>
      <c r="I2333" t="s">
        <v>5680</v>
      </c>
      <c r="J2333" t="s">
        <v>5681</v>
      </c>
      <c r="K2333" t="s">
        <v>4634</v>
      </c>
    </row>
    <row r="2334" spans="1:11" ht="20" customHeight="1">
      <c r="A2334" t="s">
        <v>26</v>
      </c>
      <c r="B2334" t="s">
        <v>1701</v>
      </c>
      <c r="C2334">
        <v>20162.689453125</v>
      </c>
      <c r="D2334">
        <v>20382.095703125</v>
      </c>
      <c r="E2334">
        <v>20086.240234375</v>
      </c>
      <c r="F2334">
        <v>20209.98828125</v>
      </c>
      <c r="G2334">
        <v>20209.98828125</v>
      </c>
      <c r="H2334">
        <v>43228750179</v>
      </c>
      <c r="I2334" t="s">
        <v>5681</v>
      </c>
      <c r="J2334" t="s">
        <v>5682</v>
      </c>
      <c r="K2334" t="s">
        <v>4634</v>
      </c>
    </row>
    <row r="2335" spans="1:11" ht="20" customHeight="1">
      <c r="A2335" t="s">
        <v>26</v>
      </c>
      <c r="B2335" t="s">
        <v>1704</v>
      </c>
      <c r="C2335">
        <v>20208.76953125</v>
      </c>
      <c r="D2335">
        <v>21209.560546875</v>
      </c>
      <c r="E2335">
        <v>20188.01953125</v>
      </c>
      <c r="F2335">
        <v>21147.23046875</v>
      </c>
      <c r="G2335">
        <v>21147.23046875</v>
      </c>
      <c r="H2335">
        <v>64072727950</v>
      </c>
      <c r="I2335" t="s">
        <v>5682</v>
      </c>
      <c r="J2335" t="s">
        <v>5683</v>
      </c>
      <c r="K2335" t="s">
        <v>4634</v>
      </c>
    </row>
    <row r="2336" spans="1:11" ht="20" customHeight="1">
      <c r="A2336" t="s">
        <v>26</v>
      </c>
      <c r="B2336" t="s">
        <v>5684</v>
      </c>
      <c r="C2336">
        <v>21144.83203125</v>
      </c>
      <c r="D2336">
        <v>21446.88671875</v>
      </c>
      <c r="E2336">
        <v>21097.634765625</v>
      </c>
      <c r="F2336">
        <v>21282.69140625</v>
      </c>
      <c r="G2336">
        <v>21282.69140625</v>
      </c>
      <c r="H2336">
        <v>37846047609</v>
      </c>
      <c r="I2336" t="s">
        <v>5683</v>
      </c>
      <c r="J2336" t="s">
        <v>5685</v>
      </c>
      <c r="K2336" t="s">
        <v>4634</v>
      </c>
    </row>
    <row r="2337" spans="1:11" ht="20" customHeight="1">
      <c r="A2337" t="s">
        <v>26</v>
      </c>
      <c r="B2337" t="s">
        <v>5686</v>
      </c>
      <c r="C2337">
        <v>21285.056640625</v>
      </c>
      <c r="D2337">
        <v>21345.376953125</v>
      </c>
      <c r="E2337">
        <v>20920.19140625</v>
      </c>
      <c r="F2337">
        <v>20926.486328125</v>
      </c>
      <c r="G2337">
        <v>20926.486328125</v>
      </c>
      <c r="H2337">
        <v>35082693210</v>
      </c>
      <c r="I2337" t="s">
        <v>5685</v>
      </c>
      <c r="J2337" t="s">
        <v>5687</v>
      </c>
      <c r="K2337" t="s">
        <v>4634</v>
      </c>
    </row>
    <row r="2338" spans="1:11" ht="20" customHeight="1">
      <c r="A2338" t="s">
        <v>26</v>
      </c>
      <c r="B2338" t="s">
        <v>1707</v>
      </c>
      <c r="C2338">
        <v>20924.62109375</v>
      </c>
      <c r="D2338">
        <v>21053.24609375</v>
      </c>
      <c r="E2338">
        <v>20489.97265625</v>
      </c>
      <c r="F2338">
        <v>20602.81640625</v>
      </c>
      <c r="G2338">
        <v>20602.81640625</v>
      </c>
      <c r="H2338">
        <v>53510852236</v>
      </c>
      <c r="I2338" t="s">
        <v>5687</v>
      </c>
      <c r="J2338" t="s">
        <v>5688</v>
      </c>
      <c r="K2338" t="s">
        <v>4634</v>
      </c>
    </row>
    <row r="2339" spans="1:11" ht="20" customHeight="1">
      <c r="A2339" t="s">
        <v>26</v>
      </c>
      <c r="B2339" t="s">
        <v>1710</v>
      </c>
      <c r="C2339">
        <v>20600.671875</v>
      </c>
      <c r="D2339">
        <v>20664.607421875</v>
      </c>
      <c r="E2339">
        <v>17603.544921875</v>
      </c>
      <c r="F2339">
        <v>18541.271484375</v>
      </c>
      <c r="G2339">
        <v>18541.271484375</v>
      </c>
      <c r="H2339">
        <v>118992465607</v>
      </c>
      <c r="I2339" t="s">
        <v>5688</v>
      </c>
      <c r="J2339" t="s">
        <v>5689</v>
      </c>
      <c r="K2339" t="s">
        <v>4634</v>
      </c>
    </row>
    <row r="2340" spans="1:11" ht="20" customHeight="1">
      <c r="A2340" t="s">
        <v>26</v>
      </c>
      <c r="B2340" t="s">
        <v>1713</v>
      </c>
      <c r="C2340">
        <v>18543.76171875</v>
      </c>
      <c r="D2340">
        <v>18590.458984375</v>
      </c>
      <c r="E2340">
        <v>15682.6923828125</v>
      </c>
      <c r="F2340">
        <v>15880.7802734375</v>
      </c>
      <c r="G2340">
        <v>15880.7802734375</v>
      </c>
      <c r="H2340">
        <v>102905151606</v>
      </c>
      <c r="I2340" t="s">
        <v>5689</v>
      </c>
      <c r="J2340" t="s">
        <v>5690</v>
      </c>
      <c r="K2340" t="s">
        <v>4634</v>
      </c>
    </row>
    <row r="2341" spans="1:11" ht="20" customHeight="1">
      <c r="A2341" t="s">
        <v>26</v>
      </c>
      <c r="B2341" t="s">
        <v>1716</v>
      </c>
      <c r="C2341">
        <v>15883.158203125</v>
      </c>
      <c r="D2341">
        <v>18054.3125</v>
      </c>
      <c r="E2341">
        <v>15834.0185546875</v>
      </c>
      <c r="F2341">
        <v>17586.771484375</v>
      </c>
      <c r="G2341">
        <v>17586.771484375</v>
      </c>
      <c r="H2341">
        <v>83202283721</v>
      </c>
      <c r="I2341" t="s">
        <v>5690</v>
      </c>
      <c r="J2341" t="s">
        <v>5691</v>
      </c>
      <c r="K2341" t="s">
        <v>4634</v>
      </c>
    </row>
    <row r="2342" spans="1:11" ht="20" customHeight="1">
      <c r="A2342" t="s">
        <v>26</v>
      </c>
      <c r="B2342" t="s">
        <v>1719</v>
      </c>
      <c r="C2342">
        <v>17583.251953125</v>
      </c>
      <c r="D2342">
        <v>17650.943359375</v>
      </c>
      <c r="E2342">
        <v>16543.482421875</v>
      </c>
      <c r="F2342">
        <v>17034.29296875</v>
      </c>
      <c r="G2342">
        <v>17034.29296875</v>
      </c>
      <c r="H2342">
        <v>55871616488</v>
      </c>
      <c r="I2342" t="s">
        <v>5691</v>
      </c>
      <c r="J2342" t="s">
        <v>5692</v>
      </c>
      <c r="K2342" t="s">
        <v>4634</v>
      </c>
    </row>
    <row r="2343" spans="1:11" ht="20" customHeight="1">
      <c r="A2343" t="s">
        <v>26</v>
      </c>
      <c r="B2343" t="s">
        <v>5693</v>
      </c>
      <c r="C2343">
        <v>17036.875</v>
      </c>
      <c r="D2343">
        <v>17066.67578125</v>
      </c>
      <c r="E2343">
        <v>16651.775390625</v>
      </c>
      <c r="F2343">
        <v>16799.185546875</v>
      </c>
      <c r="G2343">
        <v>16799.185546875</v>
      </c>
      <c r="H2343">
        <v>29717699419</v>
      </c>
      <c r="I2343" t="s">
        <v>5692</v>
      </c>
      <c r="J2343" t="s">
        <v>5694</v>
      </c>
      <c r="K2343" t="s">
        <v>4634</v>
      </c>
    </row>
    <row r="2344" spans="1:11" ht="20" customHeight="1">
      <c r="A2344" t="s">
        <v>26</v>
      </c>
      <c r="B2344" t="s">
        <v>5695</v>
      </c>
      <c r="C2344">
        <v>16799.72265625</v>
      </c>
      <c r="D2344">
        <v>16920.765625</v>
      </c>
      <c r="E2344">
        <v>16320.634765625</v>
      </c>
      <c r="F2344">
        <v>16353.365234375</v>
      </c>
      <c r="G2344">
        <v>16353.365234375</v>
      </c>
      <c r="H2344">
        <v>27209183682</v>
      </c>
      <c r="I2344" t="s">
        <v>5694</v>
      </c>
      <c r="J2344" t="s">
        <v>5696</v>
      </c>
      <c r="K2344" t="s">
        <v>4634</v>
      </c>
    </row>
    <row r="2345" spans="1:11" ht="20" customHeight="1">
      <c r="A2345" t="s">
        <v>26</v>
      </c>
      <c r="B2345" t="s">
        <v>1722</v>
      </c>
      <c r="C2345">
        <v>16352.0283203125</v>
      </c>
      <c r="D2345">
        <v>17109.32421875</v>
      </c>
      <c r="E2345">
        <v>15872.94140625</v>
      </c>
      <c r="F2345">
        <v>16618.19921875</v>
      </c>
      <c r="G2345">
        <v>16618.19921875</v>
      </c>
      <c r="H2345">
        <v>49630243054</v>
      </c>
      <c r="I2345" t="s">
        <v>5696</v>
      </c>
      <c r="J2345" t="s">
        <v>5697</v>
      </c>
      <c r="K2345" t="s">
        <v>4634</v>
      </c>
    </row>
    <row r="2346" spans="1:11" ht="20" customHeight="1">
      <c r="A2346" t="s">
        <v>26</v>
      </c>
      <c r="B2346" t="s">
        <v>1725</v>
      </c>
      <c r="C2346">
        <v>16617.484375</v>
      </c>
      <c r="D2346">
        <v>17051.962890625</v>
      </c>
      <c r="E2346">
        <v>16542.55078125</v>
      </c>
      <c r="F2346">
        <v>16884.61328125</v>
      </c>
      <c r="G2346">
        <v>16884.61328125</v>
      </c>
      <c r="H2346">
        <v>36599436183</v>
      </c>
      <c r="I2346" t="s">
        <v>5697</v>
      </c>
      <c r="J2346" t="s">
        <v>5698</v>
      </c>
      <c r="K2346" t="s">
        <v>4634</v>
      </c>
    </row>
    <row r="2347" spans="1:11" ht="20" customHeight="1">
      <c r="A2347" t="s">
        <v>26</v>
      </c>
      <c r="B2347" t="s">
        <v>1728</v>
      </c>
      <c r="C2347">
        <v>16884.341796875</v>
      </c>
      <c r="D2347">
        <v>16960.294921875</v>
      </c>
      <c r="E2347">
        <v>16430.111328125</v>
      </c>
      <c r="F2347">
        <v>16669.439453125</v>
      </c>
      <c r="G2347">
        <v>16669.439453125</v>
      </c>
      <c r="H2347">
        <v>33925512989</v>
      </c>
      <c r="I2347" t="s">
        <v>5698</v>
      </c>
      <c r="J2347" t="s">
        <v>5699</v>
      </c>
      <c r="K2347" t="s">
        <v>4634</v>
      </c>
    </row>
    <row r="2348" spans="1:11" ht="20" customHeight="1">
      <c r="A2348" t="s">
        <v>26</v>
      </c>
      <c r="B2348" t="s">
        <v>1731</v>
      </c>
      <c r="C2348">
        <v>16670.42578125</v>
      </c>
      <c r="D2348">
        <v>16726.439453125</v>
      </c>
      <c r="E2348">
        <v>16460.68359375</v>
      </c>
      <c r="F2348">
        <v>16687.517578125</v>
      </c>
      <c r="G2348">
        <v>16687.517578125</v>
      </c>
      <c r="H2348">
        <v>27868914022</v>
      </c>
      <c r="I2348" t="s">
        <v>5699</v>
      </c>
      <c r="J2348" t="s">
        <v>5700</v>
      </c>
      <c r="K2348" t="s">
        <v>4634</v>
      </c>
    </row>
    <row r="2349" spans="1:11" ht="20" customHeight="1">
      <c r="A2349" t="s">
        <v>26</v>
      </c>
      <c r="B2349" t="s">
        <v>1734</v>
      </c>
      <c r="C2349">
        <v>16687.912109375</v>
      </c>
      <c r="D2349">
        <v>16947.05859375</v>
      </c>
      <c r="E2349">
        <v>16564.611328125</v>
      </c>
      <c r="F2349">
        <v>16697.77734375</v>
      </c>
      <c r="G2349">
        <v>16697.77734375</v>
      </c>
      <c r="H2349">
        <v>26862218609</v>
      </c>
      <c r="I2349" t="s">
        <v>5700</v>
      </c>
      <c r="J2349" t="s">
        <v>5701</v>
      </c>
      <c r="K2349" t="s">
        <v>4634</v>
      </c>
    </row>
    <row r="2350" spans="1:11" ht="20" customHeight="1">
      <c r="A2350" t="s">
        <v>26</v>
      </c>
      <c r="B2350" t="s">
        <v>5702</v>
      </c>
      <c r="C2350">
        <v>16696.220703125</v>
      </c>
      <c r="D2350">
        <v>16797.876953125</v>
      </c>
      <c r="E2350">
        <v>16570.41015625</v>
      </c>
      <c r="F2350">
        <v>16711.546875</v>
      </c>
      <c r="G2350">
        <v>16711.546875</v>
      </c>
      <c r="H2350">
        <v>16106223492</v>
      </c>
      <c r="I2350" t="s">
        <v>5701</v>
      </c>
      <c r="J2350" t="s">
        <v>5703</v>
      </c>
      <c r="K2350" t="s">
        <v>4634</v>
      </c>
    </row>
    <row r="2351" spans="1:11" ht="20" customHeight="1">
      <c r="A2351" t="s">
        <v>26</v>
      </c>
      <c r="B2351" t="s">
        <v>5704</v>
      </c>
      <c r="C2351">
        <v>16712.919921875</v>
      </c>
      <c r="D2351">
        <v>16746.779296875</v>
      </c>
      <c r="E2351">
        <v>16248.6923828125</v>
      </c>
      <c r="F2351">
        <v>16291.83203125</v>
      </c>
      <c r="G2351">
        <v>16291.83203125</v>
      </c>
      <c r="H2351">
        <v>21313378652</v>
      </c>
      <c r="I2351" t="s">
        <v>5703</v>
      </c>
      <c r="J2351" t="s">
        <v>5705</v>
      </c>
      <c r="K2351" t="s">
        <v>4634</v>
      </c>
    </row>
    <row r="2352" spans="1:11" ht="20" customHeight="1">
      <c r="A2352" t="s">
        <v>26</v>
      </c>
      <c r="B2352" t="s">
        <v>1737</v>
      </c>
      <c r="C2352">
        <v>16291.2236328125</v>
      </c>
      <c r="D2352">
        <v>16291.2236328125</v>
      </c>
      <c r="E2352">
        <v>15599.046875</v>
      </c>
      <c r="F2352">
        <v>15787.2841796875</v>
      </c>
      <c r="G2352">
        <v>15787.2841796875</v>
      </c>
      <c r="H2352">
        <v>37429485518</v>
      </c>
      <c r="I2352" t="s">
        <v>5705</v>
      </c>
      <c r="J2352" t="s">
        <v>5706</v>
      </c>
      <c r="K2352" t="s">
        <v>4634</v>
      </c>
    </row>
    <row r="2353" spans="1:11" ht="20" customHeight="1">
      <c r="A2353" t="s">
        <v>26</v>
      </c>
      <c r="B2353" t="s">
        <v>1740</v>
      </c>
      <c r="C2353">
        <v>15782.30078125</v>
      </c>
      <c r="D2353">
        <v>16253.0478515625</v>
      </c>
      <c r="E2353">
        <v>15656.6064453125</v>
      </c>
      <c r="F2353">
        <v>16189.76953125</v>
      </c>
      <c r="G2353">
        <v>16189.76953125</v>
      </c>
      <c r="H2353">
        <v>30726828760</v>
      </c>
      <c r="I2353" t="s">
        <v>5706</v>
      </c>
      <c r="J2353" t="s">
        <v>5707</v>
      </c>
      <c r="K2353" t="s">
        <v>4634</v>
      </c>
    </row>
    <row r="2354" spans="1:11" ht="20" customHeight="1">
      <c r="A2354" t="s">
        <v>26</v>
      </c>
      <c r="B2354" t="s">
        <v>1743</v>
      </c>
      <c r="C2354">
        <v>16195.5888671875</v>
      </c>
      <c r="D2354">
        <v>16638.193359375</v>
      </c>
      <c r="E2354">
        <v>16170.5029296875</v>
      </c>
      <c r="F2354">
        <v>16610.70703125</v>
      </c>
      <c r="G2354">
        <v>16610.70703125</v>
      </c>
      <c r="H2354">
        <v>32958875628</v>
      </c>
      <c r="I2354" t="s">
        <v>5707</v>
      </c>
      <c r="J2354" t="s">
        <v>5708</v>
      </c>
      <c r="K2354" t="s">
        <v>4634</v>
      </c>
    </row>
    <row r="2355" spans="1:11" ht="20" customHeight="1">
      <c r="A2355" t="s">
        <v>26</v>
      </c>
      <c r="B2355" t="s">
        <v>5709</v>
      </c>
      <c r="C2355">
        <v>16611.63671875</v>
      </c>
      <c r="D2355">
        <v>16771.474609375</v>
      </c>
      <c r="E2355">
        <v>16501.767578125</v>
      </c>
      <c r="F2355">
        <v>16604.46484375</v>
      </c>
      <c r="G2355">
        <v>16604.46484375</v>
      </c>
      <c r="H2355">
        <v>26129037414</v>
      </c>
      <c r="I2355" t="s">
        <v>5708</v>
      </c>
      <c r="J2355" t="s">
        <v>5710</v>
      </c>
      <c r="K2355" t="s">
        <v>4634</v>
      </c>
    </row>
    <row r="2356" spans="1:11" ht="20" customHeight="1">
      <c r="A2356" t="s">
        <v>26</v>
      </c>
      <c r="B2356" t="s">
        <v>1746</v>
      </c>
      <c r="C2356">
        <v>16602.26953125</v>
      </c>
      <c r="D2356">
        <v>16603.31640625</v>
      </c>
      <c r="E2356">
        <v>16388.404296875</v>
      </c>
      <c r="F2356">
        <v>16521.841796875</v>
      </c>
      <c r="G2356">
        <v>16521.841796875</v>
      </c>
      <c r="H2356">
        <v>18678255976</v>
      </c>
      <c r="I2356" t="s">
        <v>5710</v>
      </c>
      <c r="J2356" t="s">
        <v>5711</v>
      </c>
      <c r="K2356" t="s">
        <v>4634</v>
      </c>
    </row>
    <row r="2357" spans="1:11" ht="20" customHeight="1">
      <c r="A2357" t="s">
        <v>26</v>
      </c>
      <c r="B2357" t="s">
        <v>5712</v>
      </c>
      <c r="C2357">
        <v>16521.576171875</v>
      </c>
      <c r="D2357">
        <v>16666.86328125</v>
      </c>
      <c r="E2357">
        <v>16416.228515625</v>
      </c>
      <c r="F2357">
        <v>16464.28125</v>
      </c>
      <c r="G2357">
        <v>16464.28125</v>
      </c>
      <c r="H2357">
        <v>18000008764</v>
      </c>
      <c r="I2357" t="s">
        <v>5711</v>
      </c>
      <c r="J2357" t="s">
        <v>5713</v>
      </c>
      <c r="K2357" t="s">
        <v>4634</v>
      </c>
    </row>
    <row r="2358" spans="1:11" ht="20" customHeight="1">
      <c r="A2358" t="s">
        <v>26</v>
      </c>
      <c r="B2358" t="s">
        <v>5714</v>
      </c>
      <c r="C2358">
        <v>16463.8828125</v>
      </c>
      <c r="D2358">
        <v>16594.40625</v>
      </c>
      <c r="E2358">
        <v>16437.025390625</v>
      </c>
      <c r="F2358">
        <v>16444.626953125</v>
      </c>
      <c r="G2358">
        <v>16444.626953125</v>
      </c>
      <c r="H2358">
        <v>20443898509</v>
      </c>
      <c r="I2358" t="s">
        <v>5713</v>
      </c>
      <c r="J2358" t="s">
        <v>5715</v>
      </c>
      <c r="K2358" t="s">
        <v>4634</v>
      </c>
    </row>
    <row r="2359" spans="1:11" ht="20" customHeight="1">
      <c r="A2359" t="s">
        <v>26</v>
      </c>
      <c r="B2359" t="s">
        <v>1749</v>
      </c>
      <c r="C2359">
        <v>16440.22265625</v>
      </c>
      <c r="D2359">
        <v>16482.93359375</v>
      </c>
      <c r="E2359">
        <v>16054.5302734375</v>
      </c>
      <c r="F2359">
        <v>16217.322265625</v>
      </c>
      <c r="G2359">
        <v>16217.322265625</v>
      </c>
      <c r="H2359">
        <v>27743025156</v>
      </c>
      <c r="I2359" t="s">
        <v>5715</v>
      </c>
      <c r="J2359" t="s">
        <v>5716</v>
      </c>
      <c r="K2359" t="s">
        <v>4634</v>
      </c>
    </row>
    <row r="2360" spans="1:11" ht="20" customHeight="1">
      <c r="A2360" t="s">
        <v>26</v>
      </c>
      <c r="B2360" t="s">
        <v>1752</v>
      </c>
      <c r="C2360">
        <v>16217.6396484375</v>
      </c>
      <c r="D2360">
        <v>16522.2578125</v>
      </c>
      <c r="E2360">
        <v>16139.396484375</v>
      </c>
      <c r="F2360">
        <v>16444.982421875</v>
      </c>
      <c r="G2360">
        <v>16444.982421875</v>
      </c>
      <c r="H2360">
        <v>23581685468</v>
      </c>
      <c r="I2360" t="s">
        <v>5716</v>
      </c>
      <c r="J2360" t="s">
        <v>5717</v>
      </c>
      <c r="K2360" t="s">
        <v>4634</v>
      </c>
    </row>
    <row r="2361" spans="1:11" ht="20" customHeight="1">
      <c r="A2361" t="s">
        <v>26</v>
      </c>
      <c r="B2361" t="s">
        <v>1755</v>
      </c>
      <c r="C2361">
        <v>16445.4765625</v>
      </c>
      <c r="D2361">
        <v>17190.9375</v>
      </c>
      <c r="E2361">
        <v>16445.4765625</v>
      </c>
      <c r="F2361">
        <v>17168.56640625</v>
      </c>
      <c r="G2361">
        <v>17168.56640625</v>
      </c>
      <c r="H2361">
        <v>29523576583</v>
      </c>
      <c r="I2361" t="s">
        <v>5717</v>
      </c>
      <c r="J2361" t="s">
        <v>5718</v>
      </c>
      <c r="K2361" t="s">
        <v>4634</v>
      </c>
    </row>
    <row r="2362" spans="1:11" ht="20" customHeight="1">
      <c r="A2362" t="s">
        <v>26</v>
      </c>
      <c r="B2362" t="s">
        <v>1758</v>
      </c>
      <c r="C2362">
        <v>17168.001953125</v>
      </c>
      <c r="D2362">
        <v>17197.498046875</v>
      </c>
      <c r="E2362">
        <v>16888.388671875</v>
      </c>
      <c r="F2362">
        <v>16967.1328125</v>
      </c>
      <c r="G2362">
        <v>16967.1328125</v>
      </c>
      <c r="H2362">
        <v>22895392882</v>
      </c>
      <c r="I2362" t="s">
        <v>5718</v>
      </c>
      <c r="J2362" t="s">
        <v>5719</v>
      </c>
      <c r="K2362" t="s">
        <v>4634</v>
      </c>
    </row>
    <row r="2363" spans="1:11" ht="20" customHeight="1">
      <c r="A2363" t="s">
        <v>26</v>
      </c>
      <c r="B2363" t="s">
        <v>1761</v>
      </c>
      <c r="C2363">
        <v>16968.68359375</v>
      </c>
      <c r="D2363">
        <v>17088.66015625</v>
      </c>
      <c r="E2363">
        <v>16877.880859375</v>
      </c>
      <c r="F2363">
        <v>17088.66015625</v>
      </c>
      <c r="G2363">
        <v>17088.66015625</v>
      </c>
      <c r="H2363">
        <v>19539705127</v>
      </c>
      <c r="I2363" t="s">
        <v>5719</v>
      </c>
      <c r="J2363" t="s">
        <v>5720</v>
      </c>
      <c r="K2363" t="s">
        <v>4634</v>
      </c>
    </row>
    <row r="2364" spans="1:11" ht="20" customHeight="1">
      <c r="A2364" t="s">
        <v>26</v>
      </c>
      <c r="B2364" t="s">
        <v>5721</v>
      </c>
      <c r="C2364">
        <v>17090.09765625</v>
      </c>
      <c r="D2364">
        <v>17116.041015625</v>
      </c>
      <c r="E2364">
        <v>16888.140625</v>
      </c>
      <c r="F2364">
        <v>16908.236328125</v>
      </c>
      <c r="G2364">
        <v>16908.236328125</v>
      </c>
      <c r="H2364">
        <v>16217776704</v>
      </c>
      <c r="I2364" t="s">
        <v>5720</v>
      </c>
      <c r="J2364" t="s">
        <v>5722</v>
      </c>
      <c r="K2364" t="s">
        <v>4634</v>
      </c>
    </row>
    <row r="2365" spans="1:11" ht="20" customHeight="1">
      <c r="A2365" t="s">
        <v>26</v>
      </c>
      <c r="B2365" t="s">
        <v>5723</v>
      </c>
      <c r="C2365">
        <v>16908.169921875</v>
      </c>
      <c r="D2365">
        <v>17157.767578125</v>
      </c>
      <c r="E2365">
        <v>16903.439453125</v>
      </c>
      <c r="F2365">
        <v>17130.486328125</v>
      </c>
      <c r="G2365">
        <v>17130.486328125</v>
      </c>
      <c r="H2365">
        <v>16824520830</v>
      </c>
      <c r="I2365" t="s">
        <v>5722</v>
      </c>
      <c r="J2365" t="s">
        <v>5724</v>
      </c>
      <c r="K2365" t="s">
        <v>4634</v>
      </c>
    </row>
    <row r="2366" spans="1:11" ht="20" customHeight="1">
      <c r="A2366" t="s">
        <v>26</v>
      </c>
      <c r="B2366" t="s">
        <v>1764</v>
      </c>
      <c r="C2366">
        <v>17128.89453125</v>
      </c>
      <c r="D2366">
        <v>17378.15234375</v>
      </c>
      <c r="E2366">
        <v>16922.431640625</v>
      </c>
      <c r="F2366">
        <v>16974.826171875</v>
      </c>
      <c r="G2366">
        <v>16974.826171875</v>
      </c>
      <c r="H2366">
        <v>22209086834</v>
      </c>
      <c r="I2366" t="s">
        <v>5724</v>
      </c>
      <c r="J2366" t="s">
        <v>5725</v>
      </c>
      <c r="K2366" t="s">
        <v>4634</v>
      </c>
    </row>
    <row r="2367" spans="1:11" ht="20" customHeight="1">
      <c r="A2367" t="s">
        <v>26</v>
      </c>
      <c r="B2367" t="s">
        <v>1767</v>
      </c>
      <c r="C2367">
        <v>16975.23828125</v>
      </c>
      <c r="D2367">
        <v>17091.86328125</v>
      </c>
      <c r="E2367">
        <v>16939.921875</v>
      </c>
      <c r="F2367">
        <v>17089.50390625</v>
      </c>
      <c r="G2367">
        <v>17089.50390625</v>
      </c>
      <c r="H2367">
        <v>19889922369</v>
      </c>
      <c r="I2367" t="s">
        <v>5725</v>
      </c>
      <c r="J2367" t="s">
        <v>5726</v>
      </c>
      <c r="K2367" t="s">
        <v>4634</v>
      </c>
    </row>
    <row r="2368" spans="1:11" ht="20" customHeight="1">
      <c r="A2368" t="s">
        <v>26</v>
      </c>
      <c r="B2368" t="s">
        <v>1770</v>
      </c>
      <c r="C2368">
        <v>17089.505859375</v>
      </c>
      <c r="D2368">
        <v>17109.376953125</v>
      </c>
      <c r="E2368">
        <v>16750.55859375</v>
      </c>
      <c r="F2368">
        <v>16848.126953125</v>
      </c>
      <c r="G2368">
        <v>16848.126953125</v>
      </c>
      <c r="H2368">
        <v>19675404389</v>
      </c>
      <c r="I2368" t="s">
        <v>5726</v>
      </c>
      <c r="J2368" t="s">
        <v>5727</v>
      </c>
      <c r="K2368" t="s">
        <v>4634</v>
      </c>
    </row>
    <row r="2369" spans="1:11" ht="20" customHeight="1">
      <c r="A2369" t="s">
        <v>26</v>
      </c>
      <c r="B2369" t="s">
        <v>1773</v>
      </c>
      <c r="C2369">
        <v>16847.349609375</v>
      </c>
      <c r="D2369">
        <v>17267.916015625</v>
      </c>
      <c r="E2369">
        <v>16788.783203125</v>
      </c>
      <c r="F2369">
        <v>17233.474609375</v>
      </c>
      <c r="G2369">
        <v>17233.474609375</v>
      </c>
      <c r="H2369">
        <v>20496603770</v>
      </c>
      <c r="I2369" t="s">
        <v>5727</v>
      </c>
      <c r="J2369" t="s">
        <v>5728</v>
      </c>
      <c r="K2369" t="s">
        <v>4634</v>
      </c>
    </row>
    <row r="2370" spans="1:11" ht="20" customHeight="1">
      <c r="A2370" t="s">
        <v>26</v>
      </c>
      <c r="B2370" t="s">
        <v>1776</v>
      </c>
      <c r="C2370">
        <v>17232.1484375</v>
      </c>
      <c r="D2370">
        <v>17280.546875</v>
      </c>
      <c r="E2370">
        <v>17100.8359375</v>
      </c>
      <c r="F2370">
        <v>17133.15234375</v>
      </c>
      <c r="G2370">
        <v>17133.15234375</v>
      </c>
      <c r="H2370">
        <v>20328426366</v>
      </c>
      <c r="I2370" t="s">
        <v>5728</v>
      </c>
      <c r="J2370" t="s">
        <v>5729</v>
      </c>
      <c r="K2370" t="s">
        <v>4634</v>
      </c>
    </row>
    <row r="2371" spans="1:11" ht="20" customHeight="1">
      <c r="A2371" t="s">
        <v>26</v>
      </c>
      <c r="B2371" t="s">
        <v>5730</v>
      </c>
      <c r="C2371">
        <v>17134.220703125</v>
      </c>
      <c r="D2371">
        <v>17216.826171875</v>
      </c>
      <c r="E2371">
        <v>17120.68359375</v>
      </c>
      <c r="F2371">
        <v>17128.724609375</v>
      </c>
      <c r="G2371">
        <v>17128.724609375</v>
      </c>
      <c r="H2371">
        <v>12706781969</v>
      </c>
      <c r="I2371" t="s">
        <v>5729</v>
      </c>
      <c r="J2371" t="s">
        <v>5731</v>
      </c>
      <c r="K2371" t="s">
        <v>4634</v>
      </c>
    </row>
    <row r="2372" spans="1:11" ht="20" customHeight="1">
      <c r="A2372" t="s">
        <v>26</v>
      </c>
      <c r="B2372" t="s">
        <v>5732</v>
      </c>
      <c r="C2372">
        <v>17129.7109375</v>
      </c>
      <c r="D2372">
        <v>17245.634765625</v>
      </c>
      <c r="E2372">
        <v>17091.8203125</v>
      </c>
      <c r="F2372">
        <v>17104.193359375</v>
      </c>
      <c r="G2372">
        <v>17104.193359375</v>
      </c>
      <c r="H2372">
        <v>14122486832</v>
      </c>
      <c r="I2372" t="s">
        <v>5731</v>
      </c>
      <c r="J2372" t="s">
        <v>5733</v>
      </c>
      <c r="K2372" t="s">
        <v>4634</v>
      </c>
    </row>
    <row r="2373" spans="1:11" ht="20" customHeight="1">
      <c r="A2373" t="s">
        <v>26</v>
      </c>
      <c r="B2373" t="s">
        <v>1779</v>
      </c>
      <c r="C2373">
        <v>17102.5</v>
      </c>
      <c r="D2373">
        <v>17212.564453125</v>
      </c>
      <c r="E2373">
        <v>16899.39453125</v>
      </c>
      <c r="F2373">
        <v>17206.4375</v>
      </c>
      <c r="G2373">
        <v>17206.4375</v>
      </c>
      <c r="H2373">
        <v>19617581341</v>
      </c>
      <c r="I2373" t="s">
        <v>5733</v>
      </c>
      <c r="J2373" t="s">
        <v>5734</v>
      </c>
      <c r="K2373" t="s">
        <v>4634</v>
      </c>
    </row>
    <row r="2374" spans="1:11" ht="20" customHeight="1">
      <c r="A2374" t="s">
        <v>26</v>
      </c>
      <c r="B2374" t="s">
        <v>1782</v>
      </c>
      <c r="C2374">
        <v>17206.44140625</v>
      </c>
      <c r="D2374">
        <v>17930.0859375</v>
      </c>
      <c r="E2374">
        <v>17111.763671875</v>
      </c>
      <c r="F2374">
        <v>17781.318359375</v>
      </c>
      <c r="G2374">
        <v>17781.318359375</v>
      </c>
      <c r="H2374">
        <v>26634741631</v>
      </c>
      <c r="I2374" t="s">
        <v>5734</v>
      </c>
      <c r="J2374" t="s">
        <v>5735</v>
      </c>
      <c r="K2374" t="s">
        <v>4634</v>
      </c>
    </row>
    <row r="2375" spans="1:11" ht="20" customHeight="1">
      <c r="A2375" t="s">
        <v>26</v>
      </c>
      <c r="B2375" t="s">
        <v>1785</v>
      </c>
      <c r="C2375">
        <v>17782.06640625</v>
      </c>
      <c r="D2375">
        <v>18318.53125</v>
      </c>
      <c r="E2375">
        <v>17739.513671875</v>
      </c>
      <c r="F2375">
        <v>17815.650390625</v>
      </c>
      <c r="G2375">
        <v>17815.650390625</v>
      </c>
      <c r="H2375">
        <v>25534481470</v>
      </c>
      <c r="I2375" t="s">
        <v>5735</v>
      </c>
      <c r="J2375" t="s">
        <v>5736</v>
      </c>
      <c r="K2375" t="s">
        <v>4634</v>
      </c>
    </row>
    <row r="2376" spans="1:11" ht="20" customHeight="1">
      <c r="A2376" t="s">
        <v>26</v>
      </c>
      <c r="B2376" t="s">
        <v>1788</v>
      </c>
      <c r="C2376">
        <v>17813.64453125</v>
      </c>
      <c r="D2376">
        <v>17846.744140625</v>
      </c>
      <c r="E2376">
        <v>17322.58984375</v>
      </c>
      <c r="F2376">
        <v>17364.865234375</v>
      </c>
      <c r="G2376">
        <v>17364.865234375</v>
      </c>
      <c r="H2376">
        <v>20964448341</v>
      </c>
      <c r="I2376" t="s">
        <v>5736</v>
      </c>
      <c r="J2376" t="s">
        <v>5737</v>
      </c>
      <c r="K2376" t="s">
        <v>4634</v>
      </c>
    </row>
    <row r="2377" spans="1:11" ht="20" customHeight="1">
      <c r="A2377" t="s">
        <v>26</v>
      </c>
      <c r="B2377" t="s">
        <v>1791</v>
      </c>
      <c r="C2377">
        <v>17364.546875</v>
      </c>
      <c r="D2377">
        <v>17505.525390625</v>
      </c>
      <c r="E2377">
        <v>16584.701171875</v>
      </c>
      <c r="F2377">
        <v>16647.484375</v>
      </c>
      <c r="G2377">
        <v>16647.484375</v>
      </c>
      <c r="H2377">
        <v>24031608960</v>
      </c>
      <c r="I2377" t="s">
        <v>5737</v>
      </c>
      <c r="J2377" t="s">
        <v>5738</v>
      </c>
      <c r="K2377" t="s">
        <v>4634</v>
      </c>
    </row>
    <row r="2378" spans="1:11" ht="20" customHeight="1">
      <c r="A2378" t="s">
        <v>26</v>
      </c>
      <c r="B2378" t="s">
        <v>5739</v>
      </c>
      <c r="C2378">
        <v>16646.982421875</v>
      </c>
      <c r="D2378">
        <v>16800.58984375</v>
      </c>
      <c r="E2378">
        <v>16614.029296875</v>
      </c>
      <c r="F2378">
        <v>16795.091796875</v>
      </c>
      <c r="G2378">
        <v>16795.091796875</v>
      </c>
      <c r="H2378">
        <v>14463581825</v>
      </c>
      <c r="I2378" t="s">
        <v>5738</v>
      </c>
      <c r="J2378" t="s">
        <v>5740</v>
      </c>
      <c r="K2378" t="s">
        <v>4634</v>
      </c>
    </row>
    <row r="2379" spans="1:11" ht="20" customHeight="1">
      <c r="A2379" t="s">
        <v>26</v>
      </c>
      <c r="B2379" t="s">
        <v>5741</v>
      </c>
      <c r="C2379">
        <v>16795.609375</v>
      </c>
      <c r="D2379">
        <v>16815.38671875</v>
      </c>
      <c r="E2379">
        <v>16697.8203125</v>
      </c>
      <c r="F2379">
        <v>16757.9765625</v>
      </c>
      <c r="G2379">
        <v>16757.9765625</v>
      </c>
      <c r="H2379">
        <v>10924354698</v>
      </c>
      <c r="I2379" t="s">
        <v>5740</v>
      </c>
      <c r="J2379" t="s">
        <v>5742</v>
      </c>
      <c r="K2379" t="s">
        <v>4634</v>
      </c>
    </row>
    <row r="2380" spans="1:11" ht="20" customHeight="1">
      <c r="A2380" t="s">
        <v>26</v>
      </c>
      <c r="B2380" t="s">
        <v>1794</v>
      </c>
      <c r="C2380">
        <v>16759.041015625</v>
      </c>
      <c r="D2380">
        <v>16807.52734375</v>
      </c>
      <c r="E2380">
        <v>16398.13671875</v>
      </c>
      <c r="F2380">
        <v>16439.6796875</v>
      </c>
      <c r="G2380">
        <v>16439.6796875</v>
      </c>
      <c r="H2380">
        <v>17221074814</v>
      </c>
      <c r="I2380" t="s">
        <v>5742</v>
      </c>
      <c r="J2380" t="s">
        <v>5743</v>
      </c>
      <c r="K2380" t="s">
        <v>4634</v>
      </c>
    </row>
    <row r="2381" spans="1:11" ht="20" customHeight="1">
      <c r="A2381" t="s">
        <v>26</v>
      </c>
      <c r="B2381" t="s">
        <v>1797</v>
      </c>
      <c r="C2381">
        <v>16441.787109375</v>
      </c>
      <c r="D2381">
        <v>17012.984375</v>
      </c>
      <c r="E2381">
        <v>16427.8671875</v>
      </c>
      <c r="F2381">
        <v>16906.3046875</v>
      </c>
      <c r="G2381">
        <v>16906.3046875</v>
      </c>
      <c r="H2381">
        <v>22722096615</v>
      </c>
      <c r="I2381" t="s">
        <v>5743</v>
      </c>
      <c r="J2381" t="s">
        <v>5744</v>
      </c>
      <c r="K2381" t="s">
        <v>4634</v>
      </c>
    </row>
    <row r="2382" spans="1:11" ht="20" customHeight="1">
      <c r="A2382" t="s">
        <v>26</v>
      </c>
      <c r="B2382" t="s">
        <v>1800</v>
      </c>
      <c r="C2382">
        <v>16904.52734375</v>
      </c>
      <c r="D2382">
        <v>16916.80078125</v>
      </c>
      <c r="E2382">
        <v>16755.912109375</v>
      </c>
      <c r="F2382">
        <v>16817.53515625</v>
      </c>
      <c r="G2382">
        <v>16817.53515625</v>
      </c>
      <c r="H2382">
        <v>14882945045</v>
      </c>
      <c r="I2382" t="s">
        <v>5744</v>
      </c>
      <c r="J2382" t="s">
        <v>5745</v>
      </c>
      <c r="K2382" t="s">
        <v>4634</v>
      </c>
    </row>
    <row r="2383" spans="1:11" ht="20" customHeight="1">
      <c r="A2383" t="s">
        <v>26</v>
      </c>
      <c r="B2383" t="s">
        <v>1803</v>
      </c>
      <c r="C2383">
        <v>16818.380859375</v>
      </c>
      <c r="D2383">
        <v>16866.673828125</v>
      </c>
      <c r="E2383">
        <v>16592.408203125</v>
      </c>
      <c r="F2383">
        <v>16830.341796875</v>
      </c>
      <c r="G2383">
        <v>16830.341796875</v>
      </c>
      <c r="H2383">
        <v>16441573050</v>
      </c>
      <c r="I2383" t="s">
        <v>5745</v>
      </c>
      <c r="J2383" t="s">
        <v>5746</v>
      </c>
      <c r="K2383" t="s">
        <v>4634</v>
      </c>
    </row>
    <row r="2384" spans="1:11" ht="20" customHeight="1">
      <c r="A2384" t="s">
        <v>26</v>
      </c>
      <c r="B2384" t="s">
        <v>1806</v>
      </c>
      <c r="C2384">
        <v>16829.64453125</v>
      </c>
      <c r="D2384">
        <v>16905.21875</v>
      </c>
      <c r="E2384">
        <v>16794.458984375</v>
      </c>
      <c r="F2384">
        <v>16796.953125</v>
      </c>
      <c r="G2384">
        <v>16796.953125</v>
      </c>
      <c r="H2384">
        <v>15329265213</v>
      </c>
      <c r="I2384" t="s">
        <v>5746</v>
      </c>
      <c r="J2384" t="s">
        <v>5747</v>
      </c>
      <c r="K2384" t="s">
        <v>4634</v>
      </c>
    </row>
    <row r="2385" spans="1:11" ht="20" customHeight="1">
      <c r="A2385" t="s">
        <v>26</v>
      </c>
      <c r="B2385" t="s">
        <v>5748</v>
      </c>
      <c r="C2385">
        <v>16796.9765625</v>
      </c>
      <c r="D2385">
        <v>16864.703125</v>
      </c>
      <c r="E2385">
        <v>16793.52734375</v>
      </c>
      <c r="F2385">
        <v>16847.755859375</v>
      </c>
      <c r="G2385">
        <v>16847.755859375</v>
      </c>
      <c r="H2385">
        <v>9744636213</v>
      </c>
      <c r="I2385" t="s">
        <v>5747</v>
      </c>
      <c r="J2385" t="s">
        <v>5749</v>
      </c>
      <c r="K2385" t="s">
        <v>4634</v>
      </c>
    </row>
    <row r="2386" spans="1:11" ht="20" customHeight="1">
      <c r="A2386" t="s">
        <v>26</v>
      </c>
      <c r="B2386" t="s">
        <v>5750</v>
      </c>
      <c r="C2386">
        <v>16847.505859375</v>
      </c>
      <c r="D2386">
        <v>16860.5546875</v>
      </c>
      <c r="E2386">
        <v>16755.25390625</v>
      </c>
      <c r="F2386">
        <v>16841.986328125</v>
      </c>
      <c r="G2386">
        <v>16841.986328125</v>
      </c>
      <c r="H2386">
        <v>11656379938</v>
      </c>
      <c r="I2386" t="s">
        <v>5749</v>
      </c>
      <c r="J2386" t="s">
        <v>5751</v>
      </c>
      <c r="K2386" t="s">
        <v>4634</v>
      </c>
    </row>
    <row r="2387" spans="1:11" ht="20" customHeight="1">
      <c r="A2387" t="s">
        <v>26</v>
      </c>
      <c r="B2387" t="s">
        <v>5752</v>
      </c>
      <c r="C2387">
        <v>16842.25</v>
      </c>
      <c r="D2387">
        <v>16920.123046875</v>
      </c>
      <c r="E2387">
        <v>16812.369140625</v>
      </c>
      <c r="F2387">
        <v>16919.8046875</v>
      </c>
      <c r="G2387">
        <v>16919.8046875</v>
      </c>
      <c r="H2387">
        <v>11886957804</v>
      </c>
      <c r="I2387" t="s">
        <v>5751</v>
      </c>
      <c r="J2387" t="s">
        <v>5753</v>
      </c>
      <c r="K2387" t="s">
        <v>4634</v>
      </c>
    </row>
    <row r="2388" spans="1:11" ht="20" customHeight="1">
      <c r="A2388" t="s">
        <v>26</v>
      </c>
      <c r="B2388" t="s">
        <v>1809</v>
      </c>
      <c r="C2388">
        <v>16919.291015625</v>
      </c>
      <c r="D2388">
        <v>16959.845703125</v>
      </c>
      <c r="E2388">
        <v>16642.072265625</v>
      </c>
      <c r="F2388">
        <v>16717.173828125</v>
      </c>
      <c r="G2388">
        <v>16717.173828125</v>
      </c>
      <c r="H2388">
        <v>15748580239</v>
      </c>
      <c r="I2388" t="s">
        <v>5753</v>
      </c>
      <c r="J2388" t="s">
        <v>5754</v>
      </c>
      <c r="K2388" t="s">
        <v>4634</v>
      </c>
    </row>
    <row r="2389" spans="1:11" ht="20" customHeight="1">
      <c r="A2389" t="s">
        <v>26</v>
      </c>
      <c r="B2389" t="s">
        <v>1812</v>
      </c>
      <c r="C2389">
        <v>16716.400390625</v>
      </c>
      <c r="D2389">
        <v>16768.169921875</v>
      </c>
      <c r="E2389">
        <v>16497.556640625</v>
      </c>
      <c r="F2389">
        <v>16552.572265625</v>
      </c>
      <c r="G2389">
        <v>16552.572265625</v>
      </c>
      <c r="H2389">
        <v>17005713920</v>
      </c>
      <c r="I2389" t="s">
        <v>5754</v>
      </c>
      <c r="J2389" t="s">
        <v>5755</v>
      </c>
      <c r="K2389" t="s">
        <v>4634</v>
      </c>
    </row>
    <row r="2390" spans="1:11" ht="20" customHeight="1">
      <c r="A2390" t="s">
        <v>26</v>
      </c>
      <c r="B2390" t="s">
        <v>1815</v>
      </c>
      <c r="C2390">
        <v>16552.322265625</v>
      </c>
      <c r="D2390">
        <v>16651.755859375</v>
      </c>
      <c r="E2390">
        <v>16508.68359375</v>
      </c>
      <c r="F2390">
        <v>16642.341796875</v>
      </c>
      <c r="G2390">
        <v>16642.341796875</v>
      </c>
      <c r="H2390">
        <v>14472237479</v>
      </c>
      <c r="I2390" t="s">
        <v>5755</v>
      </c>
      <c r="J2390" t="s">
        <v>5756</v>
      </c>
      <c r="K2390" t="s">
        <v>4634</v>
      </c>
    </row>
    <row r="2391" spans="1:11" ht="20" customHeight="1">
      <c r="A2391" t="s">
        <v>26</v>
      </c>
      <c r="B2391" t="s">
        <v>1818</v>
      </c>
      <c r="C2391">
        <v>16641.330078125</v>
      </c>
      <c r="D2391">
        <v>16643.427734375</v>
      </c>
      <c r="E2391">
        <v>16408.474609375</v>
      </c>
      <c r="F2391">
        <v>16602.5859375</v>
      </c>
      <c r="G2391">
        <v>16602.5859375</v>
      </c>
      <c r="H2391">
        <v>15929162910</v>
      </c>
      <c r="I2391" t="s">
        <v>5756</v>
      </c>
      <c r="J2391" t="s">
        <v>5757</v>
      </c>
      <c r="K2391" t="s">
        <v>4634</v>
      </c>
    </row>
    <row r="2392" spans="1:11" ht="20" customHeight="1">
      <c r="A2392" t="s">
        <v>26</v>
      </c>
      <c r="B2392" t="s">
        <v>5758</v>
      </c>
      <c r="C2392">
        <v>16603.673828125</v>
      </c>
      <c r="D2392">
        <v>16628.986328125</v>
      </c>
      <c r="E2392">
        <v>16517.51953125</v>
      </c>
      <c r="F2392">
        <v>16547.49609375</v>
      </c>
      <c r="G2392">
        <v>16547.49609375</v>
      </c>
      <c r="H2392">
        <v>11239186456</v>
      </c>
      <c r="I2392" t="s">
        <v>5757</v>
      </c>
      <c r="J2392" t="s">
        <v>5759</v>
      </c>
      <c r="K2392" t="s">
        <v>4634</v>
      </c>
    </row>
    <row r="2393" spans="1:11" ht="20" customHeight="1">
      <c r="A2393" t="s">
        <v>26</v>
      </c>
      <c r="B2393" t="s">
        <v>5760</v>
      </c>
      <c r="C2393">
        <v>16547.9140625</v>
      </c>
      <c r="D2393">
        <v>16630.439453125</v>
      </c>
      <c r="E2393">
        <v>16521.234375</v>
      </c>
      <c r="F2393">
        <v>16625.080078125</v>
      </c>
      <c r="G2393">
        <v>16625.080078125</v>
      </c>
      <c r="H2393">
        <v>9244361700</v>
      </c>
      <c r="I2393" t="s">
        <v>5759</v>
      </c>
      <c r="J2393" t="s">
        <v>5761</v>
      </c>
      <c r="K2393" t="s">
        <v>4634</v>
      </c>
    </row>
    <row r="2394" spans="1:11" ht="20" customHeight="1">
      <c r="A2394" t="s">
        <v>26</v>
      </c>
      <c r="B2394" t="s">
        <v>5762</v>
      </c>
      <c r="C2394">
        <v>16625.509765625</v>
      </c>
      <c r="D2394">
        <v>16759.34375</v>
      </c>
      <c r="E2394">
        <v>16572.228515625</v>
      </c>
      <c r="F2394">
        <v>16688.470703125</v>
      </c>
      <c r="G2394">
        <v>16688.470703125</v>
      </c>
      <c r="H2394">
        <v>12097775227</v>
      </c>
      <c r="I2394" t="s">
        <v>5761</v>
      </c>
      <c r="J2394" t="s">
        <v>5763</v>
      </c>
      <c r="K2394" t="s">
        <v>4634</v>
      </c>
    </row>
    <row r="2395" spans="1:11" ht="20" customHeight="1">
      <c r="A2395" t="s">
        <v>26</v>
      </c>
      <c r="B2395" t="s">
        <v>1821</v>
      </c>
      <c r="C2395">
        <v>16688.84765625</v>
      </c>
      <c r="D2395">
        <v>16760.447265625</v>
      </c>
      <c r="E2395">
        <v>16622.37109375</v>
      </c>
      <c r="F2395">
        <v>16679.857421875</v>
      </c>
      <c r="G2395">
        <v>16679.857421875</v>
      </c>
      <c r="H2395">
        <v>13903079207</v>
      </c>
      <c r="I2395" t="s">
        <v>5763</v>
      </c>
      <c r="J2395" t="s">
        <v>5764</v>
      </c>
      <c r="K2395" t="s">
        <v>4634</v>
      </c>
    </row>
    <row r="2396" spans="1:11" ht="20" customHeight="1">
      <c r="A2396" t="s">
        <v>26</v>
      </c>
      <c r="B2396" t="s">
        <v>1824</v>
      </c>
      <c r="C2396">
        <v>16680.205078125</v>
      </c>
      <c r="D2396">
        <v>16964.5859375</v>
      </c>
      <c r="E2396">
        <v>16667.763671875</v>
      </c>
      <c r="F2396">
        <v>16863.23828125</v>
      </c>
      <c r="G2396">
        <v>16863.23828125</v>
      </c>
      <c r="H2396">
        <v>18421743322</v>
      </c>
      <c r="I2396" t="s">
        <v>5764</v>
      </c>
      <c r="J2396" t="s">
        <v>5765</v>
      </c>
      <c r="K2396" t="s">
        <v>4634</v>
      </c>
    </row>
    <row r="2397" spans="1:11" ht="20" customHeight="1">
      <c r="A2397" t="s">
        <v>26</v>
      </c>
      <c r="B2397" t="s">
        <v>1827</v>
      </c>
      <c r="C2397">
        <v>16863.47265625</v>
      </c>
      <c r="D2397">
        <v>16884.021484375</v>
      </c>
      <c r="E2397">
        <v>16790.283203125</v>
      </c>
      <c r="F2397">
        <v>16836.736328125</v>
      </c>
      <c r="G2397">
        <v>16836.736328125</v>
      </c>
      <c r="H2397">
        <v>13692758566</v>
      </c>
      <c r="I2397" t="s">
        <v>5765</v>
      </c>
      <c r="J2397" t="s">
        <v>5766</v>
      </c>
      <c r="K2397" t="s">
        <v>4634</v>
      </c>
    </row>
    <row r="2398" spans="1:11" ht="20" customHeight="1">
      <c r="A2398" t="s">
        <v>26</v>
      </c>
      <c r="B2398" t="s">
        <v>1830</v>
      </c>
      <c r="C2398">
        <v>16836.47265625</v>
      </c>
      <c r="D2398">
        <v>16991.994140625</v>
      </c>
      <c r="E2398">
        <v>16716.421875</v>
      </c>
      <c r="F2398">
        <v>16951.96875</v>
      </c>
      <c r="G2398">
        <v>16951.96875</v>
      </c>
      <c r="H2398">
        <v>14413662913</v>
      </c>
      <c r="I2398" t="s">
        <v>5766</v>
      </c>
      <c r="J2398" t="s">
        <v>5767</v>
      </c>
      <c r="K2398" t="s">
        <v>4634</v>
      </c>
    </row>
    <row r="2399" spans="1:11" ht="20" customHeight="1">
      <c r="A2399" t="s">
        <v>26</v>
      </c>
      <c r="B2399" t="s">
        <v>5768</v>
      </c>
      <c r="C2399">
        <v>16952.1171875</v>
      </c>
      <c r="D2399">
        <v>16975.017578125</v>
      </c>
      <c r="E2399">
        <v>16914.19140625</v>
      </c>
      <c r="F2399">
        <v>16955.078125</v>
      </c>
      <c r="G2399">
        <v>16955.078125</v>
      </c>
      <c r="H2399">
        <v>7714767174</v>
      </c>
      <c r="I2399" t="s">
        <v>5767</v>
      </c>
      <c r="J2399" t="s">
        <v>5769</v>
      </c>
      <c r="K2399" t="s">
        <v>4634</v>
      </c>
    </row>
    <row r="2400" spans="1:11" ht="20" customHeight="1">
      <c r="A2400" t="s">
        <v>26</v>
      </c>
      <c r="B2400" t="s">
        <v>5770</v>
      </c>
      <c r="C2400">
        <v>16954.146484375</v>
      </c>
      <c r="D2400">
        <v>17091.14453125</v>
      </c>
      <c r="E2400">
        <v>16924.05078125</v>
      </c>
      <c r="F2400">
        <v>17091.14453125</v>
      </c>
      <c r="G2400">
        <v>17091.14453125</v>
      </c>
      <c r="H2400">
        <v>9768827914</v>
      </c>
      <c r="I2400" t="s">
        <v>5769</v>
      </c>
      <c r="J2400" t="s">
        <v>5771</v>
      </c>
      <c r="K2400" t="s">
        <v>4634</v>
      </c>
    </row>
    <row r="2401" spans="1:11" ht="20" customHeight="1">
      <c r="A2401" t="s">
        <v>26</v>
      </c>
      <c r="B2401" t="s">
        <v>1833</v>
      </c>
      <c r="C2401">
        <v>17093.9921875</v>
      </c>
      <c r="D2401">
        <v>17389.95703125</v>
      </c>
      <c r="E2401">
        <v>17093.9921875</v>
      </c>
      <c r="F2401">
        <v>17196.5546875</v>
      </c>
      <c r="G2401">
        <v>17196.5546875</v>
      </c>
      <c r="H2401">
        <v>18624736866</v>
      </c>
      <c r="I2401" t="s">
        <v>5771</v>
      </c>
      <c r="J2401" t="s">
        <v>5772</v>
      </c>
      <c r="K2401" t="s">
        <v>4634</v>
      </c>
    </row>
    <row r="2402" spans="1:11" ht="20" customHeight="1">
      <c r="A2402" t="s">
        <v>26</v>
      </c>
      <c r="B2402" t="s">
        <v>1836</v>
      </c>
      <c r="C2402">
        <v>17192.94921875</v>
      </c>
      <c r="D2402">
        <v>17484.720703125</v>
      </c>
      <c r="E2402">
        <v>17162.990234375</v>
      </c>
      <c r="F2402">
        <v>17446.29296875</v>
      </c>
      <c r="G2402">
        <v>17446.29296875</v>
      </c>
      <c r="H2402">
        <v>15808338949</v>
      </c>
      <c r="I2402" t="s">
        <v>5772</v>
      </c>
      <c r="J2402" t="s">
        <v>5773</v>
      </c>
      <c r="K2402" t="s">
        <v>4634</v>
      </c>
    </row>
    <row r="2403" spans="1:11" ht="20" customHeight="1">
      <c r="A2403" t="s">
        <v>26</v>
      </c>
      <c r="B2403" t="s">
        <v>1839</v>
      </c>
      <c r="C2403">
        <v>17446.359375</v>
      </c>
      <c r="D2403">
        <v>17934.896484375</v>
      </c>
      <c r="E2403">
        <v>17337.994140625</v>
      </c>
      <c r="F2403">
        <v>17934.896484375</v>
      </c>
      <c r="G2403">
        <v>17934.896484375</v>
      </c>
      <c r="H2403">
        <v>18372283782</v>
      </c>
      <c r="I2403" t="s">
        <v>5773</v>
      </c>
      <c r="J2403" t="s">
        <v>5774</v>
      </c>
      <c r="K2403" t="s">
        <v>4634</v>
      </c>
    </row>
    <row r="2404" spans="1:11" ht="20" customHeight="1">
      <c r="A2404" t="s">
        <v>26</v>
      </c>
      <c r="B2404" t="s">
        <v>1842</v>
      </c>
      <c r="C2404">
        <v>18117.59375</v>
      </c>
      <c r="D2404">
        <v>19030.087890625</v>
      </c>
      <c r="E2404">
        <v>17995.203125</v>
      </c>
      <c r="F2404">
        <v>18869.587890625</v>
      </c>
      <c r="G2404">
        <v>18869.587890625</v>
      </c>
      <c r="H2404">
        <v>34971338710</v>
      </c>
      <c r="I2404" t="s">
        <v>5774</v>
      </c>
      <c r="J2404" t="s">
        <v>5775</v>
      </c>
      <c r="K2404" t="s">
        <v>4634</v>
      </c>
    </row>
    <row r="2405" spans="1:11" ht="20" customHeight="1">
      <c r="A2405" t="s">
        <v>26</v>
      </c>
      <c r="B2405" t="s">
        <v>1845</v>
      </c>
      <c r="C2405">
        <v>18868.90625</v>
      </c>
      <c r="D2405">
        <v>19964.322265625</v>
      </c>
      <c r="E2405">
        <v>18753.1640625</v>
      </c>
      <c r="F2405">
        <v>19909.57421875</v>
      </c>
      <c r="G2405">
        <v>19909.57421875</v>
      </c>
      <c r="H2405">
        <v>29225029694</v>
      </c>
      <c r="I2405" t="s">
        <v>5775</v>
      </c>
      <c r="J2405" t="s">
        <v>5776</v>
      </c>
      <c r="K2405" t="s">
        <v>4634</v>
      </c>
    </row>
    <row r="2406" spans="1:11" ht="20" customHeight="1">
      <c r="A2406" t="s">
        <v>26</v>
      </c>
      <c r="B2406" t="s">
        <v>5777</v>
      </c>
      <c r="C2406">
        <v>19910.537109375</v>
      </c>
      <c r="D2406">
        <v>21075.142578125</v>
      </c>
      <c r="E2406">
        <v>19907.828125</v>
      </c>
      <c r="F2406">
        <v>20976.298828125</v>
      </c>
      <c r="G2406">
        <v>20976.298828125</v>
      </c>
      <c r="H2406">
        <v>38967784639</v>
      </c>
      <c r="I2406" t="s">
        <v>5776</v>
      </c>
      <c r="J2406" t="s">
        <v>5778</v>
      </c>
      <c r="K2406" t="s">
        <v>4634</v>
      </c>
    </row>
    <row r="2407" spans="1:11" ht="20" customHeight="1">
      <c r="A2407" t="s">
        <v>26</v>
      </c>
      <c r="B2407" t="s">
        <v>5779</v>
      </c>
      <c r="C2407">
        <v>20977.484375</v>
      </c>
      <c r="D2407">
        <v>20993.748046875</v>
      </c>
      <c r="E2407">
        <v>20606.986328125</v>
      </c>
      <c r="F2407">
        <v>20880.798828125</v>
      </c>
      <c r="G2407">
        <v>20880.798828125</v>
      </c>
      <c r="H2407">
        <v>19298407543</v>
      </c>
      <c r="I2407" t="s">
        <v>5778</v>
      </c>
      <c r="J2407" t="s">
        <v>5780</v>
      </c>
      <c r="K2407" t="s">
        <v>4634</v>
      </c>
    </row>
    <row r="2408" spans="1:11" ht="20" customHeight="1">
      <c r="A2408" t="s">
        <v>26</v>
      </c>
      <c r="B2408" t="s">
        <v>5781</v>
      </c>
      <c r="C2408">
        <v>20882.224609375</v>
      </c>
      <c r="D2408">
        <v>21360.875</v>
      </c>
      <c r="E2408">
        <v>20715.74609375</v>
      </c>
      <c r="F2408">
        <v>21169.6328125</v>
      </c>
      <c r="G2408">
        <v>21169.6328125</v>
      </c>
      <c r="H2408">
        <v>26792494050</v>
      </c>
      <c r="I2408" t="s">
        <v>5780</v>
      </c>
      <c r="J2408" t="s">
        <v>5782</v>
      </c>
      <c r="K2408" t="s">
        <v>4634</v>
      </c>
    </row>
    <row r="2409" spans="1:11" ht="20" customHeight="1">
      <c r="A2409" t="s">
        <v>26</v>
      </c>
      <c r="B2409" t="s">
        <v>1848</v>
      </c>
      <c r="C2409">
        <v>21175.833984375</v>
      </c>
      <c r="D2409">
        <v>21438.66015625</v>
      </c>
      <c r="E2409">
        <v>20978.533203125</v>
      </c>
      <c r="F2409">
        <v>21161.51953125</v>
      </c>
      <c r="G2409">
        <v>21161.51953125</v>
      </c>
      <c r="H2409">
        <v>24999983362</v>
      </c>
      <c r="I2409" t="s">
        <v>5782</v>
      </c>
      <c r="J2409" t="s">
        <v>5783</v>
      </c>
      <c r="K2409" t="s">
        <v>4634</v>
      </c>
    </row>
    <row r="2410" spans="1:11" ht="20" customHeight="1">
      <c r="A2410" t="s">
        <v>26</v>
      </c>
      <c r="B2410" t="s">
        <v>1851</v>
      </c>
      <c r="C2410">
        <v>21161.05078125</v>
      </c>
      <c r="D2410">
        <v>21564.501953125</v>
      </c>
      <c r="E2410">
        <v>20541.544921875</v>
      </c>
      <c r="F2410">
        <v>20688.78125</v>
      </c>
      <c r="G2410">
        <v>20688.78125</v>
      </c>
      <c r="H2410">
        <v>30005625418</v>
      </c>
      <c r="I2410" t="s">
        <v>5783</v>
      </c>
      <c r="J2410" t="s">
        <v>5784</v>
      </c>
      <c r="K2410" t="s">
        <v>4634</v>
      </c>
    </row>
    <row r="2411" spans="1:11" ht="20" customHeight="1">
      <c r="A2411" t="s">
        <v>26</v>
      </c>
      <c r="B2411" t="s">
        <v>1854</v>
      </c>
      <c r="C2411">
        <v>20686.74609375</v>
      </c>
      <c r="D2411">
        <v>21163.01171875</v>
      </c>
      <c r="E2411">
        <v>20685.380859375</v>
      </c>
      <c r="F2411">
        <v>21086.79296875</v>
      </c>
      <c r="G2411">
        <v>21086.79296875</v>
      </c>
      <c r="H2411">
        <v>21152848261</v>
      </c>
      <c r="I2411" t="s">
        <v>5784</v>
      </c>
      <c r="J2411" t="s">
        <v>5785</v>
      </c>
      <c r="K2411" t="s">
        <v>4634</v>
      </c>
    </row>
    <row r="2412" spans="1:11" ht="20" customHeight="1">
      <c r="A2412" t="s">
        <v>26</v>
      </c>
      <c r="B2412" t="s">
        <v>1857</v>
      </c>
      <c r="C2412">
        <v>21085.373046875</v>
      </c>
      <c r="D2412">
        <v>22692.357421875</v>
      </c>
      <c r="E2412">
        <v>20919.126953125</v>
      </c>
      <c r="F2412">
        <v>22676.552734375</v>
      </c>
      <c r="G2412">
        <v>22676.552734375</v>
      </c>
      <c r="H2412">
        <v>28799154319</v>
      </c>
      <c r="I2412" t="s">
        <v>5785</v>
      </c>
      <c r="J2412" t="s">
        <v>5786</v>
      </c>
      <c r="K2412" t="s">
        <v>4634</v>
      </c>
    </row>
    <row r="2413" spans="1:11" ht="20" customHeight="1">
      <c r="A2413" t="s">
        <v>26</v>
      </c>
      <c r="B2413" t="s">
        <v>5787</v>
      </c>
      <c r="C2413">
        <v>22677.427734375</v>
      </c>
      <c r="D2413">
        <v>23282.34765625</v>
      </c>
      <c r="E2413">
        <v>22511.833984375</v>
      </c>
      <c r="F2413">
        <v>22777.625</v>
      </c>
      <c r="G2413">
        <v>22777.625</v>
      </c>
      <c r="H2413">
        <v>32442278429</v>
      </c>
      <c r="I2413" t="s">
        <v>5786</v>
      </c>
      <c r="J2413" t="s">
        <v>5788</v>
      </c>
      <c r="K2413" t="s">
        <v>4634</v>
      </c>
    </row>
    <row r="2414" spans="1:11" ht="20" customHeight="1">
      <c r="A2414" t="s">
        <v>26</v>
      </c>
      <c r="B2414" t="s">
        <v>5789</v>
      </c>
      <c r="C2414">
        <v>22777.986328125</v>
      </c>
      <c r="D2414">
        <v>23056.73046875</v>
      </c>
      <c r="E2414">
        <v>22387.900390625</v>
      </c>
      <c r="F2414">
        <v>22720.416015625</v>
      </c>
      <c r="G2414">
        <v>22720.416015625</v>
      </c>
      <c r="H2414">
        <v>24746386230</v>
      </c>
      <c r="I2414" t="s">
        <v>5788</v>
      </c>
      <c r="J2414" t="s">
        <v>5790</v>
      </c>
      <c r="K2414" t="s">
        <v>4634</v>
      </c>
    </row>
    <row r="2415" spans="1:11" ht="20" customHeight="1">
      <c r="A2415" t="s">
        <v>26</v>
      </c>
      <c r="B2415" t="s">
        <v>1860</v>
      </c>
      <c r="C2415">
        <v>22721.087890625</v>
      </c>
      <c r="D2415">
        <v>23126.486328125</v>
      </c>
      <c r="E2415">
        <v>22654.3046875</v>
      </c>
      <c r="F2415">
        <v>22934.431640625</v>
      </c>
      <c r="G2415">
        <v>22934.431640625</v>
      </c>
      <c r="H2415">
        <v>26518700512</v>
      </c>
      <c r="I2415" t="s">
        <v>5790</v>
      </c>
      <c r="J2415" t="s">
        <v>5791</v>
      </c>
      <c r="K2415" t="s">
        <v>4634</v>
      </c>
    </row>
    <row r="2416" spans="1:11" ht="20" customHeight="1">
      <c r="A2416" t="s">
        <v>26</v>
      </c>
      <c r="B2416" t="s">
        <v>1863</v>
      </c>
      <c r="C2416">
        <v>22929.626953125</v>
      </c>
      <c r="D2416">
        <v>23134.01171875</v>
      </c>
      <c r="E2416">
        <v>22549.744140625</v>
      </c>
      <c r="F2416">
        <v>22636.46875</v>
      </c>
      <c r="G2416">
        <v>22636.46875</v>
      </c>
      <c r="H2416">
        <v>26405069715</v>
      </c>
      <c r="I2416" t="s">
        <v>5791</v>
      </c>
      <c r="J2416" t="s">
        <v>5792</v>
      </c>
      <c r="K2416" t="s">
        <v>4634</v>
      </c>
    </row>
    <row r="2417" spans="1:11" ht="20" customHeight="1">
      <c r="A2417" t="s">
        <v>26</v>
      </c>
      <c r="B2417" t="s">
        <v>1866</v>
      </c>
      <c r="C2417">
        <v>22639.267578125</v>
      </c>
      <c r="D2417">
        <v>23722.099609375</v>
      </c>
      <c r="E2417">
        <v>22406.076171875</v>
      </c>
      <c r="F2417">
        <v>23117.859375</v>
      </c>
      <c r="G2417">
        <v>23117.859375</v>
      </c>
      <c r="H2417">
        <v>30685366709</v>
      </c>
      <c r="I2417" t="s">
        <v>5792</v>
      </c>
      <c r="J2417" t="s">
        <v>5793</v>
      </c>
      <c r="K2417" t="s">
        <v>4634</v>
      </c>
    </row>
    <row r="2418" spans="1:11" ht="20" customHeight="1">
      <c r="A2418" t="s">
        <v>26</v>
      </c>
      <c r="B2418" t="s">
        <v>1869</v>
      </c>
      <c r="C2418">
        <v>23108.955078125</v>
      </c>
      <c r="D2418">
        <v>23237.078125</v>
      </c>
      <c r="E2418">
        <v>22911.373046875</v>
      </c>
      <c r="F2418">
        <v>23032.77734375</v>
      </c>
      <c r="G2418">
        <v>23032.77734375</v>
      </c>
      <c r="H2418">
        <v>26357839322</v>
      </c>
      <c r="I2418" t="s">
        <v>5793</v>
      </c>
      <c r="J2418" t="s">
        <v>5794</v>
      </c>
      <c r="K2418" t="s">
        <v>4634</v>
      </c>
    </row>
    <row r="2419" spans="1:11" ht="20" customHeight="1">
      <c r="A2419" t="s">
        <v>26</v>
      </c>
      <c r="B2419" t="s">
        <v>1872</v>
      </c>
      <c r="C2419">
        <v>23030.716796875</v>
      </c>
      <c r="D2419">
        <v>23417.720703125</v>
      </c>
      <c r="E2419">
        <v>22654.59375</v>
      </c>
      <c r="F2419">
        <v>23078.728515625</v>
      </c>
      <c r="G2419">
        <v>23078.728515625</v>
      </c>
      <c r="H2419">
        <v>25383335641</v>
      </c>
      <c r="I2419" t="s">
        <v>5794</v>
      </c>
      <c r="J2419" t="s">
        <v>5795</v>
      </c>
      <c r="K2419" t="s">
        <v>4634</v>
      </c>
    </row>
    <row r="2420" spans="1:11" ht="20" customHeight="1">
      <c r="A2420" t="s">
        <v>26</v>
      </c>
      <c r="B2420" t="s">
        <v>5796</v>
      </c>
      <c r="C2420">
        <v>23079.96484375</v>
      </c>
      <c r="D2420">
        <v>23165.896484375</v>
      </c>
      <c r="E2420">
        <v>22908.845703125</v>
      </c>
      <c r="F2420">
        <v>23031.08984375</v>
      </c>
      <c r="G2420">
        <v>23031.08984375</v>
      </c>
      <c r="H2420">
        <v>14712928379</v>
      </c>
      <c r="I2420" t="s">
        <v>5795</v>
      </c>
      <c r="J2420" t="s">
        <v>5797</v>
      </c>
      <c r="K2420" t="s">
        <v>4634</v>
      </c>
    </row>
    <row r="2421" spans="1:11" ht="20" customHeight="1">
      <c r="A2421" t="s">
        <v>26</v>
      </c>
      <c r="B2421" t="s">
        <v>5798</v>
      </c>
      <c r="C2421">
        <v>23031.44921875</v>
      </c>
      <c r="D2421">
        <v>23919.890625</v>
      </c>
      <c r="E2421">
        <v>22985.0703125</v>
      </c>
      <c r="F2421">
        <v>23774.56640625</v>
      </c>
      <c r="G2421">
        <v>23774.56640625</v>
      </c>
      <c r="H2421">
        <v>27423687259</v>
      </c>
      <c r="I2421" t="s">
        <v>5797</v>
      </c>
      <c r="J2421" t="s">
        <v>5799</v>
      </c>
      <c r="K2421" t="s">
        <v>4634</v>
      </c>
    </row>
    <row r="2422" spans="1:11" ht="20" customHeight="1">
      <c r="A2422" t="s">
        <v>26</v>
      </c>
      <c r="B2422" t="s">
        <v>1875</v>
      </c>
      <c r="C2422">
        <v>23774.6484375</v>
      </c>
      <c r="D2422">
        <v>23789.34765625</v>
      </c>
      <c r="E2422">
        <v>22657.58203125</v>
      </c>
      <c r="F2422">
        <v>22840.138671875</v>
      </c>
      <c r="G2422">
        <v>22840.138671875</v>
      </c>
      <c r="H2422">
        <v>27205595568</v>
      </c>
      <c r="I2422" t="s">
        <v>5799</v>
      </c>
      <c r="J2422" t="s">
        <v>5800</v>
      </c>
      <c r="K2422" t="s">
        <v>4634</v>
      </c>
    </row>
    <row r="2423" spans="1:11" ht="20" customHeight="1">
      <c r="A2423" t="s">
        <v>26</v>
      </c>
      <c r="B2423" t="s">
        <v>1878</v>
      </c>
      <c r="C2423">
        <v>22840.796875</v>
      </c>
      <c r="D2423">
        <v>23225.021484375</v>
      </c>
      <c r="E2423">
        <v>22765.568359375</v>
      </c>
      <c r="F2423">
        <v>23139.283203125</v>
      </c>
      <c r="G2423">
        <v>23139.283203125</v>
      </c>
      <c r="H2423">
        <v>22837828665</v>
      </c>
      <c r="I2423" t="s">
        <v>5800</v>
      </c>
      <c r="J2423" t="s">
        <v>5801</v>
      </c>
      <c r="K2423" t="s">
        <v>4634</v>
      </c>
    </row>
    <row r="2424" spans="1:11" ht="20" customHeight="1">
      <c r="A2424" t="s">
        <v>26</v>
      </c>
      <c r="B2424" t="s">
        <v>1881</v>
      </c>
      <c r="C2424">
        <v>23137.8359375</v>
      </c>
      <c r="D2424">
        <v>23764.5390625</v>
      </c>
      <c r="E2424">
        <v>22877.75</v>
      </c>
      <c r="F2424">
        <v>23723.76953125</v>
      </c>
      <c r="G2424">
        <v>23723.76953125</v>
      </c>
      <c r="H2424">
        <v>26683255504</v>
      </c>
      <c r="I2424" t="s">
        <v>5801</v>
      </c>
      <c r="J2424" t="s">
        <v>5802</v>
      </c>
      <c r="K2424" t="s">
        <v>4634</v>
      </c>
    </row>
    <row r="2425" spans="1:11" ht="20" customHeight="1">
      <c r="A2425" t="s">
        <v>26</v>
      </c>
      <c r="B2425" t="s">
        <v>1884</v>
      </c>
      <c r="C2425">
        <v>23720.82421875</v>
      </c>
      <c r="D2425">
        <v>24167.2109375</v>
      </c>
      <c r="E2425">
        <v>23468.595703125</v>
      </c>
      <c r="F2425">
        <v>23471.87109375</v>
      </c>
      <c r="G2425">
        <v>23471.87109375</v>
      </c>
      <c r="H2425">
        <v>32066936882</v>
      </c>
      <c r="I2425" t="s">
        <v>5802</v>
      </c>
      <c r="J2425" t="s">
        <v>5803</v>
      </c>
      <c r="K2425" t="s">
        <v>4634</v>
      </c>
    </row>
    <row r="2426" spans="1:11" ht="20" customHeight="1">
      <c r="A2426" t="s">
        <v>26</v>
      </c>
      <c r="B2426" t="s">
        <v>1887</v>
      </c>
      <c r="C2426">
        <v>23469.412109375</v>
      </c>
      <c r="D2426">
        <v>23678.103515625</v>
      </c>
      <c r="E2426">
        <v>23279.955078125</v>
      </c>
      <c r="F2426">
        <v>23449.322265625</v>
      </c>
      <c r="G2426">
        <v>23449.322265625</v>
      </c>
      <c r="H2426">
        <v>27083066007</v>
      </c>
      <c r="I2426" t="s">
        <v>5803</v>
      </c>
      <c r="J2426" t="s">
        <v>5804</v>
      </c>
      <c r="K2426" t="s">
        <v>4634</v>
      </c>
    </row>
    <row r="2427" spans="1:11" ht="20" customHeight="1">
      <c r="A2427" t="s">
        <v>26</v>
      </c>
      <c r="B2427" t="s">
        <v>5805</v>
      </c>
      <c r="C2427">
        <v>23446.3203125</v>
      </c>
      <c r="D2427">
        <v>23556.94921875</v>
      </c>
      <c r="E2427">
        <v>23291.794921875</v>
      </c>
      <c r="F2427">
        <v>23331.84765625</v>
      </c>
      <c r="G2427">
        <v>23331.84765625</v>
      </c>
      <c r="H2427">
        <v>15639298538</v>
      </c>
      <c r="I2427" t="s">
        <v>5804</v>
      </c>
      <c r="J2427" t="s">
        <v>5806</v>
      </c>
      <c r="K2427" t="s">
        <v>4634</v>
      </c>
    </row>
    <row r="2428" spans="1:11" ht="20" customHeight="1">
      <c r="A2428" t="s">
        <v>26</v>
      </c>
      <c r="B2428" t="s">
        <v>5807</v>
      </c>
      <c r="C2428">
        <v>23332.248046875</v>
      </c>
      <c r="D2428">
        <v>23423.435546875</v>
      </c>
      <c r="E2428">
        <v>22841.759765625</v>
      </c>
      <c r="F2428">
        <v>22955.666015625</v>
      </c>
      <c r="G2428">
        <v>22955.666015625</v>
      </c>
      <c r="H2428">
        <v>19564262605</v>
      </c>
      <c r="I2428" t="s">
        <v>5806</v>
      </c>
      <c r="J2428" t="s">
        <v>5808</v>
      </c>
      <c r="K2428" t="s">
        <v>4634</v>
      </c>
    </row>
    <row r="2429" spans="1:11" ht="20" customHeight="1">
      <c r="A2429" t="s">
        <v>26</v>
      </c>
      <c r="B2429" t="s">
        <v>1890</v>
      </c>
      <c r="C2429">
        <v>22954.021484375</v>
      </c>
      <c r="D2429">
        <v>23119.279296875</v>
      </c>
      <c r="E2429">
        <v>22692.025390625</v>
      </c>
      <c r="F2429">
        <v>22760.109375</v>
      </c>
      <c r="G2429">
        <v>22760.109375</v>
      </c>
      <c r="H2429">
        <v>23825006542</v>
      </c>
      <c r="I2429" t="s">
        <v>5808</v>
      </c>
      <c r="J2429" t="s">
        <v>5809</v>
      </c>
      <c r="K2429" t="s">
        <v>4634</v>
      </c>
    </row>
    <row r="2430" spans="1:11" ht="20" customHeight="1">
      <c r="A2430" t="s">
        <v>26</v>
      </c>
      <c r="B2430" t="s">
        <v>1893</v>
      </c>
      <c r="C2430">
        <v>22757.267578125</v>
      </c>
      <c r="D2430">
        <v>23310.974609375</v>
      </c>
      <c r="E2430">
        <v>22756.2578125</v>
      </c>
      <c r="F2430">
        <v>23264.291015625</v>
      </c>
      <c r="G2430">
        <v>23264.291015625</v>
      </c>
      <c r="H2430">
        <v>27187964471</v>
      </c>
      <c r="I2430" t="s">
        <v>5809</v>
      </c>
      <c r="J2430" t="s">
        <v>5810</v>
      </c>
      <c r="K2430" t="s">
        <v>4634</v>
      </c>
    </row>
    <row r="2431" spans="1:11" ht="20" customHeight="1">
      <c r="A2431" t="s">
        <v>26</v>
      </c>
      <c r="B2431" t="s">
        <v>1896</v>
      </c>
      <c r="C2431">
        <v>23263.416015625</v>
      </c>
      <c r="D2431">
        <v>23367.958984375</v>
      </c>
      <c r="E2431">
        <v>22731.09765625</v>
      </c>
      <c r="F2431">
        <v>22939.3984375</v>
      </c>
      <c r="G2431">
        <v>22939.3984375</v>
      </c>
      <c r="H2431">
        <v>25371367758</v>
      </c>
      <c r="I2431" t="s">
        <v>5810</v>
      </c>
      <c r="J2431" t="s">
        <v>5811</v>
      </c>
      <c r="K2431" t="s">
        <v>4634</v>
      </c>
    </row>
    <row r="2432" spans="1:11" ht="20" customHeight="1">
      <c r="A2432" t="s">
        <v>26</v>
      </c>
      <c r="B2432" t="s">
        <v>1899</v>
      </c>
      <c r="C2432">
        <v>22946.56640625</v>
      </c>
      <c r="D2432">
        <v>22996.4375</v>
      </c>
      <c r="E2432">
        <v>21773.974609375</v>
      </c>
      <c r="F2432">
        <v>21819.0390625</v>
      </c>
      <c r="G2432">
        <v>21819.0390625</v>
      </c>
      <c r="H2432">
        <v>32572572185</v>
      </c>
      <c r="I2432" t="s">
        <v>5811</v>
      </c>
      <c r="J2432" t="s">
        <v>5812</v>
      </c>
      <c r="K2432" t="s">
        <v>4634</v>
      </c>
    </row>
    <row r="2433" spans="1:11" ht="20" customHeight="1">
      <c r="A2433" t="s">
        <v>26</v>
      </c>
      <c r="B2433" t="s">
        <v>1902</v>
      </c>
      <c r="C2433">
        <v>21819.005859375</v>
      </c>
      <c r="D2433">
        <v>21941.185546875</v>
      </c>
      <c r="E2433">
        <v>21539.392578125</v>
      </c>
      <c r="F2433">
        <v>21651.18359375</v>
      </c>
      <c r="G2433">
        <v>21651.18359375</v>
      </c>
      <c r="H2433">
        <v>27078406594</v>
      </c>
      <c r="I2433" t="s">
        <v>5812</v>
      </c>
      <c r="J2433" t="s">
        <v>5813</v>
      </c>
      <c r="K2433" t="s">
        <v>4634</v>
      </c>
    </row>
    <row r="2434" spans="1:11" ht="20" customHeight="1">
      <c r="A2434" t="s">
        <v>26</v>
      </c>
      <c r="B2434" t="s">
        <v>5814</v>
      </c>
      <c r="C2434">
        <v>21651.841796875</v>
      </c>
      <c r="D2434">
        <v>21891.41015625</v>
      </c>
      <c r="E2434">
        <v>21618.44921875</v>
      </c>
      <c r="F2434">
        <v>21870.875</v>
      </c>
      <c r="G2434">
        <v>21870.875</v>
      </c>
      <c r="H2434">
        <v>16356226232</v>
      </c>
      <c r="I2434" t="s">
        <v>5813</v>
      </c>
      <c r="J2434" t="s">
        <v>5815</v>
      </c>
      <c r="K2434" t="s">
        <v>4634</v>
      </c>
    </row>
    <row r="2435" spans="1:11" ht="20" customHeight="1">
      <c r="A2435" t="s">
        <v>26</v>
      </c>
      <c r="B2435" t="s">
        <v>5816</v>
      </c>
      <c r="C2435">
        <v>21870.90234375</v>
      </c>
      <c r="D2435">
        <v>22060.994140625</v>
      </c>
      <c r="E2435">
        <v>21682.828125</v>
      </c>
      <c r="F2435">
        <v>21788.203125</v>
      </c>
      <c r="G2435">
        <v>21788.203125</v>
      </c>
      <c r="H2435">
        <v>17821046406</v>
      </c>
      <c r="I2435" t="s">
        <v>5815</v>
      </c>
      <c r="J2435" t="s">
        <v>5817</v>
      </c>
      <c r="K2435" t="s">
        <v>4634</v>
      </c>
    </row>
    <row r="2436" spans="1:11" ht="20" customHeight="1">
      <c r="A2436" t="s">
        <v>26</v>
      </c>
      <c r="B2436" t="s">
        <v>1905</v>
      </c>
      <c r="C2436">
        <v>21787</v>
      </c>
      <c r="D2436">
        <v>21898.4140625</v>
      </c>
      <c r="E2436">
        <v>21460.087890625</v>
      </c>
      <c r="F2436">
        <v>21808.1015625</v>
      </c>
      <c r="G2436">
        <v>21808.1015625</v>
      </c>
      <c r="H2436">
        <v>23918742607</v>
      </c>
      <c r="I2436" t="s">
        <v>5817</v>
      </c>
      <c r="J2436" t="s">
        <v>5818</v>
      </c>
      <c r="K2436" t="s">
        <v>4634</v>
      </c>
    </row>
    <row r="2437" spans="1:11" ht="20" customHeight="1">
      <c r="A2437" t="s">
        <v>26</v>
      </c>
      <c r="B2437" t="s">
        <v>1908</v>
      </c>
      <c r="C2437">
        <v>21801.822265625</v>
      </c>
      <c r="D2437">
        <v>22293.140625</v>
      </c>
      <c r="E2437">
        <v>21632.39453125</v>
      </c>
      <c r="F2437">
        <v>22220.8046875</v>
      </c>
      <c r="G2437">
        <v>22220.8046875</v>
      </c>
      <c r="H2437">
        <v>26792596581</v>
      </c>
      <c r="I2437" t="s">
        <v>5818</v>
      </c>
      <c r="J2437" t="s">
        <v>5819</v>
      </c>
      <c r="K2437" t="s">
        <v>4634</v>
      </c>
    </row>
    <row r="2438" spans="1:11" ht="20" customHeight="1">
      <c r="A2438" t="s">
        <v>26</v>
      </c>
      <c r="B2438" t="s">
        <v>1911</v>
      </c>
      <c r="C2438">
        <v>22220.5859375</v>
      </c>
      <c r="D2438">
        <v>24307.841796875</v>
      </c>
      <c r="E2438">
        <v>22082.76953125</v>
      </c>
      <c r="F2438">
        <v>24307.841796875</v>
      </c>
      <c r="G2438">
        <v>24307.841796875</v>
      </c>
      <c r="H2438">
        <v>32483312909</v>
      </c>
      <c r="I2438" t="s">
        <v>5819</v>
      </c>
      <c r="J2438" t="s">
        <v>5820</v>
      </c>
      <c r="K2438" t="s">
        <v>4634</v>
      </c>
    </row>
    <row r="2439" spans="1:11" ht="20" customHeight="1">
      <c r="A2439" t="s">
        <v>26</v>
      </c>
      <c r="B2439" t="s">
        <v>1914</v>
      </c>
      <c r="C2439">
        <v>24307.349609375</v>
      </c>
      <c r="D2439">
        <v>25134.1171875</v>
      </c>
      <c r="E2439">
        <v>23602.5234375</v>
      </c>
      <c r="F2439">
        <v>23623.474609375</v>
      </c>
      <c r="G2439">
        <v>23623.474609375</v>
      </c>
      <c r="H2439">
        <v>39316664596</v>
      </c>
      <c r="I2439" t="s">
        <v>5820</v>
      </c>
      <c r="J2439" t="s">
        <v>5821</v>
      </c>
      <c r="K2439" t="s">
        <v>4634</v>
      </c>
    </row>
    <row r="2440" spans="1:11" ht="20" customHeight="1">
      <c r="A2440" t="s">
        <v>26</v>
      </c>
      <c r="B2440" t="s">
        <v>1917</v>
      </c>
      <c r="C2440">
        <v>23621.283203125</v>
      </c>
      <c r="D2440">
        <v>24924.041015625</v>
      </c>
      <c r="E2440">
        <v>23460.755859375</v>
      </c>
      <c r="F2440">
        <v>24565.6015625</v>
      </c>
      <c r="G2440">
        <v>24565.6015625</v>
      </c>
      <c r="H2440">
        <v>41358451255</v>
      </c>
      <c r="I2440" t="s">
        <v>5821</v>
      </c>
      <c r="J2440" t="s">
        <v>5822</v>
      </c>
      <c r="K2440" t="s">
        <v>4634</v>
      </c>
    </row>
    <row r="2441" spans="1:11" ht="20" customHeight="1">
      <c r="A2441" t="s">
        <v>26</v>
      </c>
      <c r="B2441" t="s">
        <v>5823</v>
      </c>
      <c r="C2441">
        <v>24565.296875</v>
      </c>
      <c r="D2441">
        <v>24798.8359375</v>
      </c>
      <c r="E2441">
        <v>24468.373046875</v>
      </c>
      <c r="F2441">
        <v>24641.27734375</v>
      </c>
      <c r="G2441">
        <v>24641.27734375</v>
      </c>
      <c r="H2441">
        <v>19625427158</v>
      </c>
      <c r="I2441" t="s">
        <v>5822</v>
      </c>
      <c r="J2441" t="s">
        <v>5824</v>
      </c>
      <c r="K2441" t="s">
        <v>4634</v>
      </c>
    </row>
    <row r="2442" spans="1:11" ht="20" customHeight="1">
      <c r="A2442" t="s">
        <v>26</v>
      </c>
      <c r="B2442" t="s">
        <v>5825</v>
      </c>
      <c r="C2442">
        <v>24640.02734375</v>
      </c>
      <c r="D2442">
        <v>25093.0546875</v>
      </c>
      <c r="E2442">
        <v>24327.642578125</v>
      </c>
      <c r="F2442">
        <v>24327.642578125</v>
      </c>
      <c r="G2442">
        <v>24327.642578125</v>
      </c>
      <c r="H2442">
        <v>25555105670</v>
      </c>
      <c r="I2442" t="s">
        <v>5824</v>
      </c>
      <c r="J2442" t="s">
        <v>5826</v>
      </c>
      <c r="K2442" t="s">
        <v>4634</v>
      </c>
    </row>
    <row r="2443" spans="1:11" ht="20" customHeight="1">
      <c r="A2443" t="s">
        <v>26</v>
      </c>
      <c r="B2443" t="s">
        <v>5827</v>
      </c>
      <c r="C2443">
        <v>24336.623046875</v>
      </c>
      <c r="D2443">
        <v>25020.458984375</v>
      </c>
      <c r="E2443">
        <v>23927.91015625</v>
      </c>
      <c r="F2443">
        <v>24829.1484375</v>
      </c>
      <c r="G2443">
        <v>24829.1484375</v>
      </c>
      <c r="H2443">
        <v>28987376573</v>
      </c>
      <c r="I2443" t="s">
        <v>5826</v>
      </c>
      <c r="J2443" t="s">
        <v>5828</v>
      </c>
      <c r="K2443" t="s">
        <v>4634</v>
      </c>
    </row>
    <row r="2444" spans="1:11" ht="20" customHeight="1">
      <c r="A2444" t="s">
        <v>26</v>
      </c>
      <c r="B2444" t="s">
        <v>1920</v>
      </c>
      <c r="C2444">
        <v>24833.048828125</v>
      </c>
      <c r="D2444">
        <v>25126.8515625</v>
      </c>
      <c r="E2444">
        <v>24200.36328125</v>
      </c>
      <c r="F2444">
        <v>24436.353515625</v>
      </c>
      <c r="G2444">
        <v>24436.353515625</v>
      </c>
      <c r="H2444">
        <v>31252098714</v>
      </c>
      <c r="I2444" t="s">
        <v>5828</v>
      </c>
      <c r="J2444" t="s">
        <v>5829</v>
      </c>
      <c r="K2444" t="s">
        <v>4634</v>
      </c>
    </row>
    <row r="2445" spans="1:11" ht="20" customHeight="1">
      <c r="A2445" t="s">
        <v>26</v>
      </c>
      <c r="B2445" t="s">
        <v>1923</v>
      </c>
      <c r="C2445">
        <v>24437.41796875</v>
      </c>
      <c r="D2445">
        <v>24472.33984375</v>
      </c>
      <c r="E2445">
        <v>23644.318359375</v>
      </c>
      <c r="F2445">
        <v>24188.84375</v>
      </c>
      <c r="G2445">
        <v>24188.84375</v>
      </c>
      <c r="H2445">
        <v>30199996781</v>
      </c>
      <c r="I2445" t="s">
        <v>5829</v>
      </c>
      <c r="J2445" t="s">
        <v>5830</v>
      </c>
      <c r="K2445" t="s">
        <v>4634</v>
      </c>
    </row>
    <row r="2446" spans="1:11" ht="20" customHeight="1">
      <c r="A2446" t="s">
        <v>26</v>
      </c>
      <c r="B2446" t="s">
        <v>1926</v>
      </c>
      <c r="C2446">
        <v>24190.71875</v>
      </c>
      <c r="D2446">
        <v>24572.08984375</v>
      </c>
      <c r="E2446">
        <v>23693.919921875</v>
      </c>
      <c r="F2446">
        <v>23947.4921875</v>
      </c>
      <c r="G2446">
        <v>23947.4921875</v>
      </c>
      <c r="H2446">
        <v>30476264066</v>
      </c>
      <c r="I2446" t="s">
        <v>5830</v>
      </c>
      <c r="J2446" t="s">
        <v>5831</v>
      </c>
      <c r="K2446" t="s">
        <v>4634</v>
      </c>
    </row>
    <row r="2447" spans="1:11" ht="20" customHeight="1">
      <c r="A2447" t="s">
        <v>26</v>
      </c>
      <c r="B2447" t="s">
        <v>1929</v>
      </c>
      <c r="C2447">
        <v>23946.0078125</v>
      </c>
      <c r="D2447">
        <v>24103.705078125</v>
      </c>
      <c r="E2447">
        <v>23007.072265625</v>
      </c>
      <c r="F2447">
        <v>23198.126953125</v>
      </c>
      <c r="G2447">
        <v>23198.126953125</v>
      </c>
      <c r="H2447">
        <v>26811744928</v>
      </c>
      <c r="I2447" t="s">
        <v>5831</v>
      </c>
      <c r="J2447" t="s">
        <v>5832</v>
      </c>
      <c r="K2447" t="s">
        <v>4634</v>
      </c>
    </row>
    <row r="2448" spans="1:11" ht="20" customHeight="1">
      <c r="A2448" t="s">
        <v>26</v>
      </c>
      <c r="B2448" t="s">
        <v>5833</v>
      </c>
      <c r="C2448">
        <v>23200.125</v>
      </c>
      <c r="D2448">
        <v>23210.2109375</v>
      </c>
      <c r="E2448">
        <v>22861.55859375</v>
      </c>
      <c r="F2448">
        <v>23175.375</v>
      </c>
      <c r="G2448">
        <v>23175.375</v>
      </c>
      <c r="H2448">
        <v>16100721565</v>
      </c>
      <c r="I2448" t="s">
        <v>5832</v>
      </c>
      <c r="J2448" t="s">
        <v>5834</v>
      </c>
      <c r="K2448" t="s">
        <v>4634</v>
      </c>
    </row>
    <row r="2449" spans="1:11" ht="20" customHeight="1">
      <c r="A2449" t="s">
        <v>26</v>
      </c>
      <c r="B2449" t="s">
        <v>5835</v>
      </c>
      <c r="C2449">
        <v>23174.150390625</v>
      </c>
      <c r="D2449">
        <v>23654.3671875</v>
      </c>
      <c r="E2449">
        <v>23084.220703125</v>
      </c>
      <c r="F2449">
        <v>23561.212890625</v>
      </c>
      <c r="G2449">
        <v>23561.212890625</v>
      </c>
      <c r="H2449">
        <v>16644534842</v>
      </c>
      <c r="I2449" t="s">
        <v>5834</v>
      </c>
      <c r="J2449" t="s">
        <v>5836</v>
      </c>
      <c r="K2449" t="s">
        <v>4634</v>
      </c>
    </row>
    <row r="2450" spans="1:11" ht="20" customHeight="1">
      <c r="A2450" t="s">
        <v>26</v>
      </c>
      <c r="B2450" t="s">
        <v>1932</v>
      </c>
      <c r="C2450">
        <v>23561.451171875</v>
      </c>
      <c r="D2450">
        <v>23857.890625</v>
      </c>
      <c r="E2450">
        <v>23205.87890625</v>
      </c>
      <c r="F2450">
        <v>23522.87109375</v>
      </c>
      <c r="G2450">
        <v>23522.87109375</v>
      </c>
      <c r="H2450">
        <v>22660763494</v>
      </c>
      <c r="I2450" t="s">
        <v>5836</v>
      </c>
      <c r="J2450" t="s">
        <v>5837</v>
      </c>
      <c r="K2450" t="s">
        <v>4634</v>
      </c>
    </row>
    <row r="2451" spans="1:11" ht="20" customHeight="1">
      <c r="A2451" t="s">
        <v>26</v>
      </c>
      <c r="B2451" t="s">
        <v>1935</v>
      </c>
      <c r="C2451">
        <v>23521.837890625</v>
      </c>
      <c r="D2451">
        <v>23585.384765625</v>
      </c>
      <c r="E2451">
        <v>23077.650390625</v>
      </c>
      <c r="F2451">
        <v>23147.353515625</v>
      </c>
      <c r="G2451">
        <v>23147.353515625</v>
      </c>
      <c r="H2451">
        <v>20535363434</v>
      </c>
      <c r="I2451" t="s">
        <v>5837</v>
      </c>
      <c r="J2451" t="s">
        <v>5838</v>
      </c>
      <c r="K2451" t="s">
        <v>4634</v>
      </c>
    </row>
    <row r="2452" spans="1:11" ht="20" customHeight="1">
      <c r="A2452" t="s">
        <v>26</v>
      </c>
      <c r="B2452" t="s">
        <v>1938</v>
      </c>
      <c r="C2452">
        <v>23150.9296875</v>
      </c>
      <c r="D2452">
        <v>23880.6328125</v>
      </c>
      <c r="E2452">
        <v>23088.626953125</v>
      </c>
      <c r="F2452">
        <v>23646.55078125</v>
      </c>
      <c r="G2452">
        <v>23646.55078125</v>
      </c>
      <c r="H2452">
        <v>24662841200</v>
      </c>
      <c r="I2452" t="s">
        <v>5838</v>
      </c>
      <c r="J2452" t="s">
        <v>5839</v>
      </c>
      <c r="K2452" t="s">
        <v>4634</v>
      </c>
    </row>
    <row r="2453" spans="1:11" ht="20" customHeight="1">
      <c r="A2453" t="s">
        <v>26</v>
      </c>
      <c r="B2453" t="s">
        <v>1941</v>
      </c>
      <c r="C2453">
        <v>23647.01953125</v>
      </c>
      <c r="D2453">
        <v>23739.138671875</v>
      </c>
      <c r="E2453">
        <v>23245.021484375</v>
      </c>
      <c r="F2453">
        <v>23475.466796875</v>
      </c>
      <c r="G2453">
        <v>23475.466796875</v>
      </c>
      <c r="H2453">
        <v>20386398516</v>
      </c>
      <c r="I2453" t="s">
        <v>5839</v>
      </c>
      <c r="J2453" t="s">
        <v>5840</v>
      </c>
      <c r="K2453" t="s">
        <v>4634</v>
      </c>
    </row>
    <row r="2454" spans="1:11" ht="20" customHeight="1">
      <c r="A2454" t="s">
        <v>26</v>
      </c>
      <c r="B2454" t="s">
        <v>1944</v>
      </c>
      <c r="C2454">
        <v>23476.6328125</v>
      </c>
      <c r="D2454">
        <v>23479.34765625</v>
      </c>
      <c r="E2454">
        <v>22213.23828125</v>
      </c>
      <c r="F2454">
        <v>22362.6796875</v>
      </c>
      <c r="G2454">
        <v>22362.6796875</v>
      </c>
      <c r="H2454">
        <v>26062404610</v>
      </c>
      <c r="I2454" t="s">
        <v>5840</v>
      </c>
      <c r="J2454" t="s">
        <v>5841</v>
      </c>
      <c r="K2454" t="s">
        <v>4634</v>
      </c>
    </row>
    <row r="2455" spans="1:11" ht="20" customHeight="1">
      <c r="A2455" t="s">
        <v>26</v>
      </c>
      <c r="B2455" t="s">
        <v>5842</v>
      </c>
      <c r="C2455">
        <v>22362.923828125</v>
      </c>
      <c r="D2455">
        <v>22405.177734375</v>
      </c>
      <c r="E2455">
        <v>22198.98046875</v>
      </c>
      <c r="F2455">
        <v>22353.349609375</v>
      </c>
      <c r="G2455">
        <v>22353.349609375</v>
      </c>
      <c r="H2455">
        <v>11166012913</v>
      </c>
      <c r="I2455" t="s">
        <v>5841</v>
      </c>
      <c r="J2455" t="s">
        <v>5843</v>
      </c>
      <c r="K2455" t="s">
        <v>4634</v>
      </c>
    </row>
    <row r="2456" spans="1:11" ht="20" customHeight="1">
      <c r="A2456" t="s">
        <v>26</v>
      </c>
      <c r="B2456" t="s">
        <v>5844</v>
      </c>
      <c r="C2456">
        <v>22354.14453125</v>
      </c>
      <c r="D2456">
        <v>22613.685546875</v>
      </c>
      <c r="E2456">
        <v>22307.142578125</v>
      </c>
      <c r="F2456">
        <v>22435.513671875</v>
      </c>
      <c r="G2456">
        <v>22435.513671875</v>
      </c>
      <c r="H2456">
        <v>13317001733</v>
      </c>
      <c r="I2456" t="s">
        <v>5843</v>
      </c>
      <c r="J2456" t="s">
        <v>5845</v>
      </c>
      <c r="K2456" t="s">
        <v>4634</v>
      </c>
    </row>
    <row r="2457" spans="1:11" ht="20" customHeight="1">
      <c r="A2457" t="s">
        <v>26</v>
      </c>
      <c r="B2457" t="s">
        <v>1947</v>
      </c>
      <c r="C2457">
        <v>22436.81640625</v>
      </c>
      <c r="D2457">
        <v>22584.29296875</v>
      </c>
      <c r="E2457">
        <v>22331.314453125</v>
      </c>
      <c r="F2457">
        <v>22429.7578125</v>
      </c>
      <c r="G2457">
        <v>22429.7578125</v>
      </c>
      <c r="H2457">
        <v>17353192895</v>
      </c>
      <c r="I2457" t="s">
        <v>5845</v>
      </c>
      <c r="J2457" t="s">
        <v>5846</v>
      </c>
      <c r="K2457" t="s">
        <v>4634</v>
      </c>
    </row>
    <row r="2458" spans="1:11" ht="20" customHeight="1">
      <c r="A2458" t="s">
        <v>26</v>
      </c>
      <c r="B2458" t="s">
        <v>1950</v>
      </c>
      <c r="C2458">
        <v>22428.322265625</v>
      </c>
      <c r="D2458">
        <v>22527.41796875</v>
      </c>
      <c r="E2458">
        <v>22011.26171875</v>
      </c>
      <c r="F2458">
        <v>22219.76953125</v>
      </c>
      <c r="G2458">
        <v>22219.76953125</v>
      </c>
      <c r="H2458">
        <v>22765452204</v>
      </c>
      <c r="I2458" t="s">
        <v>5846</v>
      </c>
      <c r="J2458" t="s">
        <v>5847</v>
      </c>
      <c r="K2458" t="s">
        <v>4634</v>
      </c>
    </row>
    <row r="2459" spans="1:11" ht="20" customHeight="1">
      <c r="A2459" t="s">
        <v>26</v>
      </c>
      <c r="B2459" t="s">
        <v>1953</v>
      </c>
      <c r="C2459">
        <v>22216.44140625</v>
      </c>
      <c r="D2459">
        <v>22268.896484375</v>
      </c>
      <c r="E2459">
        <v>21708.05078125</v>
      </c>
      <c r="F2459">
        <v>21718.080078125</v>
      </c>
      <c r="G2459">
        <v>21718.080078125</v>
      </c>
      <c r="H2459">
        <v>22536575684</v>
      </c>
      <c r="I2459" t="s">
        <v>5847</v>
      </c>
      <c r="J2459" t="s">
        <v>5848</v>
      </c>
      <c r="K2459" t="s">
        <v>4634</v>
      </c>
    </row>
    <row r="2460" spans="1:11" ht="20" customHeight="1">
      <c r="A2460" t="s">
        <v>26</v>
      </c>
      <c r="B2460" t="s">
        <v>1956</v>
      </c>
      <c r="C2460">
        <v>21720.080078125</v>
      </c>
      <c r="D2460">
        <v>21802.716796875</v>
      </c>
      <c r="E2460">
        <v>20210.306640625</v>
      </c>
      <c r="F2460">
        <v>20363.021484375</v>
      </c>
      <c r="G2460">
        <v>20363.021484375</v>
      </c>
      <c r="H2460">
        <v>30364664171</v>
      </c>
      <c r="I2460" t="s">
        <v>5848</v>
      </c>
      <c r="J2460" t="s">
        <v>5849</v>
      </c>
      <c r="K2460" t="s">
        <v>4634</v>
      </c>
    </row>
    <row r="2461" spans="1:11" ht="20" customHeight="1">
      <c r="A2461" t="s">
        <v>26</v>
      </c>
      <c r="B2461" t="s">
        <v>1959</v>
      </c>
      <c r="C2461">
        <v>20367.001953125</v>
      </c>
      <c r="D2461">
        <v>20370.595703125</v>
      </c>
      <c r="E2461">
        <v>19628.25390625</v>
      </c>
      <c r="F2461">
        <v>20187.244140625</v>
      </c>
      <c r="G2461">
        <v>20187.244140625</v>
      </c>
      <c r="H2461">
        <v>39578257695</v>
      </c>
      <c r="I2461" t="s">
        <v>5849</v>
      </c>
      <c r="J2461" t="s">
        <v>5850</v>
      </c>
      <c r="K2461" t="s">
        <v>4634</v>
      </c>
    </row>
    <row r="2462" spans="1:11" ht="20" customHeight="1">
      <c r="A2462" t="s">
        <v>26</v>
      </c>
      <c r="B2462" t="s">
        <v>5851</v>
      </c>
      <c r="C2462">
        <v>20187.876953125</v>
      </c>
      <c r="D2462">
        <v>20792.525390625</v>
      </c>
      <c r="E2462">
        <v>20068.66015625</v>
      </c>
      <c r="F2462">
        <v>20632.41015625</v>
      </c>
      <c r="G2462">
        <v>20632.41015625</v>
      </c>
      <c r="H2462">
        <v>30180288176</v>
      </c>
      <c r="I2462" t="s">
        <v>5850</v>
      </c>
      <c r="J2462" t="s">
        <v>5852</v>
      </c>
      <c r="K2462" t="s">
        <v>4634</v>
      </c>
    </row>
    <row r="2463" spans="1:11" ht="20" customHeight="1">
      <c r="A2463" t="s">
        <v>26</v>
      </c>
      <c r="B2463" t="s">
        <v>5853</v>
      </c>
      <c r="C2463">
        <v>20628.029296875</v>
      </c>
      <c r="D2463">
        <v>22185.03125</v>
      </c>
      <c r="E2463">
        <v>20448.806640625</v>
      </c>
      <c r="F2463">
        <v>22163.94921875</v>
      </c>
      <c r="G2463">
        <v>22163.94921875</v>
      </c>
      <c r="H2463">
        <v>29279035521</v>
      </c>
      <c r="I2463" t="s">
        <v>5852</v>
      </c>
      <c r="J2463" t="s">
        <v>5854</v>
      </c>
      <c r="K2463" t="s">
        <v>4634</v>
      </c>
    </row>
    <row r="2464" spans="1:11" ht="20" customHeight="1">
      <c r="A2464" t="s">
        <v>26</v>
      </c>
      <c r="B2464" t="s">
        <v>1962</v>
      </c>
      <c r="C2464">
        <v>22156.40625</v>
      </c>
      <c r="D2464">
        <v>24550.837890625</v>
      </c>
      <c r="E2464">
        <v>21918.19921875</v>
      </c>
      <c r="F2464">
        <v>24197.533203125</v>
      </c>
      <c r="G2464">
        <v>24197.533203125</v>
      </c>
      <c r="H2464">
        <v>49466362688</v>
      </c>
      <c r="I2464" t="s">
        <v>5854</v>
      </c>
      <c r="J2464" t="s">
        <v>5855</v>
      </c>
      <c r="K2464" t="s">
        <v>4634</v>
      </c>
    </row>
    <row r="2465" spans="1:11" ht="20" customHeight="1">
      <c r="A2465" t="s">
        <v>26</v>
      </c>
      <c r="B2465" t="s">
        <v>1965</v>
      </c>
      <c r="C2465">
        <v>24201.765625</v>
      </c>
      <c r="D2465">
        <v>26514.716796875</v>
      </c>
      <c r="E2465">
        <v>24081.18359375</v>
      </c>
      <c r="F2465">
        <v>24746.07421875</v>
      </c>
      <c r="G2465">
        <v>24746.07421875</v>
      </c>
      <c r="H2465">
        <v>54622230164</v>
      </c>
      <c r="I2465" t="s">
        <v>5855</v>
      </c>
      <c r="J2465" t="s">
        <v>5856</v>
      </c>
      <c r="K2465" t="s">
        <v>4634</v>
      </c>
    </row>
    <row r="2466" spans="1:11" ht="20" customHeight="1">
      <c r="A2466" t="s">
        <v>26</v>
      </c>
      <c r="B2466" t="s">
        <v>1968</v>
      </c>
      <c r="C2466">
        <v>24770.92578125</v>
      </c>
      <c r="D2466">
        <v>25240.615234375</v>
      </c>
      <c r="E2466">
        <v>23964.91015625</v>
      </c>
      <c r="F2466">
        <v>24375.9609375</v>
      </c>
      <c r="G2466">
        <v>24375.9609375</v>
      </c>
      <c r="H2466">
        <v>43655701450</v>
      </c>
      <c r="I2466" t="s">
        <v>5856</v>
      </c>
      <c r="J2466" t="s">
        <v>5857</v>
      </c>
      <c r="K2466" t="s">
        <v>4634</v>
      </c>
    </row>
    <row r="2467" spans="1:11" ht="20" customHeight="1">
      <c r="A2467" t="s">
        <v>26</v>
      </c>
      <c r="B2467" t="s">
        <v>1971</v>
      </c>
      <c r="C2467">
        <v>24373.45703125</v>
      </c>
      <c r="D2467">
        <v>25190.326171875</v>
      </c>
      <c r="E2467">
        <v>24225.111328125</v>
      </c>
      <c r="F2467">
        <v>25052.7890625</v>
      </c>
      <c r="G2467">
        <v>25052.7890625</v>
      </c>
      <c r="H2467">
        <v>33866061747</v>
      </c>
      <c r="I2467" t="s">
        <v>5857</v>
      </c>
      <c r="J2467" t="s">
        <v>5858</v>
      </c>
      <c r="K2467" t="s">
        <v>4634</v>
      </c>
    </row>
    <row r="2468" spans="1:11" ht="20" customHeight="1">
      <c r="A2468" t="s">
        <v>26</v>
      </c>
      <c r="B2468" t="s">
        <v>1974</v>
      </c>
      <c r="C2468">
        <v>25055.123046875</v>
      </c>
      <c r="D2468">
        <v>27787.8125</v>
      </c>
      <c r="E2468">
        <v>24955.169921875</v>
      </c>
      <c r="F2468">
        <v>27423.9296875</v>
      </c>
      <c r="G2468">
        <v>27423.9296875</v>
      </c>
      <c r="H2468">
        <v>50730261335</v>
      </c>
      <c r="I2468" t="s">
        <v>5858</v>
      </c>
      <c r="J2468" t="s">
        <v>5859</v>
      </c>
      <c r="K2468" t="s">
        <v>4634</v>
      </c>
    </row>
    <row r="2469" spans="1:11" ht="20" customHeight="1">
      <c r="A2469" t="s">
        <v>26</v>
      </c>
      <c r="B2469" t="s">
        <v>5860</v>
      </c>
      <c r="C2469">
        <v>27448.1171875</v>
      </c>
      <c r="D2469">
        <v>27725.953125</v>
      </c>
      <c r="E2469">
        <v>26636.26171875</v>
      </c>
      <c r="F2469">
        <v>26965.87890625</v>
      </c>
      <c r="G2469">
        <v>26965.87890625</v>
      </c>
      <c r="H2469">
        <v>35723036817</v>
      </c>
      <c r="I2469" t="s">
        <v>5859</v>
      </c>
      <c r="J2469" t="s">
        <v>5861</v>
      </c>
      <c r="K2469" t="s">
        <v>4634</v>
      </c>
    </row>
    <row r="2470" spans="1:11" ht="20" customHeight="1">
      <c r="A2470" t="s">
        <v>26</v>
      </c>
      <c r="B2470" t="s">
        <v>5862</v>
      </c>
      <c r="C2470">
        <v>26969.50390625</v>
      </c>
      <c r="D2470">
        <v>28440.560546875</v>
      </c>
      <c r="E2470">
        <v>26907.716796875</v>
      </c>
      <c r="F2470">
        <v>28038.67578125</v>
      </c>
      <c r="G2470">
        <v>28038.67578125</v>
      </c>
      <c r="H2470">
        <v>37769448859</v>
      </c>
      <c r="I2470" t="s">
        <v>5861</v>
      </c>
      <c r="J2470" t="s">
        <v>5863</v>
      </c>
      <c r="K2470" t="s">
        <v>4634</v>
      </c>
    </row>
    <row r="2471" spans="1:11" ht="20" customHeight="1">
      <c r="A2471" t="s">
        <v>26</v>
      </c>
      <c r="B2471" t="s">
        <v>1977</v>
      </c>
      <c r="C2471">
        <v>28041.6015625</v>
      </c>
      <c r="D2471">
        <v>28527.724609375</v>
      </c>
      <c r="E2471">
        <v>27242.880859375</v>
      </c>
      <c r="F2471">
        <v>27767.236328125</v>
      </c>
      <c r="G2471">
        <v>27767.236328125</v>
      </c>
      <c r="H2471">
        <v>44774027664</v>
      </c>
      <c r="I2471" t="s">
        <v>5863</v>
      </c>
      <c r="J2471" t="s">
        <v>5864</v>
      </c>
      <c r="K2471" t="s">
        <v>4634</v>
      </c>
    </row>
    <row r="2472" spans="1:11" ht="20" customHeight="1">
      <c r="A2472" t="s">
        <v>26</v>
      </c>
      <c r="B2472" t="s">
        <v>1980</v>
      </c>
      <c r="C2472">
        <v>27768.392578125</v>
      </c>
      <c r="D2472">
        <v>28439.5625</v>
      </c>
      <c r="E2472">
        <v>27439.646484375</v>
      </c>
      <c r="F2472">
        <v>28175.81640625</v>
      </c>
      <c r="G2472">
        <v>28175.81640625</v>
      </c>
      <c r="H2472">
        <v>36102192830</v>
      </c>
      <c r="I2472" t="s">
        <v>5864</v>
      </c>
      <c r="J2472" t="s">
        <v>5865</v>
      </c>
      <c r="K2472" t="s">
        <v>4634</v>
      </c>
    </row>
    <row r="2473" spans="1:11" ht="20" customHeight="1">
      <c r="A2473" t="s">
        <v>26</v>
      </c>
      <c r="B2473" t="s">
        <v>1983</v>
      </c>
      <c r="C2473">
        <v>28158.720703125</v>
      </c>
      <c r="D2473">
        <v>28803.3359375</v>
      </c>
      <c r="E2473">
        <v>26759.99609375</v>
      </c>
      <c r="F2473">
        <v>27307.4375</v>
      </c>
      <c r="G2473">
        <v>27307.4375</v>
      </c>
      <c r="H2473">
        <v>33382021890</v>
      </c>
      <c r="I2473" t="s">
        <v>5865</v>
      </c>
      <c r="J2473" t="s">
        <v>5866</v>
      </c>
      <c r="K2473" t="s">
        <v>4634</v>
      </c>
    </row>
    <row r="2474" spans="1:11" ht="20" customHeight="1">
      <c r="A2474" t="s">
        <v>26</v>
      </c>
      <c r="B2474" t="s">
        <v>1986</v>
      </c>
      <c r="C2474">
        <v>27301.95703125</v>
      </c>
      <c r="D2474">
        <v>28729.84375</v>
      </c>
      <c r="E2474">
        <v>27183.36328125</v>
      </c>
      <c r="F2474">
        <v>28333.97265625</v>
      </c>
      <c r="G2474">
        <v>28333.97265625</v>
      </c>
      <c r="H2474">
        <v>24220433689</v>
      </c>
      <c r="I2474" t="s">
        <v>5866</v>
      </c>
      <c r="J2474" t="s">
        <v>5867</v>
      </c>
      <c r="K2474" t="s">
        <v>4634</v>
      </c>
    </row>
    <row r="2475" spans="1:11" ht="20" customHeight="1">
      <c r="A2475" t="s">
        <v>26</v>
      </c>
      <c r="B2475" t="s">
        <v>1989</v>
      </c>
      <c r="C2475">
        <v>28324.111328125</v>
      </c>
      <c r="D2475">
        <v>28388.4375</v>
      </c>
      <c r="E2475">
        <v>27039.265625</v>
      </c>
      <c r="F2475">
        <v>27493.28515625</v>
      </c>
      <c r="G2475">
        <v>27493.28515625</v>
      </c>
      <c r="H2475">
        <v>25980310960</v>
      </c>
      <c r="I2475" t="s">
        <v>5867</v>
      </c>
      <c r="J2475" t="s">
        <v>5868</v>
      </c>
      <c r="K2475" t="s">
        <v>4634</v>
      </c>
    </row>
    <row r="2476" spans="1:11" ht="20" customHeight="1">
      <c r="A2476" t="s">
        <v>26</v>
      </c>
      <c r="B2476" t="s">
        <v>5869</v>
      </c>
      <c r="C2476">
        <v>27487.337890625</v>
      </c>
      <c r="D2476">
        <v>27791.826171875</v>
      </c>
      <c r="E2476">
        <v>27196.234375</v>
      </c>
      <c r="F2476">
        <v>27494.70703125</v>
      </c>
      <c r="G2476">
        <v>27494.70703125</v>
      </c>
      <c r="H2476">
        <v>13383005987</v>
      </c>
      <c r="I2476" t="s">
        <v>5868</v>
      </c>
      <c r="J2476" t="s">
        <v>5870</v>
      </c>
      <c r="K2476" t="s">
        <v>4634</v>
      </c>
    </row>
    <row r="2477" spans="1:11" ht="20" customHeight="1">
      <c r="A2477" t="s">
        <v>26</v>
      </c>
      <c r="B2477" t="s">
        <v>5871</v>
      </c>
      <c r="C2477">
        <v>27495.5234375</v>
      </c>
      <c r="D2477">
        <v>28178.14453125</v>
      </c>
      <c r="E2477">
        <v>27445.046875</v>
      </c>
      <c r="F2477">
        <v>27994.330078125</v>
      </c>
      <c r="G2477">
        <v>27994.330078125</v>
      </c>
      <c r="H2477">
        <v>13878363192</v>
      </c>
      <c r="I2477" t="s">
        <v>5870</v>
      </c>
      <c r="J2477" t="s">
        <v>5872</v>
      </c>
      <c r="K2477" t="s">
        <v>4634</v>
      </c>
    </row>
    <row r="2478" spans="1:11" ht="20" customHeight="1">
      <c r="A2478" t="s">
        <v>26</v>
      </c>
      <c r="B2478" t="s">
        <v>1992</v>
      </c>
      <c r="C2478">
        <v>27994.068359375</v>
      </c>
      <c r="D2478">
        <v>28037.92578125</v>
      </c>
      <c r="E2478">
        <v>26606.689453125</v>
      </c>
      <c r="F2478">
        <v>27139.888671875</v>
      </c>
      <c r="G2478">
        <v>27139.888671875</v>
      </c>
      <c r="H2478">
        <v>18188895178</v>
      </c>
      <c r="I2478" t="s">
        <v>5872</v>
      </c>
      <c r="J2478" t="s">
        <v>5873</v>
      </c>
      <c r="K2478" t="s">
        <v>4634</v>
      </c>
    </row>
    <row r="2479" spans="1:11" ht="20" customHeight="1">
      <c r="A2479" t="s">
        <v>26</v>
      </c>
      <c r="B2479" t="s">
        <v>1995</v>
      </c>
      <c r="C2479">
        <v>27132.888671875</v>
      </c>
      <c r="D2479">
        <v>27460.71875</v>
      </c>
      <c r="E2479">
        <v>26677.818359375</v>
      </c>
      <c r="F2479">
        <v>27268.130859375</v>
      </c>
      <c r="G2479">
        <v>27268.130859375</v>
      </c>
      <c r="H2479">
        <v>17783600385</v>
      </c>
      <c r="I2479" t="s">
        <v>5873</v>
      </c>
      <c r="J2479" t="s">
        <v>5874</v>
      </c>
      <c r="K2479" t="s">
        <v>4634</v>
      </c>
    </row>
    <row r="2480" spans="1:11" ht="20" customHeight="1">
      <c r="A2480" t="s">
        <v>26</v>
      </c>
      <c r="B2480" t="s">
        <v>1998</v>
      </c>
      <c r="C2480">
        <v>27267.03125</v>
      </c>
      <c r="D2480">
        <v>28619.54296875</v>
      </c>
      <c r="E2480">
        <v>27259.662109375</v>
      </c>
      <c r="F2480">
        <v>28348.44140625</v>
      </c>
      <c r="G2480">
        <v>28348.44140625</v>
      </c>
      <c r="H2480">
        <v>20684945906</v>
      </c>
      <c r="I2480" t="s">
        <v>5874</v>
      </c>
      <c r="J2480" t="s">
        <v>5875</v>
      </c>
      <c r="K2480" t="s">
        <v>4634</v>
      </c>
    </row>
    <row r="2481" spans="1:11" ht="20" customHeight="1">
      <c r="A2481" t="s">
        <v>26</v>
      </c>
      <c r="B2481" t="s">
        <v>2001</v>
      </c>
      <c r="C2481">
        <v>28350.140625</v>
      </c>
      <c r="D2481">
        <v>29159.90234375</v>
      </c>
      <c r="E2481">
        <v>27720.16015625</v>
      </c>
      <c r="F2481">
        <v>28033.5625</v>
      </c>
      <c r="G2481">
        <v>28033.5625</v>
      </c>
      <c r="H2481">
        <v>22435349951</v>
      </c>
      <c r="I2481" t="s">
        <v>5875</v>
      </c>
      <c r="J2481" t="s">
        <v>5876</v>
      </c>
      <c r="K2481" t="s">
        <v>4634</v>
      </c>
    </row>
    <row r="2482" spans="1:11" ht="20" customHeight="1">
      <c r="A2482" t="s">
        <v>26</v>
      </c>
      <c r="B2482" t="s">
        <v>2004</v>
      </c>
      <c r="C2482">
        <v>28032.26171875</v>
      </c>
      <c r="D2482">
        <v>28639.896484375</v>
      </c>
      <c r="E2482">
        <v>27583.71484375</v>
      </c>
      <c r="F2482">
        <v>28478.484375</v>
      </c>
      <c r="G2482">
        <v>28478.484375</v>
      </c>
      <c r="H2482">
        <v>19001327598</v>
      </c>
      <c r="I2482" t="s">
        <v>5876</v>
      </c>
      <c r="J2482" t="s">
        <v>5877</v>
      </c>
      <c r="K2482" t="s">
        <v>4634</v>
      </c>
    </row>
    <row r="2483" spans="1:11" ht="20" customHeight="1">
      <c r="A2483" t="s">
        <v>26</v>
      </c>
      <c r="B2483" t="s">
        <v>5878</v>
      </c>
      <c r="C2483">
        <v>28473.33203125</v>
      </c>
      <c r="D2483">
        <v>28802.45703125</v>
      </c>
      <c r="E2483">
        <v>28297.171875</v>
      </c>
      <c r="F2483">
        <v>28411.03515625</v>
      </c>
      <c r="G2483">
        <v>28411.03515625</v>
      </c>
      <c r="H2483">
        <v>10876469901</v>
      </c>
      <c r="I2483" t="s">
        <v>5877</v>
      </c>
      <c r="J2483" t="s">
        <v>5879</v>
      </c>
      <c r="K2483" t="s">
        <v>4634</v>
      </c>
    </row>
    <row r="2484" spans="1:11" ht="20" customHeight="1">
      <c r="A2484" t="s">
        <v>26</v>
      </c>
      <c r="B2484" t="s">
        <v>5880</v>
      </c>
      <c r="C2484">
        <v>28462.845703125</v>
      </c>
      <c r="D2484">
        <v>28518.958984375</v>
      </c>
      <c r="E2484">
        <v>27884.087890625</v>
      </c>
      <c r="F2484">
        <v>28199.30859375</v>
      </c>
      <c r="G2484">
        <v>28199.30859375</v>
      </c>
      <c r="H2484">
        <v>12284641999</v>
      </c>
      <c r="I2484" t="s">
        <v>5879</v>
      </c>
      <c r="J2484" t="s">
        <v>5881</v>
      </c>
      <c r="K2484" t="s">
        <v>4634</v>
      </c>
    </row>
    <row r="2485" spans="1:11" ht="20" customHeight="1">
      <c r="A2485" t="s">
        <v>26</v>
      </c>
      <c r="B2485" t="s">
        <v>2007</v>
      </c>
      <c r="C2485">
        <v>28183.080078125</v>
      </c>
      <c r="D2485">
        <v>28475.623046875</v>
      </c>
      <c r="E2485">
        <v>27276.720703125</v>
      </c>
      <c r="F2485">
        <v>27790.220703125</v>
      </c>
      <c r="G2485">
        <v>27790.220703125</v>
      </c>
      <c r="H2485">
        <v>19556501327</v>
      </c>
      <c r="I2485" t="s">
        <v>5881</v>
      </c>
      <c r="J2485" t="s">
        <v>5882</v>
      </c>
      <c r="K2485" t="s">
        <v>4634</v>
      </c>
    </row>
    <row r="2486" spans="1:11" ht="20" customHeight="1">
      <c r="A2486" t="s">
        <v>26</v>
      </c>
      <c r="B2486" t="s">
        <v>2010</v>
      </c>
      <c r="C2486">
        <v>27795.2734375</v>
      </c>
      <c r="D2486">
        <v>28433.7421875</v>
      </c>
      <c r="E2486">
        <v>27681.3046875</v>
      </c>
      <c r="F2486">
        <v>28168.08984375</v>
      </c>
      <c r="G2486">
        <v>28168.08984375</v>
      </c>
      <c r="H2486">
        <v>15284538859</v>
      </c>
      <c r="I2486" t="s">
        <v>5882</v>
      </c>
      <c r="J2486" t="s">
        <v>5883</v>
      </c>
      <c r="K2486" t="s">
        <v>4634</v>
      </c>
    </row>
    <row r="2487" spans="1:11" ht="20" customHeight="1">
      <c r="A2487" t="s">
        <v>26</v>
      </c>
      <c r="B2487" t="s">
        <v>2013</v>
      </c>
      <c r="C2487">
        <v>28169.7265625</v>
      </c>
      <c r="D2487">
        <v>28739.23828125</v>
      </c>
      <c r="E2487">
        <v>27843.763671875</v>
      </c>
      <c r="F2487">
        <v>28177.984375</v>
      </c>
      <c r="G2487">
        <v>28177.984375</v>
      </c>
      <c r="H2487">
        <v>17052315986</v>
      </c>
      <c r="I2487" t="s">
        <v>5883</v>
      </c>
      <c r="J2487" t="s">
        <v>5884</v>
      </c>
      <c r="K2487" t="s">
        <v>4634</v>
      </c>
    </row>
    <row r="2488" spans="1:11" ht="20" customHeight="1">
      <c r="A2488" t="s">
        <v>26</v>
      </c>
      <c r="B2488" t="s">
        <v>2016</v>
      </c>
      <c r="C2488">
        <v>28175.2265625</v>
      </c>
      <c r="D2488">
        <v>28178.384765625</v>
      </c>
      <c r="E2488">
        <v>27738.759765625</v>
      </c>
      <c r="F2488">
        <v>28044.140625</v>
      </c>
      <c r="G2488">
        <v>28044.140625</v>
      </c>
      <c r="H2488">
        <v>13837809380</v>
      </c>
      <c r="I2488" t="s">
        <v>5884</v>
      </c>
      <c r="J2488" t="s">
        <v>5885</v>
      </c>
      <c r="K2488" t="s">
        <v>4634</v>
      </c>
    </row>
    <row r="2489" spans="1:11" ht="20" customHeight="1">
      <c r="A2489" t="s">
        <v>26</v>
      </c>
      <c r="B2489" t="s">
        <v>5886</v>
      </c>
      <c r="C2489">
        <v>28038.966796875</v>
      </c>
      <c r="D2489">
        <v>28111.59375</v>
      </c>
      <c r="E2489">
        <v>27794.03125</v>
      </c>
      <c r="F2489">
        <v>27925.859375</v>
      </c>
      <c r="G2489">
        <v>27925.859375</v>
      </c>
      <c r="H2489">
        <v>10861680497</v>
      </c>
      <c r="I2489" t="s">
        <v>5885</v>
      </c>
      <c r="J2489" t="s">
        <v>5887</v>
      </c>
      <c r="K2489" t="s">
        <v>4634</v>
      </c>
    </row>
    <row r="2490" spans="1:11" ht="20" customHeight="1">
      <c r="A2490" t="s">
        <v>26</v>
      </c>
      <c r="B2490" t="s">
        <v>5888</v>
      </c>
      <c r="C2490">
        <v>27920.513671875</v>
      </c>
      <c r="D2490">
        <v>28159.86328125</v>
      </c>
      <c r="E2490">
        <v>27883.38671875</v>
      </c>
      <c r="F2490">
        <v>27947.794921875</v>
      </c>
      <c r="G2490">
        <v>27947.794921875</v>
      </c>
      <c r="H2490">
        <v>9373255556</v>
      </c>
      <c r="I2490" t="s">
        <v>5887</v>
      </c>
      <c r="J2490" t="s">
        <v>5889</v>
      </c>
      <c r="K2490" t="s">
        <v>4634</v>
      </c>
    </row>
    <row r="2491" spans="1:11" ht="20" customHeight="1">
      <c r="A2491" t="s">
        <v>26</v>
      </c>
      <c r="B2491" t="s">
        <v>5890</v>
      </c>
      <c r="C2491">
        <v>27952.3671875</v>
      </c>
      <c r="D2491">
        <v>28532.830078125</v>
      </c>
      <c r="E2491">
        <v>27828.48046875</v>
      </c>
      <c r="F2491">
        <v>28333.05078125</v>
      </c>
      <c r="G2491">
        <v>28333.05078125</v>
      </c>
      <c r="H2491">
        <v>12175322951</v>
      </c>
      <c r="I2491" t="s">
        <v>5889</v>
      </c>
      <c r="J2491" t="s">
        <v>5891</v>
      </c>
      <c r="K2491" t="s">
        <v>4634</v>
      </c>
    </row>
    <row r="2492" spans="1:11" ht="20" customHeight="1">
      <c r="A2492" t="s">
        <v>26</v>
      </c>
      <c r="B2492" t="s">
        <v>2019</v>
      </c>
      <c r="C2492">
        <v>28336.02734375</v>
      </c>
      <c r="D2492">
        <v>29771.46484375</v>
      </c>
      <c r="E2492">
        <v>28189.271484375</v>
      </c>
      <c r="F2492">
        <v>29652.98046875</v>
      </c>
      <c r="G2492">
        <v>29652.98046875</v>
      </c>
      <c r="H2492">
        <v>19282400094</v>
      </c>
      <c r="I2492" t="s">
        <v>5891</v>
      </c>
      <c r="J2492" t="s">
        <v>5892</v>
      </c>
      <c r="K2492" t="s">
        <v>4634</v>
      </c>
    </row>
    <row r="2493" spans="1:11" ht="20" customHeight="1">
      <c r="A2493" t="s">
        <v>26</v>
      </c>
      <c r="B2493" t="s">
        <v>2022</v>
      </c>
      <c r="C2493">
        <v>29653.6796875</v>
      </c>
      <c r="D2493">
        <v>30509.083984375</v>
      </c>
      <c r="E2493">
        <v>29609.30078125</v>
      </c>
      <c r="F2493">
        <v>30235.05859375</v>
      </c>
      <c r="G2493">
        <v>30235.05859375</v>
      </c>
      <c r="H2493">
        <v>20121259843</v>
      </c>
      <c r="I2493" t="s">
        <v>5892</v>
      </c>
      <c r="J2493" t="s">
        <v>5893</v>
      </c>
      <c r="K2493" t="s">
        <v>4634</v>
      </c>
    </row>
    <row r="2494" spans="1:11" ht="20" customHeight="1">
      <c r="A2494" t="s">
        <v>26</v>
      </c>
      <c r="B2494" t="s">
        <v>2025</v>
      </c>
      <c r="C2494">
        <v>30231.58203125</v>
      </c>
      <c r="D2494">
        <v>30462.48046875</v>
      </c>
      <c r="E2494">
        <v>29725.57421875</v>
      </c>
      <c r="F2494">
        <v>30139.052734375</v>
      </c>
      <c r="G2494">
        <v>30139.052734375</v>
      </c>
      <c r="H2494">
        <v>18651929926</v>
      </c>
      <c r="I2494" t="s">
        <v>5893</v>
      </c>
      <c r="J2494" t="s">
        <v>5894</v>
      </c>
      <c r="K2494" t="s">
        <v>4634</v>
      </c>
    </row>
    <row r="2495" spans="1:11" ht="20" customHeight="1">
      <c r="A2495" t="s">
        <v>26</v>
      </c>
      <c r="B2495" t="s">
        <v>2028</v>
      </c>
      <c r="C2495">
        <v>29892.740234375</v>
      </c>
      <c r="D2495">
        <v>30539.845703125</v>
      </c>
      <c r="E2495">
        <v>29878.623046875</v>
      </c>
      <c r="F2495">
        <v>30399.06640625</v>
      </c>
      <c r="G2495">
        <v>30399.06640625</v>
      </c>
      <c r="H2495">
        <v>17487721001</v>
      </c>
      <c r="I2495" t="s">
        <v>5894</v>
      </c>
      <c r="J2495" t="s">
        <v>5895</v>
      </c>
      <c r="K2495" t="s">
        <v>4634</v>
      </c>
    </row>
    <row r="2496" spans="1:11" ht="20" customHeight="1">
      <c r="A2496" t="s">
        <v>26</v>
      </c>
      <c r="B2496" t="s">
        <v>2031</v>
      </c>
      <c r="C2496">
        <v>30409.5625</v>
      </c>
      <c r="D2496">
        <v>31005.607421875</v>
      </c>
      <c r="E2496">
        <v>30044.498046875</v>
      </c>
      <c r="F2496">
        <v>30485.69921875</v>
      </c>
      <c r="G2496">
        <v>30485.69921875</v>
      </c>
      <c r="H2496">
        <v>22659995079</v>
      </c>
      <c r="I2496" t="s">
        <v>5895</v>
      </c>
      <c r="J2496" t="s">
        <v>5896</v>
      </c>
      <c r="K2496" t="s">
        <v>4634</v>
      </c>
    </row>
    <row r="2497" spans="1:11" ht="20" customHeight="1">
      <c r="A2497" t="s">
        <v>26</v>
      </c>
      <c r="B2497" t="s">
        <v>5897</v>
      </c>
      <c r="C2497">
        <v>30490.75</v>
      </c>
      <c r="D2497">
        <v>30601.740234375</v>
      </c>
      <c r="E2497">
        <v>30245.8828125</v>
      </c>
      <c r="F2497">
        <v>30318.49609375</v>
      </c>
      <c r="G2497">
        <v>30318.49609375</v>
      </c>
      <c r="H2497">
        <v>11940685378</v>
      </c>
      <c r="I2497" t="s">
        <v>5896</v>
      </c>
      <c r="J2497" t="s">
        <v>5898</v>
      </c>
      <c r="K2497" t="s">
        <v>4634</v>
      </c>
    </row>
    <row r="2498" spans="1:11" ht="20" customHeight="1">
      <c r="A2498" t="s">
        <v>26</v>
      </c>
      <c r="B2498" t="s">
        <v>5899</v>
      </c>
      <c r="C2498">
        <v>30315.9765625</v>
      </c>
      <c r="D2498">
        <v>30555.537109375</v>
      </c>
      <c r="E2498">
        <v>30157.83203125</v>
      </c>
      <c r="F2498">
        <v>30315.35546875</v>
      </c>
      <c r="G2498">
        <v>30315.35546875</v>
      </c>
      <c r="H2498">
        <v>12854816417</v>
      </c>
      <c r="I2498" t="s">
        <v>5898</v>
      </c>
      <c r="J2498" t="s">
        <v>5900</v>
      </c>
      <c r="K2498" t="s">
        <v>4634</v>
      </c>
    </row>
    <row r="2499" spans="1:11" ht="20" customHeight="1">
      <c r="A2499" t="s">
        <v>26</v>
      </c>
      <c r="B2499" t="s">
        <v>2034</v>
      </c>
      <c r="C2499">
        <v>30317.146484375</v>
      </c>
      <c r="D2499">
        <v>30319.197265625</v>
      </c>
      <c r="E2499">
        <v>29275.37109375</v>
      </c>
      <c r="F2499">
        <v>29445.044921875</v>
      </c>
      <c r="G2499">
        <v>29445.044921875</v>
      </c>
      <c r="H2499">
        <v>17872186762</v>
      </c>
      <c r="I2499" t="s">
        <v>5900</v>
      </c>
      <c r="J2499" t="s">
        <v>5901</v>
      </c>
      <c r="K2499" t="s">
        <v>4634</v>
      </c>
    </row>
    <row r="2500" spans="1:11" ht="20" customHeight="1">
      <c r="A2500" t="s">
        <v>26</v>
      </c>
      <c r="B2500" t="s">
        <v>2037</v>
      </c>
      <c r="C2500">
        <v>29449.091796875</v>
      </c>
      <c r="D2500">
        <v>30470.302734375</v>
      </c>
      <c r="E2500">
        <v>29154.849609375</v>
      </c>
      <c r="F2500">
        <v>30397.552734375</v>
      </c>
      <c r="G2500">
        <v>30397.552734375</v>
      </c>
      <c r="H2500">
        <v>19480529496</v>
      </c>
      <c r="I2500" t="s">
        <v>5901</v>
      </c>
      <c r="J2500" t="s">
        <v>5902</v>
      </c>
      <c r="K2500" t="s">
        <v>4634</v>
      </c>
    </row>
    <row r="2501" spans="1:11" ht="20" customHeight="1">
      <c r="A2501" t="s">
        <v>26</v>
      </c>
      <c r="B2501" t="s">
        <v>2040</v>
      </c>
      <c r="C2501">
        <v>30394.1875</v>
      </c>
      <c r="D2501">
        <v>30411.0546875</v>
      </c>
      <c r="E2501">
        <v>28669.8984375</v>
      </c>
      <c r="F2501">
        <v>28822.6796875</v>
      </c>
      <c r="G2501">
        <v>28822.6796875</v>
      </c>
      <c r="H2501">
        <v>24571565421</v>
      </c>
      <c r="I2501" t="s">
        <v>5902</v>
      </c>
      <c r="J2501" t="s">
        <v>5903</v>
      </c>
      <c r="K2501" t="s">
        <v>4634</v>
      </c>
    </row>
    <row r="2502" spans="1:11" ht="20" customHeight="1">
      <c r="A2502" t="s">
        <v>26</v>
      </c>
      <c r="B2502" t="s">
        <v>2043</v>
      </c>
      <c r="C2502">
        <v>28823.68359375</v>
      </c>
      <c r="D2502">
        <v>29076.400390625</v>
      </c>
      <c r="E2502">
        <v>28037.2578125</v>
      </c>
      <c r="F2502">
        <v>28245.98828125</v>
      </c>
      <c r="G2502">
        <v>28245.98828125</v>
      </c>
      <c r="H2502">
        <v>21340360360</v>
      </c>
      <c r="I2502" t="s">
        <v>5903</v>
      </c>
      <c r="J2502" t="s">
        <v>5904</v>
      </c>
      <c r="K2502" t="s">
        <v>4634</v>
      </c>
    </row>
    <row r="2503" spans="1:11" ht="20" customHeight="1">
      <c r="A2503" t="s">
        <v>26</v>
      </c>
      <c r="B2503" t="s">
        <v>2046</v>
      </c>
      <c r="C2503">
        <v>28249.23046875</v>
      </c>
      <c r="D2503">
        <v>28349.96875</v>
      </c>
      <c r="E2503">
        <v>27177.365234375</v>
      </c>
      <c r="F2503">
        <v>27276.91015625</v>
      </c>
      <c r="G2503">
        <v>27276.91015625</v>
      </c>
      <c r="H2503">
        <v>20759504330</v>
      </c>
      <c r="I2503" t="s">
        <v>5904</v>
      </c>
      <c r="J2503" t="s">
        <v>5905</v>
      </c>
      <c r="K2503" t="s">
        <v>4634</v>
      </c>
    </row>
    <row r="2504" spans="1:11" ht="20" customHeight="1">
      <c r="A2504" t="s">
        <v>26</v>
      </c>
      <c r="B2504" t="s">
        <v>5906</v>
      </c>
      <c r="C2504">
        <v>27265.89453125</v>
      </c>
      <c r="D2504">
        <v>27872.142578125</v>
      </c>
      <c r="E2504">
        <v>27169.5703125</v>
      </c>
      <c r="F2504">
        <v>27817.5</v>
      </c>
      <c r="G2504">
        <v>27817.5</v>
      </c>
      <c r="H2504">
        <v>13125734602</v>
      </c>
      <c r="I2504" t="s">
        <v>5905</v>
      </c>
      <c r="J2504" t="s">
        <v>5907</v>
      </c>
      <c r="K2504" t="s">
        <v>4634</v>
      </c>
    </row>
    <row r="2505" spans="1:11" ht="20" customHeight="1">
      <c r="A2505" t="s">
        <v>26</v>
      </c>
      <c r="B2505" t="s">
        <v>5908</v>
      </c>
      <c r="C2505">
        <v>27816.14453125</v>
      </c>
      <c r="D2505">
        <v>27820.244140625</v>
      </c>
      <c r="E2505">
        <v>27400.314453125</v>
      </c>
      <c r="F2505">
        <v>27591.384765625</v>
      </c>
      <c r="G2505">
        <v>27591.384765625</v>
      </c>
      <c r="H2505">
        <v>12785446832</v>
      </c>
      <c r="I2505" t="s">
        <v>5907</v>
      </c>
      <c r="J2505" t="s">
        <v>5909</v>
      </c>
      <c r="K2505" t="s">
        <v>4634</v>
      </c>
    </row>
    <row r="2506" spans="1:11" ht="20" customHeight="1">
      <c r="A2506" t="s">
        <v>26</v>
      </c>
      <c r="B2506" t="s">
        <v>2049</v>
      </c>
      <c r="C2506">
        <v>27591.73046875</v>
      </c>
      <c r="D2506">
        <v>27979.982421875</v>
      </c>
      <c r="E2506">
        <v>27070.849609375</v>
      </c>
      <c r="F2506">
        <v>27525.33984375</v>
      </c>
      <c r="G2506">
        <v>27525.33984375</v>
      </c>
      <c r="H2506">
        <v>17703288330</v>
      </c>
      <c r="I2506" t="s">
        <v>5909</v>
      </c>
      <c r="J2506" t="s">
        <v>5910</v>
      </c>
      <c r="K2506" t="s">
        <v>4634</v>
      </c>
    </row>
    <row r="2507" spans="1:11" ht="20" customHeight="1">
      <c r="A2507" t="s">
        <v>26</v>
      </c>
      <c r="B2507" t="s">
        <v>2052</v>
      </c>
      <c r="C2507">
        <v>27514.873046875</v>
      </c>
      <c r="D2507">
        <v>28371.078125</v>
      </c>
      <c r="E2507">
        <v>27207.931640625</v>
      </c>
      <c r="F2507">
        <v>28307.59765625</v>
      </c>
      <c r="G2507">
        <v>28307.59765625</v>
      </c>
      <c r="H2507">
        <v>17733373139</v>
      </c>
      <c r="I2507" t="s">
        <v>5910</v>
      </c>
      <c r="J2507" t="s">
        <v>5911</v>
      </c>
      <c r="K2507" t="s">
        <v>4634</v>
      </c>
    </row>
    <row r="2508" spans="1:11" ht="20" customHeight="1">
      <c r="A2508" t="s">
        <v>26</v>
      </c>
      <c r="B2508" t="s">
        <v>2055</v>
      </c>
      <c r="C2508">
        <v>28300.05859375</v>
      </c>
      <c r="D2508">
        <v>29995.837890625</v>
      </c>
      <c r="E2508">
        <v>27324.548828125</v>
      </c>
      <c r="F2508">
        <v>28422.701171875</v>
      </c>
      <c r="G2508">
        <v>28422.701171875</v>
      </c>
      <c r="H2508">
        <v>31854242019</v>
      </c>
      <c r="I2508" t="s">
        <v>5911</v>
      </c>
      <c r="J2508" t="s">
        <v>5912</v>
      </c>
      <c r="K2508" t="s">
        <v>4634</v>
      </c>
    </row>
    <row r="2509" spans="1:11" ht="20" customHeight="1">
      <c r="A2509" t="s">
        <v>26</v>
      </c>
      <c r="B2509" t="s">
        <v>2058</v>
      </c>
      <c r="C2509">
        <v>28428.46484375</v>
      </c>
      <c r="D2509">
        <v>29871.546875</v>
      </c>
      <c r="E2509">
        <v>28402.88671875</v>
      </c>
      <c r="F2509">
        <v>29473.787109375</v>
      </c>
      <c r="G2509">
        <v>29473.787109375</v>
      </c>
      <c r="H2509">
        <v>27153445027</v>
      </c>
      <c r="I2509" t="s">
        <v>5912</v>
      </c>
      <c r="J2509" t="s">
        <v>5913</v>
      </c>
      <c r="K2509" t="s">
        <v>4634</v>
      </c>
    </row>
    <row r="2510" spans="1:11" ht="20" customHeight="1">
      <c r="A2510" t="s">
        <v>26</v>
      </c>
      <c r="B2510" t="s">
        <v>2061</v>
      </c>
      <c r="C2510">
        <v>29481.013671875</v>
      </c>
      <c r="D2510">
        <v>29572.791015625</v>
      </c>
      <c r="E2510">
        <v>28929.609375</v>
      </c>
      <c r="F2510">
        <v>29340.26171875</v>
      </c>
      <c r="G2510">
        <v>29340.26171875</v>
      </c>
      <c r="H2510">
        <v>17544464887</v>
      </c>
      <c r="I2510" t="s">
        <v>5913</v>
      </c>
      <c r="J2510" t="s">
        <v>5914</v>
      </c>
      <c r="K2510" t="s">
        <v>4634</v>
      </c>
    </row>
    <row r="2511" spans="1:11" ht="20" customHeight="1">
      <c r="A2511" t="s">
        <v>26</v>
      </c>
      <c r="B2511" t="s">
        <v>5915</v>
      </c>
      <c r="C2511">
        <v>29336.56640625</v>
      </c>
      <c r="D2511">
        <v>29452.455078125</v>
      </c>
      <c r="E2511">
        <v>29088.04296875</v>
      </c>
      <c r="F2511">
        <v>29248.48828125</v>
      </c>
      <c r="G2511">
        <v>29248.48828125</v>
      </c>
      <c r="H2511">
        <v>10662634333</v>
      </c>
      <c r="I2511" t="s">
        <v>5914</v>
      </c>
      <c r="J2511" t="s">
        <v>5916</v>
      </c>
      <c r="K2511" t="s">
        <v>4634</v>
      </c>
    </row>
    <row r="2512" spans="1:11" ht="20" customHeight="1">
      <c r="A2512" t="s">
        <v>26</v>
      </c>
      <c r="B2512" t="s">
        <v>5917</v>
      </c>
      <c r="C2512">
        <v>29245.515625</v>
      </c>
      <c r="D2512">
        <v>29952.029296875</v>
      </c>
      <c r="E2512">
        <v>29114.021484375</v>
      </c>
      <c r="F2512">
        <v>29268.806640625</v>
      </c>
      <c r="G2512">
        <v>29268.806640625</v>
      </c>
      <c r="H2512">
        <v>14652199272</v>
      </c>
      <c r="I2512" t="s">
        <v>5916</v>
      </c>
      <c r="J2512" t="s">
        <v>5918</v>
      </c>
      <c r="K2512" t="s">
        <v>4634</v>
      </c>
    </row>
    <row r="2513" spans="1:11" ht="20" customHeight="1">
      <c r="A2513" t="s">
        <v>26</v>
      </c>
      <c r="B2513" t="s">
        <v>2064</v>
      </c>
      <c r="C2513">
        <v>29227.103515625</v>
      </c>
      <c r="D2513">
        <v>29329.935546875</v>
      </c>
      <c r="E2513">
        <v>27680.79296875</v>
      </c>
      <c r="F2513">
        <v>28091.568359375</v>
      </c>
      <c r="G2513">
        <v>28091.568359375</v>
      </c>
      <c r="H2513">
        <v>18655599976</v>
      </c>
      <c r="I2513" t="s">
        <v>5918</v>
      </c>
      <c r="J2513" t="s">
        <v>5919</v>
      </c>
      <c r="K2513" t="s">
        <v>4634</v>
      </c>
    </row>
    <row r="2514" spans="1:11" ht="20" customHeight="1">
      <c r="A2514" t="s">
        <v>26</v>
      </c>
      <c r="B2514" t="s">
        <v>2067</v>
      </c>
      <c r="C2514">
        <v>28087.17578125</v>
      </c>
      <c r="D2514">
        <v>28881.298828125</v>
      </c>
      <c r="E2514">
        <v>27924.123046875</v>
      </c>
      <c r="F2514">
        <v>28680.537109375</v>
      </c>
      <c r="G2514">
        <v>28680.537109375</v>
      </c>
      <c r="H2514">
        <v>16432924527</v>
      </c>
      <c r="I2514" t="s">
        <v>5919</v>
      </c>
      <c r="J2514" t="s">
        <v>5920</v>
      </c>
      <c r="K2514" t="s">
        <v>4634</v>
      </c>
    </row>
    <row r="2515" spans="1:11" ht="20" customHeight="1">
      <c r="A2515" t="s">
        <v>26</v>
      </c>
      <c r="B2515" t="s">
        <v>2070</v>
      </c>
      <c r="C2515">
        <v>28680.494140625</v>
      </c>
      <c r="D2515">
        <v>29259.533203125</v>
      </c>
      <c r="E2515">
        <v>28178.388671875</v>
      </c>
      <c r="F2515">
        <v>29006.30859375</v>
      </c>
      <c r="G2515">
        <v>29006.30859375</v>
      </c>
      <c r="H2515">
        <v>19122972518</v>
      </c>
      <c r="I2515" t="s">
        <v>5920</v>
      </c>
      <c r="J2515" t="s">
        <v>5921</v>
      </c>
      <c r="K2515" t="s">
        <v>4634</v>
      </c>
    </row>
    <row r="2516" spans="1:11" ht="20" customHeight="1">
      <c r="A2516" t="s">
        <v>26</v>
      </c>
      <c r="B2516" t="s">
        <v>2073</v>
      </c>
      <c r="C2516">
        <v>29031.3046875</v>
      </c>
      <c r="D2516">
        <v>29353.185546875</v>
      </c>
      <c r="E2516">
        <v>28694.0390625</v>
      </c>
      <c r="F2516">
        <v>28847.7109375</v>
      </c>
      <c r="G2516">
        <v>28847.7109375</v>
      </c>
      <c r="H2516">
        <v>15548678514</v>
      </c>
      <c r="I2516" t="s">
        <v>5921</v>
      </c>
      <c r="J2516" t="s">
        <v>5922</v>
      </c>
      <c r="K2516" t="s">
        <v>4634</v>
      </c>
    </row>
    <row r="2517" spans="1:11" ht="20" customHeight="1">
      <c r="A2517" t="s">
        <v>26</v>
      </c>
      <c r="B2517" t="s">
        <v>2076</v>
      </c>
      <c r="C2517">
        <v>28851.48046875</v>
      </c>
      <c r="D2517">
        <v>29668.908203125</v>
      </c>
      <c r="E2517">
        <v>28845.509765625</v>
      </c>
      <c r="F2517">
        <v>29534.384765625</v>
      </c>
      <c r="G2517">
        <v>29534.384765625</v>
      </c>
      <c r="H2517">
        <v>17936566518</v>
      </c>
      <c r="I2517" t="s">
        <v>5922</v>
      </c>
      <c r="J2517" t="s">
        <v>5923</v>
      </c>
      <c r="K2517" t="s">
        <v>4634</v>
      </c>
    </row>
    <row r="2518" spans="1:11" ht="20" customHeight="1">
      <c r="A2518" t="s">
        <v>26</v>
      </c>
      <c r="B2518" t="s">
        <v>5924</v>
      </c>
      <c r="C2518">
        <v>29538.859375</v>
      </c>
      <c r="D2518">
        <v>29820.126953125</v>
      </c>
      <c r="E2518">
        <v>28468.966796875</v>
      </c>
      <c r="F2518">
        <v>28904.623046875</v>
      </c>
      <c r="G2518">
        <v>28904.623046875</v>
      </c>
      <c r="H2518">
        <v>15913866714</v>
      </c>
      <c r="I2518" t="s">
        <v>5923</v>
      </c>
      <c r="J2518" t="s">
        <v>5925</v>
      </c>
      <c r="K2518" t="s">
        <v>4634</v>
      </c>
    </row>
    <row r="2519" spans="1:11" ht="20" customHeight="1">
      <c r="A2519" t="s">
        <v>26</v>
      </c>
      <c r="B2519" t="s">
        <v>5926</v>
      </c>
      <c r="C2519">
        <v>28901.623046875</v>
      </c>
      <c r="D2519">
        <v>29157.517578125</v>
      </c>
      <c r="E2519">
        <v>28441.3671875</v>
      </c>
      <c r="F2519">
        <v>28454.978515625</v>
      </c>
      <c r="G2519">
        <v>28454.978515625</v>
      </c>
      <c r="H2519">
        <v>11301355486</v>
      </c>
      <c r="I2519" t="s">
        <v>5925</v>
      </c>
      <c r="J2519" t="s">
        <v>5927</v>
      </c>
      <c r="K2519" t="s">
        <v>4634</v>
      </c>
    </row>
    <row r="2520" spans="1:11" ht="20" customHeight="1">
      <c r="A2520" t="s">
        <v>26</v>
      </c>
      <c r="B2520" t="s">
        <v>2079</v>
      </c>
      <c r="C2520">
        <v>28450.45703125</v>
      </c>
      <c r="D2520">
        <v>28663.271484375</v>
      </c>
      <c r="E2520">
        <v>27310.134765625</v>
      </c>
      <c r="F2520">
        <v>27694.2734375</v>
      </c>
      <c r="G2520">
        <v>27694.2734375</v>
      </c>
      <c r="H2520">
        <v>19122903752</v>
      </c>
      <c r="I2520" t="s">
        <v>5927</v>
      </c>
      <c r="J2520" t="s">
        <v>5928</v>
      </c>
      <c r="K2520" t="s">
        <v>4634</v>
      </c>
    </row>
    <row r="2521" spans="1:11" ht="20" customHeight="1">
      <c r="A2521" t="s">
        <v>26</v>
      </c>
      <c r="B2521" t="s">
        <v>2082</v>
      </c>
      <c r="C2521">
        <v>27695.068359375</v>
      </c>
      <c r="D2521">
        <v>27821.400390625</v>
      </c>
      <c r="E2521">
        <v>27375.6015625</v>
      </c>
      <c r="F2521">
        <v>27658.775390625</v>
      </c>
      <c r="G2521">
        <v>27658.775390625</v>
      </c>
      <c r="H2521">
        <v>14128593256</v>
      </c>
      <c r="I2521" t="s">
        <v>5928</v>
      </c>
      <c r="J2521" t="s">
        <v>5929</v>
      </c>
      <c r="K2521" t="s">
        <v>4634</v>
      </c>
    </row>
    <row r="2522" spans="1:11" ht="20" customHeight="1">
      <c r="A2522" t="s">
        <v>26</v>
      </c>
      <c r="B2522" t="s">
        <v>2085</v>
      </c>
      <c r="C2522">
        <v>27654.63671875</v>
      </c>
      <c r="D2522">
        <v>28322.6875</v>
      </c>
      <c r="E2522">
        <v>26883.669921875</v>
      </c>
      <c r="F2522">
        <v>27621.755859375</v>
      </c>
      <c r="G2522">
        <v>27621.755859375</v>
      </c>
      <c r="H2522">
        <v>20656025026</v>
      </c>
      <c r="I2522" t="s">
        <v>5929</v>
      </c>
      <c r="J2522" t="s">
        <v>5930</v>
      </c>
      <c r="K2522" t="s">
        <v>4634</v>
      </c>
    </row>
    <row r="2523" spans="1:11" ht="20" customHeight="1">
      <c r="A2523" t="s">
        <v>26</v>
      </c>
      <c r="B2523" t="s">
        <v>2088</v>
      </c>
      <c r="C2523">
        <v>27621.0859375</v>
      </c>
      <c r="D2523">
        <v>27621.94140625</v>
      </c>
      <c r="E2523">
        <v>26781.826171875</v>
      </c>
      <c r="F2523">
        <v>27000.7890625</v>
      </c>
      <c r="G2523">
        <v>27000.7890625</v>
      </c>
      <c r="H2523">
        <v>16724343943</v>
      </c>
      <c r="I2523" t="s">
        <v>5930</v>
      </c>
      <c r="J2523" t="s">
        <v>5931</v>
      </c>
      <c r="K2523" t="s">
        <v>4634</v>
      </c>
    </row>
    <row r="2524" spans="1:11" ht="20" customHeight="1">
      <c r="A2524" t="s">
        <v>26</v>
      </c>
      <c r="B2524" t="s">
        <v>2091</v>
      </c>
      <c r="C2524">
        <v>26987.662109375</v>
      </c>
      <c r="D2524">
        <v>27055.646484375</v>
      </c>
      <c r="E2524">
        <v>25878.4296875</v>
      </c>
      <c r="F2524">
        <v>26804.990234375</v>
      </c>
      <c r="G2524">
        <v>26804.990234375</v>
      </c>
      <c r="H2524">
        <v>19313599897</v>
      </c>
      <c r="I2524" t="s">
        <v>5931</v>
      </c>
      <c r="J2524" t="s">
        <v>5932</v>
      </c>
      <c r="K2524" t="s">
        <v>4634</v>
      </c>
    </row>
    <row r="2525" spans="1:11" ht="20" customHeight="1">
      <c r="A2525" t="s">
        <v>26</v>
      </c>
      <c r="B2525" t="s">
        <v>5933</v>
      </c>
      <c r="C2525">
        <v>26807.76953125</v>
      </c>
      <c r="D2525">
        <v>27030.482421875</v>
      </c>
      <c r="E2525">
        <v>26710.873046875</v>
      </c>
      <c r="F2525">
        <v>26784.078125</v>
      </c>
      <c r="G2525">
        <v>26784.078125</v>
      </c>
      <c r="H2525">
        <v>9999171605</v>
      </c>
      <c r="I2525" t="s">
        <v>5932</v>
      </c>
      <c r="J2525" t="s">
        <v>5934</v>
      </c>
      <c r="K2525" t="s">
        <v>4634</v>
      </c>
    </row>
    <row r="2526" spans="1:11" ht="20" customHeight="1">
      <c r="A2526" t="s">
        <v>26</v>
      </c>
      <c r="B2526" t="s">
        <v>5935</v>
      </c>
      <c r="C2526">
        <v>26788.974609375</v>
      </c>
      <c r="D2526">
        <v>27150.9765625</v>
      </c>
      <c r="E2526">
        <v>26661.35546875</v>
      </c>
      <c r="F2526">
        <v>26930.638671875</v>
      </c>
      <c r="G2526">
        <v>26930.638671875</v>
      </c>
      <c r="H2526">
        <v>10014858959</v>
      </c>
      <c r="I2526" t="s">
        <v>5934</v>
      </c>
      <c r="J2526" t="s">
        <v>5936</v>
      </c>
      <c r="K2526" t="s">
        <v>4634</v>
      </c>
    </row>
    <row r="2527" spans="1:11" ht="20" customHeight="1">
      <c r="A2527" t="s">
        <v>26</v>
      </c>
      <c r="B2527" t="s">
        <v>2094</v>
      </c>
      <c r="C2527">
        <v>26931.384765625</v>
      </c>
      <c r="D2527">
        <v>27646.34765625</v>
      </c>
      <c r="E2527">
        <v>26766.09765625</v>
      </c>
      <c r="F2527">
        <v>27192.693359375</v>
      </c>
      <c r="G2527">
        <v>27192.693359375</v>
      </c>
      <c r="H2527">
        <v>14413231792</v>
      </c>
      <c r="I2527" t="s">
        <v>5936</v>
      </c>
      <c r="J2527" t="s">
        <v>5937</v>
      </c>
      <c r="K2527" t="s">
        <v>4634</v>
      </c>
    </row>
    <row r="2528" spans="1:11" ht="20" customHeight="1">
      <c r="A2528" t="s">
        <v>26</v>
      </c>
      <c r="B2528" t="s">
        <v>2097</v>
      </c>
      <c r="C2528">
        <v>27171.513671875</v>
      </c>
      <c r="D2528">
        <v>27299.3046875</v>
      </c>
      <c r="E2528">
        <v>26878.947265625</v>
      </c>
      <c r="F2528">
        <v>27036.650390625</v>
      </c>
      <c r="G2528">
        <v>27036.650390625</v>
      </c>
      <c r="H2528">
        <v>12732238816</v>
      </c>
      <c r="I2528" t="s">
        <v>5937</v>
      </c>
      <c r="J2528" t="s">
        <v>5938</v>
      </c>
      <c r="K2528" t="s">
        <v>4634</v>
      </c>
    </row>
    <row r="2529" spans="1:11" ht="20" customHeight="1">
      <c r="A2529" t="s">
        <v>26</v>
      </c>
      <c r="B2529" t="s">
        <v>2100</v>
      </c>
      <c r="C2529">
        <v>27035.470703125</v>
      </c>
      <c r="D2529">
        <v>27465.927734375</v>
      </c>
      <c r="E2529">
        <v>26600.14453125</v>
      </c>
      <c r="F2529">
        <v>27398.802734375</v>
      </c>
      <c r="G2529">
        <v>27398.802734375</v>
      </c>
      <c r="H2529">
        <v>15140006925</v>
      </c>
      <c r="I2529" t="s">
        <v>5938</v>
      </c>
      <c r="J2529" t="s">
        <v>5939</v>
      </c>
      <c r="K2529" t="s">
        <v>4634</v>
      </c>
    </row>
    <row r="2530" spans="1:11" ht="20" customHeight="1">
      <c r="A2530" t="s">
        <v>26</v>
      </c>
      <c r="B2530" t="s">
        <v>2103</v>
      </c>
      <c r="C2530">
        <v>27401.650390625</v>
      </c>
      <c r="D2530">
        <v>27466.52734375</v>
      </c>
      <c r="E2530">
        <v>26415.1015625</v>
      </c>
      <c r="F2530">
        <v>26832.208984375</v>
      </c>
      <c r="G2530">
        <v>26832.208984375</v>
      </c>
      <c r="H2530">
        <v>15222938600</v>
      </c>
      <c r="I2530" t="s">
        <v>5939</v>
      </c>
      <c r="J2530" t="s">
        <v>5940</v>
      </c>
      <c r="K2530" t="s">
        <v>4634</v>
      </c>
    </row>
    <row r="2531" spans="1:11" ht="20" customHeight="1">
      <c r="A2531" t="s">
        <v>26</v>
      </c>
      <c r="B2531" t="s">
        <v>2106</v>
      </c>
      <c r="C2531">
        <v>26826.75390625</v>
      </c>
      <c r="D2531">
        <v>27128.619140625</v>
      </c>
      <c r="E2531">
        <v>26700.2109375</v>
      </c>
      <c r="F2531">
        <v>26890.12890625</v>
      </c>
      <c r="G2531">
        <v>26890.12890625</v>
      </c>
      <c r="H2531">
        <v>11258983301</v>
      </c>
      <c r="I2531" t="s">
        <v>5940</v>
      </c>
      <c r="J2531" t="s">
        <v>5941</v>
      </c>
      <c r="K2531" t="s">
        <v>4634</v>
      </c>
    </row>
    <row r="2532" spans="1:11" ht="20" customHeight="1">
      <c r="A2532" t="s">
        <v>26</v>
      </c>
      <c r="B2532" t="s">
        <v>5942</v>
      </c>
      <c r="C2532">
        <v>26888.841796875</v>
      </c>
      <c r="D2532">
        <v>27155.158203125</v>
      </c>
      <c r="E2532">
        <v>26843.27734375</v>
      </c>
      <c r="F2532">
        <v>27129.5859375</v>
      </c>
      <c r="G2532">
        <v>27129.5859375</v>
      </c>
      <c r="H2532">
        <v>7044911360</v>
      </c>
      <c r="I2532" t="s">
        <v>5941</v>
      </c>
      <c r="J2532" t="s">
        <v>5943</v>
      </c>
      <c r="K2532" t="s">
        <v>4634</v>
      </c>
    </row>
    <row r="2533" spans="1:11" ht="20" customHeight="1">
      <c r="A2533" t="s">
        <v>26</v>
      </c>
      <c r="B2533" t="s">
        <v>5944</v>
      </c>
      <c r="C2533">
        <v>27118.423828125</v>
      </c>
      <c r="D2533">
        <v>27265.91796875</v>
      </c>
      <c r="E2533">
        <v>26706.921875</v>
      </c>
      <c r="F2533">
        <v>26753.826171875</v>
      </c>
      <c r="G2533">
        <v>26753.826171875</v>
      </c>
      <c r="H2533">
        <v>8647416921</v>
      </c>
      <c r="I2533" t="s">
        <v>5943</v>
      </c>
      <c r="J2533" t="s">
        <v>5945</v>
      </c>
      <c r="K2533" t="s">
        <v>4634</v>
      </c>
    </row>
    <row r="2534" spans="1:11" ht="20" customHeight="1">
      <c r="A2534" t="s">
        <v>26</v>
      </c>
      <c r="B2534" t="s">
        <v>2109</v>
      </c>
      <c r="C2534">
        <v>26749.892578125</v>
      </c>
      <c r="D2534">
        <v>27045.734375</v>
      </c>
      <c r="E2534">
        <v>26549.734375</v>
      </c>
      <c r="F2534">
        <v>26851.27734375</v>
      </c>
      <c r="G2534">
        <v>26851.27734375</v>
      </c>
      <c r="H2534">
        <v>11056770492</v>
      </c>
      <c r="I2534" t="s">
        <v>5945</v>
      </c>
      <c r="J2534" t="s">
        <v>5946</v>
      </c>
      <c r="K2534" t="s">
        <v>4634</v>
      </c>
    </row>
    <row r="2535" spans="1:11" ht="20" customHeight="1">
      <c r="A2535" t="s">
        <v>26</v>
      </c>
      <c r="B2535" t="s">
        <v>2112</v>
      </c>
      <c r="C2535">
        <v>26855.9609375</v>
      </c>
      <c r="D2535">
        <v>27434.68359375</v>
      </c>
      <c r="E2535">
        <v>26816.1796875</v>
      </c>
      <c r="F2535">
        <v>27225.7265625</v>
      </c>
      <c r="G2535">
        <v>27225.7265625</v>
      </c>
      <c r="H2535">
        <v>13697203143</v>
      </c>
      <c r="I2535" t="s">
        <v>5946</v>
      </c>
      <c r="J2535" t="s">
        <v>5947</v>
      </c>
      <c r="K2535" t="s">
        <v>4634</v>
      </c>
    </row>
    <row r="2536" spans="1:11" ht="20" customHeight="1">
      <c r="A2536" t="s">
        <v>26</v>
      </c>
      <c r="B2536" t="s">
        <v>2115</v>
      </c>
      <c r="C2536">
        <v>27224.603515625</v>
      </c>
      <c r="D2536">
        <v>27224.603515625</v>
      </c>
      <c r="E2536">
        <v>26106.576171875</v>
      </c>
      <c r="F2536">
        <v>26334.818359375</v>
      </c>
      <c r="G2536">
        <v>26334.818359375</v>
      </c>
      <c r="H2536">
        <v>16299104428</v>
      </c>
      <c r="I2536" t="s">
        <v>5947</v>
      </c>
      <c r="J2536" t="s">
        <v>5948</v>
      </c>
      <c r="K2536" t="s">
        <v>4634</v>
      </c>
    </row>
    <row r="2537" spans="1:11" ht="20" customHeight="1">
      <c r="A2537" t="s">
        <v>26</v>
      </c>
      <c r="B2537" t="s">
        <v>2118</v>
      </c>
      <c r="C2537">
        <v>26329.4609375</v>
      </c>
      <c r="D2537">
        <v>26591.51953125</v>
      </c>
      <c r="E2537">
        <v>25890.59375</v>
      </c>
      <c r="F2537">
        <v>26476.20703125</v>
      </c>
      <c r="G2537">
        <v>26476.20703125</v>
      </c>
      <c r="H2537">
        <v>13851122697</v>
      </c>
      <c r="I2537" t="s">
        <v>5948</v>
      </c>
      <c r="J2537" t="s">
        <v>5949</v>
      </c>
      <c r="K2537" t="s">
        <v>4634</v>
      </c>
    </row>
    <row r="2538" spans="1:11" ht="20" customHeight="1">
      <c r="A2538" t="s">
        <v>26</v>
      </c>
      <c r="B2538" t="s">
        <v>2121</v>
      </c>
      <c r="C2538">
        <v>26474.181640625</v>
      </c>
      <c r="D2538">
        <v>26916.669921875</v>
      </c>
      <c r="E2538">
        <v>26343.94921875</v>
      </c>
      <c r="F2538">
        <v>26719.291015625</v>
      </c>
      <c r="G2538">
        <v>26719.291015625</v>
      </c>
      <c r="H2538">
        <v>12711619225</v>
      </c>
      <c r="I2538" t="s">
        <v>5949</v>
      </c>
      <c r="J2538" t="s">
        <v>5950</v>
      </c>
      <c r="K2538" t="s">
        <v>4634</v>
      </c>
    </row>
    <row r="2539" spans="1:11" ht="20" customHeight="1">
      <c r="A2539" t="s">
        <v>26</v>
      </c>
      <c r="B2539" t="s">
        <v>5951</v>
      </c>
      <c r="C2539">
        <v>26720.181640625</v>
      </c>
      <c r="D2539">
        <v>26888.8828125</v>
      </c>
      <c r="E2539">
        <v>26621.140625</v>
      </c>
      <c r="F2539">
        <v>26868.353515625</v>
      </c>
      <c r="G2539">
        <v>26868.353515625</v>
      </c>
      <c r="H2539">
        <v>7892015141</v>
      </c>
      <c r="I2539" t="s">
        <v>5950</v>
      </c>
      <c r="J2539" t="s">
        <v>5952</v>
      </c>
      <c r="K2539" t="s">
        <v>4634</v>
      </c>
    </row>
    <row r="2540" spans="1:11" ht="20" customHeight="1">
      <c r="A2540" t="s">
        <v>26</v>
      </c>
      <c r="B2540" t="s">
        <v>5953</v>
      </c>
      <c r="C2540">
        <v>26871.158203125</v>
      </c>
      <c r="D2540">
        <v>28193.44921875</v>
      </c>
      <c r="E2540">
        <v>26802.751953125</v>
      </c>
      <c r="F2540">
        <v>28085.646484375</v>
      </c>
      <c r="G2540">
        <v>28085.646484375</v>
      </c>
      <c r="H2540">
        <v>14545229578</v>
      </c>
      <c r="I2540" t="s">
        <v>5952</v>
      </c>
      <c r="J2540" t="s">
        <v>5954</v>
      </c>
      <c r="K2540" t="s">
        <v>4634</v>
      </c>
    </row>
    <row r="2541" spans="1:11" ht="20" customHeight="1">
      <c r="A2541" t="s">
        <v>26</v>
      </c>
      <c r="B2541" t="s">
        <v>5955</v>
      </c>
      <c r="C2541">
        <v>28075.591796875</v>
      </c>
      <c r="D2541">
        <v>28432.0390625</v>
      </c>
      <c r="E2541">
        <v>27563.876953125</v>
      </c>
      <c r="F2541">
        <v>27745.884765625</v>
      </c>
      <c r="G2541">
        <v>27745.884765625</v>
      </c>
      <c r="H2541">
        <v>15181308984</v>
      </c>
      <c r="I2541" t="s">
        <v>5954</v>
      </c>
      <c r="J2541" t="s">
        <v>5956</v>
      </c>
      <c r="K2541" t="s">
        <v>4634</v>
      </c>
    </row>
    <row r="2542" spans="1:11" ht="20" customHeight="1">
      <c r="A2542" t="s">
        <v>26</v>
      </c>
      <c r="B2542" t="s">
        <v>2124</v>
      </c>
      <c r="C2542">
        <v>27745.123046875</v>
      </c>
      <c r="D2542">
        <v>28044.759765625</v>
      </c>
      <c r="E2542">
        <v>27588.501953125</v>
      </c>
      <c r="F2542">
        <v>27702.349609375</v>
      </c>
      <c r="G2542">
        <v>27702.349609375</v>
      </c>
      <c r="H2542">
        <v>13251081851</v>
      </c>
      <c r="I2542" t="s">
        <v>5956</v>
      </c>
      <c r="J2542" t="s">
        <v>5957</v>
      </c>
      <c r="K2542" t="s">
        <v>4634</v>
      </c>
    </row>
    <row r="2543" spans="1:11" ht="20" customHeight="1">
      <c r="A2543" t="s">
        <v>26</v>
      </c>
      <c r="B2543" t="s">
        <v>2127</v>
      </c>
      <c r="C2543">
        <v>27700.529296875</v>
      </c>
      <c r="D2543">
        <v>27831.677734375</v>
      </c>
      <c r="E2543">
        <v>26866.453125</v>
      </c>
      <c r="F2543">
        <v>27219.658203125</v>
      </c>
      <c r="G2543">
        <v>27219.658203125</v>
      </c>
      <c r="H2543">
        <v>15656371534</v>
      </c>
      <c r="I2543" t="s">
        <v>5957</v>
      </c>
      <c r="J2543" t="s">
        <v>5958</v>
      </c>
      <c r="K2543" t="s">
        <v>4634</v>
      </c>
    </row>
    <row r="2544" spans="1:11" ht="20" customHeight="1">
      <c r="A2544" t="s">
        <v>26</v>
      </c>
      <c r="B2544" t="s">
        <v>2130</v>
      </c>
      <c r="C2544">
        <v>27218.412109375</v>
      </c>
      <c r="D2544">
        <v>27346.10546875</v>
      </c>
      <c r="E2544">
        <v>26671.720703125</v>
      </c>
      <c r="F2544">
        <v>26819.97265625</v>
      </c>
      <c r="G2544">
        <v>26819.97265625</v>
      </c>
      <c r="H2544">
        <v>14678970415</v>
      </c>
      <c r="I2544" t="s">
        <v>5958</v>
      </c>
      <c r="J2544" t="s">
        <v>5959</v>
      </c>
      <c r="K2544" t="s">
        <v>4634</v>
      </c>
    </row>
    <row r="2545" spans="1:11" ht="20" customHeight="1">
      <c r="A2545" t="s">
        <v>26</v>
      </c>
      <c r="B2545" t="s">
        <v>2133</v>
      </c>
      <c r="C2545">
        <v>26824.556640625</v>
      </c>
      <c r="D2545">
        <v>27303.861328125</v>
      </c>
      <c r="E2545">
        <v>26574.64453125</v>
      </c>
      <c r="F2545">
        <v>27249.58984375</v>
      </c>
      <c r="G2545">
        <v>27249.58984375</v>
      </c>
      <c r="H2545">
        <v>14837415000</v>
      </c>
      <c r="I2545" t="s">
        <v>5959</v>
      </c>
      <c r="J2545" t="s">
        <v>5960</v>
      </c>
      <c r="K2545" t="s">
        <v>4634</v>
      </c>
    </row>
    <row r="2546" spans="1:11" ht="20" customHeight="1">
      <c r="A2546" t="s">
        <v>26</v>
      </c>
      <c r="B2546" t="s">
        <v>5961</v>
      </c>
      <c r="C2546">
        <v>27252.32421875</v>
      </c>
      <c r="D2546">
        <v>27317.052734375</v>
      </c>
      <c r="E2546">
        <v>26958.00390625</v>
      </c>
      <c r="F2546">
        <v>27075.12890625</v>
      </c>
      <c r="G2546">
        <v>27075.12890625</v>
      </c>
      <c r="H2546">
        <v>8385597470</v>
      </c>
      <c r="I2546" t="s">
        <v>5960</v>
      </c>
      <c r="J2546" t="s">
        <v>5962</v>
      </c>
      <c r="K2546" t="s">
        <v>4634</v>
      </c>
    </row>
    <row r="2547" spans="1:11" ht="20" customHeight="1">
      <c r="A2547" t="s">
        <v>26</v>
      </c>
      <c r="B2547" t="s">
        <v>5963</v>
      </c>
      <c r="C2547">
        <v>27075.123046875</v>
      </c>
      <c r="D2547">
        <v>27407.01953125</v>
      </c>
      <c r="E2547">
        <v>26968.224609375</v>
      </c>
      <c r="F2547">
        <v>27119.06640625</v>
      </c>
      <c r="G2547">
        <v>27119.06640625</v>
      </c>
      <c r="H2547">
        <v>9360912318</v>
      </c>
      <c r="I2547" t="s">
        <v>5962</v>
      </c>
      <c r="J2547" t="s">
        <v>5964</v>
      </c>
      <c r="K2547" t="s">
        <v>4634</v>
      </c>
    </row>
    <row r="2548" spans="1:11" ht="20" customHeight="1">
      <c r="A2548" t="s">
        <v>26</v>
      </c>
      <c r="B2548" t="s">
        <v>2136</v>
      </c>
      <c r="C2548">
        <v>27123.109375</v>
      </c>
      <c r="D2548">
        <v>27129.982421875</v>
      </c>
      <c r="E2548">
        <v>25445.16796875</v>
      </c>
      <c r="F2548">
        <v>25760.09765625</v>
      </c>
      <c r="G2548">
        <v>25760.09765625</v>
      </c>
      <c r="H2548">
        <v>21513292646</v>
      </c>
      <c r="I2548" t="s">
        <v>5964</v>
      </c>
      <c r="J2548" t="s">
        <v>5965</v>
      </c>
      <c r="K2548" t="s">
        <v>4634</v>
      </c>
    </row>
    <row r="2549" spans="1:11" ht="20" customHeight="1">
      <c r="A2549" t="s">
        <v>26</v>
      </c>
      <c r="B2549" t="s">
        <v>2139</v>
      </c>
      <c r="C2549">
        <v>25732.109375</v>
      </c>
      <c r="D2549">
        <v>27313.8203125</v>
      </c>
      <c r="E2549">
        <v>25434.8671875</v>
      </c>
      <c r="F2549">
        <v>27238.783203125</v>
      </c>
      <c r="G2549">
        <v>27238.783203125</v>
      </c>
      <c r="H2549">
        <v>21929670693</v>
      </c>
      <c r="I2549" t="s">
        <v>5965</v>
      </c>
      <c r="J2549" t="s">
        <v>5966</v>
      </c>
      <c r="K2549" t="s">
        <v>4634</v>
      </c>
    </row>
    <row r="2550" spans="1:11" ht="20" customHeight="1">
      <c r="A2550" t="s">
        <v>26</v>
      </c>
      <c r="B2550" t="s">
        <v>2142</v>
      </c>
      <c r="C2550">
        <v>27235.650390625</v>
      </c>
      <c r="D2550">
        <v>27332.181640625</v>
      </c>
      <c r="E2550">
        <v>26146.98828125</v>
      </c>
      <c r="F2550">
        <v>26345.998046875</v>
      </c>
      <c r="G2550">
        <v>26345.998046875</v>
      </c>
      <c r="H2550">
        <v>19530045082</v>
      </c>
      <c r="I2550" t="s">
        <v>5966</v>
      </c>
      <c r="J2550" t="s">
        <v>5967</v>
      </c>
      <c r="K2550" t="s">
        <v>4634</v>
      </c>
    </row>
    <row r="2551" spans="1:11" ht="20" customHeight="1">
      <c r="A2551" t="s">
        <v>26</v>
      </c>
      <c r="B2551" t="s">
        <v>2145</v>
      </c>
      <c r="C2551">
        <v>26347.654296875</v>
      </c>
      <c r="D2551">
        <v>26797.513671875</v>
      </c>
      <c r="E2551">
        <v>26246.6640625</v>
      </c>
      <c r="F2551">
        <v>26508.216796875</v>
      </c>
      <c r="G2551">
        <v>26508.216796875</v>
      </c>
      <c r="H2551">
        <v>11904824295</v>
      </c>
      <c r="I2551" t="s">
        <v>5967</v>
      </c>
      <c r="J2551" t="s">
        <v>5968</v>
      </c>
      <c r="K2551" t="s">
        <v>4634</v>
      </c>
    </row>
    <row r="2552" spans="1:11" ht="20" customHeight="1">
      <c r="A2552" t="s">
        <v>26</v>
      </c>
      <c r="B2552" t="s">
        <v>2148</v>
      </c>
      <c r="C2552">
        <v>26505.923828125</v>
      </c>
      <c r="D2552">
        <v>26770.2890625</v>
      </c>
      <c r="E2552">
        <v>26339.314453125</v>
      </c>
      <c r="F2552">
        <v>26480.375</v>
      </c>
      <c r="G2552">
        <v>26480.375</v>
      </c>
      <c r="H2552">
        <v>11015551640</v>
      </c>
      <c r="I2552" t="s">
        <v>5968</v>
      </c>
      <c r="J2552" t="s">
        <v>5969</v>
      </c>
      <c r="K2552" t="s">
        <v>4634</v>
      </c>
    </row>
    <row r="2553" spans="1:11" ht="20" customHeight="1">
      <c r="A2553" t="s">
        <v>26</v>
      </c>
      <c r="B2553" t="s">
        <v>5970</v>
      </c>
      <c r="C2553">
        <v>26481.76171875</v>
      </c>
      <c r="D2553">
        <v>26531.044921875</v>
      </c>
      <c r="E2553">
        <v>25501.8359375</v>
      </c>
      <c r="F2553">
        <v>25851.240234375</v>
      </c>
      <c r="G2553">
        <v>25851.240234375</v>
      </c>
      <c r="H2553">
        <v>19872933189</v>
      </c>
      <c r="I2553" t="s">
        <v>5969</v>
      </c>
      <c r="J2553" t="s">
        <v>5971</v>
      </c>
      <c r="K2553" t="s">
        <v>4634</v>
      </c>
    </row>
    <row r="2554" spans="1:11" ht="20" customHeight="1">
      <c r="A2554" t="s">
        <v>26</v>
      </c>
      <c r="B2554" t="s">
        <v>5972</v>
      </c>
      <c r="C2554">
        <v>25854.03125</v>
      </c>
      <c r="D2554">
        <v>26203.439453125</v>
      </c>
      <c r="E2554">
        <v>25668.986328125</v>
      </c>
      <c r="F2554">
        <v>25940.16796875</v>
      </c>
      <c r="G2554">
        <v>25940.16796875</v>
      </c>
      <c r="H2554">
        <v>10732609603</v>
      </c>
      <c r="I2554" t="s">
        <v>5971</v>
      </c>
      <c r="J2554" t="s">
        <v>5973</v>
      </c>
      <c r="K2554" t="s">
        <v>4634</v>
      </c>
    </row>
    <row r="2555" spans="1:11" ht="20" customHeight="1">
      <c r="A2555" t="s">
        <v>26</v>
      </c>
      <c r="B2555" t="s">
        <v>2151</v>
      </c>
      <c r="C2555">
        <v>25934.28515625</v>
      </c>
      <c r="D2555">
        <v>26087.919921875</v>
      </c>
      <c r="E2555">
        <v>25675.197265625</v>
      </c>
      <c r="F2555">
        <v>25902.5</v>
      </c>
      <c r="G2555">
        <v>25902.5</v>
      </c>
      <c r="H2555">
        <v>11677889997</v>
      </c>
      <c r="I2555" t="s">
        <v>5973</v>
      </c>
      <c r="J2555" t="s">
        <v>5974</v>
      </c>
      <c r="K2555" t="s">
        <v>4634</v>
      </c>
    </row>
    <row r="2556" spans="1:11" ht="20" customHeight="1">
      <c r="A2556" t="s">
        <v>26</v>
      </c>
      <c r="B2556" t="s">
        <v>2154</v>
      </c>
      <c r="C2556">
        <v>25902.94140625</v>
      </c>
      <c r="D2556">
        <v>26376.3515625</v>
      </c>
      <c r="E2556">
        <v>25728.365234375</v>
      </c>
      <c r="F2556">
        <v>25918.728515625</v>
      </c>
      <c r="G2556">
        <v>25918.728515625</v>
      </c>
      <c r="H2556">
        <v>14143474486</v>
      </c>
      <c r="I2556" t="s">
        <v>5974</v>
      </c>
      <c r="J2556" t="s">
        <v>5975</v>
      </c>
      <c r="K2556" t="s">
        <v>4634</v>
      </c>
    </row>
    <row r="2557" spans="1:11" ht="20" customHeight="1">
      <c r="A2557" t="s">
        <v>26</v>
      </c>
      <c r="B2557" t="s">
        <v>2157</v>
      </c>
      <c r="C2557">
        <v>25920.2578125</v>
      </c>
      <c r="D2557">
        <v>26041.80078125</v>
      </c>
      <c r="E2557">
        <v>24902.15234375</v>
      </c>
      <c r="F2557">
        <v>25124.67578125</v>
      </c>
      <c r="G2557">
        <v>25124.67578125</v>
      </c>
      <c r="H2557">
        <v>14265717766</v>
      </c>
      <c r="I2557" t="s">
        <v>5975</v>
      </c>
      <c r="J2557" t="s">
        <v>5976</v>
      </c>
      <c r="K2557" t="s">
        <v>4634</v>
      </c>
    </row>
    <row r="2558" spans="1:11" ht="20" customHeight="1">
      <c r="A2558" t="s">
        <v>26</v>
      </c>
      <c r="B2558" t="s">
        <v>2160</v>
      </c>
      <c r="C2558">
        <v>25121.673828125</v>
      </c>
      <c r="D2558">
        <v>25735.30859375</v>
      </c>
      <c r="E2558">
        <v>24797.16796875</v>
      </c>
      <c r="F2558">
        <v>25576.39453125</v>
      </c>
      <c r="G2558">
        <v>25576.39453125</v>
      </c>
      <c r="H2558">
        <v>15837384409</v>
      </c>
      <c r="I2558" t="s">
        <v>5976</v>
      </c>
      <c r="J2558" t="s">
        <v>5977</v>
      </c>
      <c r="K2558" t="s">
        <v>4634</v>
      </c>
    </row>
    <row r="2559" spans="1:11" ht="20" customHeight="1">
      <c r="A2559" t="s">
        <v>26</v>
      </c>
      <c r="B2559" t="s">
        <v>2163</v>
      </c>
      <c r="C2559">
        <v>25575.283203125</v>
      </c>
      <c r="D2559">
        <v>26463.173828125</v>
      </c>
      <c r="E2559">
        <v>25245.357421875</v>
      </c>
      <c r="F2559">
        <v>26327.462890625</v>
      </c>
      <c r="G2559">
        <v>26327.462890625</v>
      </c>
      <c r="H2559">
        <v>16324646965</v>
      </c>
      <c r="I2559" t="s">
        <v>5977</v>
      </c>
      <c r="J2559" t="s">
        <v>5978</v>
      </c>
      <c r="K2559" t="s">
        <v>4634</v>
      </c>
    </row>
    <row r="2560" spans="1:11" ht="20" customHeight="1">
      <c r="A2560" t="s">
        <v>26</v>
      </c>
      <c r="B2560" t="s">
        <v>5979</v>
      </c>
      <c r="C2560">
        <v>26328.6796875</v>
      </c>
      <c r="D2560">
        <v>26769.39453125</v>
      </c>
      <c r="E2560">
        <v>26174.4921875</v>
      </c>
      <c r="F2560">
        <v>26510.67578125</v>
      </c>
      <c r="G2560">
        <v>26510.67578125</v>
      </c>
      <c r="H2560">
        <v>11090276850</v>
      </c>
      <c r="I2560" t="s">
        <v>5978</v>
      </c>
      <c r="J2560" t="s">
        <v>5980</v>
      </c>
      <c r="K2560" t="s">
        <v>4634</v>
      </c>
    </row>
    <row r="2561" spans="1:11" ht="20" customHeight="1">
      <c r="A2561" t="s">
        <v>26</v>
      </c>
      <c r="B2561" t="s">
        <v>5981</v>
      </c>
      <c r="C2561">
        <v>26510.45703125</v>
      </c>
      <c r="D2561">
        <v>26675.92578125</v>
      </c>
      <c r="E2561">
        <v>26325.890625</v>
      </c>
      <c r="F2561">
        <v>26336.212890625</v>
      </c>
      <c r="G2561">
        <v>26336.212890625</v>
      </c>
      <c r="H2561">
        <v>9565695129</v>
      </c>
      <c r="I2561" t="s">
        <v>5980</v>
      </c>
      <c r="J2561" t="s">
        <v>5982</v>
      </c>
      <c r="K2561" t="s">
        <v>4634</v>
      </c>
    </row>
    <row r="2562" spans="1:11" ht="20" customHeight="1">
      <c r="A2562" t="s">
        <v>26</v>
      </c>
      <c r="B2562" t="s">
        <v>5983</v>
      </c>
      <c r="C2562">
        <v>26335.44140625</v>
      </c>
      <c r="D2562">
        <v>26984.611328125</v>
      </c>
      <c r="E2562">
        <v>26312.83203125</v>
      </c>
      <c r="F2562">
        <v>26851.029296875</v>
      </c>
      <c r="G2562">
        <v>26851.029296875</v>
      </c>
      <c r="H2562">
        <v>12826986222</v>
      </c>
      <c r="I2562" t="s">
        <v>5982</v>
      </c>
      <c r="J2562" t="s">
        <v>5984</v>
      </c>
      <c r="K2562" t="s">
        <v>4634</v>
      </c>
    </row>
    <row r="2563" spans="1:11" ht="20" customHeight="1">
      <c r="A2563" t="s">
        <v>26</v>
      </c>
      <c r="B2563" t="s">
        <v>2166</v>
      </c>
      <c r="C2563">
        <v>26841.6640625</v>
      </c>
      <c r="D2563">
        <v>28388.96875</v>
      </c>
      <c r="E2563">
        <v>26668.791015625</v>
      </c>
      <c r="F2563">
        <v>28327.48828125</v>
      </c>
      <c r="G2563">
        <v>28327.48828125</v>
      </c>
      <c r="H2563">
        <v>22211859147</v>
      </c>
      <c r="I2563" t="s">
        <v>5984</v>
      </c>
      <c r="J2563" t="s">
        <v>5985</v>
      </c>
      <c r="K2563" t="s">
        <v>4634</v>
      </c>
    </row>
    <row r="2564" spans="1:11" ht="20" customHeight="1">
      <c r="A2564" t="s">
        <v>26</v>
      </c>
      <c r="B2564" t="s">
        <v>2169</v>
      </c>
      <c r="C2564">
        <v>28311.310546875</v>
      </c>
      <c r="D2564">
        <v>30737.330078125</v>
      </c>
      <c r="E2564">
        <v>28283.41015625</v>
      </c>
      <c r="F2564">
        <v>30027.296875</v>
      </c>
      <c r="G2564">
        <v>30027.296875</v>
      </c>
      <c r="H2564">
        <v>33346760979</v>
      </c>
      <c r="I2564" t="s">
        <v>5985</v>
      </c>
      <c r="J2564" t="s">
        <v>5986</v>
      </c>
      <c r="K2564" t="s">
        <v>4634</v>
      </c>
    </row>
    <row r="2565" spans="1:11" ht="20" customHeight="1">
      <c r="A2565" t="s">
        <v>26</v>
      </c>
      <c r="B2565" t="s">
        <v>2172</v>
      </c>
      <c r="C2565">
        <v>29995.935546875</v>
      </c>
      <c r="D2565">
        <v>30495.998046875</v>
      </c>
      <c r="E2565">
        <v>29679.158203125</v>
      </c>
      <c r="F2565">
        <v>29912.28125</v>
      </c>
      <c r="G2565">
        <v>29912.28125</v>
      </c>
      <c r="H2565">
        <v>20653160491</v>
      </c>
      <c r="I2565" t="s">
        <v>5986</v>
      </c>
      <c r="J2565" t="s">
        <v>5987</v>
      </c>
      <c r="K2565" t="s">
        <v>4634</v>
      </c>
    </row>
    <row r="2566" spans="1:11" ht="20" customHeight="1">
      <c r="A2566" t="s">
        <v>26</v>
      </c>
      <c r="B2566" t="s">
        <v>2175</v>
      </c>
      <c r="C2566">
        <v>29896.3828125</v>
      </c>
      <c r="D2566">
        <v>31389.5390625</v>
      </c>
      <c r="E2566">
        <v>29845.21484375</v>
      </c>
      <c r="F2566">
        <v>30695.46875</v>
      </c>
      <c r="G2566">
        <v>30695.46875</v>
      </c>
      <c r="H2566">
        <v>24115570085</v>
      </c>
      <c r="I2566" t="s">
        <v>5987</v>
      </c>
      <c r="J2566" t="s">
        <v>5988</v>
      </c>
      <c r="K2566" t="s">
        <v>4634</v>
      </c>
    </row>
    <row r="2567" spans="1:11" ht="20" customHeight="1">
      <c r="A2567" t="s">
        <v>26</v>
      </c>
      <c r="B2567" t="s">
        <v>5989</v>
      </c>
      <c r="C2567">
        <v>30708.73828125</v>
      </c>
      <c r="D2567">
        <v>30804.1484375</v>
      </c>
      <c r="E2567">
        <v>30290.146484375</v>
      </c>
      <c r="F2567">
        <v>30548.6953125</v>
      </c>
      <c r="G2567">
        <v>30548.6953125</v>
      </c>
      <c r="H2567">
        <v>12147822496</v>
      </c>
      <c r="I2567" t="s">
        <v>5988</v>
      </c>
      <c r="J2567" t="s">
        <v>5990</v>
      </c>
      <c r="K2567" t="s">
        <v>4634</v>
      </c>
    </row>
    <row r="2568" spans="1:11" ht="20" customHeight="1">
      <c r="A2568" t="s">
        <v>26</v>
      </c>
      <c r="B2568" t="s">
        <v>5991</v>
      </c>
      <c r="C2568">
        <v>30545.150390625</v>
      </c>
      <c r="D2568">
        <v>31041.271484375</v>
      </c>
      <c r="E2568">
        <v>30327.943359375</v>
      </c>
      <c r="F2568">
        <v>30480.26171875</v>
      </c>
      <c r="G2568">
        <v>30480.26171875</v>
      </c>
      <c r="H2568">
        <v>12703464114</v>
      </c>
      <c r="I2568" t="s">
        <v>5990</v>
      </c>
      <c r="J2568" t="s">
        <v>5992</v>
      </c>
      <c r="K2568" t="s">
        <v>4634</v>
      </c>
    </row>
    <row r="2569" spans="1:11" ht="20" customHeight="1">
      <c r="A2569" t="s">
        <v>26</v>
      </c>
      <c r="B2569" t="s">
        <v>2178</v>
      </c>
      <c r="C2569">
        <v>30480.5234375</v>
      </c>
      <c r="D2569">
        <v>30636.029296875</v>
      </c>
      <c r="E2569">
        <v>29955.744140625</v>
      </c>
      <c r="F2569">
        <v>30271.130859375</v>
      </c>
      <c r="G2569">
        <v>30271.130859375</v>
      </c>
      <c r="H2569">
        <v>16493186997</v>
      </c>
      <c r="I2569" t="s">
        <v>5992</v>
      </c>
      <c r="J2569" t="s">
        <v>5993</v>
      </c>
      <c r="K2569" t="s">
        <v>4634</v>
      </c>
    </row>
    <row r="2570" spans="1:11" ht="20" customHeight="1">
      <c r="A2570" t="s">
        <v>26</v>
      </c>
      <c r="B2570" t="s">
        <v>2181</v>
      </c>
      <c r="C2570">
        <v>30274.3203125</v>
      </c>
      <c r="D2570">
        <v>31006.787109375</v>
      </c>
      <c r="E2570">
        <v>30236.650390625</v>
      </c>
      <c r="F2570">
        <v>30688.1640625</v>
      </c>
      <c r="G2570">
        <v>30688.1640625</v>
      </c>
      <c r="H2570">
        <v>16428827944</v>
      </c>
      <c r="I2570" t="s">
        <v>5993</v>
      </c>
      <c r="J2570" t="s">
        <v>5994</v>
      </c>
      <c r="K2570" t="s">
        <v>4634</v>
      </c>
    </row>
    <row r="2571" spans="1:11" ht="20" customHeight="1">
      <c r="A2571" t="s">
        <v>26</v>
      </c>
      <c r="B2571" t="s">
        <v>2184</v>
      </c>
      <c r="C2571">
        <v>30696.560546875</v>
      </c>
      <c r="D2571">
        <v>30703.279296875</v>
      </c>
      <c r="E2571">
        <v>29921.822265625</v>
      </c>
      <c r="F2571">
        <v>30086.24609375</v>
      </c>
      <c r="G2571">
        <v>30086.24609375</v>
      </c>
      <c r="H2571">
        <v>14571500779</v>
      </c>
      <c r="I2571" t="s">
        <v>5994</v>
      </c>
      <c r="J2571" t="s">
        <v>5995</v>
      </c>
      <c r="K2571" t="s">
        <v>4634</v>
      </c>
    </row>
    <row r="2572" spans="1:11" ht="20" customHeight="1">
      <c r="A2572" t="s">
        <v>26</v>
      </c>
      <c r="B2572" t="s">
        <v>2187</v>
      </c>
      <c r="C2572">
        <v>30086.1875</v>
      </c>
      <c r="D2572">
        <v>30796.25</v>
      </c>
      <c r="E2572">
        <v>30057.203125</v>
      </c>
      <c r="F2572">
        <v>30445.3515625</v>
      </c>
      <c r="G2572">
        <v>30445.3515625</v>
      </c>
      <c r="H2572">
        <v>13180860821</v>
      </c>
      <c r="I2572" t="s">
        <v>5995</v>
      </c>
      <c r="J2572" t="s">
        <v>5996</v>
      </c>
      <c r="K2572" t="s">
        <v>4634</v>
      </c>
    </row>
    <row r="2573" spans="1:11" ht="20" customHeight="1">
      <c r="A2573" t="s">
        <v>26</v>
      </c>
      <c r="B2573" t="s">
        <v>2190</v>
      </c>
      <c r="C2573">
        <v>30441.353515625</v>
      </c>
      <c r="D2573">
        <v>31256.86328125</v>
      </c>
      <c r="E2573">
        <v>29600.275390625</v>
      </c>
      <c r="F2573">
        <v>30477.251953125</v>
      </c>
      <c r="G2573">
        <v>30477.251953125</v>
      </c>
      <c r="H2573">
        <v>26387306197</v>
      </c>
      <c r="I2573" t="s">
        <v>5996</v>
      </c>
      <c r="J2573" t="s">
        <v>5997</v>
      </c>
      <c r="K2573" t="s">
        <v>4634</v>
      </c>
    </row>
    <row r="2574" spans="1:11" ht="20" customHeight="1">
      <c r="A2574" t="s">
        <v>26</v>
      </c>
      <c r="B2574" t="s">
        <v>5998</v>
      </c>
      <c r="C2574">
        <v>30471.84765625</v>
      </c>
      <c r="D2574">
        <v>30641.2890625</v>
      </c>
      <c r="E2574">
        <v>30328.865234375</v>
      </c>
      <c r="F2574">
        <v>30590.078125</v>
      </c>
      <c r="G2574">
        <v>30590.078125</v>
      </c>
      <c r="H2574">
        <v>9086606733</v>
      </c>
      <c r="I2574" t="s">
        <v>5997</v>
      </c>
      <c r="J2574" t="s">
        <v>5999</v>
      </c>
      <c r="K2574" t="s">
        <v>4634</v>
      </c>
    </row>
    <row r="2575" spans="1:11" ht="20" customHeight="1">
      <c r="A2575" t="s">
        <v>26</v>
      </c>
      <c r="B2575" t="s">
        <v>6000</v>
      </c>
      <c r="C2575">
        <v>30587.26953125</v>
      </c>
      <c r="D2575">
        <v>30766.140625</v>
      </c>
      <c r="E2575">
        <v>30264.01953125</v>
      </c>
      <c r="F2575">
        <v>30620.76953125</v>
      </c>
      <c r="G2575">
        <v>30620.76953125</v>
      </c>
      <c r="H2575">
        <v>10533418042</v>
      </c>
      <c r="I2575" t="s">
        <v>5999</v>
      </c>
      <c r="J2575" t="s">
        <v>6001</v>
      </c>
      <c r="K2575" t="s">
        <v>4634</v>
      </c>
    </row>
    <row r="2576" spans="1:11" ht="20" customHeight="1">
      <c r="A2576" t="s">
        <v>26</v>
      </c>
      <c r="B2576" t="s">
        <v>2193</v>
      </c>
      <c r="C2576">
        <v>30624.515625</v>
      </c>
      <c r="D2576">
        <v>31375.61328125</v>
      </c>
      <c r="E2576">
        <v>30586.513671875</v>
      </c>
      <c r="F2576">
        <v>31156.439453125</v>
      </c>
      <c r="G2576">
        <v>31156.439453125</v>
      </c>
      <c r="H2576">
        <v>15271884873</v>
      </c>
      <c r="I2576" t="s">
        <v>6001</v>
      </c>
      <c r="J2576" t="s">
        <v>6002</v>
      </c>
      <c r="K2576" t="s">
        <v>4634</v>
      </c>
    </row>
    <row r="2577" spans="1:11" ht="20" customHeight="1">
      <c r="A2577" t="s">
        <v>26</v>
      </c>
      <c r="B2577" t="s">
        <v>6003</v>
      </c>
      <c r="C2577">
        <v>31156.865234375</v>
      </c>
      <c r="D2577">
        <v>31325.197265625</v>
      </c>
      <c r="E2577">
        <v>30659.35546875</v>
      </c>
      <c r="F2577">
        <v>30777.58203125</v>
      </c>
      <c r="G2577">
        <v>30777.58203125</v>
      </c>
      <c r="H2577">
        <v>12810828427</v>
      </c>
      <c r="I2577" t="s">
        <v>6002</v>
      </c>
      <c r="J2577" t="s">
        <v>6004</v>
      </c>
      <c r="K2577" t="s">
        <v>4634</v>
      </c>
    </row>
    <row r="2578" spans="1:11" ht="20" customHeight="1">
      <c r="A2578" t="s">
        <v>26</v>
      </c>
      <c r="B2578" t="s">
        <v>2196</v>
      </c>
      <c r="C2578">
        <v>30778.724609375</v>
      </c>
      <c r="D2578">
        <v>30877.330078125</v>
      </c>
      <c r="E2578">
        <v>30225.61328125</v>
      </c>
      <c r="F2578">
        <v>30514.166015625</v>
      </c>
      <c r="G2578">
        <v>30514.166015625</v>
      </c>
      <c r="H2578">
        <v>12481622280</v>
      </c>
      <c r="I2578" t="s">
        <v>6004</v>
      </c>
      <c r="J2578" t="s">
        <v>6005</v>
      </c>
      <c r="K2578" t="s">
        <v>4634</v>
      </c>
    </row>
    <row r="2579" spans="1:11" ht="20" customHeight="1">
      <c r="A2579" t="s">
        <v>26</v>
      </c>
      <c r="B2579" t="s">
        <v>2199</v>
      </c>
      <c r="C2579">
        <v>30507.150390625</v>
      </c>
      <c r="D2579">
        <v>31460.052734375</v>
      </c>
      <c r="E2579">
        <v>29892.2265625</v>
      </c>
      <c r="F2579">
        <v>29909.337890625</v>
      </c>
      <c r="G2579">
        <v>29909.337890625</v>
      </c>
      <c r="H2579">
        <v>21129219509</v>
      </c>
      <c r="I2579" t="s">
        <v>6005</v>
      </c>
      <c r="J2579" t="s">
        <v>6006</v>
      </c>
      <c r="K2579" t="s">
        <v>4634</v>
      </c>
    </row>
    <row r="2580" spans="1:11" ht="20" customHeight="1">
      <c r="A2580" t="s">
        <v>26</v>
      </c>
      <c r="B2580" t="s">
        <v>2202</v>
      </c>
      <c r="C2580">
        <v>29907.998046875</v>
      </c>
      <c r="D2580">
        <v>30434.64453125</v>
      </c>
      <c r="E2580">
        <v>29777.28515625</v>
      </c>
      <c r="F2580">
        <v>30342.265625</v>
      </c>
      <c r="G2580">
        <v>30342.265625</v>
      </c>
      <c r="H2580">
        <v>13384770155</v>
      </c>
      <c r="I2580" t="s">
        <v>6006</v>
      </c>
      <c r="J2580" t="s">
        <v>6007</v>
      </c>
      <c r="K2580" t="s">
        <v>4634</v>
      </c>
    </row>
    <row r="2581" spans="1:11" ht="20" customHeight="1">
      <c r="A2581" t="s">
        <v>26</v>
      </c>
      <c r="B2581" t="s">
        <v>6008</v>
      </c>
      <c r="C2581">
        <v>30346.921875</v>
      </c>
      <c r="D2581">
        <v>30374.4375</v>
      </c>
      <c r="E2581">
        <v>30080.16015625</v>
      </c>
      <c r="F2581">
        <v>30292.541015625</v>
      </c>
      <c r="G2581">
        <v>30292.541015625</v>
      </c>
      <c r="H2581">
        <v>7509378699</v>
      </c>
      <c r="I2581" t="s">
        <v>6007</v>
      </c>
      <c r="J2581" t="s">
        <v>6009</v>
      </c>
      <c r="K2581" t="s">
        <v>4634</v>
      </c>
    </row>
    <row r="2582" spans="1:11" ht="20" customHeight="1">
      <c r="A2582" t="s">
        <v>26</v>
      </c>
      <c r="B2582" t="s">
        <v>6010</v>
      </c>
      <c r="C2582">
        <v>30291.611328125</v>
      </c>
      <c r="D2582">
        <v>30427.58984375</v>
      </c>
      <c r="E2582">
        <v>30085.591796875</v>
      </c>
      <c r="F2582">
        <v>30171.234375</v>
      </c>
      <c r="G2582">
        <v>30171.234375</v>
      </c>
      <c r="H2582">
        <v>7903327692</v>
      </c>
      <c r="I2582" t="s">
        <v>6009</v>
      </c>
      <c r="J2582" t="s">
        <v>6011</v>
      </c>
      <c r="K2582" t="s">
        <v>4634</v>
      </c>
    </row>
    <row r="2583" spans="1:11" ht="20" customHeight="1">
      <c r="A2583" t="s">
        <v>26</v>
      </c>
      <c r="B2583" t="s">
        <v>2205</v>
      </c>
      <c r="C2583">
        <v>30172.423828125</v>
      </c>
      <c r="D2583">
        <v>31026.083984375</v>
      </c>
      <c r="E2583">
        <v>29985.39453125</v>
      </c>
      <c r="F2583">
        <v>30414.470703125</v>
      </c>
      <c r="G2583">
        <v>30414.470703125</v>
      </c>
      <c r="H2583">
        <v>14828209155</v>
      </c>
      <c r="I2583" t="s">
        <v>6011</v>
      </c>
      <c r="J2583" t="s">
        <v>6012</v>
      </c>
      <c r="K2583" t="s">
        <v>4634</v>
      </c>
    </row>
    <row r="2584" spans="1:11" ht="20" customHeight="1">
      <c r="A2584" t="s">
        <v>26</v>
      </c>
      <c r="B2584" t="s">
        <v>2208</v>
      </c>
      <c r="C2584">
        <v>30417.6328125</v>
      </c>
      <c r="D2584">
        <v>30788.314453125</v>
      </c>
      <c r="E2584">
        <v>30358.09765625</v>
      </c>
      <c r="F2584">
        <v>30620.951171875</v>
      </c>
      <c r="G2584">
        <v>30620.951171875</v>
      </c>
      <c r="H2584">
        <v>12151839152</v>
      </c>
      <c r="I2584" t="s">
        <v>6012</v>
      </c>
      <c r="J2584" t="s">
        <v>6013</v>
      </c>
      <c r="K2584" t="s">
        <v>4634</v>
      </c>
    </row>
    <row r="2585" spans="1:11" ht="20" customHeight="1">
      <c r="A2585" t="s">
        <v>26</v>
      </c>
      <c r="B2585" t="s">
        <v>2211</v>
      </c>
      <c r="C2585">
        <v>30622.24609375</v>
      </c>
      <c r="D2585">
        <v>30959.96484375</v>
      </c>
      <c r="E2585">
        <v>30228.8359375</v>
      </c>
      <c r="F2585">
        <v>30391.646484375</v>
      </c>
      <c r="G2585">
        <v>30391.646484375</v>
      </c>
      <c r="H2585">
        <v>14805659717</v>
      </c>
      <c r="I2585" t="s">
        <v>6013</v>
      </c>
      <c r="J2585" t="s">
        <v>6014</v>
      </c>
      <c r="K2585" t="s">
        <v>4634</v>
      </c>
    </row>
    <row r="2586" spans="1:11" ht="20" customHeight="1">
      <c r="A2586" t="s">
        <v>26</v>
      </c>
      <c r="B2586" t="s">
        <v>2214</v>
      </c>
      <c r="C2586">
        <v>30387.48828125</v>
      </c>
      <c r="D2586">
        <v>31814.515625</v>
      </c>
      <c r="E2586">
        <v>30268.3515625</v>
      </c>
      <c r="F2586">
        <v>31476.048828125</v>
      </c>
      <c r="G2586">
        <v>31476.048828125</v>
      </c>
      <c r="H2586">
        <v>23686079548</v>
      </c>
      <c r="I2586" t="s">
        <v>6014</v>
      </c>
      <c r="J2586" t="s">
        <v>6015</v>
      </c>
      <c r="K2586" t="s">
        <v>4634</v>
      </c>
    </row>
    <row r="2587" spans="1:11" ht="20" customHeight="1">
      <c r="A2587" t="s">
        <v>26</v>
      </c>
      <c r="B2587" t="s">
        <v>2217</v>
      </c>
      <c r="C2587">
        <v>31474.720703125</v>
      </c>
      <c r="D2587">
        <v>31582.25390625</v>
      </c>
      <c r="E2587">
        <v>29966.38671875</v>
      </c>
      <c r="F2587">
        <v>30334.068359375</v>
      </c>
      <c r="G2587">
        <v>30334.068359375</v>
      </c>
      <c r="H2587">
        <v>20917902660</v>
      </c>
      <c r="I2587" t="s">
        <v>6015</v>
      </c>
      <c r="J2587" t="s">
        <v>6016</v>
      </c>
      <c r="K2587" t="s">
        <v>4634</v>
      </c>
    </row>
    <row r="2588" spans="1:11" ht="20" customHeight="1">
      <c r="A2588" t="s">
        <v>26</v>
      </c>
      <c r="B2588" t="s">
        <v>6017</v>
      </c>
      <c r="C2588">
        <v>30331.783203125</v>
      </c>
      <c r="D2588">
        <v>30407.78125</v>
      </c>
      <c r="E2588">
        <v>30263.462890625</v>
      </c>
      <c r="F2588">
        <v>30295.806640625</v>
      </c>
      <c r="G2588">
        <v>30295.806640625</v>
      </c>
      <c r="H2588">
        <v>8011667756</v>
      </c>
      <c r="I2588" t="s">
        <v>6016</v>
      </c>
      <c r="J2588" t="s">
        <v>6018</v>
      </c>
      <c r="K2588" t="s">
        <v>4634</v>
      </c>
    </row>
    <row r="2589" spans="1:11" ht="20" customHeight="1">
      <c r="A2589" t="s">
        <v>26</v>
      </c>
      <c r="B2589" t="s">
        <v>6019</v>
      </c>
      <c r="C2589">
        <v>30297.47265625</v>
      </c>
      <c r="D2589">
        <v>30437.560546875</v>
      </c>
      <c r="E2589">
        <v>30089.669921875</v>
      </c>
      <c r="F2589">
        <v>30249.1328125</v>
      </c>
      <c r="G2589">
        <v>30249.1328125</v>
      </c>
      <c r="H2589">
        <v>8516564470</v>
      </c>
      <c r="I2589" t="s">
        <v>6018</v>
      </c>
      <c r="J2589" t="s">
        <v>6020</v>
      </c>
      <c r="K2589" t="s">
        <v>4634</v>
      </c>
    </row>
    <row r="2590" spans="1:11" ht="20" customHeight="1">
      <c r="A2590" t="s">
        <v>26</v>
      </c>
      <c r="B2590" t="s">
        <v>2220</v>
      </c>
      <c r="C2590">
        <v>30249.626953125</v>
      </c>
      <c r="D2590">
        <v>30336.400390625</v>
      </c>
      <c r="E2590">
        <v>29685.783203125</v>
      </c>
      <c r="F2590">
        <v>30145.888671875</v>
      </c>
      <c r="G2590">
        <v>30145.888671875</v>
      </c>
      <c r="H2590">
        <v>13240156074</v>
      </c>
      <c r="I2590" t="s">
        <v>6020</v>
      </c>
      <c r="J2590" t="s">
        <v>6021</v>
      </c>
      <c r="K2590" t="s">
        <v>4634</v>
      </c>
    </row>
    <row r="2591" spans="1:11" ht="20" customHeight="1">
      <c r="A2591" t="s">
        <v>26</v>
      </c>
      <c r="B2591" t="s">
        <v>2223</v>
      </c>
      <c r="C2591">
        <v>30147.0703125</v>
      </c>
      <c r="D2591">
        <v>30233.65625</v>
      </c>
      <c r="E2591">
        <v>29556.427734375</v>
      </c>
      <c r="F2591">
        <v>29856.5625</v>
      </c>
      <c r="G2591">
        <v>29856.5625</v>
      </c>
      <c r="H2591">
        <v>13138897269</v>
      </c>
      <c r="I2591" t="s">
        <v>6021</v>
      </c>
      <c r="J2591" t="s">
        <v>6022</v>
      </c>
      <c r="K2591" t="s">
        <v>4634</v>
      </c>
    </row>
    <row r="2592" spans="1:11" ht="20" customHeight="1">
      <c r="A2592" t="s">
        <v>26</v>
      </c>
      <c r="B2592" t="s">
        <v>2226</v>
      </c>
      <c r="C2592">
        <v>29862.046875</v>
      </c>
      <c r="D2592">
        <v>30184.181640625</v>
      </c>
      <c r="E2592">
        <v>29794.26953125</v>
      </c>
      <c r="F2592">
        <v>29913.923828125</v>
      </c>
      <c r="G2592">
        <v>29913.923828125</v>
      </c>
      <c r="H2592">
        <v>12128602812</v>
      </c>
      <c r="I2592" t="s">
        <v>6022</v>
      </c>
      <c r="J2592" t="s">
        <v>6023</v>
      </c>
      <c r="K2592" t="s">
        <v>4634</v>
      </c>
    </row>
    <row r="2593" spans="1:11" ht="20" customHeight="1">
      <c r="A2593" t="s">
        <v>26</v>
      </c>
      <c r="B2593" t="s">
        <v>2229</v>
      </c>
      <c r="C2593">
        <v>29915.25</v>
      </c>
      <c r="D2593">
        <v>30195.53125</v>
      </c>
      <c r="E2593">
        <v>29638.095703125</v>
      </c>
      <c r="F2593">
        <v>29792.015625</v>
      </c>
      <c r="G2593">
        <v>29792.015625</v>
      </c>
      <c r="H2593">
        <v>14655207121</v>
      </c>
      <c r="I2593" t="s">
        <v>6023</v>
      </c>
      <c r="J2593" t="s">
        <v>6024</v>
      </c>
      <c r="K2593" t="s">
        <v>4634</v>
      </c>
    </row>
    <row r="2594" spans="1:11" ht="20" customHeight="1">
      <c r="A2594" t="s">
        <v>26</v>
      </c>
      <c r="B2594" t="s">
        <v>2232</v>
      </c>
      <c r="C2594">
        <v>29805.111328125</v>
      </c>
      <c r="D2594">
        <v>30045.998046875</v>
      </c>
      <c r="E2594">
        <v>29733.8515625</v>
      </c>
      <c r="F2594">
        <v>29908.744140625</v>
      </c>
      <c r="G2594">
        <v>29908.744140625</v>
      </c>
      <c r="H2594">
        <v>10972789818</v>
      </c>
      <c r="I2594" t="s">
        <v>6024</v>
      </c>
      <c r="J2594" t="s">
        <v>6025</v>
      </c>
      <c r="K2594" t="s">
        <v>4634</v>
      </c>
    </row>
    <row r="2595" spans="1:11" ht="20" customHeight="1">
      <c r="A2595" t="s">
        <v>26</v>
      </c>
      <c r="B2595" t="s">
        <v>6026</v>
      </c>
      <c r="C2595">
        <v>29908.697265625</v>
      </c>
      <c r="D2595">
        <v>29991.615234375</v>
      </c>
      <c r="E2595">
        <v>29664.12109375</v>
      </c>
      <c r="F2595">
        <v>29771.802734375</v>
      </c>
      <c r="G2595">
        <v>29771.802734375</v>
      </c>
      <c r="H2595">
        <v>7873300598</v>
      </c>
      <c r="I2595" t="s">
        <v>6025</v>
      </c>
      <c r="J2595" t="s">
        <v>6027</v>
      </c>
      <c r="K2595" t="s">
        <v>4634</v>
      </c>
    </row>
    <row r="2596" spans="1:11" ht="20" customHeight="1">
      <c r="A2596" t="s">
        <v>26</v>
      </c>
      <c r="B2596" t="s">
        <v>6028</v>
      </c>
      <c r="C2596">
        <v>29790.111328125</v>
      </c>
      <c r="D2596">
        <v>30330.640625</v>
      </c>
      <c r="E2596">
        <v>29741.52734375</v>
      </c>
      <c r="F2596">
        <v>30084.5390625</v>
      </c>
      <c r="G2596">
        <v>30084.5390625</v>
      </c>
      <c r="H2596">
        <v>9220145050</v>
      </c>
      <c r="I2596" t="s">
        <v>6027</v>
      </c>
      <c r="J2596" t="s">
        <v>6029</v>
      </c>
      <c r="K2596" t="s">
        <v>4634</v>
      </c>
    </row>
    <row r="2597" spans="1:11" ht="20" customHeight="1">
      <c r="A2597" t="s">
        <v>26</v>
      </c>
      <c r="B2597" t="s">
        <v>2235</v>
      </c>
      <c r="C2597">
        <v>30081.662109375</v>
      </c>
      <c r="D2597">
        <v>30093.39453125</v>
      </c>
      <c r="E2597">
        <v>28934.294921875</v>
      </c>
      <c r="F2597">
        <v>29176.916015625</v>
      </c>
      <c r="G2597">
        <v>29176.916015625</v>
      </c>
      <c r="H2597">
        <v>15395817395</v>
      </c>
      <c r="I2597" t="s">
        <v>6029</v>
      </c>
      <c r="J2597" t="s">
        <v>6030</v>
      </c>
      <c r="K2597" t="s">
        <v>4634</v>
      </c>
    </row>
    <row r="2598" spans="1:11" ht="20" customHeight="1">
      <c r="A2598" t="s">
        <v>26</v>
      </c>
      <c r="B2598" t="s">
        <v>2238</v>
      </c>
      <c r="C2598">
        <v>29178.970703125</v>
      </c>
      <c r="D2598">
        <v>29353.16015625</v>
      </c>
      <c r="E2598">
        <v>29062.43359375</v>
      </c>
      <c r="F2598">
        <v>29227.390625</v>
      </c>
      <c r="G2598">
        <v>29227.390625</v>
      </c>
      <c r="H2598">
        <v>10266772793</v>
      </c>
      <c r="I2598" t="s">
        <v>6030</v>
      </c>
      <c r="J2598" t="s">
        <v>6031</v>
      </c>
      <c r="K2598" t="s">
        <v>4634</v>
      </c>
    </row>
    <row r="2599" spans="1:11" ht="20" customHeight="1">
      <c r="A2599" t="s">
        <v>26</v>
      </c>
      <c r="B2599" t="s">
        <v>2241</v>
      </c>
      <c r="C2599">
        <v>29225.759765625</v>
      </c>
      <c r="D2599">
        <v>29675.552734375</v>
      </c>
      <c r="E2599">
        <v>29113.912109375</v>
      </c>
      <c r="F2599">
        <v>29354.97265625</v>
      </c>
      <c r="G2599">
        <v>29354.97265625</v>
      </c>
      <c r="H2599">
        <v>13497554655</v>
      </c>
      <c r="I2599" t="s">
        <v>6031</v>
      </c>
      <c r="J2599" t="s">
        <v>6032</v>
      </c>
      <c r="K2599" t="s">
        <v>4634</v>
      </c>
    </row>
    <row r="2600" spans="1:11" ht="20" customHeight="1">
      <c r="A2600" t="s">
        <v>26</v>
      </c>
      <c r="B2600" t="s">
        <v>2244</v>
      </c>
      <c r="C2600">
        <v>29353.798828125</v>
      </c>
      <c r="D2600">
        <v>29560.966796875</v>
      </c>
      <c r="E2600">
        <v>29099.3515625</v>
      </c>
      <c r="F2600">
        <v>29210.689453125</v>
      </c>
      <c r="G2600">
        <v>29210.689453125</v>
      </c>
      <c r="H2600">
        <v>10770779217</v>
      </c>
      <c r="I2600" t="s">
        <v>6032</v>
      </c>
      <c r="J2600" t="s">
        <v>6033</v>
      </c>
      <c r="K2600" t="s">
        <v>4634</v>
      </c>
    </row>
    <row r="2601" spans="1:11" ht="20" customHeight="1">
      <c r="A2601" t="s">
        <v>26</v>
      </c>
      <c r="B2601" t="s">
        <v>2247</v>
      </c>
      <c r="C2601">
        <v>29212.1640625</v>
      </c>
      <c r="D2601">
        <v>29521.513671875</v>
      </c>
      <c r="E2601">
        <v>29125.845703125</v>
      </c>
      <c r="F2601">
        <v>29319.24609375</v>
      </c>
      <c r="G2601">
        <v>29319.24609375</v>
      </c>
      <c r="H2601">
        <v>11218474952</v>
      </c>
      <c r="I2601" t="s">
        <v>6033</v>
      </c>
      <c r="J2601" t="s">
        <v>6034</v>
      </c>
      <c r="K2601" t="s">
        <v>4634</v>
      </c>
    </row>
    <row r="2602" spans="1:11" ht="20" customHeight="1">
      <c r="A2602" t="s">
        <v>26</v>
      </c>
      <c r="B2602" t="s">
        <v>6035</v>
      </c>
      <c r="C2602">
        <v>29319.4453125</v>
      </c>
      <c r="D2602">
        <v>29396.84375</v>
      </c>
      <c r="E2602">
        <v>29264.166015625</v>
      </c>
      <c r="F2602">
        <v>29356.91796875</v>
      </c>
      <c r="G2602">
        <v>29356.91796875</v>
      </c>
      <c r="H2602">
        <v>6481775959</v>
      </c>
      <c r="I2602" t="s">
        <v>6034</v>
      </c>
      <c r="J2602" t="s">
        <v>6036</v>
      </c>
      <c r="K2602" t="s">
        <v>4634</v>
      </c>
    </row>
    <row r="2603" spans="1:11" ht="20" customHeight="1">
      <c r="A2603" t="s">
        <v>26</v>
      </c>
      <c r="B2603" t="s">
        <v>6037</v>
      </c>
      <c r="C2603">
        <v>29357.09375</v>
      </c>
      <c r="D2603">
        <v>29443.169921875</v>
      </c>
      <c r="E2603">
        <v>29059.501953125</v>
      </c>
      <c r="F2603">
        <v>29275.30859375</v>
      </c>
      <c r="G2603">
        <v>29275.30859375</v>
      </c>
      <c r="H2603">
        <v>8678454527</v>
      </c>
      <c r="I2603" t="s">
        <v>6036</v>
      </c>
      <c r="J2603" t="s">
        <v>6038</v>
      </c>
      <c r="K2603" t="s">
        <v>4634</v>
      </c>
    </row>
    <row r="2604" spans="1:11" ht="20" customHeight="1">
      <c r="A2604" t="s">
        <v>26</v>
      </c>
      <c r="B2604" t="s">
        <v>2250</v>
      </c>
      <c r="C2604">
        <v>29278.314453125</v>
      </c>
      <c r="D2604">
        <v>29489.873046875</v>
      </c>
      <c r="E2604">
        <v>29131.578125</v>
      </c>
      <c r="F2604">
        <v>29230.111328125</v>
      </c>
      <c r="G2604">
        <v>29230.111328125</v>
      </c>
      <c r="H2604">
        <v>11656781982</v>
      </c>
      <c r="I2604" t="s">
        <v>6038</v>
      </c>
      <c r="J2604" t="s">
        <v>6039</v>
      </c>
      <c r="K2604" t="s">
        <v>4634</v>
      </c>
    </row>
    <row r="2605" spans="1:11" ht="20" customHeight="1">
      <c r="A2605" t="s">
        <v>26</v>
      </c>
      <c r="B2605" t="s">
        <v>2253</v>
      </c>
      <c r="C2605">
        <v>29230.873046875</v>
      </c>
      <c r="D2605">
        <v>29675.732421875</v>
      </c>
      <c r="E2605">
        <v>28657.0234375</v>
      </c>
      <c r="F2605">
        <v>29675.732421875</v>
      </c>
      <c r="G2605">
        <v>29675.732421875</v>
      </c>
      <c r="H2605">
        <v>18272392391</v>
      </c>
      <c r="I2605" t="s">
        <v>6039</v>
      </c>
      <c r="J2605" t="s">
        <v>6040</v>
      </c>
      <c r="K2605" t="s">
        <v>4634</v>
      </c>
    </row>
    <row r="2606" spans="1:11" ht="20" customHeight="1">
      <c r="A2606" t="s">
        <v>26</v>
      </c>
      <c r="B2606" t="s">
        <v>2256</v>
      </c>
      <c r="C2606">
        <v>29704.146484375</v>
      </c>
      <c r="D2606">
        <v>29987.998046875</v>
      </c>
      <c r="E2606">
        <v>28946.509765625</v>
      </c>
      <c r="F2606">
        <v>29151.958984375</v>
      </c>
      <c r="G2606">
        <v>29151.958984375</v>
      </c>
      <c r="H2606">
        <v>19212655598</v>
      </c>
      <c r="I2606" t="s">
        <v>6040</v>
      </c>
      <c r="J2606" t="s">
        <v>6041</v>
      </c>
      <c r="K2606" t="s">
        <v>4634</v>
      </c>
    </row>
    <row r="2607" spans="1:11" ht="20" customHeight="1">
      <c r="A2607" t="s">
        <v>26</v>
      </c>
      <c r="B2607" t="s">
        <v>2259</v>
      </c>
      <c r="C2607">
        <v>29161.8125</v>
      </c>
      <c r="D2607">
        <v>29375.70703125</v>
      </c>
      <c r="E2607">
        <v>28959.48828125</v>
      </c>
      <c r="F2607">
        <v>29178.6796875</v>
      </c>
      <c r="G2607">
        <v>29178.6796875</v>
      </c>
      <c r="H2607">
        <v>12780357746</v>
      </c>
      <c r="I2607" t="s">
        <v>6041</v>
      </c>
      <c r="J2607" t="s">
        <v>6042</v>
      </c>
      <c r="K2607" t="s">
        <v>4634</v>
      </c>
    </row>
    <row r="2608" spans="1:11" ht="20" customHeight="1">
      <c r="A2608" t="s">
        <v>26</v>
      </c>
      <c r="B2608" t="s">
        <v>2262</v>
      </c>
      <c r="C2608">
        <v>29174.3828125</v>
      </c>
      <c r="D2608">
        <v>29302.078125</v>
      </c>
      <c r="E2608">
        <v>28885.3359375</v>
      </c>
      <c r="F2608">
        <v>29074.091796875</v>
      </c>
      <c r="G2608">
        <v>29074.091796875</v>
      </c>
      <c r="H2608">
        <v>12036639988</v>
      </c>
      <c r="I2608" t="s">
        <v>6042</v>
      </c>
      <c r="J2608" t="s">
        <v>6043</v>
      </c>
      <c r="K2608" t="s">
        <v>4634</v>
      </c>
    </row>
    <row r="2609" spans="1:11" ht="20" customHeight="1">
      <c r="A2609" t="s">
        <v>26</v>
      </c>
      <c r="B2609" t="s">
        <v>6044</v>
      </c>
      <c r="C2609">
        <v>29075.388671875</v>
      </c>
      <c r="D2609">
        <v>29102.46484375</v>
      </c>
      <c r="E2609">
        <v>28957.796875</v>
      </c>
      <c r="F2609">
        <v>29042.126953125</v>
      </c>
      <c r="G2609">
        <v>29042.126953125</v>
      </c>
      <c r="H2609">
        <v>6598366353</v>
      </c>
      <c r="I2609" t="s">
        <v>6043</v>
      </c>
      <c r="J2609" t="s">
        <v>6045</v>
      </c>
      <c r="K2609" t="s">
        <v>4634</v>
      </c>
    </row>
    <row r="2610" spans="1:11" ht="20" customHeight="1">
      <c r="A2610" t="s">
        <v>26</v>
      </c>
      <c r="B2610" t="s">
        <v>6046</v>
      </c>
      <c r="C2610">
        <v>29043.701171875</v>
      </c>
      <c r="D2610">
        <v>29160.822265625</v>
      </c>
      <c r="E2610">
        <v>28963.833984375</v>
      </c>
      <c r="F2610">
        <v>29041.85546875</v>
      </c>
      <c r="G2610">
        <v>29041.85546875</v>
      </c>
      <c r="H2610">
        <v>7269806994</v>
      </c>
      <c r="I2610" t="s">
        <v>6045</v>
      </c>
      <c r="J2610" t="s">
        <v>6047</v>
      </c>
      <c r="K2610" t="s">
        <v>4634</v>
      </c>
    </row>
    <row r="2611" spans="1:11" ht="20" customHeight="1">
      <c r="A2611" t="s">
        <v>26</v>
      </c>
      <c r="B2611" t="s">
        <v>2265</v>
      </c>
      <c r="C2611">
        <v>29038.513671875</v>
      </c>
      <c r="D2611">
        <v>29244.28125</v>
      </c>
      <c r="E2611">
        <v>28724.140625</v>
      </c>
      <c r="F2611">
        <v>29180.578125</v>
      </c>
      <c r="G2611">
        <v>29180.578125</v>
      </c>
      <c r="H2611">
        <v>13618163710</v>
      </c>
      <c r="I2611" t="s">
        <v>6047</v>
      </c>
      <c r="J2611" t="s">
        <v>6048</v>
      </c>
      <c r="K2611" t="s">
        <v>4634</v>
      </c>
    </row>
    <row r="2612" spans="1:11" ht="20" customHeight="1">
      <c r="A2612" t="s">
        <v>26</v>
      </c>
      <c r="B2612" t="s">
        <v>2268</v>
      </c>
      <c r="C2612">
        <v>29180.01953125</v>
      </c>
      <c r="D2612">
        <v>30176.796875</v>
      </c>
      <c r="E2612">
        <v>29113.814453125</v>
      </c>
      <c r="F2612">
        <v>29765.4921875</v>
      </c>
      <c r="G2612">
        <v>29765.4921875</v>
      </c>
      <c r="H2612">
        <v>17570561357</v>
      </c>
      <c r="I2612" t="s">
        <v>6048</v>
      </c>
      <c r="J2612" t="s">
        <v>6049</v>
      </c>
      <c r="K2612" t="s">
        <v>4634</v>
      </c>
    </row>
    <row r="2613" spans="1:11" ht="20" customHeight="1">
      <c r="A2613" t="s">
        <v>26</v>
      </c>
      <c r="B2613" t="s">
        <v>2271</v>
      </c>
      <c r="C2613">
        <v>29766.6953125</v>
      </c>
      <c r="D2613">
        <v>30093.435546875</v>
      </c>
      <c r="E2613">
        <v>29376.80078125</v>
      </c>
      <c r="F2613">
        <v>29561.494140625</v>
      </c>
      <c r="G2613">
        <v>29561.494140625</v>
      </c>
      <c r="H2613">
        <v>18379521213</v>
      </c>
      <c r="I2613" t="s">
        <v>6049</v>
      </c>
      <c r="J2613" t="s">
        <v>6050</v>
      </c>
      <c r="K2613" t="s">
        <v>4634</v>
      </c>
    </row>
    <row r="2614" spans="1:11" ht="20" customHeight="1">
      <c r="A2614" t="s">
        <v>26</v>
      </c>
      <c r="B2614" t="s">
        <v>2274</v>
      </c>
      <c r="C2614">
        <v>29563.97265625</v>
      </c>
      <c r="D2614">
        <v>29688.564453125</v>
      </c>
      <c r="E2614">
        <v>29354.447265625</v>
      </c>
      <c r="F2614">
        <v>29429.591796875</v>
      </c>
      <c r="G2614">
        <v>29429.591796875</v>
      </c>
      <c r="H2614">
        <v>11865344789</v>
      </c>
      <c r="I2614" t="s">
        <v>6050</v>
      </c>
      <c r="J2614" t="s">
        <v>6051</v>
      </c>
      <c r="K2614" t="s">
        <v>4634</v>
      </c>
    </row>
    <row r="2615" spans="1:11" ht="20" customHeight="1">
      <c r="A2615" t="s">
        <v>26</v>
      </c>
      <c r="B2615" t="s">
        <v>2277</v>
      </c>
      <c r="C2615">
        <v>29424.90234375</v>
      </c>
      <c r="D2615">
        <v>29517.7734375</v>
      </c>
      <c r="E2615">
        <v>29253.517578125</v>
      </c>
      <c r="F2615">
        <v>29397.71484375</v>
      </c>
      <c r="G2615">
        <v>29397.71484375</v>
      </c>
      <c r="H2615">
        <v>10195168197</v>
      </c>
      <c r="I2615" t="s">
        <v>6051</v>
      </c>
      <c r="J2615" t="s">
        <v>6052</v>
      </c>
      <c r="K2615" t="s">
        <v>4634</v>
      </c>
    </row>
    <row r="2616" spans="1:11" ht="20" customHeight="1">
      <c r="A2616" t="s">
        <v>26</v>
      </c>
      <c r="B2616" t="s">
        <v>6053</v>
      </c>
      <c r="C2616">
        <v>29399.787109375</v>
      </c>
      <c r="D2616">
        <v>29465.11328125</v>
      </c>
      <c r="E2616">
        <v>29357.587890625</v>
      </c>
      <c r="F2616">
        <v>29415.96484375</v>
      </c>
      <c r="G2616">
        <v>29415.96484375</v>
      </c>
      <c r="H2616">
        <v>6194358008</v>
      </c>
      <c r="I2616" t="s">
        <v>6052</v>
      </c>
      <c r="J2616" t="s">
        <v>6054</v>
      </c>
      <c r="K2616" t="s">
        <v>4634</v>
      </c>
    </row>
    <row r="2617" spans="1:11" ht="20" customHeight="1">
      <c r="A2617" t="s">
        <v>26</v>
      </c>
      <c r="B2617" t="s">
        <v>6055</v>
      </c>
      <c r="C2617">
        <v>29416.59375</v>
      </c>
      <c r="D2617">
        <v>29441.43359375</v>
      </c>
      <c r="E2617">
        <v>29265.806640625</v>
      </c>
      <c r="F2617">
        <v>29282.9140625</v>
      </c>
      <c r="G2617">
        <v>29282.9140625</v>
      </c>
      <c r="H2617">
        <v>7329897180</v>
      </c>
      <c r="I2617" t="s">
        <v>6054</v>
      </c>
      <c r="J2617" t="s">
        <v>6056</v>
      </c>
      <c r="K2617" t="s">
        <v>4634</v>
      </c>
    </row>
    <row r="2618" spans="1:11" ht="20" customHeight="1">
      <c r="A2618" t="s">
        <v>26</v>
      </c>
      <c r="B2618" t="s">
        <v>2280</v>
      </c>
      <c r="C2618">
        <v>29283.263671875</v>
      </c>
      <c r="D2618">
        <v>29660.25390625</v>
      </c>
      <c r="E2618">
        <v>29124.10546875</v>
      </c>
      <c r="F2618">
        <v>29408.443359375</v>
      </c>
      <c r="G2618">
        <v>29408.443359375</v>
      </c>
      <c r="H2618">
        <v>14013695304</v>
      </c>
      <c r="I2618" t="s">
        <v>6056</v>
      </c>
      <c r="J2618" t="s">
        <v>6057</v>
      </c>
      <c r="K2618" t="s">
        <v>4634</v>
      </c>
    </row>
    <row r="2619" spans="1:11" ht="20" customHeight="1">
      <c r="A2619" t="s">
        <v>26</v>
      </c>
      <c r="B2619" t="s">
        <v>2283</v>
      </c>
      <c r="C2619">
        <v>29408.048828125</v>
      </c>
      <c r="D2619">
        <v>29439.12109375</v>
      </c>
      <c r="E2619">
        <v>29088.853515625</v>
      </c>
      <c r="F2619">
        <v>29170.34765625</v>
      </c>
      <c r="G2619">
        <v>29170.34765625</v>
      </c>
      <c r="H2619">
        <v>12640195779</v>
      </c>
      <c r="I2619" t="s">
        <v>6057</v>
      </c>
      <c r="J2619" t="s">
        <v>6058</v>
      </c>
      <c r="K2619" t="s">
        <v>4634</v>
      </c>
    </row>
    <row r="2620" spans="1:11" ht="20" customHeight="1">
      <c r="A2620" t="s">
        <v>26</v>
      </c>
      <c r="B2620" t="s">
        <v>2286</v>
      </c>
      <c r="C2620">
        <v>29169.07421875</v>
      </c>
      <c r="D2620">
        <v>29221.9765625</v>
      </c>
      <c r="E2620">
        <v>28701.779296875</v>
      </c>
      <c r="F2620">
        <v>28701.779296875</v>
      </c>
      <c r="G2620">
        <v>28701.779296875</v>
      </c>
      <c r="H2620">
        <v>14949271904</v>
      </c>
      <c r="I2620" t="s">
        <v>6058</v>
      </c>
      <c r="J2620" t="s">
        <v>6059</v>
      </c>
      <c r="K2620" t="s">
        <v>4634</v>
      </c>
    </row>
    <row r="2621" spans="1:11" ht="20" customHeight="1">
      <c r="A2621" t="s">
        <v>26</v>
      </c>
      <c r="B2621" t="s">
        <v>2289</v>
      </c>
      <c r="C2621">
        <v>28699.802734375</v>
      </c>
      <c r="D2621">
        <v>28745.947265625</v>
      </c>
      <c r="E2621">
        <v>25409.111328125</v>
      </c>
      <c r="F2621">
        <v>26664.55078125</v>
      </c>
      <c r="G2621">
        <v>26664.55078125</v>
      </c>
      <c r="H2621">
        <v>31120851211</v>
      </c>
      <c r="I2621" t="s">
        <v>6059</v>
      </c>
      <c r="J2621" t="s">
        <v>6060</v>
      </c>
      <c r="K2621" t="s">
        <v>4634</v>
      </c>
    </row>
    <row r="2622" spans="1:11" ht="20" customHeight="1">
      <c r="A2622" t="s">
        <v>26</v>
      </c>
      <c r="B2622" t="s">
        <v>2292</v>
      </c>
      <c r="C2622">
        <v>26636.078125</v>
      </c>
      <c r="D2622">
        <v>26808.1953125</v>
      </c>
      <c r="E2622">
        <v>25668.921875</v>
      </c>
      <c r="F2622">
        <v>26049.556640625</v>
      </c>
      <c r="G2622">
        <v>26049.556640625</v>
      </c>
      <c r="H2622">
        <v>24026236529</v>
      </c>
      <c r="I2622" t="s">
        <v>6060</v>
      </c>
      <c r="J2622" t="s">
        <v>6061</v>
      </c>
      <c r="K2622" t="s">
        <v>4634</v>
      </c>
    </row>
    <row r="2623" spans="1:11" ht="20" customHeight="1">
      <c r="A2623" t="s">
        <v>26</v>
      </c>
      <c r="B2623" t="s">
        <v>6062</v>
      </c>
      <c r="C2623">
        <v>26047.83203125</v>
      </c>
      <c r="D2623">
        <v>26249.44921875</v>
      </c>
      <c r="E2623">
        <v>25802.408203125</v>
      </c>
      <c r="F2623">
        <v>26096.205078125</v>
      </c>
      <c r="G2623">
        <v>26096.205078125</v>
      </c>
      <c r="H2623">
        <v>10631443812</v>
      </c>
      <c r="I2623" t="s">
        <v>6061</v>
      </c>
      <c r="J2623" t="s">
        <v>6063</v>
      </c>
      <c r="K2623" t="s">
        <v>4634</v>
      </c>
    </row>
    <row r="2624" spans="1:11" ht="20" customHeight="1">
      <c r="A2624" t="s">
        <v>26</v>
      </c>
      <c r="B2624" t="s">
        <v>6064</v>
      </c>
      <c r="C2624">
        <v>26096.861328125</v>
      </c>
      <c r="D2624">
        <v>26260.681640625</v>
      </c>
      <c r="E2624">
        <v>26004.314453125</v>
      </c>
      <c r="F2624">
        <v>26189.583984375</v>
      </c>
      <c r="G2624">
        <v>26189.583984375</v>
      </c>
      <c r="H2624">
        <v>9036580420</v>
      </c>
      <c r="I2624" t="s">
        <v>6063</v>
      </c>
      <c r="J2624" t="s">
        <v>6065</v>
      </c>
      <c r="K2624" t="s">
        <v>4634</v>
      </c>
    </row>
    <row r="2625" spans="1:11" ht="20" customHeight="1">
      <c r="A2625" t="s">
        <v>26</v>
      </c>
      <c r="B2625" t="s">
        <v>2295</v>
      </c>
      <c r="C2625">
        <v>26188.69140625</v>
      </c>
      <c r="D2625">
        <v>26220.201171875</v>
      </c>
      <c r="E2625">
        <v>25846.087890625</v>
      </c>
      <c r="F2625">
        <v>26124.140625</v>
      </c>
      <c r="G2625">
        <v>26124.140625</v>
      </c>
      <c r="H2625">
        <v>13371557893</v>
      </c>
      <c r="I2625" t="s">
        <v>6065</v>
      </c>
      <c r="J2625" t="s">
        <v>6066</v>
      </c>
      <c r="K2625" t="s">
        <v>4634</v>
      </c>
    </row>
    <row r="2626" spans="1:11" ht="20" customHeight="1">
      <c r="A2626" t="s">
        <v>26</v>
      </c>
      <c r="B2626" t="s">
        <v>2298</v>
      </c>
      <c r="C2626">
        <v>26130.748046875</v>
      </c>
      <c r="D2626">
        <v>26135.5078125</v>
      </c>
      <c r="E2626">
        <v>25520.728515625</v>
      </c>
      <c r="F2626">
        <v>26031.65625</v>
      </c>
      <c r="G2626">
        <v>26031.65625</v>
      </c>
      <c r="H2626">
        <v>14503820706</v>
      </c>
      <c r="I2626" t="s">
        <v>6066</v>
      </c>
      <c r="J2626" t="s">
        <v>6067</v>
      </c>
      <c r="K2626" t="s">
        <v>4634</v>
      </c>
    </row>
    <row r="2627" spans="1:11" ht="20" customHeight="1">
      <c r="A2627" t="s">
        <v>26</v>
      </c>
      <c r="B2627" t="s">
        <v>2301</v>
      </c>
      <c r="C2627">
        <v>26040.474609375</v>
      </c>
      <c r="D2627">
        <v>26786.8984375</v>
      </c>
      <c r="E2627">
        <v>25804.998046875</v>
      </c>
      <c r="F2627">
        <v>26431.640625</v>
      </c>
      <c r="G2627">
        <v>26431.640625</v>
      </c>
      <c r="H2627">
        <v>16985265785</v>
      </c>
      <c r="I2627" t="s">
        <v>6067</v>
      </c>
      <c r="J2627" t="s">
        <v>6068</v>
      </c>
      <c r="K2627" t="s">
        <v>4634</v>
      </c>
    </row>
    <row r="2628" spans="1:11" ht="20" customHeight="1">
      <c r="A2628" t="s">
        <v>26</v>
      </c>
      <c r="B2628" t="s">
        <v>2304</v>
      </c>
      <c r="C2628">
        <v>26431.51953125</v>
      </c>
      <c r="D2628">
        <v>26554.91015625</v>
      </c>
      <c r="E2628">
        <v>25914.92578125</v>
      </c>
      <c r="F2628">
        <v>26162.373046875</v>
      </c>
      <c r="G2628">
        <v>26162.373046875</v>
      </c>
      <c r="H2628">
        <v>12871532023</v>
      </c>
      <c r="I2628" t="s">
        <v>6068</v>
      </c>
      <c r="J2628" t="s">
        <v>6069</v>
      </c>
      <c r="K2628" t="s">
        <v>4634</v>
      </c>
    </row>
    <row r="2629" spans="1:11" ht="20" customHeight="1">
      <c r="A2629" t="s">
        <v>26</v>
      </c>
      <c r="B2629" t="s">
        <v>2307</v>
      </c>
      <c r="C2629">
        <v>26163.6796875</v>
      </c>
      <c r="D2629">
        <v>26248.103515625</v>
      </c>
      <c r="E2629">
        <v>25786.8125</v>
      </c>
      <c r="F2629">
        <v>26047.66796875</v>
      </c>
      <c r="G2629">
        <v>26047.66796875</v>
      </c>
      <c r="H2629">
        <v>12406045118</v>
      </c>
      <c r="I2629" t="s">
        <v>6069</v>
      </c>
      <c r="J2629" t="s">
        <v>6070</v>
      </c>
      <c r="K2629" t="s">
        <v>4634</v>
      </c>
    </row>
    <row r="2630" spans="1:11" ht="20" customHeight="1">
      <c r="A2630" t="s">
        <v>26</v>
      </c>
      <c r="B2630" t="s">
        <v>6071</v>
      </c>
      <c r="C2630">
        <v>26047.234375</v>
      </c>
      <c r="D2630">
        <v>26107.384765625</v>
      </c>
      <c r="E2630">
        <v>25983.87890625</v>
      </c>
      <c r="F2630">
        <v>26008.462890625</v>
      </c>
      <c r="G2630">
        <v>26008.462890625</v>
      </c>
      <c r="H2630">
        <v>6034817316</v>
      </c>
      <c r="I2630" t="s">
        <v>6070</v>
      </c>
      <c r="J2630" t="s">
        <v>6072</v>
      </c>
      <c r="K2630" t="s">
        <v>4634</v>
      </c>
    </row>
    <row r="2631" spans="1:11" ht="20" customHeight="1">
      <c r="A2631" t="s">
        <v>26</v>
      </c>
      <c r="B2631" t="s">
        <v>6073</v>
      </c>
      <c r="C2631">
        <v>26008.2421875</v>
      </c>
      <c r="D2631">
        <v>26165.373046875</v>
      </c>
      <c r="E2631">
        <v>25965.09765625</v>
      </c>
      <c r="F2631">
        <v>26089.693359375</v>
      </c>
      <c r="G2631">
        <v>26089.693359375</v>
      </c>
      <c r="H2631">
        <v>6913768611</v>
      </c>
      <c r="I2631" t="s">
        <v>6072</v>
      </c>
      <c r="J2631" t="s">
        <v>6074</v>
      </c>
      <c r="K2631" t="s">
        <v>4634</v>
      </c>
    </row>
    <row r="2632" spans="1:11" ht="20" customHeight="1">
      <c r="A2632" t="s">
        <v>26</v>
      </c>
      <c r="B2632" t="s">
        <v>2310</v>
      </c>
      <c r="C2632">
        <v>26089.615234375</v>
      </c>
      <c r="D2632">
        <v>26198.578125</v>
      </c>
      <c r="E2632">
        <v>25880.599609375</v>
      </c>
      <c r="F2632">
        <v>26106.150390625</v>
      </c>
      <c r="G2632">
        <v>26106.150390625</v>
      </c>
      <c r="H2632">
        <v>11002805166</v>
      </c>
      <c r="I2632" t="s">
        <v>6074</v>
      </c>
      <c r="J2632" t="s">
        <v>6075</v>
      </c>
      <c r="K2632" t="s">
        <v>4634</v>
      </c>
    </row>
    <row r="2633" spans="1:11" ht="20" customHeight="1">
      <c r="A2633" t="s">
        <v>26</v>
      </c>
      <c r="B2633" t="s">
        <v>2313</v>
      </c>
      <c r="C2633">
        <v>26102.486328125</v>
      </c>
      <c r="D2633">
        <v>28089.337890625</v>
      </c>
      <c r="E2633">
        <v>25912.62890625</v>
      </c>
      <c r="F2633">
        <v>27727.392578125</v>
      </c>
      <c r="G2633">
        <v>27727.392578125</v>
      </c>
      <c r="H2633">
        <v>29368391712</v>
      </c>
      <c r="I2633" t="s">
        <v>6075</v>
      </c>
      <c r="J2633" t="s">
        <v>6076</v>
      </c>
      <c r="K2633" t="s">
        <v>4634</v>
      </c>
    </row>
    <row r="2634" spans="1:11" ht="20" customHeight="1">
      <c r="A2634" t="s">
        <v>26</v>
      </c>
      <c r="B2634" t="s">
        <v>2316</v>
      </c>
      <c r="C2634">
        <v>27726.083984375</v>
      </c>
      <c r="D2634">
        <v>27760.16015625</v>
      </c>
      <c r="E2634">
        <v>27069.20703125</v>
      </c>
      <c r="F2634">
        <v>27297.265625</v>
      </c>
      <c r="G2634">
        <v>27297.265625</v>
      </c>
      <c r="H2634">
        <v>16343655235</v>
      </c>
      <c r="I2634" t="s">
        <v>6076</v>
      </c>
      <c r="J2634" t="s">
        <v>6077</v>
      </c>
      <c r="K2634" t="s">
        <v>4634</v>
      </c>
    </row>
    <row r="2635" spans="1:11" ht="20" customHeight="1">
      <c r="A2635" t="s">
        <v>26</v>
      </c>
      <c r="B2635" t="s">
        <v>2319</v>
      </c>
      <c r="C2635">
        <v>27301.9296875</v>
      </c>
      <c r="D2635">
        <v>27456.078125</v>
      </c>
      <c r="E2635">
        <v>25752.9296875</v>
      </c>
      <c r="F2635">
        <v>25931.47265625</v>
      </c>
      <c r="G2635">
        <v>25931.47265625</v>
      </c>
      <c r="H2635">
        <v>20181001451</v>
      </c>
      <c r="I2635" t="s">
        <v>6077</v>
      </c>
      <c r="J2635" t="s">
        <v>6078</v>
      </c>
      <c r="K2635" t="s">
        <v>4634</v>
      </c>
    </row>
    <row r="2636" spans="1:11" ht="20" customHeight="1">
      <c r="A2636" t="s">
        <v>26</v>
      </c>
      <c r="B2636" t="s">
        <v>2322</v>
      </c>
      <c r="C2636">
        <v>25934.021484375</v>
      </c>
      <c r="D2636">
        <v>26125.869140625</v>
      </c>
      <c r="E2636">
        <v>25362.609375</v>
      </c>
      <c r="F2636">
        <v>25800.724609375</v>
      </c>
      <c r="G2636">
        <v>25800.724609375</v>
      </c>
      <c r="H2636">
        <v>17202862221</v>
      </c>
      <c r="I2636" t="s">
        <v>6078</v>
      </c>
      <c r="J2636" t="s">
        <v>6079</v>
      </c>
      <c r="K2636" t="s">
        <v>4634</v>
      </c>
    </row>
    <row r="2637" spans="1:11" ht="20" customHeight="1">
      <c r="A2637" t="s">
        <v>26</v>
      </c>
      <c r="B2637" t="s">
        <v>6080</v>
      </c>
      <c r="C2637">
        <v>25800.91015625</v>
      </c>
      <c r="D2637">
        <v>25970.28515625</v>
      </c>
      <c r="E2637">
        <v>25753.09375</v>
      </c>
      <c r="F2637">
        <v>25868.798828125</v>
      </c>
      <c r="G2637">
        <v>25868.798828125</v>
      </c>
      <c r="H2637">
        <v>10100387473</v>
      </c>
      <c r="I2637" t="s">
        <v>6079</v>
      </c>
      <c r="J2637" t="s">
        <v>6081</v>
      </c>
      <c r="K2637" t="s">
        <v>4634</v>
      </c>
    </row>
    <row r="2638" spans="1:11" ht="20" customHeight="1">
      <c r="A2638" t="s">
        <v>26</v>
      </c>
      <c r="B2638" t="s">
        <v>6082</v>
      </c>
      <c r="C2638">
        <v>25869.47265625</v>
      </c>
      <c r="D2638">
        <v>26087.1484375</v>
      </c>
      <c r="E2638">
        <v>25817.03125</v>
      </c>
      <c r="F2638">
        <v>25969.56640625</v>
      </c>
      <c r="G2638">
        <v>25969.56640625</v>
      </c>
      <c r="H2638">
        <v>8962524523</v>
      </c>
      <c r="I2638" t="s">
        <v>6081</v>
      </c>
      <c r="J2638" t="s">
        <v>6083</v>
      </c>
      <c r="K2638" t="s">
        <v>4634</v>
      </c>
    </row>
    <row r="2639" spans="1:11" ht="20" customHeight="1">
      <c r="A2639" t="s">
        <v>26</v>
      </c>
      <c r="B2639" t="s">
        <v>6084</v>
      </c>
      <c r="C2639">
        <v>25968.169921875</v>
      </c>
      <c r="D2639">
        <v>26081.525390625</v>
      </c>
      <c r="E2639">
        <v>25657.025390625</v>
      </c>
      <c r="F2639">
        <v>25812.416015625</v>
      </c>
      <c r="G2639">
        <v>25812.416015625</v>
      </c>
      <c r="H2639">
        <v>10680635106</v>
      </c>
      <c r="I2639" t="s">
        <v>6083</v>
      </c>
      <c r="J2639" t="s">
        <v>6085</v>
      </c>
      <c r="K2639" t="s">
        <v>4634</v>
      </c>
    </row>
    <row r="2640" spans="1:11" ht="20" customHeight="1">
      <c r="A2640" t="s">
        <v>26</v>
      </c>
      <c r="B2640" t="s">
        <v>2325</v>
      </c>
      <c r="C2640">
        <v>25814.95703125</v>
      </c>
      <c r="D2640">
        <v>25858.375</v>
      </c>
      <c r="E2640">
        <v>25589.98828125</v>
      </c>
      <c r="F2640">
        <v>25779.982421875</v>
      </c>
      <c r="G2640">
        <v>25779.982421875</v>
      </c>
      <c r="H2640">
        <v>11094740040</v>
      </c>
      <c r="I2640" t="s">
        <v>6085</v>
      </c>
      <c r="J2640" t="s">
        <v>6086</v>
      </c>
      <c r="K2640" t="s">
        <v>4634</v>
      </c>
    </row>
    <row r="2641" spans="1:11" ht="20" customHeight="1">
      <c r="A2641" t="s">
        <v>26</v>
      </c>
      <c r="B2641" t="s">
        <v>2328</v>
      </c>
      <c r="C2641">
        <v>25783.931640625</v>
      </c>
      <c r="D2641">
        <v>25953.015625</v>
      </c>
      <c r="E2641">
        <v>25404.359375</v>
      </c>
      <c r="F2641">
        <v>25753.236328125</v>
      </c>
      <c r="G2641">
        <v>25753.236328125</v>
      </c>
      <c r="H2641">
        <v>12752705327</v>
      </c>
      <c r="I2641" t="s">
        <v>6086</v>
      </c>
      <c r="J2641" t="s">
        <v>6087</v>
      </c>
      <c r="K2641" t="s">
        <v>4634</v>
      </c>
    </row>
    <row r="2642" spans="1:11" ht="20" customHeight="1">
      <c r="A2642" t="s">
        <v>26</v>
      </c>
      <c r="B2642" t="s">
        <v>2331</v>
      </c>
      <c r="C2642">
        <v>25748.3125</v>
      </c>
      <c r="D2642">
        <v>26409.302734375</v>
      </c>
      <c r="E2642">
        <v>25608.201171875</v>
      </c>
      <c r="F2642">
        <v>26240.1953125</v>
      </c>
      <c r="G2642">
        <v>26240.1953125</v>
      </c>
      <c r="H2642">
        <v>11088307100</v>
      </c>
      <c r="I2642" t="s">
        <v>6087</v>
      </c>
      <c r="J2642" t="s">
        <v>6088</v>
      </c>
      <c r="K2642" t="s">
        <v>4634</v>
      </c>
    </row>
    <row r="2643" spans="1:11" ht="20" customHeight="1">
      <c r="A2643" t="s">
        <v>26</v>
      </c>
      <c r="B2643" t="s">
        <v>2334</v>
      </c>
      <c r="C2643">
        <v>26245.208984375</v>
      </c>
      <c r="D2643">
        <v>26414.005859375</v>
      </c>
      <c r="E2643">
        <v>25677.48046875</v>
      </c>
      <c r="F2643">
        <v>25905.654296875</v>
      </c>
      <c r="G2643">
        <v>25905.654296875</v>
      </c>
      <c r="H2643">
        <v>10817356400</v>
      </c>
      <c r="I2643" t="s">
        <v>6088</v>
      </c>
      <c r="J2643" t="s">
        <v>6089</v>
      </c>
      <c r="K2643" t="s">
        <v>4634</v>
      </c>
    </row>
    <row r="2644" spans="1:11" ht="20" customHeight="1">
      <c r="A2644" t="s">
        <v>26</v>
      </c>
      <c r="B2644" t="s">
        <v>6090</v>
      </c>
      <c r="C2644">
        <v>25905.42578125</v>
      </c>
      <c r="D2644">
        <v>25921.9765625</v>
      </c>
      <c r="E2644">
        <v>25810.494140625</v>
      </c>
      <c r="F2644">
        <v>25895.677734375</v>
      </c>
      <c r="G2644">
        <v>25895.677734375</v>
      </c>
      <c r="H2644">
        <v>5481314132</v>
      </c>
      <c r="I2644" t="s">
        <v>6089</v>
      </c>
      <c r="J2644" t="s">
        <v>6091</v>
      </c>
      <c r="K2644" t="s">
        <v>4634</v>
      </c>
    </row>
    <row r="2645" spans="1:11" ht="20" customHeight="1">
      <c r="A2645" t="s">
        <v>26</v>
      </c>
      <c r="B2645" t="s">
        <v>6092</v>
      </c>
      <c r="C2645">
        <v>25895.2109375</v>
      </c>
      <c r="D2645">
        <v>25978.130859375</v>
      </c>
      <c r="E2645">
        <v>25640.26171875</v>
      </c>
      <c r="F2645">
        <v>25832.2265625</v>
      </c>
      <c r="G2645">
        <v>25832.2265625</v>
      </c>
      <c r="H2645">
        <v>7899553047</v>
      </c>
      <c r="I2645" t="s">
        <v>6091</v>
      </c>
      <c r="J2645" t="s">
        <v>6093</v>
      </c>
      <c r="K2645" t="s">
        <v>4634</v>
      </c>
    </row>
    <row r="2646" spans="1:11" ht="20" customHeight="1">
      <c r="A2646" t="s">
        <v>26</v>
      </c>
      <c r="B2646" t="s">
        <v>2337</v>
      </c>
      <c r="C2646">
        <v>25831.71484375</v>
      </c>
      <c r="D2646">
        <v>25883.947265625</v>
      </c>
      <c r="E2646">
        <v>24930.296875</v>
      </c>
      <c r="F2646">
        <v>25162.654296875</v>
      </c>
      <c r="G2646">
        <v>25162.654296875</v>
      </c>
      <c r="H2646">
        <v>14600006467</v>
      </c>
      <c r="I2646" t="s">
        <v>6093</v>
      </c>
      <c r="J2646" t="s">
        <v>6094</v>
      </c>
      <c r="K2646" t="s">
        <v>4634</v>
      </c>
    </row>
    <row r="2647" spans="1:11" ht="20" customHeight="1">
      <c r="A2647" t="s">
        <v>26</v>
      </c>
      <c r="B2647" t="s">
        <v>2340</v>
      </c>
      <c r="C2647">
        <v>25160.658203125</v>
      </c>
      <c r="D2647">
        <v>26451.939453125</v>
      </c>
      <c r="E2647">
        <v>25133.078125</v>
      </c>
      <c r="F2647">
        <v>25833.34375</v>
      </c>
      <c r="G2647">
        <v>25833.34375</v>
      </c>
      <c r="H2647">
        <v>18657279324</v>
      </c>
      <c r="I2647" t="s">
        <v>6094</v>
      </c>
      <c r="J2647" t="s">
        <v>6095</v>
      </c>
      <c r="K2647" t="s">
        <v>4634</v>
      </c>
    </row>
    <row r="2648" spans="1:11" ht="20" customHeight="1">
      <c r="A2648" t="s">
        <v>26</v>
      </c>
      <c r="B2648" t="s">
        <v>2343</v>
      </c>
      <c r="C2648">
        <v>25837.5546875</v>
      </c>
      <c r="D2648">
        <v>26376.11328125</v>
      </c>
      <c r="E2648">
        <v>25781.123046875</v>
      </c>
      <c r="F2648">
        <v>26228.32421875</v>
      </c>
      <c r="G2648">
        <v>26228.32421875</v>
      </c>
      <c r="H2648">
        <v>13072077070</v>
      </c>
      <c r="I2648" t="s">
        <v>6095</v>
      </c>
      <c r="J2648" t="s">
        <v>6096</v>
      </c>
      <c r="K2648" t="s">
        <v>4634</v>
      </c>
    </row>
    <row r="2649" spans="1:11" ht="20" customHeight="1">
      <c r="A2649" t="s">
        <v>26</v>
      </c>
      <c r="B2649" t="s">
        <v>2346</v>
      </c>
      <c r="C2649">
        <v>26228.27734375</v>
      </c>
      <c r="D2649">
        <v>26774.623046875</v>
      </c>
      <c r="E2649">
        <v>26171.451171875</v>
      </c>
      <c r="F2649">
        <v>26539.673828125</v>
      </c>
      <c r="G2649">
        <v>26539.673828125</v>
      </c>
      <c r="H2649">
        <v>13811359124</v>
      </c>
      <c r="I2649" t="s">
        <v>6096</v>
      </c>
      <c r="J2649" t="s">
        <v>6097</v>
      </c>
      <c r="K2649" t="s">
        <v>4634</v>
      </c>
    </row>
    <row r="2650" spans="1:11" ht="20" customHeight="1">
      <c r="A2650" t="s">
        <v>26</v>
      </c>
      <c r="B2650" t="s">
        <v>2349</v>
      </c>
      <c r="C2650">
        <v>26533.818359375</v>
      </c>
      <c r="D2650">
        <v>26840.498046875</v>
      </c>
      <c r="E2650">
        <v>26240.701171875</v>
      </c>
      <c r="F2650">
        <v>26608.693359375</v>
      </c>
      <c r="G2650">
        <v>26608.693359375</v>
      </c>
      <c r="H2650">
        <v>11479735788</v>
      </c>
      <c r="I2650" t="s">
        <v>6097</v>
      </c>
      <c r="J2650" t="s">
        <v>6098</v>
      </c>
      <c r="K2650" t="s">
        <v>4634</v>
      </c>
    </row>
    <row r="2651" spans="1:11" ht="20" customHeight="1">
      <c r="A2651" t="s">
        <v>26</v>
      </c>
      <c r="B2651" t="s">
        <v>6099</v>
      </c>
      <c r="C2651">
        <v>26606.19921875</v>
      </c>
      <c r="D2651">
        <v>26754.76953125</v>
      </c>
      <c r="E2651">
        <v>26473.890625</v>
      </c>
      <c r="F2651">
        <v>26568.28125</v>
      </c>
      <c r="G2651">
        <v>26568.28125</v>
      </c>
      <c r="H2651">
        <v>7402031417</v>
      </c>
      <c r="I2651" t="s">
        <v>6098</v>
      </c>
      <c r="J2651" t="s">
        <v>6100</v>
      </c>
      <c r="K2651" t="s">
        <v>4634</v>
      </c>
    </row>
    <row r="2652" spans="1:11" ht="20" customHeight="1">
      <c r="A2652" t="s">
        <v>26</v>
      </c>
      <c r="B2652" t="s">
        <v>6101</v>
      </c>
      <c r="C2652">
        <v>26567.927734375</v>
      </c>
      <c r="D2652">
        <v>26617.998046875</v>
      </c>
      <c r="E2652">
        <v>26445.07421875</v>
      </c>
      <c r="F2652">
        <v>26534.1875</v>
      </c>
      <c r="G2652">
        <v>26534.1875</v>
      </c>
      <c r="H2652">
        <v>6774210670</v>
      </c>
      <c r="I2652" t="s">
        <v>6100</v>
      </c>
      <c r="J2652" t="s">
        <v>6102</v>
      </c>
      <c r="K2652" t="s">
        <v>4634</v>
      </c>
    </row>
    <row r="2653" spans="1:11" ht="20" customHeight="1">
      <c r="A2653" t="s">
        <v>26</v>
      </c>
      <c r="B2653" t="s">
        <v>2352</v>
      </c>
      <c r="C2653">
        <v>26532.994140625</v>
      </c>
      <c r="D2653">
        <v>27414.734375</v>
      </c>
      <c r="E2653">
        <v>26415.515625</v>
      </c>
      <c r="F2653">
        <v>26754.28125</v>
      </c>
      <c r="G2653">
        <v>26754.28125</v>
      </c>
      <c r="H2653">
        <v>15615339655</v>
      </c>
      <c r="I2653" t="s">
        <v>6102</v>
      </c>
      <c r="J2653" t="s">
        <v>6103</v>
      </c>
      <c r="K2653" t="s">
        <v>4634</v>
      </c>
    </row>
    <row r="2654" spans="1:11" ht="20" customHeight="1">
      <c r="A2654" t="s">
        <v>26</v>
      </c>
      <c r="B2654" t="s">
        <v>2355</v>
      </c>
      <c r="C2654">
        <v>26760.8515625</v>
      </c>
      <c r="D2654">
        <v>27488.763671875</v>
      </c>
      <c r="E2654">
        <v>26681.60546875</v>
      </c>
      <c r="F2654">
        <v>27211.1171875</v>
      </c>
      <c r="G2654">
        <v>27211.1171875</v>
      </c>
      <c r="H2654">
        <v>13807690550</v>
      </c>
      <c r="I2654" t="s">
        <v>6103</v>
      </c>
      <c r="J2654" t="s">
        <v>6104</v>
      </c>
      <c r="K2654" t="s">
        <v>4634</v>
      </c>
    </row>
    <row r="2655" spans="1:11" ht="20" customHeight="1">
      <c r="A2655" t="s">
        <v>26</v>
      </c>
      <c r="B2655" t="s">
        <v>2358</v>
      </c>
      <c r="C2655">
        <v>27210.228515625</v>
      </c>
      <c r="D2655">
        <v>27379.505859375</v>
      </c>
      <c r="E2655">
        <v>26864.08203125</v>
      </c>
      <c r="F2655">
        <v>27132.0078125</v>
      </c>
      <c r="G2655">
        <v>27132.0078125</v>
      </c>
      <c r="H2655">
        <v>13281116604</v>
      </c>
      <c r="I2655" t="s">
        <v>6104</v>
      </c>
      <c r="J2655" t="s">
        <v>6105</v>
      </c>
      <c r="K2655" t="s">
        <v>4634</v>
      </c>
    </row>
    <row r="2656" spans="1:11" ht="20" customHeight="1">
      <c r="A2656" t="s">
        <v>26</v>
      </c>
      <c r="B2656" t="s">
        <v>2361</v>
      </c>
      <c r="C2656">
        <v>27129.83984375</v>
      </c>
      <c r="D2656">
        <v>27152.939453125</v>
      </c>
      <c r="E2656">
        <v>26389.30078125</v>
      </c>
      <c r="F2656">
        <v>26567.6328125</v>
      </c>
      <c r="G2656">
        <v>26567.6328125</v>
      </c>
      <c r="H2656">
        <v>13371443708</v>
      </c>
      <c r="I2656" t="s">
        <v>6105</v>
      </c>
      <c r="J2656" t="s">
        <v>6106</v>
      </c>
      <c r="K2656" t="s">
        <v>4634</v>
      </c>
    </row>
    <row r="2657" spans="1:11" ht="20" customHeight="1">
      <c r="A2657" t="s">
        <v>26</v>
      </c>
      <c r="B2657" t="s">
        <v>2364</v>
      </c>
      <c r="C2657">
        <v>26564.056640625</v>
      </c>
      <c r="D2657">
        <v>26726.078125</v>
      </c>
      <c r="E2657">
        <v>26495.533203125</v>
      </c>
      <c r="F2657">
        <v>26579.568359375</v>
      </c>
      <c r="G2657">
        <v>26579.568359375</v>
      </c>
      <c r="H2657">
        <v>10578746709</v>
      </c>
      <c r="I2657" t="s">
        <v>6106</v>
      </c>
      <c r="J2657" t="s">
        <v>6107</v>
      </c>
      <c r="K2657" t="s">
        <v>4634</v>
      </c>
    </row>
    <row r="2658" spans="1:11" ht="20" customHeight="1">
      <c r="A2658" t="s">
        <v>26</v>
      </c>
      <c r="B2658" t="s">
        <v>6108</v>
      </c>
      <c r="C2658">
        <v>26578.556640625</v>
      </c>
      <c r="D2658">
        <v>26634.185546875</v>
      </c>
      <c r="E2658">
        <v>26520.51953125</v>
      </c>
      <c r="F2658">
        <v>26579.390625</v>
      </c>
      <c r="G2658">
        <v>26579.390625</v>
      </c>
      <c r="H2658">
        <v>7404700301</v>
      </c>
      <c r="I2658" t="s">
        <v>6107</v>
      </c>
      <c r="J2658" t="s">
        <v>6109</v>
      </c>
      <c r="K2658" t="s">
        <v>4634</v>
      </c>
    </row>
    <row r="2659" spans="1:11" ht="20" customHeight="1">
      <c r="A2659" t="s">
        <v>26</v>
      </c>
      <c r="B2659" t="s">
        <v>6110</v>
      </c>
      <c r="C2659">
        <v>26579.373046875</v>
      </c>
      <c r="D2659">
        <v>26716.05859375</v>
      </c>
      <c r="E2659">
        <v>26221.05078125</v>
      </c>
      <c r="F2659">
        <v>26256.826171875</v>
      </c>
      <c r="G2659">
        <v>26256.826171875</v>
      </c>
      <c r="H2659">
        <v>8192867686</v>
      </c>
      <c r="I2659" t="s">
        <v>6109</v>
      </c>
      <c r="J2659" t="s">
        <v>6111</v>
      </c>
      <c r="K2659" t="s">
        <v>4634</v>
      </c>
    </row>
    <row r="2660" spans="1:11" ht="20" customHeight="1">
      <c r="A2660" t="s">
        <v>26</v>
      </c>
      <c r="B2660" t="s">
        <v>2367</v>
      </c>
      <c r="C2660">
        <v>26253.775390625</v>
      </c>
      <c r="D2660">
        <v>26421.5078125</v>
      </c>
      <c r="E2660">
        <v>26011.46875</v>
      </c>
      <c r="F2660">
        <v>26298.48046875</v>
      </c>
      <c r="G2660">
        <v>26298.48046875</v>
      </c>
      <c r="H2660">
        <v>11997833257</v>
      </c>
      <c r="I2660" t="s">
        <v>6111</v>
      </c>
      <c r="J2660" t="s">
        <v>6112</v>
      </c>
      <c r="K2660" t="s">
        <v>4634</v>
      </c>
    </row>
    <row r="2661" spans="1:11" ht="20" customHeight="1">
      <c r="A2661" t="s">
        <v>26</v>
      </c>
      <c r="B2661" t="s">
        <v>2370</v>
      </c>
      <c r="C2661">
        <v>26294.7578125</v>
      </c>
      <c r="D2661">
        <v>26389.884765625</v>
      </c>
      <c r="E2661">
        <v>26090.712890625</v>
      </c>
      <c r="F2661">
        <v>26217.25</v>
      </c>
      <c r="G2661">
        <v>26217.25</v>
      </c>
      <c r="H2661">
        <v>9985498161</v>
      </c>
      <c r="I2661" t="s">
        <v>6112</v>
      </c>
      <c r="J2661" t="s">
        <v>6113</v>
      </c>
      <c r="K2661" t="s">
        <v>4634</v>
      </c>
    </row>
    <row r="2662" spans="1:11" ht="20" customHeight="1">
      <c r="A2662" t="s">
        <v>26</v>
      </c>
      <c r="B2662" t="s">
        <v>2373</v>
      </c>
      <c r="C2662">
        <v>26209.498046875</v>
      </c>
      <c r="D2662">
        <v>26817.841796875</v>
      </c>
      <c r="E2662">
        <v>26111.46484375</v>
      </c>
      <c r="F2662">
        <v>26352.716796875</v>
      </c>
      <c r="G2662">
        <v>26352.716796875</v>
      </c>
      <c r="H2662">
        <v>11718380997</v>
      </c>
      <c r="I2662" t="s">
        <v>6113</v>
      </c>
      <c r="J2662" t="s">
        <v>6114</v>
      </c>
      <c r="K2662" t="s">
        <v>4634</v>
      </c>
    </row>
    <row r="2663" spans="1:11" ht="20" customHeight="1">
      <c r="A2663" t="s">
        <v>26</v>
      </c>
      <c r="B2663" t="s">
        <v>2376</v>
      </c>
      <c r="C2663">
        <v>26355.8125</v>
      </c>
      <c r="D2663">
        <v>27259.5</v>
      </c>
      <c r="E2663">
        <v>26327.322265625</v>
      </c>
      <c r="F2663">
        <v>27021.546875</v>
      </c>
      <c r="G2663">
        <v>27021.546875</v>
      </c>
      <c r="H2663">
        <v>14079002707</v>
      </c>
      <c r="I2663" t="s">
        <v>6114</v>
      </c>
      <c r="J2663" t="s">
        <v>6115</v>
      </c>
      <c r="K2663" t="s">
        <v>4634</v>
      </c>
    </row>
    <row r="2664" spans="1:11" ht="20" customHeight="1">
      <c r="A2664" t="s">
        <v>26</v>
      </c>
      <c r="B2664" t="s">
        <v>2379</v>
      </c>
      <c r="C2664">
        <v>27024.841796875</v>
      </c>
      <c r="D2664">
        <v>27225.9375</v>
      </c>
      <c r="E2664">
        <v>26721.763671875</v>
      </c>
      <c r="F2664">
        <v>26911.720703125</v>
      </c>
      <c r="G2664">
        <v>26911.720703125</v>
      </c>
      <c r="H2664">
        <v>10396435377</v>
      </c>
      <c r="I2664" t="s">
        <v>6115</v>
      </c>
      <c r="J2664" t="s">
        <v>6116</v>
      </c>
      <c r="K2664" t="s">
        <v>4634</v>
      </c>
    </row>
    <row r="2665" spans="1:11" ht="20" customHeight="1">
      <c r="A2665" t="s">
        <v>26</v>
      </c>
      <c r="B2665" t="s">
        <v>6117</v>
      </c>
      <c r="C2665">
        <v>26911.689453125</v>
      </c>
      <c r="D2665">
        <v>27091.794921875</v>
      </c>
      <c r="E2665">
        <v>26888.96875</v>
      </c>
      <c r="F2665">
        <v>26967.916015625</v>
      </c>
      <c r="G2665">
        <v>26967.916015625</v>
      </c>
      <c r="H2665">
        <v>5331172801</v>
      </c>
      <c r="I2665" t="s">
        <v>6116</v>
      </c>
      <c r="J2665" t="s">
        <v>6118</v>
      </c>
      <c r="K2665" t="s">
        <v>4634</v>
      </c>
    </row>
    <row r="2666" spans="1:11" ht="20" customHeight="1">
      <c r="A2666" t="s">
        <v>26</v>
      </c>
      <c r="B2666" t="s">
        <v>6119</v>
      </c>
      <c r="C2666">
        <v>26967.396484375</v>
      </c>
      <c r="D2666">
        <v>28047.23828125</v>
      </c>
      <c r="E2666">
        <v>26965.09375</v>
      </c>
      <c r="F2666">
        <v>27983.75</v>
      </c>
      <c r="G2666">
        <v>27983.75</v>
      </c>
      <c r="H2666">
        <v>9503917434</v>
      </c>
      <c r="I2666" t="s">
        <v>6118</v>
      </c>
      <c r="J2666" t="s">
        <v>6120</v>
      </c>
      <c r="K2666" t="s">
        <v>4634</v>
      </c>
    </row>
    <row r="2667" spans="1:11" ht="20" customHeight="1">
      <c r="A2667" t="s">
        <v>26</v>
      </c>
      <c r="B2667" t="s">
        <v>2382</v>
      </c>
      <c r="C2667">
        <v>27976.798828125</v>
      </c>
      <c r="D2667">
        <v>28494.458984375</v>
      </c>
      <c r="E2667">
        <v>27347.787109375</v>
      </c>
      <c r="F2667">
        <v>27530.78515625</v>
      </c>
      <c r="G2667">
        <v>27530.78515625</v>
      </c>
      <c r="H2667">
        <v>19793041322</v>
      </c>
      <c r="I2667" t="s">
        <v>6120</v>
      </c>
      <c r="J2667" t="s">
        <v>6121</v>
      </c>
      <c r="K2667" t="s">
        <v>4634</v>
      </c>
    </row>
    <row r="2668" spans="1:11" ht="20" customHeight="1">
      <c r="A2668" t="s">
        <v>26</v>
      </c>
      <c r="B2668" t="s">
        <v>2385</v>
      </c>
      <c r="C2668">
        <v>27508.251953125</v>
      </c>
      <c r="D2668">
        <v>27667.19140625</v>
      </c>
      <c r="E2668">
        <v>27216.001953125</v>
      </c>
      <c r="F2668">
        <v>27429.978515625</v>
      </c>
      <c r="G2668">
        <v>27429.978515625</v>
      </c>
      <c r="H2668">
        <v>11407814187</v>
      </c>
      <c r="I2668" t="s">
        <v>6121</v>
      </c>
      <c r="J2668" t="s">
        <v>6122</v>
      </c>
      <c r="K2668" t="s">
        <v>4634</v>
      </c>
    </row>
    <row r="2669" spans="1:11" ht="20" customHeight="1">
      <c r="A2669" t="s">
        <v>26</v>
      </c>
      <c r="B2669" t="s">
        <v>2388</v>
      </c>
      <c r="C2669">
        <v>27429.07421875</v>
      </c>
      <c r="D2669">
        <v>27826.658203125</v>
      </c>
      <c r="E2669">
        <v>27248.10546875</v>
      </c>
      <c r="F2669">
        <v>27799.39453125</v>
      </c>
      <c r="G2669">
        <v>27799.39453125</v>
      </c>
      <c r="H2669">
        <v>11143355314</v>
      </c>
      <c r="I2669" t="s">
        <v>6122</v>
      </c>
      <c r="J2669" t="s">
        <v>6123</v>
      </c>
      <c r="K2669" t="s">
        <v>4634</v>
      </c>
    </row>
    <row r="2670" spans="1:11" ht="20" customHeight="1">
      <c r="A2670" t="s">
        <v>26</v>
      </c>
      <c r="B2670" t="s">
        <v>2391</v>
      </c>
      <c r="C2670">
        <v>27798.646484375</v>
      </c>
      <c r="D2670">
        <v>28091.861328125</v>
      </c>
      <c r="E2670">
        <v>27375.6015625</v>
      </c>
      <c r="F2670">
        <v>27415.912109375</v>
      </c>
      <c r="G2670">
        <v>27415.912109375</v>
      </c>
      <c r="H2670">
        <v>11877253670</v>
      </c>
      <c r="I2670" t="s">
        <v>6123</v>
      </c>
      <c r="J2670" t="s">
        <v>6124</v>
      </c>
      <c r="K2670" t="s">
        <v>4634</v>
      </c>
    </row>
    <row r="2671" spans="1:11" ht="20" customHeight="1">
      <c r="A2671" t="s">
        <v>26</v>
      </c>
      <c r="B2671" t="s">
        <v>2394</v>
      </c>
      <c r="C2671">
        <v>27412.123046875</v>
      </c>
      <c r="D2671">
        <v>28252.537109375</v>
      </c>
      <c r="E2671">
        <v>27215.552734375</v>
      </c>
      <c r="F2671">
        <v>27946.59765625</v>
      </c>
      <c r="G2671">
        <v>27946.59765625</v>
      </c>
      <c r="H2671">
        <v>13492391599</v>
      </c>
      <c r="I2671" t="s">
        <v>6124</v>
      </c>
      <c r="J2671" t="s">
        <v>6125</v>
      </c>
      <c r="K2671" t="s">
        <v>4634</v>
      </c>
    </row>
    <row r="2672" spans="1:11" ht="20" customHeight="1">
      <c r="A2672" t="s">
        <v>26</v>
      </c>
      <c r="B2672" t="s">
        <v>6126</v>
      </c>
      <c r="C2672">
        <v>27946.78125</v>
      </c>
      <c r="D2672">
        <v>28028.091796875</v>
      </c>
      <c r="E2672">
        <v>27870.423828125</v>
      </c>
      <c r="F2672">
        <v>27968.83984375</v>
      </c>
      <c r="G2672">
        <v>27968.83984375</v>
      </c>
      <c r="H2672">
        <v>6553044316</v>
      </c>
      <c r="I2672" t="s">
        <v>6125</v>
      </c>
      <c r="J2672" t="s">
        <v>6127</v>
      </c>
      <c r="K2672" t="s">
        <v>4634</v>
      </c>
    </row>
    <row r="2673" spans="1:11" ht="20" customHeight="1">
      <c r="A2673" t="s">
        <v>26</v>
      </c>
      <c r="B2673" t="s">
        <v>6128</v>
      </c>
      <c r="C2673">
        <v>27971.677734375</v>
      </c>
      <c r="D2673">
        <v>28102.169921875</v>
      </c>
      <c r="E2673">
        <v>27740.662109375</v>
      </c>
      <c r="F2673">
        <v>27935.08984375</v>
      </c>
      <c r="G2673">
        <v>27935.08984375</v>
      </c>
      <c r="H2673">
        <v>7916875290</v>
      </c>
      <c r="I2673" t="s">
        <v>6127</v>
      </c>
      <c r="J2673" t="s">
        <v>6129</v>
      </c>
      <c r="K2673" t="s">
        <v>4634</v>
      </c>
    </row>
    <row r="2674" spans="1:11" ht="20" customHeight="1">
      <c r="A2674" t="s">
        <v>26</v>
      </c>
      <c r="B2674" t="s">
        <v>2397</v>
      </c>
      <c r="C2674">
        <v>27934.47265625</v>
      </c>
      <c r="D2674">
        <v>27989.470703125</v>
      </c>
      <c r="E2674">
        <v>27302.5625</v>
      </c>
      <c r="F2674">
        <v>27583.677734375</v>
      </c>
      <c r="G2674">
        <v>27583.677734375</v>
      </c>
      <c r="H2674">
        <v>12007668568</v>
      </c>
      <c r="I2674" t="s">
        <v>6129</v>
      </c>
      <c r="J2674" t="s">
        <v>6130</v>
      </c>
      <c r="K2674" t="s">
        <v>4634</v>
      </c>
    </row>
    <row r="2675" spans="1:11" ht="20" customHeight="1">
      <c r="A2675" t="s">
        <v>26</v>
      </c>
      <c r="B2675" t="s">
        <v>2400</v>
      </c>
      <c r="C2675">
        <v>27589.201171875</v>
      </c>
      <c r="D2675">
        <v>27715.84765625</v>
      </c>
      <c r="E2675">
        <v>27301.654296875</v>
      </c>
      <c r="F2675">
        <v>27391.01953125</v>
      </c>
      <c r="G2675">
        <v>27391.01953125</v>
      </c>
      <c r="H2675">
        <v>9973350678</v>
      </c>
      <c r="I2675" t="s">
        <v>6130</v>
      </c>
      <c r="J2675" t="s">
        <v>6131</v>
      </c>
      <c r="K2675" t="s">
        <v>4634</v>
      </c>
    </row>
    <row r="2676" spans="1:11" ht="20" customHeight="1">
      <c r="A2676" t="s">
        <v>26</v>
      </c>
      <c r="B2676" t="s">
        <v>2403</v>
      </c>
      <c r="C2676">
        <v>27392.076171875</v>
      </c>
      <c r="D2676">
        <v>27474.115234375</v>
      </c>
      <c r="E2676">
        <v>26561.099609375</v>
      </c>
      <c r="F2676">
        <v>26873.3203125</v>
      </c>
      <c r="G2676">
        <v>26873.3203125</v>
      </c>
      <c r="H2676">
        <v>13648094333</v>
      </c>
      <c r="I2676" t="s">
        <v>6131</v>
      </c>
      <c r="J2676" t="s">
        <v>6132</v>
      </c>
      <c r="K2676" t="s">
        <v>4634</v>
      </c>
    </row>
    <row r="2677" spans="1:11" ht="20" customHeight="1">
      <c r="A2677" t="s">
        <v>26</v>
      </c>
      <c r="B2677" t="s">
        <v>2406</v>
      </c>
      <c r="C2677">
        <v>26873.29296875</v>
      </c>
      <c r="D2677">
        <v>26921.439453125</v>
      </c>
      <c r="E2677">
        <v>26558.3203125</v>
      </c>
      <c r="F2677">
        <v>26756.798828125</v>
      </c>
      <c r="G2677">
        <v>26756.798828125</v>
      </c>
      <c r="H2677">
        <v>9392909295</v>
      </c>
      <c r="I2677" t="s">
        <v>6132</v>
      </c>
      <c r="J2677" t="s">
        <v>6133</v>
      </c>
      <c r="K2677" t="s">
        <v>4634</v>
      </c>
    </row>
    <row r="2678" spans="1:11" ht="20" customHeight="1">
      <c r="A2678" t="s">
        <v>26</v>
      </c>
      <c r="B2678" t="s">
        <v>2409</v>
      </c>
      <c r="C2678">
        <v>26752.87890625</v>
      </c>
      <c r="D2678">
        <v>27092.697265625</v>
      </c>
      <c r="E2678">
        <v>26686.322265625</v>
      </c>
      <c r="F2678">
        <v>26862.375</v>
      </c>
      <c r="G2678">
        <v>26862.375</v>
      </c>
      <c r="H2678">
        <v>15165312851</v>
      </c>
      <c r="I2678" t="s">
        <v>6133</v>
      </c>
      <c r="J2678" t="s">
        <v>6134</v>
      </c>
      <c r="K2678" t="s">
        <v>4634</v>
      </c>
    </row>
    <row r="2679" spans="1:11" ht="20" customHeight="1">
      <c r="A2679" t="s">
        <v>26</v>
      </c>
      <c r="B2679" t="s">
        <v>6135</v>
      </c>
      <c r="C2679">
        <v>26866.203125</v>
      </c>
      <c r="D2679">
        <v>26969</v>
      </c>
      <c r="E2679">
        <v>26814.5859375</v>
      </c>
      <c r="F2679">
        <v>26861.70703125</v>
      </c>
      <c r="G2679">
        <v>26861.70703125</v>
      </c>
      <c r="H2679">
        <v>5388116782</v>
      </c>
      <c r="I2679" t="s">
        <v>6134</v>
      </c>
      <c r="J2679" t="s">
        <v>6136</v>
      </c>
      <c r="K2679" t="s">
        <v>4634</v>
      </c>
    </row>
    <row r="2680" spans="1:11" ht="20" customHeight="1">
      <c r="A2680" t="s">
        <v>26</v>
      </c>
      <c r="B2680" t="s">
        <v>6137</v>
      </c>
      <c r="C2680">
        <v>26858.01171875</v>
      </c>
      <c r="D2680">
        <v>27289.169921875</v>
      </c>
      <c r="E2680">
        <v>26817.89453125</v>
      </c>
      <c r="F2680">
        <v>27159.65234375</v>
      </c>
      <c r="G2680">
        <v>27159.65234375</v>
      </c>
      <c r="H2680">
        <v>7098201980</v>
      </c>
      <c r="I2680" t="s">
        <v>6136</v>
      </c>
      <c r="J2680" t="s">
        <v>6138</v>
      </c>
      <c r="K2680" t="s">
        <v>4634</v>
      </c>
    </row>
    <row r="2681" spans="1:11" ht="20" customHeight="1">
      <c r="A2681" t="s">
        <v>26</v>
      </c>
      <c r="B2681" t="s">
        <v>2412</v>
      </c>
      <c r="C2681">
        <v>27162.62890625</v>
      </c>
      <c r="D2681">
        <v>29448.138671875</v>
      </c>
      <c r="E2681">
        <v>27130.47265625</v>
      </c>
      <c r="F2681">
        <v>28519.466796875</v>
      </c>
      <c r="G2681">
        <v>28519.466796875</v>
      </c>
      <c r="H2681">
        <v>27833876539</v>
      </c>
      <c r="I2681" t="s">
        <v>6138</v>
      </c>
      <c r="J2681" t="s">
        <v>6139</v>
      </c>
      <c r="K2681" t="s">
        <v>4634</v>
      </c>
    </row>
    <row r="2682" spans="1:11" ht="20" customHeight="1">
      <c r="A2682" t="s">
        <v>26</v>
      </c>
      <c r="B2682" t="s">
        <v>2415</v>
      </c>
      <c r="C2682">
        <v>28522.09765625</v>
      </c>
      <c r="D2682">
        <v>28618.751953125</v>
      </c>
      <c r="E2682">
        <v>28110.185546875</v>
      </c>
      <c r="F2682">
        <v>28415.748046875</v>
      </c>
      <c r="G2682">
        <v>28415.748046875</v>
      </c>
      <c r="H2682">
        <v>14872527508</v>
      </c>
      <c r="I2682" t="s">
        <v>6139</v>
      </c>
      <c r="J2682" t="s">
        <v>6140</v>
      </c>
      <c r="K2682" t="s">
        <v>4634</v>
      </c>
    </row>
    <row r="2683" spans="1:11" ht="20" customHeight="1">
      <c r="A2683" t="s">
        <v>26</v>
      </c>
      <c r="B2683" t="s">
        <v>2418</v>
      </c>
      <c r="C2683">
        <v>28413.53125</v>
      </c>
      <c r="D2683">
        <v>28889.009765625</v>
      </c>
      <c r="E2683">
        <v>28174.251953125</v>
      </c>
      <c r="F2683">
        <v>28328.341796875</v>
      </c>
      <c r="G2683">
        <v>28328.341796875</v>
      </c>
      <c r="H2683">
        <v>12724128586</v>
      </c>
      <c r="I2683" t="s">
        <v>6140</v>
      </c>
      <c r="J2683" t="s">
        <v>6141</v>
      </c>
      <c r="K2683" t="s">
        <v>4634</v>
      </c>
    </row>
    <row r="2684" spans="1:11" ht="20" customHeight="1">
      <c r="A2684" t="s">
        <v>26</v>
      </c>
      <c r="B2684" t="s">
        <v>2421</v>
      </c>
      <c r="C2684">
        <v>28332.416015625</v>
      </c>
      <c r="D2684">
        <v>28892.474609375</v>
      </c>
      <c r="E2684">
        <v>28177.98828125</v>
      </c>
      <c r="F2684">
        <v>28719.806640625</v>
      </c>
      <c r="G2684">
        <v>28719.806640625</v>
      </c>
      <c r="H2684">
        <v>14448058195</v>
      </c>
      <c r="I2684" t="s">
        <v>6141</v>
      </c>
      <c r="J2684" t="s">
        <v>6142</v>
      </c>
      <c r="K2684" t="s">
        <v>4634</v>
      </c>
    </row>
    <row r="2685" spans="1:11" ht="20" customHeight="1">
      <c r="A2685" t="s">
        <v>26</v>
      </c>
      <c r="B2685" t="s">
        <v>2424</v>
      </c>
      <c r="C2685">
        <v>28732.8125</v>
      </c>
      <c r="D2685">
        <v>30104.0859375</v>
      </c>
      <c r="E2685">
        <v>28601.669921875</v>
      </c>
      <c r="F2685">
        <v>29682.94921875</v>
      </c>
      <c r="G2685">
        <v>29682.94921875</v>
      </c>
      <c r="H2685">
        <v>21536125230</v>
      </c>
      <c r="I2685" t="s">
        <v>6142</v>
      </c>
      <c r="J2685" t="s">
        <v>6143</v>
      </c>
      <c r="K2685" t="s">
        <v>4634</v>
      </c>
    </row>
    <row r="2686" spans="1:11" ht="20" customHeight="1">
      <c r="A2686" t="s">
        <v>26</v>
      </c>
      <c r="B2686" t="s">
        <v>6144</v>
      </c>
      <c r="C2686">
        <v>29683.380859375</v>
      </c>
      <c r="D2686">
        <v>30287.482421875</v>
      </c>
      <c r="E2686">
        <v>29481.751953125</v>
      </c>
      <c r="F2686">
        <v>29918.412109375</v>
      </c>
      <c r="G2686">
        <v>29918.412109375</v>
      </c>
      <c r="H2686">
        <v>11541146996</v>
      </c>
      <c r="I2686" t="s">
        <v>6143</v>
      </c>
      <c r="J2686" t="s">
        <v>6145</v>
      </c>
      <c r="K2686" t="s">
        <v>4634</v>
      </c>
    </row>
    <row r="2687" spans="1:11" ht="20" customHeight="1">
      <c r="A2687" t="s">
        <v>26</v>
      </c>
      <c r="B2687" t="s">
        <v>6146</v>
      </c>
      <c r="C2687">
        <v>29918.654296875</v>
      </c>
      <c r="D2687">
        <v>30199.43359375</v>
      </c>
      <c r="E2687">
        <v>29720.3125</v>
      </c>
      <c r="F2687">
        <v>29993.896484375</v>
      </c>
      <c r="G2687">
        <v>29993.896484375</v>
      </c>
      <c r="H2687">
        <v>10446520040</v>
      </c>
      <c r="I2687" t="s">
        <v>6145</v>
      </c>
      <c r="J2687" t="s">
        <v>6147</v>
      </c>
      <c r="K2687" t="s">
        <v>4634</v>
      </c>
    </row>
    <row r="2688" spans="1:11" ht="20" customHeight="1">
      <c r="A2688" t="s">
        <v>26</v>
      </c>
      <c r="B2688" t="s">
        <v>2427</v>
      </c>
      <c r="C2688">
        <v>30140.685546875</v>
      </c>
      <c r="D2688">
        <v>34370.4375</v>
      </c>
      <c r="E2688">
        <v>30097.828125</v>
      </c>
      <c r="F2688">
        <v>33086.234375</v>
      </c>
      <c r="G2688">
        <v>33086.234375</v>
      </c>
      <c r="H2688">
        <v>38363572311</v>
      </c>
      <c r="I2688" t="s">
        <v>6147</v>
      </c>
      <c r="J2688" t="s">
        <v>6148</v>
      </c>
      <c r="K2688" t="s">
        <v>4634</v>
      </c>
    </row>
    <row r="2689" spans="1:11" ht="20" customHeight="1">
      <c r="A2689" t="s">
        <v>26</v>
      </c>
      <c r="B2689" t="s">
        <v>2430</v>
      </c>
      <c r="C2689">
        <v>33077.3046875</v>
      </c>
      <c r="D2689">
        <v>35150.43359375</v>
      </c>
      <c r="E2689">
        <v>32880.76171875</v>
      </c>
      <c r="F2689">
        <v>33901.52734375</v>
      </c>
      <c r="G2689">
        <v>33901.52734375</v>
      </c>
      <c r="H2689">
        <v>44934999645</v>
      </c>
      <c r="I2689" t="s">
        <v>6148</v>
      </c>
      <c r="J2689" t="s">
        <v>6149</v>
      </c>
      <c r="K2689" t="s">
        <v>4634</v>
      </c>
    </row>
    <row r="2690" spans="1:11" ht="20" customHeight="1">
      <c r="A2690" t="s">
        <v>26</v>
      </c>
      <c r="B2690" t="s">
        <v>2433</v>
      </c>
      <c r="C2690">
        <v>33916.04296875</v>
      </c>
      <c r="D2690">
        <v>35133.7578125</v>
      </c>
      <c r="E2690">
        <v>33709.109375</v>
      </c>
      <c r="F2690">
        <v>34502.8203125</v>
      </c>
      <c r="G2690">
        <v>34502.8203125</v>
      </c>
      <c r="H2690">
        <v>25254318008</v>
      </c>
      <c r="I2690" t="s">
        <v>6149</v>
      </c>
      <c r="J2690" t="s">
        <v>6150</v>
      </c>
      <c r="K2690" t="s">
        <v>4634</v>
      </c>
    </row>
    <row r="2691" spans="1:11" ht="20" customHeight="1">
      <c r="A2691" t="s">
        <v>26</v>
      </c>
      <c r="B2691" t="s">
        <v>2436</v>
      </c>
      <c r="C2691">
        <v>34504.2890625</v>
      </c>
      <c r="D2691">
        <v>34832.91015625</v>
      </c>
      <c r="E2691">
        <v>33762.32421875</v>
      </c>
      <c r="F2691">
        <v>34156.6484375</v>
      </c>
      <c r="G2691">
        <v>34156.6484375</v>
      </c>
      <c r="H2691">
        <v>19427195376</v>
      </c>
      <c r="I2691" t="s">
        <v>6150</v>
      </c>
      <c r="J2691" t="s">
        <v>6151</v>
      </c>
      <c r="K2691" t="s">
        <v>4634</v>
      </c>
    </row>
    <row r="2692" spans="1:11" ht="20" customHeight="1">
      <c r="A2692" t="s">
        <v>26</v>
      </c>
      <c r="B2692" t="s">
        <v>2439</v>
      </c>
      <c r="C2692">
        <v>34156.5</v>
      </c>
      <c r="D2692">
        <v>34238.2109375</v>
      </c>
      <c r="E2692">
        <v>33416.88671875</v>
      </c>
      <c r="F2692">
        <v>33909.80078125</v>
      </c>
      <c r="G2692">
        <v>33909.80078125</v>
      </c>
      <c r="H2692">
        <v>16418032871</v>
      </c>
      <c r="I2692" t="s">
        <v>6151</v>
      </c>
      <c r="J2692" t="s">
        <v>6152</v>
      </c>
      <c r="K2692" t="s">
        <v>4634</v>
      </c>
    </row>
    <row r="2693" spans="1:11" ht="20" customHeight="1">
      <c r="A2693" t="s">
        <v>26</v>
      </c>
      <c r="B2693" t="s">
        <v>6153</v>
      </c>
      <c r="C2693">
        <v>33907.72265625</v>
      </c>
      <c r="D2693">
        <v>34399.390625</v>
      </c>
      <c r="E2693">
        <v>33874.8046875</v>
      </c>
      <c r="F2693">
        <v>34089.57421875</v>
      </c>
      <c r="G2693">
        <v>34089.57421875</v>
      </c>
      <c r="H2693">
        <v>10160330825</v>
      </c>
      <c r="I2693" t="s">
        <v>6152</v>
      </c>
      <c r="J2693" t="s">
        <v>6154</v>
      </c>
      <c r="K2693" t="s">
        <v>4634</v>
      </c>
    </row>
    <row r="2694" spans="1:11" ht="20" customHeight="1">
      <c r="A2694" t="s">
        <v>26</v>
      </c>
      <c r="B2694" t="s">
        <v>6155</v>
      </c>
      <c r="C2694">
        <v>34089.37109375</v>
      </c>
      <c r="D2694">
        <v>34743.26171875</v>
      </c>
      <c r="E2694">
        <v>33947.56640625</v>
      </c>
      <c r="F2694">
        <v>34538.48046875</v>
      </c>
      <c r="G2694">
        <v>34538.48046875</v>
      </c>
      <c r="H2694">
        <v>11160323986</v>
      </c>
      <c r="I2694" t="s">
        <v>6154</v>
      </c>
      <c r="J2694" t="s">
        <v>6156</v>
      </c>
      <c r="K2694" t="s">
        <v>4634</v>
      </c>
    </row>
    <row r="2695" spans="1:11" ht="20" customHeight="1">
      <c r="A2695" t="s">
        <v>26</v>
      </c>
      <c r="B2695" t="s">
        <v>2442</v>
      </c>
      <c r="C2695">
        <v>34531.7421875</v>
      </c>
      <c r="D2695">
        <v>34843.93359375</v>
      </c>
      <c r="E2695">
        <v>34110.97265625</v>
      </c>
      <c r="F2695">
        <v>34502.36328125</v>
      </c>
      <c r="G2695">
        <v>34502.36328125</v>
      </c>
      <c r="H2695">
        <v>17184860315</v>
      </c>
      <c r="I2695" t="s">
        <v>6156</v>
      </c>
      <c r="J2695" t="s">
        <v>6157</v>
      </c>
      <c r="K2695" t="s">
        <v>4634</v>
      </c>
    </row>
    <row r="2696" spans="1:11" ht="20" customHeight="1">
      <c r="A2696" t="s">
        <v>26</v>
      </c>
      <c r="B2696" t="s">
        <v>2445</v>
      </c>
      <c r="C2696">
        <v>34500.078125</v>
      </c>
      <c r="D2696">
        <v>34719.25390625</v>
      </c>
      <c r="E2696">
        <v>34083.30859375</v>
      </c>
      <c r="F2696">
        <v>34667.78125</v>
      </c>
      <c r="G2696">
        <v>34667.78125</v>
      </c>
      <c r="H2696">
        <v>15758270810</v>
      </c>
      <c r="I2696" t="s">
        <v>6157</v>
      </c>
      <c r="J2696" t="s">
        <v>6158</v>
      </c>
      <c r="K2696" t="s">
        <v>4634</v>
      </c>
    </row>
    <row r="2697" spans="1:11" ht="20" customHeight="1">
      <c r="A2697" t="s">
        <v>26</v>
      </c>
      <c r="B2697" t="s">
        <v>2448</v>
      </c>
      <c r="C2697">
        <v>34657.2734375</v>
      </c>
      <c r="D2697">
        <v>35527.9296875</v>
      </c>
      <c r="E2697">
        <v>34170.69140625</v>
      </c>
      <c r="F2697">
        <v>35437.25390625</v>
      </c>
      <c r="G2697">
        <v>35437.25390625</v>
      </c>
      <c r="H2697">
        <v>22446272005</v>
      </c>
      <c r="I2697" t="s">
        <v>6158</v>
      </c>
      <c r="J2697" t="s">
        <v>6159</v>
      </c>
      <c r="K2697" t="s">
        <v>4634</v>
      </c>
    </row>
    <row r="2698" spans="1:11" ht="20" customHeight="1">
      <c r="A2698" t="s">
        <v>26</v>
      </c>
      <c r="B2698" t="s">
        <v>2451</v>
      </c>
      <c r="C2698">
        <v>35441.578125</v>
      </c>
      <c r="D2698">
        <v>35919.84375</v>
      </c>
      <c r="E2698">
        <v>34401.57421875</v>
      </c>
      <c r="F2698">
        <v>34938.2421875</v>
      </c>
      <c r="G2698">
        <v>34938.2421875</v>
      </c>
      <c r="H2698">
        <v>20998158544</v>
      </c>
      <c r="I2698" t="s">
        <v>6159</v>
      </c>
      <c r="J2698" t="s">
        <v>6160</v>
      </c>
      <c r="K2698" t="s">
        <v>4634</v>
      </c>
    </row>
    <row r="2699" spans="1:11" ht="20" customHeight="1">
      <c r="A2699" t="s">
        <v>26</v>
      </c>
      <c r="B2699" t="s">
        <v>2454</v>
      </c>
      <c r="C2699">
        <v>34942.47265625</v>
      </c>
      <c r="D2699">
        <v>34942.47265625</v>
      </c>
      <c r="E2699">
        <v>34133.44140625</v>
      </c>
      <c r="F2699">
        <v>34732.32421875</v>
      </c>
      <c r="G2699">
        <v>34732.32421875</v>
      </c>
      <c r="H2699">
        <v>17158456701</v>
      </c>
      <c r="I2699" t="s">
        <v>6160</v>
      </c>
      <c r="J2699" t="s">
        <v>6161</v>
      </c>
      <c r="K2699" t="s">
        <v>4634</v>
      </c>
    </row>
    <row r="2700" spans="1:11" ht="20" customHeight="1">
      <c r="A2700" t="s">
        <v>26</v>
      </c>
      <c r="B2700" t="s">
        <v>6162</v>
      </c>
      <c r="C2700">
        <v>34736.32421875</v>
      </c>
      <c r="D2700">
        <v>35256.03125</v>
      </c>
      <c r="E2700">
        <v>34616.69140625</v>
      </c>
      <c r="F2700">
        <v>35082.1953125</v>
      </c>
      <c r="G2700">
        <v>35082.1953125</v>
      </c>
      <c r="H2700">
        <v>9561294264</v>
      </c>
      <c r="I2700" t="s">
        <v>6161</v>
      </c>
      <c r="J2700" t="s">
        <v>6163</v>
      </c>
      <c r="K2700" t="s">
        <v>4634</v>
      </c>
    </row>
    <row r="2701" spans="1:11" ht="20" customHeight="1">
      <c r="A2701" t="s">
        <v>26</v>
      </c>
      <c r="B2701" t="s">
        <v>6164</v>
      </c>
      <c r="C2701">
        <v>35090.01171875</v>
      </c>
      <c r="D2701">
        <v>35340.33984375</v>
      </c>
      <c r="E2701">
        <v>34594.2421875</v>
      </c>
      <c r="F2701">
        <v>35049.35546875</v>
      </c>
      <c r="G2701">
        <v>35049.35546875</v>
      </c>
      <c r="H2701">
        <v>12412743996</v>
      </c>
      <c r="I2701" t="s">
        <v>6163</v>
      </c>
      <c r="J2701" t="s">
        <v>6165</v>
      </c>
      <c r="K2701" t="s">
        <v>4634</v>
      </c>
    </row>
    <row r="2702" spans="1:11" ht="20" customHeight="1">
      <c r="A2702" t="s">
        <v>26</v>
      </c>
      <c r="B2702" t="s">
        <v>2457</v>
      </c>
      <c r="C2702">
        <v>35044.7890625</v>
      </c>
      <c r="D2702">
        <v>35286.02734375</v>
      </c>
      <c r="E2702">
        <v>34765.36328125</v>
      </c>
      <c r="F2702">
        <v>35037.37109375</v>
      </c>
      <c r="G2702">
        <v>35037.37109375</v>
      </c>
      <c r="H2702">
        <v>12693436420</v>
      </c>
      <c r="I2702" t="s">
        <v>6165</v>
      </c>
      <c r="J2702" t="s">
        <v>6166</v>
      </c>
      <c r="K2702" t="s">
        <v>4634</v>
      </c>
    </row>
    <row r="2703" spans="1:11" ht="20" customHeight="1">
      <c r="A2703" t="s">
        <v>26</v>
      </c>
      <c r="B2703" t="s">
        <v>2460</v>
      </c>
      <c r="C2703">
        <v>35047.79296875</v>
      </c>
      <c r="D2703">
        <v>35892.41796875</v>
      </c>
      <c r="E2703">
        <v>34545.81640625</v>
      </c>
      <c r="F2703">
        <v>35443.5625</v>
      </c>
      <c r="G2703">
        <v>35443.5625</v>
      </c>
      <c r="H2703">
        <v>18834737789</v>
      </c>
      <c r="I2703" t="s">
        <v>6166</v>
      </c>
      <c r="J2703" t="s">
        <v>6167</v>
      </c>
      <c r="K2703" t="s">
        <v>4634</v>
      </c>
    </row>
    <row r="2704" spans="1:11" ht="20" customHeight="1">
      <c r="A2704" t="s">
        <v>26</v>
      </c>
      <c r="B2704" t="s">
        <v>2463</v>
      </c>
      <c r="C2704">
        <v>35419.4765625</v>
      </c>
      <c r="D2704">
        <v>35994.41796875</v>
      </c>
      <c r="E2704">
        <v>35147.80078125</v>
      </c>
      <c r="F2704">
        <v>35655.27734375</v>
      </c>
      <c r="G2704">
        <v>35655.27734375</v>
      </c>
      <c r="H2704">
        <v>17295394918</v>
      </c>
      <c r="I2704" t="s">
        <v>6167</v>
      </c>
      <c r="J2704" t="s">
        <v>6168</v>
      </c>
      <c r="K2704" t="s">
        <v>4634</v>
      </c>
    </row>
    <row r="2705" spans="1:11" ht="20" customHeight="1">
      <c r="A2705" t="s">
        <v>26</v>
      </c>
      <c r="B2705" t="s">
        <v>2466</v>
      </c>
      <c r="C2705">
        <v>35633.6328125</v>
      </c>
      <c r="D2705">
        <v>37926.2578125</v>
      </c>
      <c r="E2705">
        <v>35592.1015625</v>
      </c>
      <c r="F2705">
        <v>36693.125</v>
      </c>
      <c r="G2705">
        <v>36693.125</v>
      </c>
      <c r="H2705">
        <v>37762672382</v>
      </c>
      <c r="I2705" t="s">
        <v>6168</v>
      </c>
      <c r="J2705" t="s">
        <v>6169</v>
      </c>
      <c r="K2705" t="s">
        <v>4634</v>
      </c>
    </row>
    <row r="2706" spans="1:11" ht="20" customHeight="1">
      <c r="A2706" t="s">
        <v>26</v>
      </c>
      <c r="B2706" t="s">
        <v>2469</v>
      </c>
      <c r="C2706">
        <v>36702.25</v>
      </c>
      <c r="D2706">
        <v>37493.80078125</v>
      </c>
      <c r="E2706">
        <v>36362.75390625</v>
      </c>
      <c r="F2706">
        <v>37313.96875</v>
      </c>
      <c r="G2706">
        <v>37313.96875</v>
      </c>
      <c r="H2706">
        <v>22711265155</v>
      </c>
      <c r="I2706" t="s">
        <v>6169</v>
      </c>
      <c r="J2706" t="s">
        <v>6170</v>
      </c>
      <c r="K2706" t="s">
        <v>4634</v>
      </c>
    </row>
    <row r="2707" spans="1:11" ht="20" customHeight="1">
      <c r="A2707" t="s">
        <v>26</v>
      </c>
      <c r="B2707" t="s">
        <v>6171</v>
      </c>
      <c r="C2707">
        <v>37310.0703125</v>
      </c>
      <c r="D2707">
        <v>37407.09375</v>
      </c>
      <c r="E2707">
        <v>36773.66796875</v>
      </c>
      <c r="F2707">
        <v>37138.05078125</v>
      </c>
      <c r="G2707">
        <v>37138.05078125</v>
      </c>
      <c r="H2707">
        <v>13924272142</v>
      </c>
      <c r="I2707" t="s">
        <v>6170</v>
      </c>
      <c r="J2707" t="s">
        <v>6172</v>
      </c>
      <c r="K2707" t="s">
        <v>4634</v>
      </c>
    </row>
    <row r="2708" spans="1:11" ht="20" customHeight="1">
      <c r="A2708" t="s">
        <v>26</v>
      </c>
      <c r="B2708" t="s">
        <v>6173</v>
      </c>
      <c r="C2708">
        <v>37133.9921875</v>
      </c>
      <c r="D2708">
        <v>37227.69140625</v>
      </c>
      <c r="E2708">
        <v>36779.1171875</v>
      </c>
      <c r="F2708">
        <v>37054.51953125</v>
      </c>
      <c r="G2708">
        <v>37054.51953125</v>
      </c>
      <c r="H2708">
        <v>11545715999</v>
      </c>
      <c r="I2708" t="s">
        <v>6172</v>
      </c>
      <c r="J2708" t="s">
        <v>6174</v>
      </c>
      <c r="K2708" t="s">
        <v>4634</v>
      </c>
    </row>
    <row r="2709" spans="1:11" ht="20" customHeight="1">
      <c r="A2709" t="s">
        <v>26</v>
      </c>
      <c r="B2709" t="s">
        <v>2472</v>
      </c>
      <c r="C2709">
        <v>37070.3046875</v>
      </c>
      <c r="D2709">
        <v>37405.1171875</v>
      </c>
      <c r="E2709">
        <v>36399.60546875</v>
      </c>
      <c r="F2709">
        <v>36502.35546875</v>
      </c>
      <c r="G2709">
        <v>36502.35546875</v>
      </c>
      <c r="H2709">
        <v>19057712790</v>
      </c>
      <c r="I2709" t="s">
        <v>6174</v>
      </c>
      <c r="J2709" t="s">
        <v>6175</v>
      </c>
      <c r="K2709" t="s">
        <v>4634</v>
      </c>
    </row>
    <row r="2710" spans="1:11" ht="20" customHeight="1">
      <c r="A2710" t="s">
        <v>26</v>
      </c>
      <c r="B2710" t="s">
        <v>2475</v>
      </c>
      <c r="C2710">
        <v>36491.7890625</v>
      </c>
      <c r="D2710">
        <v>36753.3515625</v>
      </c>
      <c r="E2710">
        <v>34948.5</v>
      </c>
      <c r="F2710">
        <v>35537.640625</v>
      </c>
      <c r="G2710">
        <v>35537.640625</v>
      </c>
      <c r="H2710">
        <v>23857403554</v>
      </c>
      <c r="I2710" t="s">
        <v>6175</v>
      </c>
      <c r="J2710" t="s">
        <v>6176</v>
      </c>
      <c r="K2710" t="s">
        <v>4634</v>
      </c>
    </row>
    <row r="2711" spans="1:11" ht="20" customHeight="1">
      <c r="A2711" t="s">
        <v>26</v>
      </c>
      <c r="B2711" t="s">
        <v>2478</v>
      </c>
      <c r="C2711">
        <v>35548.11328125</v>
      </c>
      <c r="D2711">
        <v>37964.89453125</v>
      </c>
      <c r="E2711">
        <v>35383.78125</v>
      </c>
      <c r="F2711">
        <v>37880.58203125</v>
      </c>
      <c r="G2711">
        <v>37880.58203125</v>
      </c>
      <c r="H2711">
        <v>27365821679</v>
      </c>
      <c r="I2711" t="s">
        <v>6176</v>
      </c>
      <c r="J2711" t="s">
        <v>6177</v>
      </c>
      <c r="K2711" t="s">
        <v>4634</v>
      </c>
    </row>
    <row r="2712" spans="1:11" ht="20" customHeight="1">
      <c r="A2712" t="s">
        <v>26</v>
      </c>
      <c r="B2712" t="s">
        <v>2481</v>
      </c>
      <c r="C2712">
        <v>37879.98046875</v>
      </c>
      <c r="D2712">
        <v>37934.625</v>
      </c>
      <c r="E2712">
        <v>35545.47265625</v>
      </c>
      <c r="F2712">
        <v>36154.76953125</v>
      </c>
      <c r="G2712">
        <v>36154.76953125</v>
      </c>
      <c r="H2712">
        <v>26007385366</v>
      </c>
      <c r="I2712" t="s">
        <v>6177</v>
      </c>
      <c r="J2712" t="s">
        <v>6178</v>
      </c>
      <c r="K2712" t="s">
        <v>4634</v>
      </c>
    </row>
    <row r="2713" spans="1:11" ht="20" customHeight="1">
      <c r="A2713" t="s">
        <v>26</v>
      </c>
      <c r="B2713" t="s">
        <v>2484</v>
      </c>
      <c r="C2713">
        <v>36164.82421875</v>
      </c>
      <c r="D2713">
        <v>36704.484375</v>
      </c>
      <c r="E2713">
        <v>35901.234375</v>
      </c>
      <c r="F2713">
        <v>36596.68359375</v>
      </c>
      <c r="G2713">
        <v>36596.68359375</v>
      </c>
      <c r="H2713">
        <v>22445028430</v>
      </c>
      <c r="I2713" t="s">
        <v>6178</v>
      </c>
      <c r="J2713" t="s">
        <v>6179</v>
      </c>
      <c r="K2713" t="s">
        <v>4634</v>
      </c>
    </row>
    <row r="2714" spans="1:11" ht="20" customHeight="1">
      <c r="A2714" t="s">
        <v>26</v>
      </c>
      <c r="B2714" t="s">
        <v>6180</v>
      </c>
      <c r="C2714">
        <v>36625.37109375</v>
      </c>
      <c r="D2714">
        <v>36839.28125</v>
      </c>
      <c r="E2714">
        <v>36233.3125</v>
      </c>
      <c r="F2714">
        <v>36585.703125</v>
      </c>
      <c r="G2714">
        <v>36585.703125</v>
      </c>
      <c r="H2714">
        <v>11886022717</v>
      </c>
      <c r="I2714" t="s">
        <v>6179</v>
      </c>
      <c r="J2714" t="s">
        <v>6181</v>
      </c>
      <c r="K2714" t="s">
        <v>4634</v>
      </c>
    </row>
    <row r="2715" spans="1:11" ht="20" customHeight="1">
      <c r="A2715" t="s">
        <v>26</v>
      </c>
      <c r="B2715" t="s">
        <v>6182</v>
      </c>
      <c r="C2715">
        <v>36585.765625</v>
      </c>
      <c r="D2715">
        <v>37509.35546875</v>
      </c>
      <c r="E2715">
        <v>36414.59765625</v>
      </c>
      <c r="F2715">
        <v>37386.546875</v>
      </c>
      <c r="G2715">
        <v>37386.546875</v>
      </c>
      <c r="H2715">
        <v>12915986553</v>
      </c>
      <c r="I2715" t="s">
        <v>6181</v>
      </c>
      <c r="J2715" t="s">
        <v>6183</v>
      </c>
      <c r="K2715" t="s">
        <v>4634</v>
      </c>
    </row>
    <row r="2716" spans="1:11" ht="20" customHeight="1">
      <c r="A2716" t="s">
        <v>26</v>
      </c>
      <c r="B2716" t="s">
        <v>2487</v>
      </c>
      <c r="C2716">
        <v>37374.07421875</v>
      </c>
      <c r="D2716">
        <v>37756.8203125</v>
      </c>
      <c r="E2716">
        <v>36882.53125</v>
      </c>
      <c r="F2716">
        <v>37476.95703125</v>
      </c>
      <c r="G2716">
        <v>37476.95703125</v>
      </c>
      <c r="H2716">
        <v>20888209068</v>
      </c>
      <c r="I2716" t="s">
        <v>6183</v>
      </c>
      <c r="J2716" t="s">
        <v>6184</v>
      </c>
      <c r="K2716" t="s">
        <v>4634</v>
      </c>
    </row>
    <row r="2717" spans="1:11" ht="20" customHeight="1">
      <c r="A2717" t="s">
        <v>26</v>
      </c>
      <c r="B2717" t="s">
        <v>2490</v>
      </c>
      <c r="C2717">
        <v>37469.16015625</v>
      </c>
      <c r="D2717">
        <v>37631.140625</v>
      </c>
      <c r="E2717">
        <v>35813.8125</v>
      </c>
      <c r="F2717">
        <v>35813.8125</v>
      </c>
      <c r="G2717">
        <v>35813.8125</v>
      </c>
      <c r="H2717">
        <v>25172163756</v>
      </c>
      <c r="I2717" t="s">
        <v>6184</v>
      </c>
      <c r="J2717" t="s">
        <v>6185</v>
      </c>
      <c r="K2717" t="s">
        <v>4634</v>
      </c>
    </row>
    <row r="2718" spans="1:11" ht="20" customHeight="1">
      <c r="A2718" t="s">
        <v>26</v>
      </c>
      <c r="B2718" t="s">
        <v>2493</v>
      </c>
      <c r="C2718">
        <v>35756.5546875</v>
      </c>
      <c r="D2718">
        <v>37856.98046875</v>
      </c>
      <c r="E2718">
        <v>35670.97265625</v>
      </c>
      <c r="F2718">
        <v>37432.33984375</v>
      </c>
      <c r="G2718">
        <v>37432.33984375</v>
      </c>
      <c r="H2718">
        <v>24397247860</v>
      </c>
      <c r="I2718" t="s">
        <v>6185</v>
      </c>
      <c r="J2718" t="s">
        <v>6186</v>
      </c>
      <c r="K2718" t="s">
        <v>4634</v>
      </c>
    </row>
    <row r="2719" spans="1:11" ht="20" customHeight="1">
      <c r="A2719" t="s">
        <v>26</v>
      </c>
      <c r="B2719" t="s">
        <v>6187</v>
      </c>
      <c r="C2719">
        <v>37420.43359375</v>
      </c>
      <c r="D2719">
        <v>37643.91796875</v>
      </c>
      <c r="E2719">
        <v>36923.86328125</v>
      </c>
      <c r="F2719">
        <v>37289.62109375</v>
      </c>
      <c r="G2719">
        <v>37289.62109375</v>
      </c>
      <c r="H2719">
        <v>14214948217</v>
      </c>
      <c r="I2719" t="s">
        <v>6186</v>
      </c>
      <c r="J2719" t="s">
        <v>6188</v>
      </c>
      <c r="K2719" t="s">
        <v>4634</v>
      </c>
    </row>
    <row r="2720" spans="1:11" ht="20" customHeight="1">
      <c r="A2720" t="s">
        <v>26</v>
      </c>
      <c r="B2720" t="s">
        <v>2496</v>
      </c>
      <c r="C2720">
        <v>37296.31640625</v>
      </c>
      <c r="D2720">
        <v>38415.33984375</v>
      </c>
      <c r="E2720">
        <v>37261.60546875</v>
      </c>
      <c r="F2720">
        <v>37720.28125</v>
      </c>
      <c r="G2720">
        <v>37720.28125</v>
      </c>
      <c r="H2720">
        <v>22922957823</v>
      </c>
      <c r="I2720" t="s">
        <v>6188</v>
      </c>
      <c r="J2720" t="s">
        <v>6189</v>
      </c>
      <c r="K2720" t="s">
        <v>4634</v>
      </c>
    </row>
    <row r="2721" spans="1:11" ht="20" customHeight="1">
      <c r="A2721" t="s">
        <v>26</v>
      </c>
      <c r="B2721" t="s">
        <v>6190</v>
      </c>
      <c r="C2721">
        <v>37721.4140625</v>
      </c>
      <c r="D2721">
        <v>37892.4296875</v>
      </c>
      <c r="E2721">
        <v>37617.41796875</v>
      </c>
      <c r="F2721">
        <v>37796.79296875</v>
      </c>
      <c r="G2721">
        <v>37796.79296875</v>
      </c>
      <c r="H2721">
        <v>9099571165</v>
      </c>
      <c r="I2721" t="s">
        <v>6189</v>
      </c>
      <c r="J2721" t="s">
        <v>6191</v>
      </c>
      <c r="K2721" t="s">
        <v>4634</v>
      </c>
    </row>
    <row r="2722" spans="1:11" ht="20" customHeight="1">
      <c r="A2722" t="s">
        <v>26</v>
      </c>
      <c r="B2722" t="s">
        <v>6192</v>
      </c>
      <c r="C2722">
        <v>37796.828125</v>
      </c>
      <c r="D2722">
        <v>37820.30078125</v>
      </c>
      <c r="E2722">
        <v>37162.75</v>
      </c>
      <c r="F2722">
        <v>37479.12109375</v>
      </c>
      <c r="G2722">
        <v>37479.12109375</v>
      </c>
      <c r="H2722">
        <v>13744796068</v>
      </c>
      <c r="I2722" t="s">
        <v>6191</v>
      </c>
      <c r="J2722" t="s">
        <v>6193</v>
      </c>
      <c r="K2722" t="s">
        <v>4634</v>
      </c>
    </row>
    <row r="2723" spans="1:11" ht="20" customHeight="1">
      <c r="A2723" t="s">
        <v>26</v>
      </c>
      <c r="B2723" t="s">
        <v>2499</v>
      </c>
      <c r="C2723">
        <v>37454.19140625</v>
      </c>
      <c r="D2723">
        <v>37559.35546875</v>
      </c>
      <c r="E2723">
        <v>36750.12890625</v>
      </c>
      <c r="F2723">
        <v>37254.16796875</v>
      </c>
      <c r="G2723">
        <v>37254.16796875</v>
      </c>
      <c r="H2723">
        <v>19002925720</v>
      </c>
      <c r="I2723" t="s">
        <v>6193</v>
      </c>
      <c r="J2723" t="s">
        <v>6194</v>
      </c>
      <c r="K2723" t="s">
        <v>4634</v>
      </c>
    </row>
    <row r="2724" spans="1:11" ht="20" customHeight="1">
      <c r="A2724" t="s">
        <v>26</v>
      </c>
      <c r="B2724" t="s">
        <v>2502</v>
      </c>
      <c r="C2724">
        <v>37247.9921875</v>
      </c>
      <c r="D2724">
        <v>38368.48046875</v>
      </c>
      <c r="E2724">
        <v>36891.08984375</v>
      </c>
      <c r="F2724">
        <v>37831.0859375</v>
      </c>
      <c r="G2724">
        <v>37831.0859375</v>
      </c>
      <c r="H2724">
        <v>21696137014</v>
      </c>
      <c r="I2724" t="s">
        <v>6194</v>
      </c>
      <c r="J2724" t="s">
        <v>6195</v>
      </c>
      <c r="K2724" t="s">
        <v>4634</v>
      </c>
    </row>
    <row r="2725" spans="1:11" ht="20" customHeight="1">
      <c r="A2725" t="s">
        <v>26</v>
      </c>
      <c r="B2725" t="s">
        <v>2505</v>
      </c>
      <c r="C2725">
        <v>37826.10546875</v>
      </c>
      <c r="D2725">
        <v>38366.11328125</v>
      </c>
      <c r="E2725">
        <v>37612.6328125</v>
      </c>
      <c r="F2725">
        <v>37858.4921875</v>
      </c>
      <c r="G2725">
        <v>37858.4921875</v>
      </c>
      <c r="H2725">
        <v>20728546658</v>
      </c>
      <c r="I2725" t="s">
        <v>6195</v>
      </c>
      <c r="J2725" t="s">
        <v>6196</v>
      </c>
      <c r="K2725" t="s">
        <v>4634</v>
      </c>
    </row>
    <row r="2726" spans="1:11" ht="20" customHeight="1">
      <c r="A2726" t="s">
        <v>26</v>
      </c>
      <c r="B2726" t="s">
        <v>2508</v>
      </c>
      <c r="C2726">
        <v>37861.1171875</v>
      </c>
      <c r="D2726">
        <v>38141.75390625</v>
      </c>
      <c r="E2726">
        <v>37531.140625</v>
      </c>
      <c r="F2726">
        <v>37712.74609375</v>
      </c>
      <c r="G2726">
        <v>37712.74609375</v>
      </c>
      <c r="H2726">
        <v>18115982627</v>
      </c>
      <c r="I2726" t="s">
        <v>6196</v>
      </c>
      <c r="J2726" t="s">
        <v>6197</v>
      </c>
      <c r="K2726" t="s">
        <v>4634</v>
      </c>
    </row>
    <row r="2727" spans="1:11" ht="20" customHeight="1">
      <c r="A2727" t="s">
        <v>26</v>
      </c>
      <c r="B2727" t="s">
        <v>2511</v>
      </c>
      <c r="C2727">
        <v>37718.0078125</v>
      </c>
      <c r="D2727">
        <v>38954.109375</v>
      </c>
      <c r="E2727">
        <v>37629.359375</v>
      </c>
      <c r="F2727">
        <v>38688.75</v>
      </c>
      <c r="G2727">
        <v>38688.75</v>
      </c>
      <c r="H2727">
        <v>23512784002</v>
      </c>
      <c r="I2727" t="s">
        <v>6197</v>
      </c>
      <c r="J2727" t="s">
        <v>6198</v>
      </c>
      <c r="K2727" t="s">
        <v>4634</v>
      </c>
    </row>
    <row r="2728" spans="1:11" ht="20" customHeight="1">
      <c r="A2728" t="s">
        <v>26</v>
      </c>
      <c r="B2728" t="s">
        <v>6199</v>
      </c>
      <c r="C2728">
        <v>38689.27734375</v>
      </c>
      <c r="D2728">
        <v>39678.9375</v>
      </c>
      <c r="E2728">
        <v>38652.59375</v>
      </c>
      <c r="F2728">
        <v>39476.33203125</v>
      </c>
      <c r="G2728">
        <v>39476.33203125</v>
      </c>
      <c r="H2728">
        <v>15534035612</v>
      </c>
      <c r="I2728" t="s">
        <v>6198</v>
      </c>
      <c r="J2728" t="s">
        <v>6200</v>
      </c>
      <c r="K2728" t="s">
        <v>4634</v>
      </c>
    </row>
    <row r="2729" spans="1:11" ht="20" customHeight="1">
      <c r="A2729" t="s">
        <v>26</v>
      </c>
      <c r="B2729" t="s">
        <v>6201</v>
      </c>
      <c r="C2729">
        <v>39472.20703125</v>
      </c>
      <c r="D2729">
        <v>40135.60546875</v>
      </c>
      <c r="E2729">
        <v>39298.1640625</v>
      </c>
      <c r="F2729">
        <v>39978.390625</v>
      </c>
      <c r="G2729">
        <v>39978.390625</v>
      </c>
      <c r="H2729">
        <v>15769696322</v>
      </c>
      <c r="I2729" t="s">
        <v>6200</v>
      </c>
      <c r="J2729" t="s">
        <v>6202</v>
      </c>
      <c r="K2729" t="s">
        <v>4634</v>
      </c>
    </row>
    <row r="2730" spans="1:11" ht="20" customHeight="1">
      <c r="A2730" t="s">
        <v>26</v>
      </c>
      <c r="B2730" t="s">
        <v>2514</v>
      </c>
      <c r="C2730">
        <v>39978.62890625</v>
      </c>
      <c r="D2730">
        <v>42371.75</v>
      </c>
      <c r="E2730">
        <v>39978.62890625</v>
      </c>
      <c r="F2730">
        <v>41980.09765625</v>
      </c>
      <c r="G2730">
        <v>41980.09765625</v>
      </c>
      <c r="H2730">
        <v>39856129827</v>
      </c>
      <c r="I2730" t="s">
        <v>6202</v>
      </c>
      <c r="J2730" t="s">
        <v>6203</v>
      </c>
      <c r="K2730" t="s">
        <v>4634</v>
      </c>
    </row>
    <row r="2731" spans="1:11" ht="20" customHeight="1">
      <c r="A2731" t="s">
        <v>26</v>
      </c>
      <c r="B2731" t="s">
        <v>2517</v>
      </c>
      <c r="C2731">
        <v>41986.265625</v>
      </c>
      <c r="D2731">
        <v>44408.6640625</v>
      </c>
      <c r="E2731">
        <v>41421.1484375</v>
      </c>
      <c r="F2731">
        <v>44080.6484375</v>
      </c>
      <c r="G2731">
        <v>44080.6484375</v>
      </c>
      <c r="H2731">
        <v>36312154535</v>
      </c>
      <c r="I2731" t="s">
        <v>6203</v>
      </c>
      <c r="J2731" t="s">
        <v>6204</v>
      </c>
      <c r="K2731" t="s">
        <v>4634</v>
      </c>
    </row>
    <row r="2732" spans="1:11" ht="20" customHeight="1">
      <c r="A2732" t="s">
        <v>26</v>
      </c>
      <c r="B2732" t="s">
        <v>2520</v>
      </c>
      <c r="C2732">
        <v>44080.0234375</v>
      </c>
      <c r="D2732">
        <v>44265.76953125</v>
      </c>
      <c r="E2732">
        <v>43478.08203125</v>
      </c>
      <c r="F2732">
        <v>43746.4453125</v>
      </c>
      <c r="G2732">
        <v>43746.4453125</v>
      </c>
      <c r="H2732">
        <v>29909761586</v>
      </c>
      <c r="I2732" t="s">
        <v>6204</v>
      </c>
      <c r="J2732" t="s">
        <v>6205</v>
      </c>
      <c r="K2732" t="s">
        <v>4634</v>
      </c>
    </row>
    <row r="2733" spans="1:11" ht="20" customHeight="1">
      <c r="A2733" t="s">
        <v>26</v>
      </c>
      <c r="B2733" t="s">
        <v>2523</v>
      </c>
      <c r="C2733">
        <v>43769.1328125</v>
      </c>
      <c r="D2733">
        <v>44042.58984375</v>
      </c>
      <c r="E2733">
        <v>42880.6484375</v>
      </c>
      <c r="F2733">
        <v>43292.6640625</v>
      </c>
      <c r="G2733">
        <v>43292.6640625</v>
      </c>
      <c r="H2733">
        <v>27635760671</v>
      </c>
      <c r="I2733" t="s">
        <v>6205</v>
      </c>
      <c r="J2733" t="s">
        <v>6206</v>
      </c>
      <c r="K2733" t="s">
        <v>4634</v>
      </c>
    </row>
    <row r="2734" spans="1:11" ht="20" customHeight="1">
      <c r="A2734" t="s">
        <v>26</v>
      </c>
      <c r="B2734" t="s">
        <v>2526</v>
      </c>
      <c r="C2734">
        <v>43293.13671875</v>
      </c>
      <c r="D2734">
        <v>44705.515625</v>
      </c>
      <c r="E2734">
        <v>43125.296875</v>
      </c>
      <c r="F2734">
        <v>44166.6015625</v>
      </c>
      <c r="G2734">
        <v>44166.6015625</v>
      </c>
      <c r="H2734">
        <v>24421116687</v>
      </c>
      <c r="I2734" t="s">
        <v>6206</v>
      </c>
      <c r="J2734" t="s">
        <v>6207</v>
      </c>
      <c r="K2734" t="s">
        <v>4634</v>
      </c>
    </row>
    <row r="2735" spans="1:11" ht="20" customHeight="1">
      <c r="A2735" t="s">
        <v>26</v>
      </c>
      <c r="B2735" t="s">
        <v>6208</v>
      </c>
      <c r="C2735">
        <v>44180.01953125</v>
      </c>
      <c r="D2735">
        <v>44361.2578125</v>
      </c>
      <c r="E2735">
        <v>43627.59765625</v>
      </c>
      <c r="F2735">
        <v>43725.984375</v>
      </c>
      <c r="G2735">
        <v>43725.984375</v>
      </c>
      <c r="H2735">
        <v>17368210171</v>
      </c>
      <c r="I2735" t="s">
        <v>6207</v>
      </c>
      <c r="J2735" t="s">
        <v>6209</v>
      </c>
      <c r="K2735" t="s">
        <v>4634</v>
      </c>
    </row>
    <row r="2736" spans="1:11" ht="20" customHeight="1">
      <c r="A2736" t="s">
        <v>26</v>
      </c>
      <c r="B2736" t="s">
        <v>6210</v>
      </c>
      <c r="C2736">
        <v>43728.3828125</v>
      </c>
      <c r="D2736">
        <v>44034.625</v>
      </c>
      <c r="E2736">
        <v>43593.28515625</v>
      </c>
      <c r="F2736">
        <v>43779.69921875</v>
      </c>
      <c r="G2736">
        <v>43779.69921875</v>
      </c>
      <c r="H2736">
        <v>13000481418</v>
      </c>
      <c r="I2736" t="s">
        <v>6209</v>
      </c>
      <c r="J2736" t="s">
        <v>6211</v>
      </c>
      <c r="K2736" t="s">
        <v>4634</v>
      </c>
    </row>
    <row r="2737" spans="1:11" ht="20" customHeight="1">
      <c r="A2737" t="s">
        <v>26</v>
      </c>
      <c r="B2737" t="s">
        <v>2529</v>
      </c>
      <c r="C2737">
        <v>43792.01953125</v>
      </c>
      <c r="D2737">
        <v>43808.375</v>
      </c>
      <c r="E2737">
        <v>40234.578125</v>
      </c>
      <c r="F2737">
        <v>41243.83203125</v>
      </c>
      <c r="G2737">
        <v>41243.83203125</v>
      </c>
      <c r="H2737">
        <v>40632672038</v>
      </c>
      <c r="I2737" t="s">
        <v>6211</v>
      </c>
      <c r="J2737" t="s">
        <v>6212</v>
      </c>
      <c r="K2737" t="s">
        <v>4634</v>
      </c>
    </row>
    <row r="2738" spans="1:11" ht="20" customHeight="1">
      <c r="A2738" t="s">
        <v>26</v>
      </c>
      <c r="B2738" t="s">
        <v>2532</v>
      </c>
      <c r="C2738">
        <v>41238.734375</v>
      </c>
      <c r="D2738">
        <v>42048.3046875</v>
      </c>
      <c r="E2738">
        <v>40667.5625</v>
      </c>
      <c r="F2738">
        <v>41450.22265625</v>
      </c>
      <c r="G2738">
        <v>41450.22265625</v>
      </c>
      <c r="H2738">
        <v>24779520132</v>
      </c>
      <c r="I2738" t="s">
        <v>6212</v>
      </c>
      <c r="J2738" t="s">
        <v>6213</v>
      </c>
      <c r="K2738" t="s">
        <v>4634</v>
      </c>
    </row>
    <row r="2739" spans="1:11" ht="20" customHeight="1">
      <c r="A2739" t="s">
        <v>26</v>
      </c>
      <c r="B2739" t="s">
        <v>2535</v>
      </c>
      <c r="C2739">
        <v>41468.46484375</v>
      </c>
      <c r="D2739">
        <v>43429.78125</v>
      </c>
      <c r="E2739">
        <v>40676.8671875</v>
      </c>
      <c r="F2739">
        <v>42890.7421875</v>
      </c>
      <c r="G2739">
        <v>42890.7421875</v>
      </c>
      <c r="H2739">
        <v>26797884674</v>
      </c>
      <c r="I2739" t="s">
        <v>6213</v>
      </c>
      <c r="J2739" t="s">
        <v>6214</v>
      </c>
      <c r="K2739" t="s">
        <v>4634</v>
      </c>
    </row>
    <row r="2740" spans="1:11" ht="20" customHeight="1">
      <c r="A2740" t="s">
        <v>26</v>
      </c>
      <c r="B2740" t="s">
        <v>2538</v>
      </c>
      <c r="C2740">
        <v>42884.26171875</v>
      </c>
      <c r="D2740">
        <v>43390.859375</v>
      </c>
      <c r="E2740">
        <v>41767.08984375</v>
      </c>
      <c r="F2740">
        <v>43023.97265625</v>
      </c>
      <c r="G2740">
        <v>43023.97265625</v>
      </c>
      <c r="H2740">
        <v>25578530178</v>
      </c>
      <c r="I2740" t="s">
        <v>6214</v>
      </c>
      <c r="J2740" t="s">
        <v>6215</v>
      </c>
      <c r="K2740" t="s">
        <v>4634</v>
      </c>
    </row>
    <row r="2741" spans="1:11" ht="20" customHeight="1">
      <c r="A2741" t="s">
        <v>26</v>
      </c>
      <c r="B2741" t="s">
        <v>2541</v>
      </c>
      <c r="C2741">
        <v>43028.25</v>
      </c>
      <c r="D2741">
        <v>43087.82421875</v>
      </c>
      <c r="E2741">
        <v>41692.96875</v>
      </c>
      <c r="F2741">
        <v>41929.7578125</v>
      </c>
      <c r="G2741">
        <v>41929.7578125</v>
      </c>
      <c r="H2741">
        <v>19639442462</v>
      </c>
      <c r="I2741" t="s">
        <v>6215</v>
      </c>
      <c r="J2741" t="s">
        <v>6216</v>
      </c>
      <c r="K2741" t="s">
        <v>4634</v>
      </c>
    </row>
    <row r="2742" spans="1:11" ht="20" customHeight="1">
      <c r="A2742" t="s">
        <v>26</v>
      </c>
      <c r="B2742" t="s">
        <v>6217</v>
      </c>
      <c r="C2742">
        <v>41937.7421875</v>
      </c>
      <c r="D2742">
        <v>42664.9453125</v>
      </c>
      <c r="E2742">
        <v>41723.11328125</v>
      </c>
      <c r="F2742">
        <v>42240.1171875</v>
      </c>
      <c r="G2742">
        <v>42240.1171875</v>
      </c>
      <c r="H2742">
        <v>14386729590</v>
      </c>
      <c r="I2742" t="s">
        <v>6216</v>
      </c>
      <c r="J2742" t="s">
        <v>6218</v>
      </c>
      <c r="K2742" t="s">
        <v>4634</v>
      </c>
    </row>
    <row r="2743" spans="1:11" ht="20" customHeight="1">
      <c r="A2743" t="s">
        <v>26</v>
      </c>
      <c r="B2743" t="s">
        <v>6219</v>
      </c>
      <c r="C2743">
        <v>42236.109375</v>
      </c>
      <c r="D2743">
        <v>42359.49609375</v>
      </c>
      <c r="E2743">
        <v>41274.54296875</v>
      </c>
      <c r="F2743">
        <v>41364.6640625</v>
      </c>
      <c r="G2743">
        <v>41364.6640625</v>
      </c>
      <c r="H2743">
        <v>16678702876</v>
      </c>
      <c r="I2743" t="s">
        <v>6218</v>
      </c>
      <c r="J2743" t="s">
        <v>6220</v>
      </c>
      <c r="K2743" t="s">
        <v>4634</v>
      </c>
    </row>
    <row r="2744" spans="1:11" ht="20" customHeight="1">
      <c r="A2744" t="s">
        <v>26</v>
      </c>
      <c r="B2744" t="s">
        <v>2544</v>
      </c>
      <c r="C2744">
        <v>41348.203125</v>
      </c>
      <c r="D2744">
        <v>42720.296875</v>
      </c>
      <c r="E2744">
        <v>40530.2578125</v>
      </c>
      <c r="F2744">
        <v>42623.5390625</v>
      </c>
      <c r="G2744">
        <v>42623.5390625</v>
      </c>
      <c r="H2744">
        <v>25224642008</v>
      </c>
      <c r="I2744" t="s">
        <v>6220</v>
      </c>
      <c r="J2744" t="s">
        <v>6221</v>
      </c>
      <c r="K2744" t="s">
        <v>4634</v>
      </c>
    </row>
    <row r="2745" spans="1:11" ht="20" customHeight="1">
      <c r="A2745" t="s">
        <v>26</v>
      </c>
      <c r="B2745" t="s">
        <v>2547</v>
      </c>
      <c r="C2745">
        <v>42641.51171875</v>
      </c>
      <c r="D2745">
        <v>43354.296875</v>
      </c>
      <c r="E2745">
        <v>41826.3359375</v>
      </c>
      <c r="F2745">
        <v>42270.52734375</v>
      </c>
      <c r="G2745">
        <v>42270.52734375</v>
      </c>
      <c r="H2745">
        <v>23171001281</v>
      </c>
      <c r="I2745" t="s">
        <v>6221</v>
      </c>
      <c r="J2745" t="s">
        <v>6222</v>
      </c>
      <c r="K2745" t="s">
        <v>4634</v>
      </c>
    </row>
    <row r="2746" spans="1:11" ht="20" customHeight="1">
      <c r="A2746" t="s">
        <v>26</v>
      </c>
      <c r="B2746" t="s">
        <v>2550</v>
      </c>
      <c r="C2746">
        <v>42261.30078125</v>
      </c>
      <c r="D2746">
        <v>44275.5859375</v>
      </c>
      <c r="E2746">
        <v>42223.81640625</v>
      </c>
      <c r="F2746">
        <v>43652.25</v>
      </c>
      <c r="G2746">
        <v>43652.25</v>
      </c>
      <c r="H2746">
        <v>27868908174</v>
      </c>
      <c r="I2746" t="s">
        <v>6222</v>
      </c>
      <c r="J2746" t="s">
        <v>6223</v>
      </c>
      <c r="K2746" t="s">
        <v>4634</v>
      </c>
    </row>
    <row r="2747" spans="1:11" ht="20" customHeight="1">
      <c r="A2747" t="s">
        <v>26</v>
      </c>
      <c r="B2747" t="s">
        <v>2553</v>
      </c>
      <c r="C2747">
        <v>43648.125</v>
      </c>
      <c r="D2747">
        <v>44240.66796875</v>
      </c>
      <c r="E2747">
        <v>43330.05078125</v>
      </c>
      <c r="F2747">
        <v>43869.15234375</v>
      </c>
      <c r="G2747">
        <v>43869.15234375</v>
      </c>
      <c r="H2747">
        <v>22452766169</v>
      </c>
      <c r="I2747" t="s">
        <v>6223</v>
      </c>
      <c r="J2747" t="s">
        <v>6224</v>
      </c>
      <c r="K2747" t="s">
        <v>4634</v>
      </c>
    </row>
    <row r="2748" spans="1:11" ht="20" customHeight="1">
      <c r="A2748" t="s">
        <v>26</v>
      </c>
      <c r="B2748" t="s">
        <v>2556</v>
      </c>
      <c r="C2748">
        <v>43868.98828125</v>
      </c>
      <c r="D2748">
        <v>44367.95703125</v>
      </c>
      <c r="E2748">
        <v>43441.96875</v>
      </c>
      <c r="F2748">
        <v>43997.90234375</v>
      </c>
      <c r="G2748">
        <v>43997.90234375</v>
      </c>
      <c r="H2748">
        <v>21028503216</v>
      </c>
      <c r="I2748" t="s">
        <v>6224</v>
      </c>
      <c r="J2748" t="s">
        <v>6225</v>
      </c>
      <c r="K2748" t="s">
        <v>4634</v>
      </c>
    </row>
    <row r="2749" spans="1:11" ht="20" customHeight="1">
      <c r="A2749" t="s">
        <v>26</v>
      </c>
      <c r="B2749" t="s">
        <v>6226</v>
      </c>
      <c r="C2749">
        <v>44012.19921875</v>
      </c>
      <c r="D2749">
        <v>44015.69921875</v>
      </c>
      <c r="E2749">
        <v>43351.35546875</v>
      </c>
      <c r="F2749">
        <v>43739.54296875</v>
      </c>
      <c r="G2749">
        <v>43739.54296875</v>
      </c>
      <c r="H2749">
        <v>13507796558</v>
      </c>
      <c r="I2749" t="s">
        <v>6225</v>
      </c>
      <c r="J2749" t="s">
        <v>6227</v>
      </c>
      <c r="K2749" t="s">
        <v>4634</v>
      </c>
    </row>
    <row r="2750" spans="1:11" ht="20" customHeight="1">
      <c r="A2750" t="s">
        <v>26</v>
      </c>
      <c r="B2750" t="s">
        <v>6228</v>
      </c>
      <c r="C2750">
        <v>43728.3671875</v>
      </c>
      <c r="D2750">
        <v>43945.5234375</v>
      </c>
      <c r="E2750">
        <v>42786.91796875</v>
      </c>
      <c r="F2750">
        <v>43016.1171875</v>
      </c>
      <c r="G2750">
        <v>43016.1171875</v>
      </c>
      <c r="H2750">
        <v>18830554085</v>
      </c>
      <c r="I2750" t="s">
        <v>6227</v>
      </c>
      <c r="J2750" t="s">
        <v>6229</v>
      </c>
      <c r="K2750" t="s">
        <v>4634</v>
      </c>
    </row>
    <row r="2751" spans="1:11" ht="20" customHeight="1">
      <c r="A2751" t="s">
        <v>26</v>
      </c>
      <c r="B2751" t="s">
        <v>6230</v>
      </c>
      <c r="C2751">
        <v>43010.57421875</v>
      </c>
      <c r="D2751">
        <v>43765.09375</v>
      </c>
      <c r="E2751">
        <v>42765.76953125</v>
      </c>
      <c r="F2751">
        <v>43613.140625</v>
      </c>
      <c r="G2751">
        <v>43613.140625</v>
      </c>
      <c r="H2751">
        <v>21115795370</v>
      </c>
      <c r="I2751" t="s">
        <v>6229</v>
      </c>
      <c r="J2751" t="s">
        <v>6231</v>
      </c>
      <c r="K2751" t="s">
        <v>4634</v>
      </c>
    </row>
    <row r="2752" spans="1:11" ht="20" customHeight="1">
      <c r="A2752" t="s">
        <v>26</v>
      </c>
      <c r="B2752" t="s">
        <v>2559</v>
      </c>
      <c r="C2752">
        <v>43599.84765625</v>
      </c>
      <c r="D2752">
        <v>43603.17578125</v>
      </c>
      <c r="E2752">
        <v>41676.48828125</v>
      </c>
      <c r="F2752">
        <v>42520.40234375</v>
      </c>
      <c r="G2752">
        <v>42520.40234375</v>
      </c>
      <c r="H2752">
        <v>30026850982</v>
      </c>
      <c r="I2752" t="s">
        <v>6231</v>
      </c>
      <c r="J2752" t="s">
        <v>6232</v>
      </c>
      <c r="K2752" t="s">
        <v>4634</v>
      </c>
    </row>
    <row r="2753" spans="1:11" ht="20" customHeight="1">
      <c r="A2753" t="s">
        <v>26</v>
      </c>
      <c r="B2753" t="s">
        <v>2562</v>
      </c>
      <c r="C2753">
        <v>42518.46875</v>
      </c>
      <c r="D2753">
        <v>43683.16015625</v>
      </c>
      <c r="E2753">
        <v>42167.58203125</v>
      </c>
      <c r="F2753">
        <v>43442.85546875</v>
      </c>
      <c r="G2753">
        <v>43442.85546875</v>
      </c>
      <c r="H2753">
        <v>25260941032</v>
      </c>
      <c r="I2753" t="s">
        <v>6232</v>
      </c>
      <c r="J2753" t="s">
        <v>6233</v>
      </c>
      <c r="K2753" t="s">
        <v>4634</v>
      </c>
    </row>
    <row r="2754" spans="1:11" ht="20" customHeight="1">
      <c r="A2754" t="s">
        <v>26</v>
      </c>
      <c r="B2754" t="s">
        <v>2565</v>
      </c>
      <c r="C2754">
        <v>43468.19921875</v>
      </c>
      <c r="D2754">
        <v>43804.78125</v>
      </c>
      <c r="E2754">
        <v>42318.55078125</v>
      </c>
      <c r="F2754">
        <v>42627.85546875</v>
      </c>
      <c r="G2754">
        <v>42627.85546875</v>
      </c>
      <c r="H2754">
        <v>22992093014</v>
      </c>
      <c r="I2754" t="s">
        <v>6233</v>
      </c>
      <c r="J2754" t="s">
        <v>6234</v>
      </c>
      <c r="K2754" t="s">
        <v>4634</v>
      </c>
    </row>
    <row r="2755" spans="1:11" ht="20" customHeight="1">
      <c r="A2755" t="s">
        <v>26</v>
      </c>
      <c r="B2755" t="s">
        <v>2568</v>
      </c>
      <c r="C2755">
        <v>42614.64453125</v>
      </c>
      <c r="D2755">
        <v>43124.32421875</v>
      </c>
      <c r="E2755">
        <v>41424.0625</v>
      </c>
      <c r="F2755">
        <v>42099.40234375</v>
      </c>
      <c r="G2755">
        <v>42099.40234375</v>
      </c>
      <c r="H2755">
        <v>26000021055</v>
      </c>
      <c r="I2755" t="s">
        <v>6234</v>
      </c>
      <c r="J2755" t="s">
        <v>6235</v>
      </c>
      <c r="K2755" t="s">
        <v>4634</v>
      </c>
    </row>
    <row r="2756" spans="1:11" ht="20" customHeight="1">
      <c r="A2756" t="s">
        <v>26</v>
      </c>
      <c r="B2756" t="s">
        <v>6236</v>
      </c>
      <c r="C2756">
        <v>42091.75390625</v>
      </c>
      <c r="D2756">
        <v>42584.125</v>
      </c>
      <c r="E2756">
        <v>41556.2265625</v>
      </c>
      <c r="F2756">
        <v>42156.90234375</v>
      </c>
      <c r="G2756">
        <v>42156.90234375</v>
      </c>
      <c r="H2756">
        <v>16013925945</v>
      </c>
      <c r="I2756" t="s">
        <v>6235</v>
      </c>
      <c r="J2756" t="s">
        <v>6237</v>
      </c>
      <c r="K2756" t="s">
        <v>4634</v>
      </c>
    </row>
    <row r="2757" spans="1:11" ht="20" customHeight="1">
      <c r="A2757" t="s">
        <v>26</v>
      </c>
      <c r="B2757" t="s">
        <v>6238</v>
      </c>
      <c r="C2757">
        <v>42152.09765625</v>
      </c>
      <c r="D2757">
        <v>42860.9375</v>
      </c>
      <c r="E2757">
        <v>41998.25390625</v>
      </c>
      <c r="F2757">
        <v>42265.1875</v>
      </c>
      <c r="G2757">
        <v>42265.1875</v>
      </c>
      <c r="H2757">
        <v>16397498810</v>
      </c>
      <c r="I2757" t="s">
        <v>6237</v>
      </c>
      <c r="J2757" t="s">
        <v>6239</v>
      </c>
      <c r="K2757" t="s">
        <v>4634</v>
      </c>
    </row>
    <row r="2758" spans="1:11" ht="20" customHeight="1">
      <c r="A2758" t="s">
        <v>26</v>
      </c>
      <c r="B2758" t="s">
        <v>6240</v>
      </c>
      <c r="C2758">
        <v>42280.234375</v>
      </c>
      <c r="D2758">
        <v>44175.4375</v>
      </c>
      <c r="E2758">
        <v>42214.9765625</v>
      </c>
      <c r="F2758">
        <v>44167.33203125</v>
      </c>
      <c r="G2758">
        <v>44167.33203125</v>
      </c>
      <c r="H2758">
        <v>18426978443</v>
      </c>
      <c r="I2758" t="s">
        <v>6239</v>
      </c>
      <c r="J2758" t="s">
        <v>6241</v>
      </c>
      <c r="K2758" t="s">
        <v>4634</v>
      </c>
    </row>
    <row r="2759" spans="1:11" ht="20" customHeight="1">
      <c r="A2759" t="s">
        <v>26</v>
      </c>
      <c r="B2759" t="s">
        <v>2571</v>
      </c>
      <c r="C2759">
        <v>44187.140625</v>
      </c>
      <c r="D2759">
        <v>45899.70703125</v>
      </c>
      <c r="E2759">
        <v>44176.94921875</v>
      </c>
      <c r="F2759">
        <v>44957.96875</v>
      </c>
      <c r="G2759">
        <v>44957.96875</v>
      </c>
      <c r="H2759">
        <v>39335274536</v>
      </c>
      <c r="I2759" t="s">
        <v>6241</v>
      </c>
      <c r="J2759" t="s">
        <v>6242</v>
      </c>
      <c r="K2759" t="s">
        <v>4634</v>
      </c>
    </row>
    <row r="2760" spans="1:11" ht="20" customHeight="1">
      <c r="A2760" t="s">
        <v>26</v>
      </c>
      <c r="B2760" t="s">
        <v>2574</v>
      </c>
      <c r="C2760">
        <v>44961.6015625</v>
      </c>
      <c r="D2760">
        <v>45503.2421875</v>
      </c>
      <c r="E2760">
        <v>40813.53515625</v>
      </c>
      <c r="F2760">
        <v>42848.17578125</v>
      </c>
      <c r="G2760">
        <v>42848.17578125</v>
      </c>
      <c r="H2760">
        <v>46342323118</v>
      </c>
      <c r="I2760" t="s">
        <v>6242</v>
      </c>
      <c r="J2760" t="s">
        <v>6243</v>
      </c>
      <c r="K2760" t="s">
        <v>4634</v>
      </c>
    </row>
    <row r="2761" spans="1:11" ht="20" customHeight="1">
      <c r="A2761" t="s">
        <v>26</v>
      </c>
      <c r="B2761" t="s">
        <v>2577</v>
      </c>
      <c r="C2761">
        <v>42855.81640625</v>
      </c>
      <c r="D2761">
        <v>44770.0234375</v>
      </c>
      <c r="E2761">
        <v>42675.17578125</v>
      </c>
      <c r="F2761">
        <v>44179.921875</v>
      </c>
      <c r="G2761">
        <v>44179.921875</v>
      </c>
      <c r="H2761">
        <v>30448091210</v>
      </c>
      <c r="I2761" t="s">
        <v>6243</v>
      </c>
      <c r="J2761" t="s">
        <v>6244</v>
      </c>
      <c r="K2761" t="s">
        <v>4634</v>
      </c>
    </row>
    <row r="2762" spans="1:11" ht="20" customHeight="1">
      <c r="A2762" t="s">
        <v>26</v>
      </c>
      <c r="B2762" t="s">
        <v>2580</v>
      </c>
      <c r="C2762">
        <v>44192.98046875</v>
      </c>
      <c r="D2762">
        <v>44353.28515625</v>
      </c>
      <c r="E2762">
        <v>42784.71875</v>
      </c>
      <c r="F2762">
        <v>44162.69140625</v>
      </c>
      <c r="G2762">
        <v>44162.69140625</v>
      </c>
      <c r="H2762">
        <v>32336029347</v>
      </c>
      <c r="I2762" t="s">
        <v>6244</v>
      </c>
      <c r="J2762" t="s">
        <v>6245</v>
      </c>
      <c r="K2762" t="s">
        <v>4634</v>
      </c>
    </row>
    <row r="2763" spans="1:11" ht="20" customHeight="1">
      <c r="A2763" t="s">
        <v>26</v>
      </c>
      <c r="B2763" t="s">
        <v>6246</v>
      </c>
      <c r="C2763">
        <v>44178.953125</v>
      </c>
      <c r="D2763">
        <v>44227.6328125</v>
      </c>
      <c r="E2763">
        <v>43475.15625</v>
      </c>
      <c r="F2763">
        <v>43989.1953125</v>
      </c>
      <c r="G2763">
        <v>43989.1953125</v>
      </c>
      <c r="H2763">
        <v>16092503468</v>
      </c>
      <c r="I2763" t="s">
        <v>6245</v>
      </c>
      <c r="J2763" t="s">
        <v>6247</v>
      </c>
      <c r="K2763" t="s">
        <v>4634</v>
      </c>
    </row>
    <row r="2764" spans="1:11" ht="20" customHeight="1">
      <c r="A2764" t="s">
        <v>26</v>
      </c>
      <c r="B2764" t="s">
        <v>6248</v>
      </c>
      <c r="C2764">
        <v>43998.46484375</v>
      </c>
      <c r="D2764">
        <v>44495.5703125</v>
      </c>
      <c r="E2764">
        <v>43662.23046875</v>
      </c>
      <c r="F2764">
        <v>43943.09765625</v>
      </c>
      <c r="G2764">
        <v>43943.09765625</v>
      </c>
      <c r="H2764">
        <v>19330573863</v>
      </c>
      <c r="I2764" t="s">
        <v>6247</v>
      </c>
      <c r="J2764" t="s">
        <v>6249</v>
      </c>
      <c r="K2764" t="s">
        <v>4634</v>
      </c>
    </row>
    <row r="2765" spans="1:11" ht="20" customHeight="1">
      <c r="A2765" t="s">
        <v>26</v>
      </c>
      <c r="B2765" t="s">
        <v>2583</v>
      </c>
      <c r="C2765">
        <v>43948.70703125</v>
      </c>
      <c r="D2765">
        <v>47218</v>
      </c>
      <c r="E2765">
        <v>43244.08203125</v>
      </c>
      <c r="F2765">
        <v>46970.50390625</v>
      </c>
      <c r="G2765">
        <v>46970.50390625</v>
      </c>
      <c r="H2765">
        <v>42746192015</v>
      </c>
      <c r="I2765" t="s">
        <v>6249</v>
      </c>
      <c r="J2765" t="s">
        <v>6250</v>
      </c>
      <c r="K2765" t="s">
        <v>4634</v>
      </c>
    </row>
    <row r="2766" spans="1:11" ht="20" customHeight="1">
      <c r="A2766" t="s">
        <v>26</v>
      </c>
      <c r="B2766" t="s">
        <v>2586</v>
      </c>
      <c r="C2766">
        <v>46987.640625</v>
      </c>
      <c r="D2766">
        <v>47893.69921875</v>
      </c>
      <c r="E2766">
        <v>45244.71484375</v>
      </c>
      <c r="F2766">
        <v>46139.73046875</v>
      </c>
      <c r="G2766">
        <v>46139.73046875</v>
      </c>
      <c r="H2766">
        <v>39821290992</v>
      </c>
      <c r="I2766" t="s">
        <v>6250</v>
      </c>
      <c r="J2766" t="s">
        <v>6251</v>
      </c>
      <c r="K2766" t="s">
        <v>4634</v>
      </c>
    </row>
    <row r="2767" spans="1:11" ht="20" customHeight="1">
      <c r="A2767" t="s">
        <v>26</v>
      </c>
      <c r="B2767" t="s">
        <v>2589</v>
      </c>
      <c r="C2767">
        <v>46121.5390625</v>
      </c>
      <c r="D2767">
        <v>47647.22265625</v>
      </c>
      <c r="E2767">
        <v>44483.15234375</v>
      </c>
      <c r="F2767">
        <v>46627.77734375</v>
      </c>
      <c r="G2767">
        <v>46627.77734375</v>
      </c>
      <c r="H2767">
        <v>50114613298</v>
      </c>
      <c r="I2767" t="s">
        <v>6251</v>
      </c>
      <c r="J2767" t="s">
        <v>6252</v>
      </c>
      <c r="K2767" t="s">
        <v>4634</v>
      </c>
    </row>
    <row r="2768" spans="1:11" ht="20" customHeight="1">
      <c r="A2768" t="s">
        <v>26</v>
      </c>
      <c r="B2768" t="s">
        <v>2592</v>
      </c>
      <c r="C2768">
        <v>46656.07421875</v>
      </c>
      <c r="D2768">
        <v>48969.37109375</v>
      </c>
      <c r="E2768">
        <v>45678.64453125</v>
      </c>
      <c r="F2768">
        <v>46368.5859375</v>
      </c>
      <c r="G2768">
        <v>46368.5859375</v>
      </c>
      <c r="H2768">
        <v>45833734549</v>
      </c>
      <c r="I2768" t="s">
        <v>6252</v>
      </c>
      <c r="J2768" t="s">
        <v>6253</v>
      </c>
      <c r="K2768" t="s">
        <v>4634</v>
      </c>
    </row>
    <row r="2769" spans="1:11" ht="20" customHeight="1">
      <c r="A2769" t="s">
        <v>26</v>
      </c>
      <c r="B2769" t="s">
        <v>2595</v>
      </c>
      <c r="C2769">
        <v>46354.79296875</v>
      </c>
      <c r="D2769">
        <v>46498.13671875</v>
      </c>
      <c r="E2769">
        <v>41903.76953125</v>
      </c>
      <c r="F2769">
        <v>42853.16796875</v>
      </c>
      <c r="G2769">
        <v>42853.16796875</v>
      </c>
      <c r="H2769">
        <v>43332698900</v>
      </c>
      <c r="I2769" t="s">
        <v>6253</v>
      </c>
      <c r="J2769" t="s">
        <v>6254</v>
      </c>
      <c r="K2769" t="s">
        <v>4634</v>
      </c>
    </row>
    <row r="2770" spans="1:11" ht="20" customHeight="1">
      <c r="A2770" t="s">
        <v>26</v>
      </c>
      <c r="B2770" t="s">
        <v>6255</v>
      </c>
      <c r="C2770">
        <v>42799.4453125</v>
      </c>
      <c r="D2770">
        <v>43234.66015625</v>
      </c>
      <c r="E2770">
        <v>42464.14453125</v>
      </c>
      <c r="F2770">
        <v>42842.3828125</v>
      </c>
      <c r="G2770">
        <v>42842.3828125</v>
      </c>
      <c r="H2770">
        <v>20601860469</v>
      </c>
      <c r="I2770" t="s">
        <v>6254</v>
      </c>
      <c r="J2770" t="s">
        <v>6256</v>
      </c>
      <c r="K2770" t="s">
        <v>4634</v>
      </c>
    </row>
    <row r="2771" spans="1:11" ht="20" customHeight="1">
      <c r="A2771" t="s">
        <v>26</v>
      </c>
      <c r="B2771" t="s">
        <v>6257</v>
      </c>
      <c r="C2771">
        <v>42842.26171875</v>
      </c>
      <c r="D2771">
        <v>43065.59765625</v>
      </c>
      <c r="E2771">
        <v>41724.61328125</v>
      </c>
      <c r="F2771">
        <v>41796.26953125</v>
      </c>
      <c r="G2771">
        <v>41796.26953125</v>
      </c>
      <c r="H2771">
        <v>17521429522</v>
      </c>
      <c r="I2771" t="s">
        <v>6256</v>
      </c>
      <c r="J2771" t="s">
        <v>6258</v>
      </c>
      <c r="K2771" t="s">
        <v>4634</v>
      </c>
    </row>
    <row r="2772" spans="1:11" ht="20" customHeight="1">
      <c r="A2772" t="s">
        <v>26</v>
      </c>
      <c r="B2772" t="s">
        <v>6259</v>
      </c>
      <c r="C2772">
        <v>41715.06640625</v>
      </c>
      <c r="D2772">
        <v>43319.72265625</v>
      </c>
      <c r="E2772">
        <v>41705.41796875</v>
      </c>
      <c r="F2772">
        <v>42511.96875</v>
      </c>
      <c r="G2772">
        <v>42511.96875</v>
      </c>
      <c r="H2772">
        <v>22320220558</v>
      </c>
      <c r="I2772" t="s">
        <v>6258</v>
      </c>
      <c r="J2772" t="s">
        <v>6260</v>
      </c>
      <c r="K2772" t="s">
        <v>4634</v>
      </c>
    </row>
    <row r="2773" spans="1:11" ht="20" customHeight="1">
      <c r="A2773" t="s">
        <v>26</v>
      </c>
      <c r="B2773" t="s">
        <v>2598</v>
      </c>
      <c r="C2773">
        <v>42499.3359375</v>
      </c>
      <c r="D2773">
        <v>43566.2734375</v>
      </c>
      <c r="E2773">
        <v>42085.99609375</v>
      </c>
      <c r="F2773">
        <v>43154.9453125</v>
      </c>
      <c r="G2773">
        <v>43154.9453125</v>
      </c>
      <c r="H2773">
        <v>24062872740</v>
      </c>
      <c r="I2773" t="s">
        <v>6260</v>
      </c>
      <c r="J2773" t="s">
        <v>6261</v>
      </c>
      <c r="K2773" t="s">
        <v>4634</v>
      </c>
    </row>
    <row r="2774" spans="1:11" ht="20" customHeight="1">
      <c r="A2774" t="s">
        <v>26</v>
      </c>
      <c r="B2774" t="s">
        <v>2601</v>
      </c>
      <c r="C2774">
        <v>43132.1015625</v>
      </c>
      <c r="D2774">
        <v>43189.890625</v>
      </c>
      <c r="E2774">
        <v>42189.30859375</v>
      </c>
      <c r="F2774">
        <v>42742.65234375</v>
      </c>
      <c r="G2774">
        <v>42742.65234375</v>
      </c>
      <c r="H2774">
        <v>20851232595</v>
      </c>
      <c r="I2774" t="s">
        <v>6261</v>
      </c>
      <c r="J2774" t="s">
        <v>6262</v>
      </c>
      <c r="K2774" t="s">
        <v>4634</v>
      </c>
    </row>
    <row r="2775" spans="1:11" ht="20" customHeight="1">
      <c r="A2775" t="s">
        <v>26</v>
      </c>
      <c r="B2775" t="s">
        <v>2604</v>
      </c>
      <c r="C2775">
        <v>42742.3125</v>
      </c>
      <c r="D2775">
        <v>42876.34765625</v>
      </c>
      <c r="E2775">
        <v>40631.171875</v>
      </c>
      <c r="F2775">
        <v>41262.05859375</v>
      </c>
      <c r="G2775">
        <v>41262.05859375</v>
      </c>
      <c r="H2775">
        <v>25218357242</v>
      </c>
      <c r="I2775" t="s">
        <v>6262</v>
      </c>
      <c r="J2775" t="s">
        <v>6263</v>
      </c>
      <c r="K2775" t="s">
        <v>4634</v>
      </c>
    </row>
    <row r="2776" spans="1:11" ht="20" customHeight="1">
      <c r="A2776" t="s">
        <v>26</v>
      </c>
      <c r="B2776" t="s">
        <v>2607</v>
      </c>
      <c r="C2776">
        <v>41278.4609375</v>
      </c>
      <c r="D2776">
        <v>42134.16015625</v>
      </c>
      <c r="E2776">
        <v>40297.45703125</v>
      </c>
      <c r="F2776">
        <v>41618.40625</v>
      </c>
      <c r="G2776">
        <v>41618.40625</v>
      </c>
      <c r="H2776">
        <v>25752407154</v>
      </c>
      <c r="I2776" t="s">
        <v>6263</v>
      </c>
      <c r="J2776" t="s">
        <v>6264</v>
      </c>
      <c r="K2776" t="s">
        <v>4634</v>
      </c>
    </row>
    <row r="2777" spans="1:11" ht="20" customHeight="1">
      <c r="A2777" t="s">
        <v>26</v>
      </c>
      <c r="B2777" t="s">
        <v>6265</v>
      </c>
      <c r="C2777">
        <v>41624.58984375</v>
      </c>
      <c r="D2777">
        <v>41877.89453125</v>
      </c>
      <c r="E2777">
        <v>41446.82421875</v>
      </c>
      <c r="F2777">
        <v>41665.5859375</v>
      </c>
      <c r="G2777">
        <v>41665.5859375</v>
      </c>
      <c r="H2777">
        <v>11586690904</v>
      </c>
      <c r="I2777" t="s">
        <v>6264</v>
      </c>
      <c r="J2777" t="s">
        <v>6266</v>
      </c>
      <c r="K2777" t="s">
        <v>4634</v>
      </c>
    </row>
    <row r="2778" spans="1:11" ht="20" customHeight="1">
      <c r="A2778" t="s">
        <v>26</v>
      </c>
      <c r="B2778" t="s">
        <v>6267</v>
      </c>
      <c r="C2778">
        <v>41671.48828125</v>
      </c>
      <c r="D2778">
        <v>41855.3671875</v>
      </c>
      <c r="E2778">
        <v>41497.0078125</v>
      </c>
      <c r="F2778">
        <v>41545.78515625</v>
      </c>
      <c r="G2778">
        <v>41545.78515625</v>
      </c>
      <c r="H2778">
        <v>9344043642</v>
      </c>
      <c r="I2778" t="s">
        <v>6266</v>
      </c>
      <c r="J2778" t="s">
        <v>6268</v>
      </c>
      <c r="K2778" t="s">
        <v>4634</v>
      </c>
    </row>
    <row r="2779" spans="1:11" ht="20" customHeight="1">
      <c r="A2779" t="s">
        <v>26</v>
      </c>
      <c r="B2779" t="s">
        <v>2610</v>
      </c>
      <c r="C2779">
        <v>41553.65234375</v>
      </c>
      <c r="D2779">
        <v>41651.20703125</v>
      </c>
      <c r="E2779">
        <v>39450.1171875</v>
      </c>
      <c r="F2779">
        <v>39507.3671875</v>
      </c>
      <c r="G2779">
        <v>39507.3671875</v>
      </c>
      <c r="H2779">
        <v>31338708143</v>
      </c>
      <c r="I2779" t="s">
        <v>6268</v>
      </c>
      <c r="J2779" t="s">
        <v>6269</v>
      </c>
      <c r="K2779" t="s">
        <v>4634</v>
      </c>
    </row>
    <row r="2780" spans="1:11" ht="20" customHeight="1">
      <c r="A2780" t="s">
        <v>26</v>
      </c>
      <c r="B2780" t="s">
        <v>2613</v>
      </c>
      <c r="C2780">
        <v>39518.71484375</v>
      </c>
      <c r="D2780">
        <v>40127.3515625</v>
      </c>
      <c r="E2780">
        <v>38521.89453125</v>
      </c>
      <c r="F2780">
        <v>39845.55078125</v>
      </c>
      <c r="G2780">
        <v>39845.55078125</v>
      </c>
      <c r="H2780">
        <v>29244553045</v>
      </c>
      <c r="I2780" t="s">
        <v>6269</v>
      </c>
      <c r="J2780" t="s">
        <v>6270</v>
      </c>
      <c r="K2780" t="s">
        <v>4634</v>
      </c>
    </row>
    <row r="2781" spans="1:11" ht="20" customHeight="1">
      <c r="A2781" t="s">
        <v>26</v>
      </c>
      <c r="B2781" t="s">
        <v>2616</v>
      </c>
      <c r="C2781">
        <v>39877.59375</v>
      </c>
      <c r="D2781">
        <v>40483.78515625</v>
      </c>
      <c r="E2781">
        <v>39508.796875</v>
      </c>
      <c r="F2781">
        <v>40077.07421875</v>
      </c>
      <c r="G2781">
        <v>40077.07421875</v>
      </c>
      <c r="H2781">
        <v>22359526178</v>
      </c>
      <c r="I2781" t="s">
        <v>6270</v>
      </c>
      <c r="J2781" t="s">
        <v>6271</v>
      </c>
      <c r="K2781" t="s">
        <v>4634</v>
      </c>
    </row>
    <row r="2782" spans="1:11" ht="20" customHeight="1">
      <c r="A2782" t="s">
        <v>26</v>
      </c>
      <c r="B2782" t="s">
        <v>2619</v>
      </c>
      <c r="C2782">
        <v>40075.55078125</v>
      </c>
      <c r="D2782">
        <v>40254.48046875</v>
      </c>
      <c r="E2782">
        <v>39545.6640625</v>
      </c>
      <c r="F2782">
        <v>39933.80859375</v>
      </c>
      <c r="G2782">
        <v>39933.80859375</v>
      </c>
      <c r="H2782">
        <v>18491782013</v>
      </c>
      <c r="I2782" t="s">
        <v>6271</v>
      </c>
      <c r="J2782" t="s">
        <v>6272</v>
      </c>
      <c r="K2782" t="s">
        <v>4634</v>
      </c>
    </row>
    <row r="2783" spans="1:11" ht="20" customHeight="1">
      <c r="A2783" t="s">
        <v>26</v>
      </c>
      <c r="B2783" t="s">
        <v>2622</v>
      </c>
      <c r="C2783">
        <v>39936.81640625</v>
      </c>
      <c r="D2783">
        <v>42209.38671875</v>
      </c>
      <c r="E2783">
        <v>39825.69140625</v>
      </c>
      <c r="F2783">
        <v>41816.87109375</v>
      </c>
      <c r="G2783">
        <v>41816.87109375</v>
      </c>
      <c r="H2783">
        <v>25598119893</v>
      </c>
      <c r="I2783" t="s">
        <v>6272</v>
      </c>
      <c r="J2783" t="s">
        <v>6273</v>
      </c>
      <c r="K2783" t="s">
        <v>4634</v>
      </c>
    </row>
    <row r="2784" spans="1:11" ht="20" customHeight="1">
      <c r="A2784" t="s">
        <v>26</v>
      </c>
      <c r="B2784" t="s">
        <v>6274</v>
      </c>
      <c r="C2784">
        <v>41815.625</v>
      </c>
      <c r="D2784">
        <v>42195.6328125</v>
      </c>
      <c r="E2784">
        <v>41431.28125</v>
      </c>
      <c r="F2784">
        <v>42120.0546875</v>
      </c>
      <c r="G2784">
        <v>42120.0546875</v>
      </c>
      <c r="H2784">
        <v>11422941934</v>
      </c>
      <c r="I2784" t="s">
        <v>6273</v>
      </c>
      <c r="J2784" t="s">
        <v>6275</v>
      </c>
      <c r="K2784" t="s">
        <v>4634</v>
      </c>
    </row>
    <row r="2785" spans="1:11" ht="20" customHeight="1">
      <c r="A2785" t="s">
        <v>26</v>
      </c>
      <c r="B2785" t="s">
        <v>6276</v>
      </c>
      <c r="C2785">
        <v>42126.125</v>
      </c>
      <c r="D2785">
        <v>42797.17578125</v>
      </c>
      <c r="E2785">
        <v>41696.91015625</v>
      </c>
      <c r="F2785">
        <v>42035.59375</v>
      </c>
      <c r="G2785">
        <v>42035.59375</v>
      </c>
      <c r="H2785">
        <v>16858971687</v>
      </c>
      <c r="I2785" t="s">
        <v>6275</v>
      </c>
      <c r="J2785" t="s">
        <v>6277</v>
      </c>
      <c r="K2785" t="s">
        <v>4634</v>
      </c>
    </row>
    <row r="2786" spans="1:11" ht="20" customHeight="1">
      <c r="A2786" t="s">
        <v>26</v>
      </c>
      <c r="B2786" t="s">
        <v>2625</v>
      </c>
      <c r="C2786">
        <v>42030.9140625</v>
      </c>
      <c r="D2786">
        <v>43305.8671875</v>
      </c>
      <c r="E2786">
        <v>41818.33203125</v>
      </c>
      <c r="F2786">
        <v>43288.24609375</v>
      </c>
      <c r="G2786">
        <v>43288.24609375</v>
      </c>
      <c r="H2786">
        <v>20668476578</v>
      </c>
      <c r="I2786" t="s">
        <v>6277</v>
      </c>
      <c r="J2786" t="s">
        <v>6278</v>
      </c>
      <c r="K2786" t="s">
        <v>4634</v>
      </c>
    </row>
    <row r="2787" spans="1:11" ht="20" customHeight="1">
      <c r="A2787" t="s">
        <v>26</v>
      </c>
      <c r="B2787" t="s">
        <v>2628</v>
      </c>
      <c r="C2787">
        <v>43300.2265625</v>
      </c>
      <c r="D2787">
        <v>43838.9453125</v>
      </c>
      <c r="E2787">
        <v>42711.37109375</v>
      </c>
      <c r="F2787">
        <v>42952.609375</v>
      </c>
      <c r="G2787">
        <v>42952.609375</v>
      </c>
      <c r="H2787">
        <v>23842814518</v>
      </c>
      <c r="I2787" t="s">
        <v>6278</v>
      </c>
      <c r="J2787" t="s">
        <v>6279</v>
      </c>
      <c r="K2787" t="s">
        <v>4634</v>
      </c>
    </row>
    <row r="2788" spans="1:11" ht="20" customHeight="1">
      <c r="A2788" t="s">
        <v>26</v>
      </c>
      <c r="B2788" t="s">
        <v>2631</v>
      </c>
      <c r="C2788">
        <v>42946.25</v>
      </c>
      <c r="D2788">
        <v>43717.40625</v>
      </c>
      <c r="E2788">
        <v>42298.9453125</v>
      </c>
      <c r="F2788">
        <v>42582.60546875</v>
      </c>
      <c r="G2788">
        <v>42582.60546875</v>
      </c>
      <c r="H2788">
        <v>24673628793</v>
      </c>
      <c r="I2788" t="s">
        <v>6279</v>
      </c>
      <c r="J2788" t="s">
        <v>6280</v>
      </c>
      <c r="K2788" t="s">
        <v>4634</v>
      </c>
    </row>
    <row r="2789" spans="1:11" ht="20" customHeight="1">
      <c r="A2789" t="s">
        <v>26</v>
      </c>
      <c r="B2789" t="s">
        <v>2634</v>
      </c>
      <c r="C2789">
        <v>42569.76171875</v>
      </c>
      <c r="D2789">
        <v>43243.16796875</v>
      </c>
      <c r="E2789">
        <v>41879.19140625</v>
      </c>
      <c r="F2789">
        <v>43075.7734375</v>
      </c>
      <c r="G2789">
        <v>43075.7734375</v>
      </c>
      <c r="H2789">
        <v>21423953779</v>
      </c>
      <c r="I2789" t="s">
        <v>6280</v>
      </c>
      <c r="J2789" t="s">
        <v>6281</v>
      </c>
      <c r="K2789" t="s">
        <v>4634</v>
      </c>
    </row>
    <row r="2790" spans="1:11" ht="20" customHeight="1">
      <c r="A2790" t="s">
        <v>26</v>
      </c>
      <c r="B2790" t="s">
        <v>2637</v>
      </c>
      <c r="C2790">
        <v>43077.640625</v>
      </c>
      <c r="D2790">
        <v>43422.48828125</v>
      </c>
      <c r="E2790">
        <v>42584.3359375</v>
      </c>
      <c r="F2790">
        <v>43185.859375</v>
      </c>
      <c r="G2790">
        <v>43185.859375</v>
      </c>
      <c r="H2790">
        <v>18603843039</v>
      </c>
      <c r="I2790" t="s">
        <v>6281</v>
      </c>
      <c r="J2790" t="s">
        <v>6282</v>
      </c>
      <c r="K2790" t="s">
        <v>4634</v>
      </c>
    </row>
    <row r="2791" spans="1:11" ht="20" customHeight="1">
      <c r="A2791" t="s">
        <v>26</v>
      </c>
      <c r="B2791" t="s">
        <v>6283</v>
      </c>
      <c r="C2791">
        <v>43184.96484375</v>
      </c>
      <c r="D2791">
        <v>43359.94140625</v>
      </c>
      <c r="E2791">
        <v>42890.80859375</v>
      </c>
      <c r="F2791">
        <v>42992.25</v>
      </c>
      <c r="G2791">
        <v>42992.25</v>
      </c>
      <c r="H2791">
        <v>11169245236</v>
      </c>
      <c r="I2791" t="s">
        <v>6282</v>
      </c>
      <c r="J2791" t="s">
        <v>6284</v>
      </c>
      <c r="K2791" t="s">
        <v>4634</v>
      </c>
    </row>
    <row r="2792" spans="1:11" ht="20" customHeight="1">
      <c r="A2792" t="s">
        <v>26</v>
      </c>
      <c r="B2792" t="s">
        <v>6285</v>
      </c>
      <c r="C2792">
        <v>42994.94140625</v>
      </c>
      <c r="D2792">
        <v>43097.64453125</v>
      </c>
      <c r="E2792">
        <v>42374.83203125</v>
      </c>
      <c r="F2792">
        <v>42583.58203125</v>
      </c>
      <c r="G2792">
        <v>42583.58203125</v>
      </c>
      <c r="H2792">
        <v>14802225490</v>
      </c>
      <c r="I2792" t="s">
        <v>6284</v>
      </c>
      <c r="J2792" t="s">
        <v>6286</v>
      </c>
      <c r="K2792" t="s">
        <v>4634</v>
      </c>
    </row>
    <row r="2793" spans="1:11" ht="20" customHeight="1">
      <c r="A2793" t="s">
        <v>26</v>
      </c>
      <c r="B2793" t="s">
        <v>2640</v>
      </c>
      <c r="C2793">
        <v>42577.62109375</v>
      </c>
      <c r="D2793">
        <v>43494.25</v>
      </c>
      <c r="E2793">
        <v>42264.81640625</v>
      </c>
      <c r="F2793">
        <v>42658.66796875</v>
      </c>
      <c r="G2793">
        <v>42658.66796875</v>
      </c>
      <c r="H2793">
        <v>18715487317</v>
      </c>
      <c r="I2793" t="s">
        <v>6286</v>
      </c>
      <c r="J2793" t="s">
        <v>6287</v>
      </c>
      <c r="K2793" t="s">
        <v>4634</v>
      </c>
    </row>
    <row r="2794" spans="1:11" ht="20" customHeight="1">
      <c r="A2794" t="s">
        <v>26</v>
      </c>
      <c r="B2794" t="s">
        <v>2643</v>
      </c>
      <c r="C2794">
        <v>42657.390625</v>
      </c>
      <c r="D2794">
        <v>43344.1484375</v>
      </c>
      <c r="E2794">
        <v>42529.01953125</v>
      </c>
      <c r="F2794">
        <v>43084.671875</v>
      </c>
      <c r="G2794">
        <v>43084.671875</v>
      </c>
      <c r="H2794">
        <v>16798476726</v>
      </c>
      <c r="I2794" t="s">
        <v>6287</v>
      </c>
      <c r="J2794" t="s">
        <v>6288</v>
      </c>
      <c r="K2794" t="s">
        <v>4634</v>
      </c>
    </row>
    <row r="2795" spans="1:11" ht="20" customHeight="1">
      <c r="A2795" t="s">
        <v>26</v>
      </c>
      <c r="B2795" t="s">
        <v>2646</v>
      </c>
      <c r="C2795">
        <v>43090.01953125</v>
      </c>
      <c r="D2795">
        <v>44341.94921875</v>
      </c>
      <c r="E2795">
        <v>42775.95703125</v>
      </c>
      <c r="F2795">
        <v>44318.22265625</v>
      </c>
      <c r="G2795">
        <v>44318.22265625</v>
      </c>
      <c r="H2795">
        <v>21126587775</v>
      </c>
      <c r="I2795" t="s">
        <v>6288</v>
      </c>
      <c r="J2795" t="s">
        <v>6289</v>
      </c>
      <c r="K2795" t="s">
        <v>4634</v>
      </c>
    </row>
    <row r="2796" spans="1:11" ht="20" customHeight="1">
      <c r="A2796" t="s">
        <v>26</v>
      </c>
      <c r="B2796" t="s">
        <v>2649</v>
      </c>
      <c r="C2796">
        <v>44332.125</v>
      </c>
      <c r="D2796">
        <v>45575.83984375</v>
      </c>
      <c r="E2796">
        <v>44332.125</v>
      </c>
      <c r="F2796">
        <v>45301.56640625</v>
      </c>
      <c r="G2796">
        <v>45301.56640625</v>
      </c>
      <c r="H2796">
        <v>26154524080</v>
      </c>
      <c r="I2796" t="s">
        <v>6289</v>
      </c>
      <c r="J2796" t="s">
        <v>6290</v>
      </c>
      <c r="K2796" t="s">
        <v>4634</v>
      </c>
    </row>
    <row r="2797" spans="1:11" ht="20" customHeight="1">
      <c r="A2797" t="s">
        <v>26</v>
      </c>
      <c r="B2797" t="s">
        <v>2652</v>
      </c>
      <c r="C2797">
        <v>45297.3828125</v>
      </c>
      <c r="D2797">
        <v>48152.49609375</v>
      </c>
      <c r="E2797">
        <v>45260.82421875</v>
      </c>
      <c r="F2797">
        <v>47147.19921875</v>
      </c>
      <c r="G2797">
        <v>47147.19921875</v>
      </c>
      <c r="H2797">
        <v>39316770844</v>
      </c>
      <c r="I2797" t="s">
        <v>6290</v>
      </c>
      <c r="J2797" t="s">
        <v>6291</v>
      </c>
      <c r="K2797" t="s">
        <v>4634</v>
      </c>
    </row>
    <row r="2798" spans="1:11" ht="20" customHeight="1">
      <c r="A2798" t="s">
        <v>26</v>
      </c>
      <c r="B2798" t="s">
        <v>6292</v>
      </c>
      <c r="C2798">
        <v>47153.52734375</v>
      </c>
      <c r="D2798">
        <v>48146.171875</v>
      </c>
      <c r="E2798">
        <v>46905.3203125</v>
      </c>
      <c r="F2798">
        <v>47771.27734375</v>
      </c>
      <c r="G2798">
        <v>47771.27734375</v>
      </c>
      <c r="H2798">
        <v>16398681570</v>
      </c>
      <c r="I2798" t="s">
        <v>6291</v>
      </c>
      <c r="J2798" t="s">
        <v>6293</v>
      </c>
      <c r="K2798" t="s">
        <v>4634</v>
      </c>
    </row>
    <row r="2799" spans="1:11" ht="20" customHeight="1">
      <c r="A2799" t="s">
        <v>26</v>
      </c>
      <c r="B2799" t="s">
        <v>6294</v>
      </c>
      <c r="C2799">
        <v>47768.96875</v>
      </c>
      <c r="D2799">
        <v>48535.9375</v>
      </c>
      <c r="E2799">
        <v>47617.40625</v>
      </c>
      <c r="F2799">
        <v>48293.91796875</v>
      </c>
      <c r="G2799">
        <v>48293.91796875</v>
      </c>
      <c r="H2799">
        <v>19315867136</v>
      </c>
      <c r="I2799" t="s">
        <v>6293</v>
      </c>
      <c r="J2799" t="s">
        <v>6295</v>
      </c>
      <c r="K2799" t="s">
        <v>4634</v>
      </c>
    </row>
    <row r="2800" spans="1:11" ht="20" customHeight="1">
      <c r="A2800" t="s">
        <v>26</v>
      </c>
      <c r="B2800" t="s">
        <v>2655</v>
      </c>
      <c r="C2800">
        <v>48296.38671875</v>
      </c>
      <c r="D2800">
        <v>50280.4765625</v>
      </c>
      <c r="E2800">
        <v>47745.76171875</v>
      </c>
      <c r="F2800">
        <v>49958.22265625</v>
      </c>
      <c r="G2800">
        <v>49958.22265625</v>
      </c>
      <c r="H2800">
        <v>34511985805</v>
      </c>
      <c r="I2800" t="s">
        <v>6295</v>
      </c>
      <c r="J2800" t="s">
        <v>6296</v>
      </c>
      <c r="K2800" t="s">
        <v>4634</v>
      </c>
    </row>
    <row r="2801" spans="1:11" ht="20" customHeight="1">
      <c r="A2801" t="s">
        <v>26</v>
      </c>
      <c r="B2801" t="s">
        <v>2658</v>
      </c>
      <c r="C2801">
        <v>49941.359375</v>
      </c>
      <c r="D2801">
        <v>50358.390625</v>
      </c>
      <c r="E2801">
        <v>48406.49609375</v>
      </c>
      <c r="F2801">
        <v>49742.44140625</v>
      </c>
      <c r="G2801">
        <v>49742.44140625</v>
      </c>
      <c r="H2801">
        <v>35593051468</v>
      </c>
      <c r="I2801" t="s">
        <v>6296</v>
      </c>
      <c r="J2801" t="s">
        <v>6297</v>
      </c>
      <c r="K2801" t="s">
        <v>4634</v>
      </c>
    </row>
    <row r="2802" spans="1:11" ht="20" customHeight="1">
      <c r="A2802" t="s">
        <v>26</v>
      </c>
      <c r="B2802" t="s">
        <v>2661</v>
      </c>
      <c r="C2802">
        <v>49733.4453125</v>
      </c>
      <c r="D2802">
        <v>52021.37109375</v>
      </c>
      <c r="E2802">
        <v>49296.83203125</v>
      </c>
      <c r="F2802">
        <v>51826.6953125</v>
      </c>
      <c r="G2802">
        <v>51826.6953125</v>
      </c>
      <c r="H2802">
        <v>39105608050</v>
      </c>
      <c r="I2802" t="s">
        <v>6297</v>
      </c>
      <c r="J2802" t="s">
        <v>6298</v>
      </c>
      <c r="K2802" t="s">
        <v>4634</v>
      </c>
    </row>
    <row r="2803" spans="1:11" ht="20" customHeight="1">
      <c r="A2803" t="s">
        <v>26</v>
      </c>
      <c r="B2803" t="s">
        <v>2664</v>
      </c>
      <c r="C2803">
        <v>51836.78515625</v>
      </c>
      <c r="D2803">
        <v>52820.06640625</v>
      </c>
      <c r="E2803">
        <v>51371.62890625</v>
      </c>
      <c r="F2803">
        <v>51938.5546875</v>
      </c>
      <c r="G2803">
        <v>51938.5546875</v>
      </c>
      <c r="H2803">
        <v>38564360533</v>
      </c>
      <c r="I2803" t="s">
        <v>6298</v>
      </c>
      <c r="J2803" t="s">
        <v>6299</v>
      </c>
      <c r="K2803" t="s">
        <v>4634</v>
      </c>
    </row>
    <row r="2804" spans="1:11" ht="20" customHeight="1">
      <c r="A2804" t="s">
        <v>26</v>
      </c>
      <c r="B2804" t="s">
        <v>2667</v>
      </c>
      <c r="C2804">
        <v>51937.7265625</v>
      </c>
      <c r="D2804">
        <v>52537.96875</v>
      </c>
      <c r="E2804">
        <v>51641.3671875</v>
      </c>
      <c r="F2804">
        <v>52160.203125</v>
      </c>
      <c r="G2804">
        <v>52160.203125</v>
      </c>
      <c r="H2804">
        <v>28180567298</v>
      </c>
      <c r="I2804" t="s">
        <v>6299</v>
      </c>
      <c r="J2804" t="s">
        <v>6300</v>
      </c>
      <c r="K2804" t="s">
        <v>4634</v>
      </c>
    </row>
    <row r="2805" spans="1:11" ht="20" customHeight="1">
      <c r="A2805" t="s">
        <v>26</v>
      </c>
      <c r="B2805" t="s">
        <v>6301</v>
      </c>
      <c r="C2805">
        <v>52161.67578125</v>
      </c>
      <c r="D2805">
        <v>52191.9140625</v>
      </c>
      <c r="E2805">
        <v>50669.66796875</v>
      </c>
      <c r="F2805">
        <v>51662.99609375</v>
      </c>
      <c r="G2805">
        <v>51662.99609375</v>
      </c>
      <c r="H2805">
        <v>20009091006</v>
      </c>
      <c r="I2805" t="s">
        <v>6300</v>
      </c>
      <c r="J2805" t="s">
        <v>6302</v>
      </c>
      <c r="K2805" t="s">
        <v>4634</v>
      </c>
    </row>
    <row r="2806" spans="1:11" ht="20" customHeight="1">
      <c r="A2806" t="s">
        <v>26</v>
      </c>
      <c r="B2806" t="s">
        <v>6303</v>
      </c>
      <c r="C2806">
        <v>51661.96875</v>
      </c>
      <c r="D2806">
        <v>52356.96484375</v>
      </c>
      <c r="E2806">
        <v>51233.70703125</v>
      </c>
      <c r="F2806">
        <v>52122.546875</v>
      </c>
      <c r="G2806">
        <v>52122.546875</v>
      </c>
      <c r="H2806">
        <v>17595377311</v>
      </c>
      <c r="I2806" t="s">
        <v>6302</v>
      </c>
      <c r="J2806" t="s">
        <v>6304</v>
      </c>
      <c r="K2806" t="s">
        <v>4634</v>
      </c>
    </row>
    <row r="2807" spans="1:11" ht="20" customHeight="1">
      <c r="A2807" t="s">
        <v>26</v>
      </c>
      <c r="B2807" t="s">
        <v>6305</v>
      </c>
      <c r="C2807">
        <v>52134.8125</v>
      </c>
      <c r="D2807">
        <v>52483.32421875</v>
      </c>
      <c r="E2807">
        <v>51711.8203125</v>
      </c>
      <c r="F2807">
        <v>51779.14453125</v>
      </c>
      <c r="G2807">
        <v>51779.14453125</v>
      </c>
      <c r="H2807">
        <v>21362184346</v>
      </c>
      <c r="I2807" t="s">
        <v>6304</v>
      </c>
      <c r="J2807" t="s">
        <v>6306</v>
      </c>
      <c r="K2807" t="s">
        <v>4634</v>
      </c>
    </row>
    <row r="2808" spans="1:11" ht="20" customHeight="1">
      <c r="A2808" t="s">
        <v>26</v>
      </c>
      <c r="B2808" t="s">
        <v>2670</v>
      </c>
      <c r="C2808">
        <v>51777.7265625</v>
      </c>
      <c r="D2808">
        <v>52945.05078125</v>
      </c>
      <c r="E2808">
        <v>50792.3125</v>
      </c>
      <c r="F2808">
        <v>52284.875</v>
      </c>
      <c r="G2808">
        <v>52284.875</v>
      </c>
      <c r="H2808">
        <v>33353758256</v>
      </c>
      <c r="I2808" t="s">
        <v>6306</v>
      </c>
      <c r="J2808" t="s">
        <v>6307</v>
      </c>
      <c r="K2808" t="s">
        <v>4634</v>
      </c>
    </row>
    <row r="2809" spans="1:11" ht="20" customHeight="1">
      <c r="A2809" t="s">
        <v>26</v>
      </c>
      <c r="B2809" t="s">
        <v>2673</v>
      </c>
      <c r="C2809">
        <v>52273.53515625</v>
      </c>
      <c r="D2809">
        <v>52368.81640625</v>
      </c>
      <c r="E2809">
        <v>50671.7578125</v>
      </c>
      <c r="F2809">
        <v>51839.1796875</v>
      </c>
      <c r="G2809">
        <v>51839.1796875</v>
      </c>
      <c r="H2809">
        <v>28624907020</v>
      </c>
      <c r="I2809" t="s">
        <v>6307</v>
      </c>
      <c r="J2809" t="s">
        <v>6308</v>
      </c>
      <c r="K2809" t="s">
        <v>4634</v>
      </c>
    </row>
    <row r="2810" spans="1:11" ht="20" customHeight="1">
      <c r="A2810" t="s">
        <v>26</v>
      </c>
      <c r="B2810" t="s">
        <v>2676</v>
      </c>
      <c r="C2810">
        <v>51854.64453125</v>
      </c>
      <c r="D2810">
        <v>52009.61328125</v>
      </c>
      <c r="E2810">
        <v>50926.29296875</v>
      </c>
      <c r="F2810">
        <v>51304.97265625</v>
      </c>
      <c r="G2810">
        <v>51304.97265625</v>
      </c>
      <c r="H2810">
        <v>25413900611</v>
      </c>
      <c r="I2810" t="s">
        <v>6308</v>
      </c>
      <c r="J2810" t="s">
        <v>6309</v>
      </c>
      <c r="K2810" t="s">
        <v>4634</v>
      </c>
    </row>
    <row r="2811" spans="1:11" ht="20" customHeight="1">
      <c r="A2811" t="s">
        <v>26</v>
      </c>
      <c r="B2811" t="s">
        <v>2679</v>
      </c>
      <c r="C2811">
        <v>51283.90625</v>
      </c>
      <c r="D2811">
        <v>51497.93359375</v>
      </c>
      <c r="E2811">
        <v>50561.77734375</v>
      </c>
      <c r="F2811">
        <v>50731.94921875</v>
      </c>
      <c r="G2811">
        <v>50731.94921875</v>
      </c>
      <c r="H2811">
        <v>21427078270</v>
      </c>
      <c r="I2811" t="s">
        <v>6309</v>
      </c>
      <c r="J2811" t="s">
        <v>6310</v>
      </c>
      <c r="K2811" t="s">
        <v>4634</v>
      </c>
    </row>
    <row r="2812" spans="1:11" ht="20" customHeight="1">
      <c r="A2812" t="s">
        <v>26</v>
      </c>
      <c r="B2812" t="s">
        <v>6311</v>
      </c>
      <c r="C2812">
        <v>50736.37109375</v>
      </c>
      <c r="D2812">
        <v>51684.1953125</v>
      </c>
      <c r="E2812">
        <v>50585.4453125</v>
      </c>
      <c r="F2812">
        <v>51571.1015625</v>
      </c>
      <c r="G2812">
        <v>51571.1015625</v>
      </c>
      <c r="H2812">
        <v>15174077879</v>
      </c>
      <c r="I2812" t="s">
        <v>6310</v>
      </c>
      <c r="J2812" t="s">
        <v>6312</v>
      </c>
      <c r="K2812" t="s">
        <v>4634</v>
      </c>
    </row>
    <row r="2813" spans="1:11" ht="20" customHeight="1">
      <c r="A2813" t="s">
        <v>26</v>
      </c>
      <c r="B2813" t="s">
        <v>6313</v>
      </c>
      <c r="C2813">
        <v>51565.21484375</v>
      </c>
      <c r="D2813">
        <v>51950.02734375</v>
      </c>
      <c r="E2813">
        <v>51306.171875</v>
      </c>
      <c r="F2813">
        <v>51733.23828125</v>
      </c>
      <c r="G2813">
        <v>51733.23828125</v>
      </c>
      <c r="H2813">
        <v>15413239245</v>
      </c>
      <c r="I2813" t="s">
        <v>6312</v>
      </c>
      <c r="J2813" t="s">
        <v>6314</v>
      </c>
      <c r="K2813" t="s">
        <v>4634</v>
      </c>
    </row>
    <row r="2814" spans="1:11" ht="20" customHeight="1">
      <c r="A2814" t="s">
        <v>26</v>
      </c>
      <c r="B2814" t="s">
        <v>2682</v>
      </c>
      <c r="C2814">
        <v>51730.5390625</v>
      </c>
      <c r="D2814">
        <v>54938.17578125</v>
      </c>
      <c r="E2814">
        <v>50931.03125</v>
      </c>
      <c r="F2814">
        <v>54522.40234375</v>
      </c>
      <c r="G2814">
        <v>54522.40234375</v>
      </c>
      <c r="H2814">
        <v>34074411896</v>
      </c>
      <c r="I2814" t="s">
        <v>6314</v>
      </c>
      <c r="J2814" t="s">
        <v>6315</v>
      </c>
      <c r="K2814" t="s">
        <v>4634</v>
      </c>
    </row>
    <row r="2815" spans="1:11" ht="20" customHeight="1">
      <c r="A2815" t="s">
        <v>26</v>
      </c>
      <c r="B2815" t="s">
        <v>2685</v>
      </c>
      <c r="C2815">
        <v>54519.36328125</v>
      </c>
      <c r="D2815">
        <v>57537.83984375</v>
      </c>
      <c r="E2815">
        <v>54484.19921875</v>
      </c>
      <c r="F2815">
        <v>57085.37109375</v>
      </c>
      <c r="G2815">
        <v>57085.37109375</v>
      </c>
      <c r="H2815">
        <v>49756832031</v>
      </c>
      <c r="I2815" t="s">
        <v>6315</v>
      </c>
      <c r="J2815" t="s">
        <v>6316</v>
      </c>
      <c r="K2815" t="s">
        <v>4634</v>
      </c>
    </row>
    <row r="2816" spans="1:11" ht="20" customHeight="1">
      <c r="A2816" t="s">
        <v>26</v>
      </c>
      <c r="B2816" t="s">
        <v>2688</v>
      </c>
      <c r="C2816">
        <v>57071.09765625</v>
      </c>
      <c r="D2816">
        <v>63913.1328125</v>
      </c>
      <c r="E2816">
        <v>56738.42578125</v>
      </c>
      <c r="F2816">
        <v>62504.7890625</v>
      </c>
      <c r="G2816">
        <v>62504.7890625</v>
      </c>
      <c r="H2816">
        <v>83239156760</v>
      </c>
      <c r="I2816" t="s">
        <v>6316</v>
      </c>
      <c r="J2816" t="s">
        <v>6317</v>
      </c>
      <c r="K2816" t="s">
        <v>4634</v>
      </c>
    </row>
    <row r="2817" spans="1:11" ht="20" customHeight="1">
      <c r="A2817" t="s">
        <v>26</v>
      </c>
      <c r="B2817" t="s">
        <v>2691</v>
      </c>
      <c r="C2817">
        <v>62499.18359375</v>
      </c>
      <c r="D2817">
        <v>63585.64453125</v>
      </c>
      <c r="E2817">
        <v>60498.73046875</v>
      </c>
      <c r="F2817">
        <v>61198.3828125</v>
      </c>
      <c r="G2817">
        <v>61198.3828125</v>
      </c>
      <c r="H2817">
        <v>65496611844</v>
      </c>
      <c r="I2817" t="s">
        <v>6317</v>
      </c>
      <c r="J2817" t="s">
        <v>6318</v>
      </c>
      <c r="K2817" t="s">
        <v>4634</v>
      </c>
    </row>
    <row r="2818" spans="1:11" ht="20" customHeight="1">
      <c r="A2818" t="s">
        <v>26</v>
      </c>
      <c r="B2818" t="s">
        <v>2694</v>
      </c>
      <c r="C2818">
        <v>61168.0625</v>
      </c>
      <c r="D2818">
        <v>63155.1015625</v>
      </c>
      <c r="E2818">
        <v>60802.52734375</v>
      </c>
      <c r="F2818">
        <v>62440.6328125</v>
      </c>
      <c r="G2818">
        <v>62440.6328125</v>
      </c>
      <c r="H2818">
        <v>40186368423</v>
      </c>
      <c r="I2818" t="s">
        <v>6318</v>
      </c>
      <c r="J2818" t="s">
        <v>6319</v>
      </c>
      <c r="K2818" t="s">
        <v>4634</v>
      </c>
    </row>
    <row r="2819" spans="1:11" ht="20" customHeight="1">
      <c r="A2819" t="s">
        <v>26</v>
      </c>
      <c r="B2819" t="s">
        <v>6320</v>
      </c>
      <c r="C2819">
        <v>62431.65234375</v>
      </c>
      <c r="D2819">
        <v>62458.69921875</v>
      </c>
      <c r="E2819">
        <v>61657.2890625</v>
      </c>
      <c r="F2819">
        <v>62029.84765625</v>
      </c>
      <c r="G2819">
        <v>62029.84765625</v>
      </c>
      <c r="H2819">
        <v>23888473685</v>
      </c>
      <c r="I2819" t="s">
        <v>6319</v>
      </c>
      <c r="J2819" t="s">
        <v>6321</v>
      </c>
      <c r="K2819" t="s">
        <v>4634</v>
      </c>
    </row>
    <row r="2820" spans="1:11" ht="20" customHeight="1">
      <c r="A2820" t="s">
        <v>26</v>
      </c>
      <c r="B2820" t="s">
        <v>6322</v>
      </c>
      <c r="C2820">
        <v>62031.578125</v>
      </c>
      <c r="D2820">
        <v>63230.2109375</v>
      </c>
      <c r="E2820">
        <v>61435.0234375</v>
      </c>
      <c r="F2820">
        <v>63167.37109375</v>
      </c>
      <c r="G2820">
        <v>63167.37109375</v>
      </c>
      <c r="H2820">
        <v>26253811450</v>
      </c>
      <c r="I2820" t="s">
        <v>6321</v>
      </c>
      <c r="J2820" t="s">
        <v>6323</v>
      </c>
      <c r="K2820" t="s">
        <v>4634</v>
      </c>
    </row>
    <row r="2821" spans="1:11" ht="20" customHeight="1">
      <c r="A2821" t="s">
        <v>26</v>
      </c>
      <c r="B2821" t="s">
        <v>2697</v>
      </c>
      <c r="C2821">
        <v>63137.00390625</v>
      </c>
      <c r="D2821">
        <v>68537.03125</v>
      </c>
      <c r="E2821">
        <v>62386.51953125</v>
      </c>
      <c r="F2821">
        <v>68330.4140625</v>
      </c>
      <c r="G2821">
        <v>68330.4140625</v>
      </c>
      <c r="H2821">
        <v>70670471105</v>
      </c>
      <c r="I2821" t="s">
        <v>6323</v>
      </c>
      <c r="J2821" t="s">
        <v>6324</v>
      </c>
      <c r="K2821" t="s">
        <v>4634</v>
      </c>
    </row>
    <row r="2822" spans="1:11" ht="20" customHeight="1">
      <c r="A2822" t="s">
        <v>26</v>
      </c>
      <c r="B2822" t="s">
        <v>2700</v>
      </c>
      <c r="C2822">
        <v>68341.0546875</v>
      </c>
      <c r="D2822">
        <v>69170.625</v>
      </c>
      <c r="E2822">
        <v>59323.91015625</v>
      </c>
      <c r="F2822">
        <v>63801.19921875</v>
      </c>
      <c r="G2822">
        <v>63801.19921875</v>
      </c>
      <c r="H2822">
        <v>102802940877</v>
      </c>
      <c r="I2822" t="s">
        <v>6324</v>
      </c>
      <c r="J2822" t="s">
        <v>6325</v>
      </c>
      <c r="K2822" t="s">
        <v>4634</v>
      </c>
    </row>
    <row r="2823" spans="1:11" ht="20" customHeight="1">
      <c r="A2823" t="s">
        <v>26</v>
      </c>
      <c r="B2823" t="s">
        <v>2703</v>
      </c>
      <c r="C2823">
        <v>63776.05078125</v>
      </c>
      <c r="D2823">
        <v>67637.9296875</v>
      </c>
      <c r="E2823">
        <v>62848.671875</v>
      </c>
      <c r="F2823">
        <v>66106.8046875</v>
      </c>
      <c r="G2823">
        <v>66106.8046875</v>
      </c>
      <c r="H2823">
        <v>68750229073</v>
      </c>
      <c r="I2823" t="s">
        <v>6325</v>
      </c>
      <c r="J2823" t="s">
        <v>6326</v>
      </c>
      <c r="K2823" t="s">
        <v>4634</v>
      </c>
    </row>
    <row r="2824" spans="1:11" ht="20" customHeight="1">
      <c r="A2824" t="s">
        <v>26</v>
      </c>
      <c r="B2824" t="s">
        <v>2706</v>
      </c>
      <c r="C2824">
        <v>66099.7421875</v>
      </c>
      <c r="D2824">
        <v>68029.921875</v>
      </c>
      <c r="E2824">
        <v>65655.53125</v>
      </c>
      <c r="F2824">
        <v>66925.484375</v>
      </c>
      <c r="G2824">
        <v>66925.484375</v>
      </c>
      <c r="H2824">
        <v>46989543159</v>
      </c>
      <c r="I2824" t="s">
        <v>6326</v>
      </c>
      <c r="J2824" t="s">
        <v>6327</v>
      </c>
      <c r="K2824" t="s">
        <v>4634</v>
      </c>
    </row>
    <row r="2825" spans="1:11" ht="20" customHeight="1">
      <c r="A2825" t="s">
        <v>26</v>
      </c>
      <c r="B2825" t="s">
        <v>2709</v>
      </c>
      <c r="C2825">
        <v>66938.09375</v>
      </c>
      <c r="D2825">
        <v>70083.0546875</v>
      </c>
      <c r="E2825">
        <v>66230.453125</v>
      </c>
      <c r="F2825">
        <v>68300.09375</v>
      </c>
      <c r="G2825">
        <v>68300.09375</v>
      </c>
      <c r="H2825">
        <v>59202881172</v>
      </c>
      <c r="I2825" t="s">
        <v>6327</v>
      </c>
      <c r="J2825" t="s">
        <v>6328</v>
      </c>
      <c r="K2825" t="s">
        <v>4634</v>
      </c>
    </row>
    <row r="2826" spans="1:11" ht="20" customHeight="1">
      <c r="A2826" t="s">
        <v>26</v>
      </c>
      <c r="B2826" t="s">
        <v>6329</v>
      </c>
      <c r="C2826">
        <v>68299.2578125</v>
      </c>
      <c r="D2826">
        <v>68673.0546875</v>
      </c>
      <c r="E2826">
        <v>68053.125</v>
      </c>
      <c r="F2826">
        <v>68498.8828125</v>
      </c>
      <c r="G2826">
        <v>68498.8828125</v>
      </c>
      <c r="H2826">
        <v>21609650379</v>
      </c>
      <c r="I2826" t="s">
        <v>6328</v>
      </c>
      <c r="J2826" t="s">
        <v>6330</v>
      </c>
      <c r="K2826" t="s">
        <v>4634</v>
      </c>
    </row>
    <row r="2827" spans="1:11" ht="20" customHeight="1">
      <c r="A2827" t="s">
        <v>26</v>
      </c>
      <c r="B2827" t="s">
        <v>6331</v>
      </c>
      <c r="C2827">
        <v>68500.2578125</v>
      </c>
      <c r="D2827">
        <v>70005.203125</v>
      </c>
      <c r="E2827">
        <v>68239.9765625</v>
      </c>
      <c r="F2827">
        <v>69019.7890625</v>
      </c>
      <c r="G2827">
        <v>69019.7890625</v>
      </c>
      <c r="H2827">
        <v>35683977532</v>
      </c>
      <c r="I2827" t="s">
        <v>6330</v>
      </c>
      <c r="J2827" t="s">
        <v>6332</v>
      </c>
      <c r="K2827" t="s">
        <v>4634</v>
      </c>
    </row>
    <row r="2828" spans="1:11" ht="20" customHeight="1">
      <c r="A2828" t="s">
        <v>26</v>
      </c>
      <c r="B2828" t="s">
        <v>2712</v>
      </c>
      <c r="C2828">
        <v>69020.546875</v>
      </c>
      <c r="D2828">
        <v>72850.7109375</v>
      </c>
      <c r="E2828">
        <v>67194.8828125</v>
      </c>
      <c r="F2828">
        <v>72123.90625</v>
      </c>
      <c r="G2828">
        <v>72123.90625</v>
      </c>
      <c r="H2828">
        <v>65716656765</v>
      </c>
      <c r="I2828" t="s">
        <v>6332</v>
      </c>
      <c r="J2828" t="s">
        <v>6333</v>
      </c>
      <c r="K2828" t="s">
        <v>4634</v>
      </c>
    </row>
    <row r="2829" spans="1:11" ht="20" customHeight="1">
      <c r="A2829" t="s">
        <v>26</v>
      </c>
      <c r="B2829" t="s">
        <v>2715</v>
      </c>
      <c r="C2829">
        <v>72125.125</v>
      </c>
      <c r="D2829">
        <v>72825.65625</v>
      </c>
      <c r="E2829">
        <v>68728.8515625</v>
      </c>
      <c r="F2829">
        <v>71481.2890625</v>
      </c>
      <c r="G2829">
        <v>71481.2890625</v>
      </c>
      <c r="H2829">
        <v>62554434520</v>
      </c>
      <c r="I2829" t="s">
        <v>6333</v>
      </c>
      <c r="J2829" t="s">
        <v>6334</v>
      </c>
      <c r="K2829" t="s">
        <v>4634</v>
      </c>
    </row>
    <row r="2830" spans="1:11" ht="20" customHeight="1">
      <c r="A2830" t="s">
        <v>26</v>
      </c>
      <c r="B2830" t="s">
        <v>2718</v>
      </c>
      <c r="C2830">
        <v>71482.1171875</v>
      </c>
      <c r="D2830">
        <v>73637.4765625</v>
      </c>
      <c r="E2830">
        <v>71334.09375</v>
      </c>
      <c r="F2830">
        <v>73083.5</v>
      </c>
      <c r="G2830">
        <v>73083.5</v>
      </c>
      <c r="H2830">
        <v>48212536929</v>
      </c>
      <c r="I2830" t="s">
        <v>6334</v>
      </c>
      <c r="J2830" t="s">
        <v>6335</v>
      </c>
      <c r="K2830" t="s">
        <v>4634</v>
      </c>
    </row>
    <row r="2831" spans="1:11" ht="20" customHeight="1">
      <c r="A2831" t="s">
        <v>26</v>
      </c>
      <c r="B2831" t="s">
        <v>2721</v>
      </c>
      <c r="C2831">
        <v>73079.375</v>
      </c>
      <c r="D2831">
        <v>73750.0703125</v>
      </c>
      <c r="E2831">
        <v>68563.0234375</v>
      </c>
      <c r="F2831">
        <v>71396.59375</v>
      </c>
      <c r="G2831">
        <v>71396.59375</v>
      </c>
      <c r="H2831">
        <v>59594605698</v>
      </c>
      <c r="I2831" t="s">
        <v>6335</v>
      </c>
      <c r="J2831" t="s">
        <v>6336</v>
      </c>
      <c r="K2831" t="s">
        <v>4634</v>
      </c>
    </row>
    <row r="2832" spans="1:11" ht="20" customHeight="1">
      <c r="A2832" t="s">
        <v>26</v>
      </c>
      <c r="B2832" t="s">
        <v>2724</v>
      </c>
      <c r="C2832">
        <v>71387.875</v>
      </c>
      <c r="D2832">
        <v>72357.1328125</v>
      </c>
      <c r="E2832">
        <v>65630.6953125</v>
      </c>
      <c r="F2832">
        <v>69403.7734375</v>
      </c>
      <c r="G2832">
        <v>69403.7734375</v>
      </c>
      <c r="H2832">
        <v>78320453976</v>
      </c>
      <c r="I2832" t="s">
        <v>6336</v>
      </c>
      <c r="J2832" t="s">
        <v>6337</v>
      </c>
      <c r="K2832" t="s">
        <v>4634</v>
      </c>
    </row>
    <row r="2833" spans="1:11" ht="20" customHeight="1">
      <c r="A2833" t="s">
        <v>26</v>
      </c>
      <c r="B2833" t="s">
        <v>6338</v>
      </c>
      <c r="C2833">
        <v>69392.484375</v>
      </c>
      <c r="D2833">
        <v>70046.2734375</v>
      </c>
      <c r="E2833">
        <v>64801.39453125</v>
      </c>
      <c r="F2833">
        <v>65315.1171875</v>
      </c>
      <c r="G2833">
        <v>65315.1171875</v>
      </c>
      <c r="H2833">
        <v>46842198371</v>
      </c>
      <c r="I2833" t="s">
        <v>6337</v>
      </c>
      <c r="J2833" t="s">
        <v>6339</v>
      </c>
      <c r="K2833" t="s">
        <v>4634</v>
      </c>
    </row>
    <row r="2834" spans="1:11" ht="20" customHeight="1">
      <c r="A2834" t="s">
        <v>26</v>
      </c>
      <c r="B2834" t="s">
        <v>6340</v>
      </c>
      <c r="C2834">
        <v>65316.34375</v>
      </c>
      <c r="D2834">
        <v>68845.71875</v>
      </c>
      <c r="E2834">
        <v>64545.31640625</v>
      </c>
      <c r="F2834">
        <v>68390.625</v>
      </c>
      <c r="G2834">
        <v>68390.625</v>
      </c>
      <c r="H2834">
        <v>44716864318</v>
      </c>
      <c r="I2834" t="s">
        <v>6339</v>
      </c>
      <c r="J2834" t="s">
        <v>6341</v>
      </c>
      <c r="K2834" t="s">
        <v>4634</v>
      </c>
    </row>
    <row r="2835" spans="1:11" ht="20" customHeight="1">
      <c r="A2835" t="s">
        <v>26</v>
      </c>
      <c r="B2835" t="s">
        <v>2727</v>
      </c>
      <c r="C2835">
        <v>68371.3046875</v>
      </c>
      <c r="D2835">
        <v>68897.1328125</v>
      </c>
      <c r="E2835">
        <v>66594.2265625</v>
      </c>
      <c r="F2835">
        <v>67548.59375</v>
      </c>
      <c r="G2835">
        <v>67548.59375</v>
      </c>
      <c r="H2835">
        <v>49261579492</v>
      </c>
      <c r="I2835" t="s">
        <v>6341</v>
      </c>
      <c r="J2835" t="s">
        <v>6342</v>
      </c>
      <c r="K2835" t="s">
        <v>4634</v>
      </c>
    </row>
    <row r="2836" spans="1:11" ht="20" customHeight="1">
      <c r="A2836" t="s">
        <v>26</v>
      </c>
      <c r="B2836" t="s">
        <v>2730</v>
      </c>
      <c r="C2836">
        <v>67556.1328125</v>
      </c>
      <c r="D2836">
        <v>68106.9296875</v>
      </c>
      <c r="E2836">
        <v>61536.1796875</v>
      </c>
      <c r="F2836">
        <v>61912.7734375</v>
      </c>
      <c r="G2836">
        <v>61912.7734375</v>
      </c>
      <c r="H2836">
        <v>74215844794</v>
      </c>
      <c r="I2836" t="s">
        <v>6342</v>
      </c>
      <c r="J2836" t="s">
        <v>6343</v>
      </c>
      <c r="K2836" t="s">
        <v>4634</v>
      </c>
    </row>
    <row r="2837" spans="1:11" ht="20" customHeight="1">
      <c r="A2837" t="s">
        <v>26</v>
      </c>
      <c r="B2837" t="s">
        <v>2733</v>
      </c>
      <c r="C2837">
        <v>61930.15625</v>
      </c>
      <c r="D2837">
        <v>68115.2578125</v>
      </c>
      <c r="E2837">
        <v>60807.78515625</v>
      </c>
      <c r="F2837">
        <v>67913.671875</v>
      </c>
      <c r="G2837">
        <v>67913.671875</v>
      </c>
      <c r="H2837">
        <v>66792634382</v>
      </c>
      <c r="I2837" t="s">
        <v>6343</v>
      </c>
      <c r="J2837" t="s">
        <v>6344</v>
      </c>
      <c r="K2837" t="s">
        <v>4634</v>
      </c>
    </row>
    <row r="2838" spans="1:11" ht="20" customHeight="1">
      <c r="A2838" t="s">
        <v>26</v>
      </c>
      <c r="B2838" t="s">
        <v>2736</v>
      </c>
      <c r="C2838">
        <v>67911.5859375</v>
      </c>
      <c r="D2838">
        <v>68199.9921875</v>
      </c>
      <c r="E2838">
        <v>64580.91796875</v>
      </c>
      <c r="F2838">
        <v>65491.390625</v>
      </c>
      <c r="G2838">
        <v>65491.390625</v>
      </c>
      <c r="H2838">
        <v>44480350565</v>
      </c>
      <c r="I2838" t="s">
        <v>6344</v>
      </c>
      <c r="J2838" t="s">
        <v>6345</v>
      </c>
      <c r="K2838" t="s">
        <v>4634</v>
      </c>
    </row>
    <row r="2839" spans="1:11" ht="20" customHeight="1">
      <c r="A2839" t="s">
        <v>26</v>
      </c>
      <c r="B2839" t="s">
        <v>2739</v>
      </c>
      <c r="C2839">
        <v>65489.9296875</v>
      </c>
      <c r="D2839">
        <v>66623.75</v>
      </c>
      <c r="E2839">
        <v>62355.37109375</v>
      </c>
      <c r="F2839">
        <v>63778.76171875</v>
      </c>
      <c r="G2839">
        <v>63778.76171875</v>
      </c>
      <c r="H2839">
        <v>41401116964</v>
      </c>
      <c r="I2839" t="s">
        <v>6345</v>
      </c>
      <c r="J2839" t="s">
        <v>6346</v>
      </c>
      <c r="K2839" t="s">
        <v>4634</v>
      </c>
    </row>
    <row r="2840" spans="1:11" ht="20" customHeight="1">
      <c r="A2840" t="s">
        <v>26</v>
      </c>
      <c r="B2840" t="s">
        <v>6347</v>
      </c>
      <c r="C2840">
        <v>63802.72265625</v>
      </c>
      <c r="D2840">
        <v>65976.3984375</v>
      </c>
      <c r="E2840">
        <v>63038.4921875</v>
      </c>
      <c r="F2840">
        <v>64062.203125</v>
      </c>
      <c r="G2840">
        <v>64062.203125</v>
      </c>
      <c r="H2840">
        <v>24738964812</v>
      </c>
      <c r="I2840" t="s">
        <v>6346</v>
      </c>
      <c r="J2840" t="s">
        <v>6348</v>
      </c>
      <c r="K2840" t="s">
        <v>4634</v>
      </c>
    </row>
    <row r="2841" spans="1:11" ht="20" customHeight="1">
      <c r="A2841" t="s">
        <v>26</v>
      </c>
      <c r="B2841" t="s">
        <v>6349</v>
      </c>
      <c r="C2841">
        <v>64070.75390625</v>
      </c>
      <c r="D2841">
        <v>67622.7578125</v>
      </c>
      <c r="E2841">
        <v>63825.8515625</v>
      </c>
      <c r="F2841">
        <v>67234.171875</v>
      </c>
      <c r="G2841">
        <v>67234.171875</v>
      </c>
      <c r="H2841">
        <v>27206630673</v>
      </c>
      <c r="I2841" t="s">
        <v>6348</v>
      </c>
      <c r="J2841" t="s">
        <v>6350</v>
      </c>
      <c r="K2841" t="s">
        <v>4634</v>
      </c>
    </row>
    <row r="2842" spans="1:11" ht="20" customHeight="1">
      <c r="A2842" t="s">
        <v>26</v>
      </c>
      <c r="B2842" t="s">
        <v>2742</v>
      </c>
      <c r="C2842">
        <v>67234.09375</v>
      </c>
      <c r="D2842">
        <v>71162.59375</v>
      </c>
      <c r="E2842">
        <v>66414.8359375</v>
      </c>
      <c r="F2842">
        <v>69958.8125</v>
      </c>
      <c r="G2842">
        <v>69958.8125</v>
      </c>
      <c r="H2842">
        <v>42700139523</v>
      </c>
      <c r="I2842" t="s">
        <v>6350</v>
      </c>
      <c r="J2842" t="s">
        <v>6351</v>
      </c>
      <c r="K2842" t="s">
        <v>4634</v>
      </c>
    </row>
    <row r="2843" spans="1:11" ht="20" customHeight="1">
      <c r="A2843" t="s">
        <v>26</v>
      </c>
      <c r="B2843" t="s">
        <v>2745</v>
      </c>
      <c r="C2843">
        <v>69931.328125</v>
      </c>
      <c r="D2843">
        <v>71535.7421875</v>
      </c>
      <c r="E2843">
        <v>69335.609375</v>
      </c>
      <c r="F2843">
        <v>69987.8359375</v>
      </c>
      <c r="G2843">
        <v>69987.8359375</v>
      </c>
      <c r="H2843">
        <v>36010437368</v>
      </c>
      <c r="I2843" t="s">
        <v>6351</v>
      </c>
      <c r="J2843" t="s">
        <v>6352</v>
      </c>
      <c r="K2843" t="s">
        <v>4634</v>
      </c>
    </row>
    <row r="2844" spans="1:11" ht="20" customHeight="1">
      <c r="A2844" t="s">
        <v>26</v>
      </c>
      <c r="B2844" t="s">
        <v>2748</v>
      </c>
      <c r="C2844">
        <v>69991.8984375</v>
      </c>
      <c r="D2844">
        <v>71727.6875</v>
      </c>
      <c r="E2844">
        <v>68381.9296875</v>
      </c>
      <c r="F2844">
        <v>69455.34375</v>
      </c>
      <c r="G2844">
        <v>69455.34375</v>
      </c>
      <c r="H2844">
        <v>40827113309</v>
      </c>
      <c r="I2844" t="s">
        <v>6352</v>
      </c>
      <c r="J2844" t="s">
        <v>6353</v>
      </c>
      <c r="K2844" t="s">
        <v>4634</v>
      </c>
    </row>
    <row r="2845" spans="1:11" ht="20" customHeight="1">
      <c r="A2845" t="s">
        <v>26</v>
      </c>
      <c r="B2845" t="s">
        <v>2751</v>
      </c>
      <c r="C2845">
        <v>69452.7734375</v>
      </c>
      <c r="D2845">
        <v>71546.0234375</v>
      </c>
      <c r="E2845">
        <v>68895.5078125</v>
      </c>
      <c r="F2845">
        <v>70744.953125</v>
      </c>
      <c r="G2845">
        <v>70744.953125</v>
      </c>
      <c r="H2845">
        <v>34374900617</v>
      </c>
      <c r="I2845" t="s">
        <v>6353</v>
      </c>
      <c r="J2845" t="s">
        <v>6354</v>
      </c>
      <c r="K2845" t="s">
        <v>4634</v>
      </c>
    </row>
    <row r="2846" spans="1:11" ht="20" customHeight="1">
      <c r="A2846" t="s">
        <v>26</v>
      </c>
      <c r="B2846" t="s">
        <v>6355</v>
      </c>
      <c r="C2846">
        <v>70744.796875</v>
      </c>
      <c r="D2846">
        <v>70913.09375</v>
      </c>
      <c r="E2846">
        <v>69076.65625</v>
      </c>
      <c r="F2846">
        <v>69892.828125</v>
      </c>
      <c r="G2846">
        <v>69892.828125</v>
      </c>
      <c r="H2846">
        <v>25230851763</v>
      </c>
      <c r="I2846" t="s">
        <v>6354</v>
      </c>
      <c r="J2846" t="s">
        <v>6356</v>
      </c>
      <c r="K2846" t="s">
        <v>4634</v>
      </c>
    </row>
    <row r="2847" spans="1:11" ht="20" customHeight="1">
      <c r="A2847" t="s">
        <v>26</v>
      </c>
      <c r="B2847" t="s">
        <v>6357</v>
      </c>
      <c r="C2847">
        <v>69893.4453125</v>
      </c>
      <c r="D2847">
        <v>70355.4921875</v>
      </c>
      <c r="E2847">
        <v>69601.0625</v>
      </c>
      <c r="F2847">
        <v>69645.3046875</v>
      </c>
      <c r="G2847">
        <v>69645.3046875</v>
      </c>
      <c r="H2847">
        <v>17130241883</v>
      </c>
      <c r="I2847" t="s">
        <v>6356</v>
      </c>
      <c r="J2847" t="s">
        <v>6358</v>
      </c>
      <c r="K2847" t="s">
        <v>4634</v>
      </c>
    </row>
    <row r="2848" spans="1:11" ht="20" customHeight="1">
      <c r="A2848" t="s">
        <v>26</v>
      </c>
      <c r="B2848" t="s">
        <v>6359</v>
      </c>
      <c r="C2848">
        <v>69647.78125</v>
      </c>
      <c r="D2848">
        <v>71377.78125</v>
      </c>
      <c r="E2848">
        <v>69624.8671875</v>
      </c>
      <c r="F2848">
        <v>71333.6484375</v>
      </c>
      <c r="G2848">
        <v>71333.6484375</v>
      </c>
      <c r="H2848">
        <v>20050941373</v>
      </c>
      <c r="I2848" t="s">
        <v>6358</v>
      </c>
      <c r="J2848" t="s">
        <v>6360</v>
      </c>
      <c r="K2848" t="s">
        <v>4634</v>
      </c>
    </row>
    <row r="2849" spans="1:11" ht="20" customHeight="1">
      <c r="A2849" t="s">
        <v>26</v>
      </c>
      <c r="B2849" t="s">
        <v>2754</v>
      </c>
      <c r="C2849">
        <v>71333.484375</v>
      </c>
      <c r="D2849">
        <v>71342.09375</v>
      </c>
      <c r="E2849">
        <v>68110.6953125</v>
      </c>
      <c r="F2849">
        <v>69702.1484375</v>
      </c>
      <c r="G2849">
        <v>69702.1484375</v>
      </c>
      <c r="H2849">
        <v>34873527352</v>
      </c>
      <c r="I2849" t="s">
        <v>6360</v>
      </c>
      <c r="J2849" t="s">
        <v>6361</v>
      </c>
      <c r="K2849" t="s">
        <v>4634</v>
      </c>
    </row>
    <row r="2850" spans="1:11" ht="20" customHeight="1">
      <c r="A2850" t="s">
        <v>26</v>
      </c>
      <c r="B2850" t="s">
        <v>2757</v>
      </c>
      <c r="C2850">
        <v>69705.0234375</v>
      </c>
      <c r="D2850">
        <v>69708.3828125</v>
      </c>
      <c r="E2850">
        <v>64586.59375</v>
      </c>
      <c r="F2850">
        <v>65446.97265625</v>
      </c>
      <c r="G2850">
        <v>65446.97265625</v>
      </c>
      <c r="H2850">
        <v>50705240709</v>
      </c>
      <c r="I2850" t="s">
        <v>6361</v>
      </c>
      <c r="J2850" t="s">
        <v>6362</v>
      </c>
      <c r="K2850" t="s">
        <v>4634</v>
      </c>
    </row>
    <row r="2851" spans="1:11" ht="20" customHeight="1">
      <c r="A2851" t="s">
        <v>26</v>
      </c>
      <c r="B2851" t="s">
        <v>2760</v>
      </c>
      <c r="C2851">
        <v>65446.671875</v>
      </c>
      <c r="D2851">
        <v>66914.3203125</v>
      </c>
      <c r="E2851">
        <v>64559.8984375</v>
      </c>
      <c r="F2851">
        <v>65980.8125</v>
      </c>
      <c r="G2851">
        <v>65980.8125</v>
      </c>
      <c r="H2851">
        <v>34488018367</v>
      </c>
      <c r="I2851" t="s">
        <v>6362</v>
      </c>
      <c r="J2851" t="s">
        <v>6363</v>
      </c>
      <c r="K2851" t="s">
        <v>4634</v>
      </c>
    </row>
    <row r="2852" spans="1:11" ht="20" customHeight="1">
      <c r="A2852" t="s">
        <v>26</v>
      </c>
      <c r="B2852" t="s">
        <v>2763</v>
      </c>
      <c r="C2852">
        <v>65975.6953125</v>
      </c>
      <c r="D2852">
        <v>69291.2578125</v>
      </c>
      <c r="E2852">
        <v>65113.796875</v>
      </c>
      <c r="F2852">
        <v>68508.84375</v>
      </c>
      <c r="G2852">
        <v>68508.84375</v>
      </c>
      <c r="H2852">
        <v>34439527442</v>
      </c>
      <c r="I2852" t="s">
        <v>6363</v>
      </c>
      <c r="J2852" t="s">
        <v>6364</v>
      </c>
      <c r="K2852" t="s">
        <v>4634</v>
      </c>
    </row>
    <row r="2853" spans="1:11" ht="20" customHeight="1">
      <c r="A2853" t="s">
        <v>26</v>
      </c>
      <c r="B2853" t="s">
        <v>2766</v>
      </c>
      <c r="C2853">
        <v>68515.7578125</v>
      </c>
      <c r="D2853">
        <v>68725.7578125</v>
      </c>
      <c r="E2853">
        <v>66011.4765625</v>
      </c>
      <c r="F2853">
        <v>67837.640625</v>
      </c>
      <c r="G2853">
        <v>67837.640625</v>
      </c>
      <c r="H2853">
        <v>33748230056</v>
      </c>
      <c r="I2853" t="s">
        <v>6364</v>
      </c>
      <c r="J2853" t="s">
        <v>6365</v>
      </c>
      <c r="K2853" t="s">
        <v>4634</v>
      </c>
    </row>
    <row r="2854" spans="1:11" ht="20" customHeight="1">
      <c r="A2854" t="s">
        <v>26</v>
      </c>
      <c r="B2854" t="s">
        <v>6366</v>
      </c>
      <c r="C2854">
        <v>67840.5703125</v>
      </c>
      <c r="D2854">
        <v>69629.6015625</v>
      </c>
      <c r="E2854">
        <v>67491.71875</v>
      </c>
      <c r="F2854">
        <v>68896.109375</v>
      </c>
      <c r="G2854">
        <v>68896.109375</v>
      </c>
      <c r="H2854">
        <v>19967785809</v>
      </c>
      <c r="I2854" t="s">
        <v>6365</v>
      </c>
      <c r="J2854" t="s">
        <v>6367</v>
      </c>
      <c r="K2854" t="s">
        <v>4634</v>
      </c>
    </row>
    <row r="2855" spans="1:11" ht="20" customHeight="1">
      <c r="A2855" t="s">
        <v>26</v>
      </c>
      <c r="B2855" t="s">
        <v>6368</v>
      </c>
      <c r="C2855">
        <v>68897.109375</v>
      </c>
      <c r="D2855">
        <v>70284.4296875</v>
      </c>
      <c r="E2855">
        <v>68851.6328125</v>
      </c>
      <c r="F2855">
        <v>69362.5546875</v>
      </c>
      <c r="G2855">
        <v>69362.5546875</v>
      </c>
      <c r="H2855">
        <v>21204930369</v>
      </c>
      <c r="I2855" t="s">
        <v>6367</v>
      </c>
      <c r="J2855" t="s">
        <v>6369</v>
      </c>
      <c r="K2855" t="s">
        <v>4634</v>
      </c>
    </row>
    <row r="2856" spans="1:11" ht="20" customHeight="1">
      <c r="A2856" t="s">
        <v>26</v>
      </c>
      <c r="B2856" t="s">
        <v>2769</v>
      </c>
      <c r="C2856">
        <v>69362.5546875</v>
      </c>
      <c r="D2856">
        <v>72715.359375</v>
      </c>
      <c r="E2856">
        <v>69064.2421875</v>
      </c>
      <c r="F2856">
        <v>71631.359375</v>
      </c>
      <c r="G2856">
        <v>71631.359375</v>
      </c>
      <c r="H2856">
        <v>37261432669</v>
      </c>
      <c r="I2856" t="s">
        <v>6369</v>
      </c>
      <c r="J2856" t="s">
        <v>6370</v>
      </c>
      <c r="K2856" t="s">
        <v>4634</v>
      </c>
    </row>
    <row r="2857" spans="1:11" ht="20" customHeight="1">
      <c r="A2857" t="s">
        <v>26</v>
      </c>
      <c r="B2857" t="s">
        <v>2772</v>
      </c>
      <c r="C2857">
        <v>71632.5</v>
      </c>
      <c r="D2857">
        <v>71742.5078125</v>
      </c>
      <c r="E2857">
        <v>68212.921875</v>
      </c>
      <c r="F2857">
        <v>69139.015625</v>
      </c>
      <c r="G2857">
        <v>69139.015625</v>
      </c>
      <c r="H2857">
        <v>36426900409</v>
      </c>
      <c r="I2857" t="s">
        <v>6370</v>
      </c>
      <c r="J2857" t="s">
        <v>6371</v>
      </c>
      <c r="K2857" t="s">
        <v>4634</v>
      </c>
    </row>
    <row r="2858" spans="1:11" ht="20" customHeight="1">
      <c r="A2858" t="s">
        <v>26</v>
      </c>
      <c r="B2858" t="s">
        <v>2775</v>
      </c>
      <c r="C2858">
        <v>69140.2421875</v>
      </c>
      <c r="D2858">
        <v>71093.4296875</v>
      </c>
      <c r="E2858">
        <v>67503.5625</v>
      </c>
      <c r="F2858">
        <v>70587.8828125</v>
      </c>
      <c r="G2858">
        <v>70587.8828125</v>
      </c>
      <c r="H2858">
        <v>38318601774</v>
      </c>
      <c r="I2858" t="s">
        <v>6371</v>
      </c>
      <c r="J2858" t="s">
        <v>6372</v>
      </c>
      <c r="K2858" t="s">
        <v>4634</v>
      </c>
    </row>
    <row r="2859" spans="1:11" ht="20" customHeight="1">
      <c r="A2859" t="s">
        <v>26</v>
      </c>
      <c r="B2859" t="s">
        <v>2778</v>
      </c>
      <c r="C2859">
        <v>70575.734375</v>
      </c>
      <c r="D2859">
        <v>71256.234375</v>
      </c>
      <c r="E2859">
        <v>69571.8125</v>
      </c>
      <c r="F2859">
        <v>70060.609375</v>
      </c>
      <c r="G2859">
        <v>70060.609375</v>
      </c>
      <c r="H2859">
        <v>30153382941</v>
      </c>
      <c r="I2859" t="s">
        <v>6372</v>
      </c>
      <c r="J2859" t="s">
        <v>6373</v>
      </c>
      <c r="K2859" t="s">
        <v>4634</v>
      </c>
    </row>
    <row r="2860" spans="1:11" ht="20" customHeight="1">
      <c r="A2860" t="s">
        <v>26</v>
      </c>
      <c r="B2860" t="s">
        <v>2781</v>
      </c>
      <c r="C2860">
        <v>70061.3828125</v>
      </c>
      <c r="D2860">
        <v>71222.7421875</v>
      </c>
      <c r="E2860">
        <v>65254.8359375</v>
      </c>
      <c r="F2860">
        <v>67195.8671875</v>
      </c>
      <c r="G2860">
        <v>67195.8671875</v>
      </c>
      <c r="H2860">
        <v>44129299406</v>
      </c>
      <c r="I2860" t="s">
        <v>6373</v>
      </c>
      <c r="J2860" t="s">
        <v>6374</v>
      </c>
      <c r="K2860" t="s">
        <v>4634</v>
      </c>
    </row>
    <row r="2861" spans="1:11" ht="20" customHeight="1">
      <c r="A2861" t="s">
        <v>26</v>
      </c>
      <c r="B2861" t="s">
        <v>6375</v>
      </c>
      <c r="C2861">
        <v>67188.375</v>
      </c>
      <c r="D2861">
        <v>67931.4296875</v>
      </c>
      <c r="E2861">
        <v>60919.10546875</v>
      </c>
      <c r="F2861">
        <v>63821.47265625</v>
      </c>
      <c r="G2861">
        <v>63821.47265625</v>
      </c>
      <c r="H2861">
        <v>52869738185</v>
      </c>
      <c r="I2861" t="s">
        <v>6374</v>
      </c>
      <c r="J2861" t="s">
        <v>6376</v>
      </c>
      <c r="K2861" t="s">
        <v>4634</v>
      </c>
    </row>
    <row r="2862" spans="1:11" ht="20" customHeight="1">
      <c r="A2862" t="s">
        <v>26</v>
      </c>
      <c r="B2862" t="s">
        <v>6377</v>
      </c>
      <c r="C2862">
        <v>63836.23046875</v>
      </c>
      <c r="D2862">
        <v>65824.4296875</v>
      </c>
      <c r="E2862">
        <v>62205.8515625</v>
      </c>
      <c r="F2862">
        <v>65738.7265625</v>
      </c>
      <c r="G2862">
        <v>65738.7265625</v>
      </c>
      <c r="H2862">
        <v>49084320047</v>
      </c>
      <c r="I2862" t="s">
        <v>6376</v>
      </c>
      <c r="J2862" t="s">
        <v>6378</v>
      </c>
      <c r="K2862" t="s">
        <v>4634</v>
      </c>
    </row>
    <row r="2863" spans="1:11" ht="20" customHeight="1">
      <c r="A2863" t="s">
        <v>26</v>
      </c>
      <c r="B2863" t="s">
        <v>2784</v>
      </c>
      <c r="C2863">
        <v>65739.6484375</v>
      </c>
      <c r="D2863">
        <v>66878.6484375</v>
      </c>
      <c r="E2863">
        <v>62332.0703125</v>
      </c>
      <c r="F2863">
        <v>63426.2109375</v>
      </c>
      <c r="G2863">
        <v>63426.2109375</v>
      </c>
      <c r="H2863">
        <v>43595917654</v>
      </c>
      <c r="I2863" t="s">
        <v>6378</v>
      </c>
      <c r="J2863" t="s">
        <v>6379</v>
      </c>
      <c r="K2863" t="s">
        <v>4634</v>
      </c>
    </row>
    <row r="2864" spans="1:11" ht="20" customHeight="1">
      <c r="A2864" t="s">
        <v>26</v>
      </c>
      <c r="B2864" t="s">
        <v>2787</v>
      </c>
      <c r="C2864">
        <v>63419.296875</v>
      </c>
      <c r="D2864">
        <v>64355.66796875</v>
      </c>
      <c r="E2864">
        <v>61716.40234375</v>
      </c>
      <c r="F2864">
        <v>63811.86328125</v>
      </c>
      <c r="G2864">
        <v>63811.86328125</v>
      </c>
      <c r="H2864">
        <v>42847528078</v>
      </c>
      <c r="I2864" t="s">
        <v>6379</v>
      </c>
      <c r="J2864" t="s">
        <v>6380</v>
      </c>
      <c r="K2864" t="s">
        <v>4634</v>
      </c>
    </row>
    <row r="2865" spans="1:11" ht="20" customHeight="1">
      <c r="A2865" t="s">
        <v>26</v>
      </c>
      <c r="B2865" t="s">
        <v>2790</v>
      </c>
      <c r="C2865">
        <v>63831.84765625</v>
      </c>
      <c r="D2865">
        <v>64486.36328125</v>
      </c>
      <c r="E2865">
        <v>59768.5859375</v>
      </c>
      <c r="F2865">
        <v>61276.69140625</v>
      </c>
      <c r="G2865">
        <v>61276.69140625</v>
      </c>
      <c r="H2865">
        <v>41915247049</v>
      </c>
      <c r="I2865" t="s">
        <v>6380</v>
      </c>
      <c r="J2865" t="s">
        <v>6381</v>
      </c>
      <c r="K2865" t="s">
        <v>4634</v>
      </c>
    </row>
    <row r="2866" spans="1:11" ht="20" customHeight="1">
      <c r="A2866" t="s">
        <v>26</v>
      </c>
      <c r="B2866" t="s">
        <v>2793</v>
      </c>
      <c r="C2866">
        <v>61275.31640625</v>
      </c>
      <c r="D2866">
        <v>64125.6875</v>
      </c>
      <c r="E2866">
        <v>60833.48046875</v>
      </c>
      <c r="F2866">
        <v>63512.75390625</v>
      </c>
      <c r="G2866">
        <v>63512.75390625</v>
      </c>
      <c r="H2866">
        <v>36006307335</v>
      </c>
      <c r="I2866" t="s">
        <v>6381</v>
      </c>
      <c r="J2866" t="s">
        <v>6382</v>
      </c>
      <c r="K2866" t="s">
        <v>4634</v>
      </c>
    </row>
    <row r="2867" spans="1:11" ht="20" customHeight="1">
      <c r="A2867" t="s">
        <v>26</v>
      </c>
      <c r="B2867" t="s">
        <v>2796</v>
      </c>
      <c r="C2867">
        <v>63510.75</v>
      </c>
      <c r="D2867">
        <v>65481.59765625</v>
      </c>
      <c r="E2867">
        <v>59651.390625</v>
      </c>
      <c r="F2867">
        <v>63843.5703125</v>
      </c>
      <c r="G2867">
        <v>63843.5703125</v>
      </c>
      <c r="H2867">
        <v>49920425401</v>
      </c>
      <c r="I2867" t="s">
        <v>6382</v>
      </c>
      <c r="J2867" t="s">
        <v>6383</v>
      </c>
      <c r="K2867" t="s">
        <v>4634</v>
      </c>
    </row>
    <row r="2868" spans="1:11" ht="20" customHeight="1">
      <c r="A2868" t="s">
        <v>26</v>
      </c>
      <c r="B2868" t="s">
        <v>6384</v>
      </c>
      <c r="C2868">
        <v>63851.1015625</v>
      </c>
      <c r="D2868">
        <v>65442.45703125</v>
      </c>
      <c r="E2868">
        <v>63172.40234375</v>
      </c>
      <c r="F2868">
        <v>64994.44140625</v>
      </c>
      <c r="G2868">
        <v>64994.44140625</v>
      </c>
      <c r="H2868">
        <v>23097485495</v>
      </c>
      <c r="I2868" t="s">
        <v>6383</v>
      </c>
      <c r="J2868" t="s">
        <v>6385</v>
      </c>
      <c r="K2868" t="s">
        <v>4634</v>
      </c>
    </row>
    <row r="2869" spans="1:11" ht="20" customHeight="1">
      <c r="A2869" t="s">
        <v>26</v>
      </c>
      <c r="B2869" t="s">
        <v>6386</v>
      </c>
      <c r="C2869">
        <v>64992.81640625</v>
      </c>
      <c r="D2869">
        <v>65723.2421875</v>
      </c>
      <c r="E2869">
        <v>64277.72265625</v>
      </c>
      <c r="F2869">
        <v>64926.64453125</v>
      </c>
      <c r="G2869">
        <v>64926.64453125</v>
      </c>
      <c r="H2869">
        <v>20506644853</v>
      </c>
      <c r="I2869" t="s">
        <v>6385</v>
      </c>
      <c r="J2869" t="s">
        <v>6387</v>
      </c>
      <c r="K2869" t="s">
        <v>4634</v>
      </c>
    </row>
    <row r="2870" spans="1:11" ht="20" customHeight="1">
      <c r="A2870" t="s">
        <v>26</v>
      </c>
      <c r="B2870" t="s">
        <v>2799</v>
      </c>
      <c r="C2870">
        <v>64935.6328125</v>
      </c>
      <c r="D2870">
        <v>67233.9609375</v>
      </c>
      <c r="E2870">
        <v>64548.1796875</v>
      </c>
      <c r="F2870">
        <v>66837.6796875</v>
      </c>
      <c r="G2870">
        <v>66837.6796875</v>
      </c>
      <c r="H2870">
        <v>28282686673</v>
      </c>
      <c r="I2870" t="s">
        <v>6387</v>
      </c>
      <c r="J2870" t="s">
        <v>6388</v>
      </c>
      <c r="K2870" t="s">
        <v>4634</v>
      </c>
    </row>
    <row r="2871" spans="1:11" ht="20" customHeight="1">
      <c r="A2871" t="s">
        <v>26</v>
      </c>
      <c r="B2871" t="s">
        <v>2802</v>
      </c>
      <c r="C2871">
        <v>66839.890625</v>
      </c>
      <c r="D2871">
        <v>67199.2421875</v>
      </c>
      <c r="E2871">
        <v>65864.8671875</v>
      </c>
      <c r="F2871">
        <v>66407.2734375</v>
      </c>
      <c r="G2871">
        <v>66407.2734375</v>
      </c>
      <c r="H2871">
        <v>24310975583</v>
      </c>
      <c r="I2871" t="s">
        <v>6388</v>
      </c>
      <c r="J2871" t="s">
        <v>6389</v>
      </c>
      <c r="K2871" t="s">
        <v>4634</v>
      </c>
    </row>
    <row r="2872" spans="1:11" ht="20" customHeight="1">
      <c r="A2872" t="s">
        <v>26</v>
      </c>
      <c r="B2872" t="s">
        <v>2805</v>
      </c>
      <c r="C2872">
        <v>66408.71875</v>
      </c>
      <c r="D2872">
        <v>67075.3671875</v>
      </c>
      <c r="E2872">
        <v>63589.87109375</v>
      </c>
      <c r="F2872">
        <v>64276.8984375</v>
      </c>
      <c r="G2872">
        <v>64276.8984375</v>
      </c>
      <c r="H2872">
        <v>30276655120</v>
      </c>
      <c r="I2872" t="s">
        <v>6389</v>
      </c>
      <c r="J2872" t="s">
        <v>6390</v>
      </c>
      <c r="K2872" t="s">
        <v>4634</v>
      </c>
    </row>
    <row r="2873" spans="1:11" ht="20" customHeight="1">
      <c r="A2873" t="s">
        <v>26</v>
      </c>
      <c r="B2873" t="s">
        <v>2808</v>
      </c>
      <c r="C2873">
        <v>64275.01953125</v>
      </c>
      <c r="D2873">
        <v>65275.20703125</v>
      </c>
      <c r="E2873">
        <v>62783.6328125</v>
      </c>
      <c r="F2873">
        <v>64481.70703125</v>
      </c>
      <c r="G2873">
        <v>64481.70703125</v>
      </c>
      <c r="H2873">
        <v>32155786816</v>
      </c>
      <c r="I2873" t="s">
        <v>6390</v>
      </c>
      <c r="J2873" t="s">
        <v>6391</v>
      </c>
      <c r="K2873" t="s">
        <v>4634</v>
      </c>
    </row>
    <row r="2874" spans="1:11" ht="20" customHeight="1">
      <c r="A2874" t="s">
        <v>26</v>
      </c>
      <c r="B2874" t="s">
        <v>2811</v>
      </c>
      <c r="C2874">
        <v>64485.37109375</v>
      </c>
      <c r="D2874">
        <v>64789.65625</v>
      </c>
      <c r="E2874">
        <v>63322.3984375</v>
      </c>
      <c r="F2874">
        <v>63755.3203125</v>
      </c>
      <c r="G2874">
        <v>63755.3203125</v>
      </c>
      <c r="H2874">
        <v>24139372950</v>
      </c>
      <c r="I2874" t="s">
        <v>6391</v>
      </c>
      <c r="J2874" t="s">
        <v>6392</v>
      </c>
      <c r="K2874" t="s">
        <v>4634</v>
      </c>
    </row>
    <row r="2875" spans="1:11" ht="20" customHeight="1">
      <c r="A2875" t="s">
        <v>26</v>
      </c>
      <c r="B2875" t="s">
        <v>6393</v>
      </c>
      <c r="C2875">
        <v>63750.98828125</v>
      </c>
      <c r="D2875">
        <v>63898.36328125</v>
      </c>
      <c r="E2875">
        <v>62424.71875</v>
      </c>
      <c r="F2875">
        <v>63419.140625</v>
      </c>
      <c r="G2875">
        <v>63419.140625</v>
      </c>
      <c r="H2875">
        <v>19530783039</v>
      </c>
      <c r="I2875" t="s">
        <v>6392</v>
      </c>
      <c r="J2875" t="s">
        <v>6394</v>
      </c>
      <c r="K2875" t="s">
        <v>4634</v>
      </c>
    </row>
    <row r="2876" spans="1:11" ht="20" customHeight="1">
      <c r="A2876" t="s">
        <v>26</v>
      </c>
      <c r="B2876" t="s">
        <v>6395</v>
      </c>
      <c r="C2876">
        <v>63423.515625</v>
      </c>
      <c r="D2876">
        <v>64321.484375</v>
      </c>
      <c r="E2876">
        <v>62793.59765625</v>
      </c>
      <c r="F2876">
        <v>63113.23046875</v>
      </c>
      <c r="G2876">
        <v>63113.23046875</v>
      </c>
      <c r="H2876">
        <v>17334827993</v>
      </c>
      <c r="I2876" t="s">
        <v>6394</v>
      </c>
      <c r="J2876" t="s">
        <v>6396</v>
      </c>
      <c r="K2876" t="s">
        <v>4634</v>
      </c>
    </row>
    <row r="2877" spans="1:11" ht="20" customHeight="1">
      <c r="A2877" t="s">
        <v>26</v>
      </c>
      <c r="B2877" t="s">
        <v>2814</v>
      </c>
      <c r="C2877">
        <v>63106.36328125</v>
      </c>
      <c r="D2877">
        <v>64174.87890625</v>
      </c>
      <c r="E2877">
        <v>61795.45703125</v>
      </c>
      <c r="F2877">
        <v>63841.12109375</v>
      </c>
      <c r="G2877">
        <v>63841.12109375</v>
      </c>
      <c r="H2877">
        <v>26635912073</v>
      </c>
      <c r="I2877" t="s">
        <v>6396</v>
      </c>
      <c r="J2877" t="s">
        <v>6397</v>
      </c>
      <c r="K2877" t="s">
        <v>4634</v>
      </c>
    </row>
    <row r="2878" spans="1:11" ht="20" customHeight="1">
      <c r="A2878" t="s">
        <v>26</v>
      </c>
      <c r="B2878" t="s">
        <v>2817</v>
      </c>
      <c r="C2878">
        <v>63839.41796875</v>
      </c>
      <c r="D2878">
        <v>64703.33203125</v>
      </c>
      <c r="E2878">
        <v>59120.06640625</v>
      </c>
      <c r="F2878">
        <v>60636.85546875</v>
      </c>
      <c r="G2878">
        <v>60636.85546875</v>
      </c>
      <c r="H2878">
        <v>37840840057</v>
      </c>
      <c r="I2878" t="s">
        <v>6397</v>
      </c>
      <c r="J2878" t="s">
        <v>6398</v>
      </c>
      <c r="K2878" t="s">
        <v>4634</v>
      </c>
    </row>
    <row r="2879" spans="1:11" ht="20" customHeight="1">
      <c r="A2879" t="s">
        <v>26</v>
      </c>
      <c r="B2879" t="s">
        <v>2820</v>
      </c>
      <c r="C2879">
        <v>60609.49609375</v>
      </c>
      <c r="D2879">
        <v>60780.5</v>
      </c>
      <c r="E2879">
        <v>56555.29296875</v>
      </c>
      <c r="F2879">
        <v>58254.01171875</v>
      </c>
      <c r="G2879">
        <v>58254.01171875</v>
      </c>
      <c r="H2879">
        <v>48439780271</v>
      </c>
      <c r="I2879" t="s">
        <v>6398</v>
      </c>
      <c r="J2879" t="s">
        <v>6399</v>
      </c>
      <c r="K2879" t="s">
        <v>4634</v>
      </c>
    </row>
    <row r="2880" spans="1:11" ht="20" customHeight="1">
      <c r="A2880" t="s">
        <v>26</v>
      </c>
      <c r="B2880" t="s">
        <v>2823</v>
      </c>
      <c r="C2880">
        <v>58253.703125</v>
      </c>
      <c r="D2880">
        <v>59602.296875</v>
      </c>
      <c r="E2880">
        <v>56937.203125</v>
      </c>
      <c r="F2880">
        <v>59123.43359375</v>
      </c>
      <c r="G2880">
        <v>59123.43359375</v>
      </c>
      <c r="H2880">
        <v>32711813559</v>
      </c>
      <c r="I2880" t="s">
        <v>6399</v>
      </c>
      <c r="J2880" t="s">
        <v>6400</v>
      </c>
      <c r="K2880" t="s">
        <v>4634</v>
      </c>
    </row>
    <row r="2881" spans="1:11" ht="20" customHeight="1">
      <c r="A2881" t="s">
        <v>26</v>
      </c>
      <c r="B2881" t="s">
        <v>2826</v>
      </c>
      <c r="C2881">
        <v>59122.30078125</v>
      </c>
      <c r="D2881">
        <v>63320.50390625</v>
      </c>
      <c r="E2881">
        <v>58848.3125</v>
      </c>
      <c r="F2881">
        <v>62889.8359375</v>
      </c>
      <c r="G2881">
        <v>62889.8359375</v>
      </c>
      <c r="H2881">
        <v>33172023048</v>
      </c>
      <c r="I2881" t="s">
        <v>6400</v>
      </c>
      <c r="J2881" t="s">
        <v>6401</v>
      </c>
      <c r="K2881" t="s">
        <v>4634</v>
      </c>
    </row>
    <row r="2882" spans="1:11" ht="20" customHeight="1">
      <c r="A2882" t="s">
        <v>26</v>
      </c>
      <c r="B2882" t="s">
        <v>6402</v>
      </c>
      <c r="C2882">
        <v>62891.03125</v>
      </c>
      <c r="D2882">
        <v>64494.95703125</v>
      </c>
      <c r="E2882">
        <v>62599.3515625</v>
      </c>
      <c r="F2882">
        <v>63891.47265625</v>
      </c>
      <c r="G2882">
        <v>63891.47265625</v>
      </c>
      <c r="H2882">
        <v>20620477992</v>
      </c>
      <c r="I2882" t="s">
        <v>6401</v>
      </c>
      <c r="J2882" t="s">
        <v>6403</v>
      </c>
      <c r="K2882" t="s">
        <v>4634</v>
      </c>
    </row>
    <row r="2883" spans="1:11" ht="20" customHeight="1">
      <c r="A2883" t="s">
        <v>26</v>
      </c>
      <c r="B2883" t="s">
        <v>6404</v>
      </c>
      <c r="C2883">
        <v>63892.453125</v>
      </c>
      <c r="D2883">
        <v>64610.890625</v>
      </c>
      <c r="E2883">
        <v>62955.3046875</v>
      </c>
      <c r="F2883">
        <v>64031.1328125</v>
      </c>
      <c r="G2883">
        <v>64031.1328125</v>
      </c>
      <c r="H2883">
        <v>18296164805</v>
      </c>
      <c r="I2883" t="s">
        <v>6403</v>
      </c>
      <c r="J2883" t="s">
        <v>6405</v>
      </c>
      <c r="K2883" t="s">
        <v>4634</v>
      </c>
    </row>
    <row r="2884" spans="1:11" ht="20" customHeight="1">
      <c r="A2884" t="s">
        <v>26</v>
      </c>
      <c r="B2884" t="s">
        <v>2829</v>
      </c>
      <c r="C2884">
        <v>64038.3125</v>
      </c>
      <c r="D2884">
        <v>65494.90234375</v>
      </c>
      <c r="E2884">
        <v>62746.23828125</v>
      </c>
      <c r="F2884">
        <v>63161.94921875</v>
      </c>
      <c r="G2884">
        <v>63161.94921875</v>
      </c>
      <c r="H2884">
        <v>28697928697</v>
      </c>
      <c r="I2884" t="s">
        <v>6405</v>
      </c>
      <c r="J2884" t="s">
        <v>6406</v>
      </c>
      <c r="K2884" t="s">
        <v>4634</v>
      </c>
    </row>
    <row r="2885" spans="1:11" ht="20" customHeight="1">
      <c r="A2885" t="s">
        <v>26</v>
      </c>
      <c r="B2885" t="s">
        <v>2832</v>
      </c>
      <c r="C2885">
        <v>63162.76171875</v>
      </c>
      <c r="D2885">
        <v>64390.45703125</v>
      </c>
      <c r="E2885">
        <v>62285.98046875</v>
      </c>
      <c r="F2885">
        <v>62334.81640625</v>
      </c>
      <c r="G2885">
        <v>62334.81640625</v>
      </c>
      <c r="H2885">
        <v>25930730982</v>
      </c>
      <c r="I2885" t="s">
        <v>6406</v>
      </c>
      <c r="J2885" t="s">
        <v>6407</v>
      </c>
      <c r="K2885" t="s">
        <v>4634</v>
      </c>
    </row>
    <row r="2886" spans="1:11" ht="20" customHeight="1">
      <c r="A2886" t="s">
        <v>26</v>
      </c>
      <c r="B2886" t="s">
        <v>2835</v>
      </c>
      <c r="C2886">
        <v>62332.640625</v>
      </c>
      <c r="D2886">
        <v>62986.0859375</v>
      </c>
      <c r="E2886">
        <v>60877.12890625</v>
      </c>
      <c r="F2886">
        <v>61187.94140625</v>
      </c>
      <c r="G2886">
        <v>61187.94140625</v>
      </c>
      <c r="H2886">
        <v>26088172222</v>
      </c>
      <c r="I2886" t="s">
        <v>6407</v>
      </c>
      <c r="J2886" t="s">
        <v>6408</v>
      </c>
      <c r="K2886" t="s">
        <v>4634</v>
      </c>
    </row>
    <row r="2887" spans="1:11" ht="20" customHeight="1">
      <c r="A2887" t="s">
        <v>26</v>
      </c>
      <c r="B2887" t="s">
        <v>2838</v>
      </c>
      <c r="C2887">
        <v>61191.19921875</v>
      </c>
      <c r="D2887">
        <v>63404.9140625</v>
      </c>
      <c r="E2887">
        <v>60648.07421875</v>
      </c>
      <c r="F2887">
        <v>63049.9609375</v>
      </c>
      <c r="G2887">
        <v>63049.9609375</v>
      </c>
      <c r="H2887">
        <v>25453338161</v>
      </c>
      <c r="I2887" t="s">
        <v>6408</v>
      </c>
      <c r="J2887" t="s">
        <v>6409</v>
      </c>
      <c r="K2887" t="s">
        <v>4634</v>
      </c>
    </row>
    <row r="2888" spans="1:11" ht="20" customHeight="1">
      <c r="A2888" t="s">
        <v>26</v>
      </c>
      <c r="B2888" t="s">
        <v>2841</v>
      </c>
      <c r="C2888">
        <v>63055.19140625</v>
      </c>
      <c r="D2888">
        <v>63446.7421875</v>
      </c>
      <c r="E2888">
        <v>60208.78125</v>
      </c>
      <c r="F2888">
        <v>60792.77734375</v>
      </c>
      <c r="G2888">
        <v>60792.77734375</v>
      </c>
      <c r="H2888">
        <v>27804954694</v>
      </c>
      <c r="I2888" t="s">
        <v>6409</v>
      </c>
      <c r="J2888" t="s">
        <v>6410</v>
      </c>
      <c r="K2888" t="s">
        <v>4634</v>
      </c>
    </row>
    <row r="2889" spans="1:11" ht="20" customHeight="1">
      <c r="A2889" t="s">
        <v>26</v>
      </c>
      <c r="B2889" t="s">
        <v>6411</v>
      </c>
      <c r="C2889">
        <v>60793.35546875</v>
      </c>
      <c r="D2889">
        <v>61451.15234375</v>
      </c>
      <c r="E2889">
        <v>60492.625</v>
      </c>
      <c r="F2889">
        <v>60793.7109375</v>
      </c>
      <c r="G2889">
        <v>60793.7109375</v>
      </c>
      <c r="H2889">
        <v>13842272968</v>
      </c>
      <c r="I2889" t="s">
        <v>6410</v>
      </c>
      <c r="J2889" t="s">
        <v>6412</v>
      </c>
      <c r="K2889" t="s">
        <v>4634</v>
      </c>
    </row>
    <row r="2890" spans="1:11" ht="20" customHeight="1">
      <c r="A2890" t="s">
        <v>26</v>
      </c>
      <c r="B2890" t="s">
        <v>6413</v>
      </c>
      <c r="C2890">
        <v>60793.50390625</v>
      </c>
      <c r="D2890">
        <v>61818.15625</v>
      </c>
      <c r="E2890">
        <v>60632.6015625</v>
      </c>
      <c r="F2890">
        <v>61448.39453125</v>
      </c>
      <c r="G2890">
        <v>61448.39453125</v>
      </c>
      <c r="H2890">
        <v>13800459405</v>
      </c>
      <c r="I2890" t="s">
        <v>6412</v>
      </c>
      <c r="J2890" t="s">
        <v>6414</v>
      </c>
      <c r="K2890" t="s">
        <v>4634</v>
      </c>
    </row>
    <row r="2891" spans="1:11" ht="20" customHeight="1">
      <c r="A2891" t="s">
        <v>26</v>
      </c>
      <c r="B2891" t="s">
        <v>2844</v>
      </c>
      <c r="C2891">
        <v>61451.21875</v>
      </c>
      <c r="D2891">
        <v>63422.66015625</v>
      </c>
      <c r="E2891">
        <v>60769.83984375</v>
      </c>
      <c r="F2891">
        <v>62901.44921875</v>
      </c>
      <c r="G2891">
        <v>62901.44921875</v>
      </c>
      <c r="H2891">
        <v>27889181179</v>
      </c>
      <c r="I2891" t="s">
        <v>6414</v>
      </c>
      <c r="J2891" t="s">
        <v>6415</v>
      </c>
      <c r="K2891" t="s">
        <v>4634</v>
      </c>
    </row>
    <row r="2892" spans="1:11" ht="20" customHeight="1">
      <c r="A2892" t="s">
        <v>26</v>
      </c>
      <c r="B2892" t="s">
        <v>2847</v>
      </c>
      <c r="C2892">
        <v>62900.7734375</v>
      </c>
      <c r="D2892">
        <v>63092.125</v>
      </c>
      <c r="E2892">
        <v>61123.765625</v>
      </c>
      <c r="F2892">
        <v>61552.7890625</v>
      </c>
      <c r="G2892">
        <v>61552.7890625</v>
      </c>
      <c r="H2892">
        <v>28186271527</v>
      </c>
      <c r="I2892" t="s">
        <v>6415</v>
      </c>
      <c r="J2892" t="s">
        <v>6416</v>
      </c>
      <c r="K2892" t="s">
        <v>4634</v>
      </c>
    </row>
    <row r="2893" spans="1:11" ht="20" customHeight="1">
      <c r="A2893" t="s">
        <v>26</v>
      </c>
      <c r="B2893" t="s">
        <v>2850</v>
      </c>
      <c r="C2893">
        <v>61553.98828125</v>
      </c>
      <c r="D2893">
        <v>66454.453125</v>
      </c>
      <c r="E2893">
        <v>61330.41015625</v>
      </c>
      <c r="F2893">
        <v>66267.4921875</v>
      </c>
      <c r="G2893">
        <v>66267.4921875</v>
      </c>
      <c r="H2893">
        <v>39815167074</v>
      </c>
      <c r="I2893" t="s">
        <v>6416</v>
      </c>
      <c r="J2893" t="s">
        <v>6417</v>
      </c>
      <c r="K2893" t="s">
        <v>4634</v>
      </c>
    </row>
    <row r="2894" spans="1:11" ht="20" customHeight="1">
      <c r="A2894" t="s">
        <v>26</v>
      </c>
      <c r="B2894" t="s">
        <v>2853</v>
      </c>
      <c r="C2894">
        <v>66256.109375</v>
      </c>
      <c r="D2894">
        <v>66712.4296875</v>
      </c>
      <c r="E2894">
        <v>64613.0546875</v>
      </c>
      <c r="F2894">
        <v>65231.58203125</v>
      </c>
      <c r="G2894">
        <v>65231.58203125</v>
      </c>
      <c r="H2894">
        <v>31573077994</v>
      </c>
      <c r="I2894" t="s">
        <v>6417</v>
      </c>
      <c r="J2894" t="s">
        <v>6418</v>
      </c>
      <c r="K2894" t="s">
        <v>4634</v>
      </c>
    </row>
    <row r="2895" spans="1:11" ht="20" customHeight="1">
      <c r="A2895" t="s">
        <v>26</v>
      </c>
      <c r="B2895" t="s">
        <v>2856</v>
      </c>
      <c r="C2895">
        <v>65231.296875</v>
      </c>
      <c r="D2895">
        <v>67459.4609375</v>
      </c>
      <c r="E2895">
        <v>65119.31640625</v>
      </c>
      <c r="F2895">
        <v>67051.875</v>
      </c>
      <c r="G2895">
        <v>67051.875</v>
      </c>
      <c r="H2895">
        <v>28031279310</v>
      </c>
      <c r="I2895" t="s">
        <v>6418</v>
      </c>
      <c r="J2895" t="s">
        <v>6419</v>
      </c>
      <c r="K2895" t="s">
        <v>4634</v>
      </c>
    </row>
    <row r="2896" spans="1:11" ht="20" customHeight="1">
      <c r="A2896" t="s">
        <v>26</v>
      </c>
      <c r="B2896" t="s">
        <v>6420</v>
      </c>
      <c r="C2896">
        <v>67066.2109375</v>
      </c>
      <c r="D2896">
        <v>67387.328125</v>
      </c>
      <c r="E2896">
        <v>66663.5</v>
      </c>
      <c r="F2896">
        <v>66940.8046875</v>
      </c>
      <c r="G2896">
        <v>66940.8046875</v>
      </c>
      <c r="H2896">
        <v>16712277406</v>
      </c>
      <c r="I2896" t="s">
        <v>6419</v>
      </c>
      <c r="J2896" t="s">
        <v>6421</v>
      </c>
      <c r="K2896" t="s">
        <v>4634</v>
      </c>
    </row>
    <row r="2897" spans="1:11" ht="20" customHeight="1">
      <c r="A2897" t="s">
        <v>26</v>
      </c>
      <c r="B2897" t="s">
        <v>6422</v>
      </c>
      <c r="C2897">
        <v>66937.9296875</v>
      </c>
      <c r="D2897">
        <v>67694.296875</v>
      </c>
      <c r="E2897">
        <v>65937.1796875</v>
      </c>
      <c r="F2897">
        <v>66278.3671875</v>
      </c>
      <c r="G2897">
        <v>66278.3671875</v>
      </c>
      <c r="H2897">
        <v>19249094538</v>
      </c>
      <c r="I2897" t="s">
        <v>6421</v>
      </c>
      <c r="J2897" t="s">
        <v>6423</v>
      </c>
      <c r="K2897" t="s">
        <v>4634</v>
      </c>
    </row>
    <row r="2898" spans="1:11" ht="20" customHeight="1">
      <c r="A2898" t="s">
        <v>26</v>
      </c>
      <c r="B2898" t="s">
        <v>2859</v>
      </c>
      <c r="C2898">
        <v>66278.7421875</v>
      </c>
      <c r="D2898">
        <v>71483.5625</v>
      </c>
      <c r="E2898">
        <v>66086.171875</v>
      </c>
      <c r="F2898">
        <v>71448.1953125</v>
      </c>
      <c r="G2898">
        <v>71448.1953125</v>
      </c>
      <c r="H2898">
        <v>43850655717</v>
      </c>
      <c r="I2898" t="s">
        <v>6423</v>
      </c>
      <c r="J2898" t="s">
        <v>6424</v>
      </c>
      <c r="K2898" t="s">
        <v>4634</v>
      </c>
    </row>
    <row r="2899" spans="1:11" ht="20" customHeight="1">
      <c r="A2899" t="s">
        <v>26</v>
      </c>
      <c r="B2899" t="s">
        <v>2862</v>
      </c>
      <c r="C2899">
        <v>71443.0625</v>
      </c>
      <c r="D2899">
        <v>71946.4609375</v>
      </c>
      <c r="E2899">
        <v>69191.125</v>
      </c>
      <c r="F2899">
        <v>70136.53125</v>
      </c>
      <c r="G2899">
        <v>70136.53125</v>
      </c>
      <c r="H2899">
        <v>46932005990</v>
      </c>
      <c r="I2899" t="s">
        <v>6424</v>
      </c>
      <c r="J2899" t="s">
        <v>6425</v>
      </c>
      <c r="K2899" t="s">
        <v>4634</v>
      </c>
    </row>
    <row r="2900" spans="1:11" ht="20" customHeight="1">
      <c r="A2900" t="s">
        <v>26</v>
      </c>
      <c r="B2900" t="s">
        <v>2865</v>
      </c>
      <c r="C2900">
        <v>70135.3203125</v>
      </c>
      <c r="D2900">
        <v>70623.6953125</v>
      </c>
      <c r="E2900">
        <v>68977.6953125</v>
      </c>
      <c r="F2900">
        <v>69122.3359375</v>
      </c>
      <c r="G2900">
        <v>69122.3359375</v>
      </c>
      <c r="H2900">
        <v>32802561717</v>
      </c>
      <c r="I2900" t="s">
        <v>6425</v>
      </c>
      <c r="J2900" t="s">
        <v>6426</v>
      </c>
      <c r="K2900" t="s">
        <v>4634</v>
      </c>
    </row>
    <row r="2901" spans="1:11" ht="20" customHeight="1">
      <c r="A2901" t="s">
        <v>26</v>
      </c>
      <c r="B2901" t="s">
        <v>2868</v>
      </c>
      <c r="C2901">
        <v>69121.3046875</v>
      </c>
      <c r="D2901">
        <v>70041.2734375</v>
      </c>
      <c r="E2901">
        <v>66356.953125</v>
      </c>
      <c r="F2901">
        <v>67929.5625</v>
      </c>
      <c r="G2901">
        <v>67929.5625</v>
      </c>
      <c r="H2901">
        <v>41895680979</v>
      </c>
      <c r="I2901" t="s">
        <v>6426</v>
      </c>
      <c r="J2901" t="s">
        <v>6427</v>
      </c>
      <c r="K2901" t="s">
        <v>4634</v>
      </c>
    </row>
    <row r="2902" spans="1:11" ht="20" customHeight="1">
      <c r="A2902" t="s">
        <v>26</v>
      </c>
      <c r="B2902" t="s">
        <v>2871</v>
      </c>
      <c r="C2902">
        <v>67928.1328125</v>
      </c>
      <c r="D2902">
        <v>69220.296875</v>
      </c>
      <c r="E2902">
        <v>66622.671875</v>
      </c>
      <c r="F2902">
        <v>68526.1015625</v>
      </c>
      <c r="G2902">
        <v>68526.1015625</v>
      </c>
      <c r="H2902">
        <v>29197308153</v>
      </c>
      <c r="I2902" t="s">
        <v>6427</v>
      </c>
      <c r="J2902" t="s">
        <v>6428</v>
      </c>
      <c r="K2902" t="s">
        <v>4634</v>
      </c>
    </row>
    <row r="2903" spans="1:11" ht="20" customHeight="1">
      <c r="A2903" t="s">
        <v>26</v>
      </c>
      <c r="B2903" t="s">
        <v>6429</v>
      </c>
      <c r="C2903">
        <v>68526.921875</v>
      </c>
      <c r="D2903">
        <v>69579.3203125</v>
      </c>
      <c r="E2903">
        <v>68515.8203125</v>
      </c>
      <c r="F2903">
        <v>69265.9453125</v>
      </c>
      <c r="G2903">
        <v>69265.9453125</v>
      </c>
      <c r="H2903">
        <v>15473071741</v>
      </c>
      <c r="I2903" t="s">
        <v>6428</v>
      </c>
      <c r="J2903" t="s">
        <v>6430</v>
      </c>
      <c r="K2903" t="s">
        <v>4634</v>
      </c>
    </row>
    <row r="2904" spans="1:11" ht="20" customHeight="1">
      <c r="A2904" t="s">
        <v>26</v>
      </c>
      <c r="B2904" t="s">
        <v>6431</v>
      </c>
      <c r="C2904">
        <v>69264.2890625</v>
      </c>
      <c r="D2904">
        <v>69506.2265625</v>
      </c>
      <c r="E2904">
        <v>68183.890625</v>
      </c>
      <c r="F2904">
        <v>68518.09375</v>
      </c>
      <c r="G2904">
        <v>68518.09375</v>
      </c>
      <c r="H2904">
        <v>15628433737</v>
      </c>
      <c r="I2904" t="s">
        <v>6430</v>
      </c>
      <c r="J2904" t="s">
        <v>6432</v>
      </c>
      <c r="K2904" t="s">
        <v>4634</v>
      </c>
    </row>
    <row r="2905" spans="1:11" ht="20" customHeight="1">
      <c r="A2905" t="s">
        <v>26</v>
      </c>
      <c r="B2905" t="s">
        <v>6433</v>
      </c>
      <c r="C2905">
        <v>68512.1796875</v>
      </c>
      <c r="D2905">
        <v>70597.8828125</v>
      </c>
      <c r="E2905">
        <v>68232.5</v>
      </c>
      <c r="F2905">
        <v>69394.5546875</v>
      </c>
      <c r="G2905">
        <v>69394.5546875</v>
      </c>
      <c r="H2905">
        <v>25870990717</v>
      </c>
      <c r="I2905" t="s">
        <v>6432</v>
      </c>
      <c r="J2905" t="s">
        <v>6434</v>
      </c>
      <c r="K2905" t="s">
        <v>4634</v>
      </c>
    </row>
    <row r="2906" spans="1:11" ht="20" customHeight="1">
      <c r="A2906" t="s">
        <v>26</v>
      </c>
      <c r="B2906" t="s">
        <v>2874</v>
      </c>
      <c r="C2906">
        <v>69392.1953125</v>
      </c>
      <c r="D2906">
        <v>69514.640625</v>
      </c>
      <c r="E2906">
        <v>67227.15625</v>
      </c>
      <c r="F2906">
        <v>68296.21875</v>
      </c>
      <c r="G2906">
        <v>68296.21875</v>
      </c>
      <c r="H2906">
        <v>32722265965</v>
      </c>
      <c r="I2906" t="s">
        <v>6434</v>
      </c>
      <c r="J2906" t="s">
        <v>6435</v>
      </c>
      <c r="K2906" t="s">
        <v>4634</v>
      </c>
    </row>
    <row r="2907" spans="1:11" ht="20" customHeight="1">
      <c r="A2907" t="s">
        <v>26</v>
      </c>
      <c r="B2907" t="s">
        <v>2877</v>
      </c>
      <c r="C2907">
        <v>68296.3515625</v>
      </c>
      <c r="D2907">
        <v>68852.4609375</v>
      </c>
      <c r="E2907">
        <v>67101.4921875</v>
      </c>
      <c r="F2907">
        <v>67578.09375</v>
      </c>
      <c r="G2907">
        <v>67578.09375</v>
      </c>
      <c r="H2907">
        <v>26707072906</v>
      </c>
      <c r="I2907" t="s">
        <v>6435</v>
      </c>
      <c r="J2907" t="s">
        <v>6436</v>
      </c>
      <c r="K2907" t="s">
        <v>4634</v>
      </c>
    </row>
    <row r="2908" spans="1:11" ht="20" customHeight="1">
      <c r="A2908" t="s">
        <v>26</v>
      </c>
      <c r="B2908" t="s">
        <v>2880</v>
      </c>
      <c r="C2908">
        <v>67576.0859375</v>
      </c>
      <c r="D2908">
        <v>69500.5390625</v>
      </c>
      <c r="E2908">
        <v>67118.078125</v>
      </c>
      <c r="F2908">
        <v>68364.9921875</v>
      </c>
      <c r="G2908">
        <v>68364.9921875</v>
      </c>
      <c r="H2908">
        <v>29509712534</v>
      </c>
      <c r="I2908" t="s">
        <v>6436</v>
      </c>
      <c r="J2908" t="s">
        <v>6437</v>
      </c>
      <c r="K2908" t="s">
        <v>4634</v>
      </c>
    </row>
    <row r="2909" spans="1:11" ht="20" customHeight="1">
      <c r="A2909" t="s">
        <v>26</v>
      </c>
      <c r="B2909" t="s">
        <v>2883</v>
      </c>
      <c r="C2909">
        <v>68362.515625</v>
      </c>
      <c r="D2909">
        <v>68999.5625</v>
      </c>
      <c r="E2909">
        <v>66633.421875</v>
      </c>
      <c r="F2909">
        <v>67491.4140625</v>
      </c>
      <c r="G2909">
        <v>67491.4140625</v>
      </c>
      <c r="H2909">
        <v>27387283769</v>
      </c>
      <c r="I2909" t="s">
        <v>6437</v>
      </c>
      <c r="J2909" t="s">
        <v>6438</v>
      </c>
      <c r="K2909" t="s">
        <v>4634</v>
      </c>
    </row>
    <row r="2910" spans="1:11" ht="20" customHeight="1">
      <c r="A2910" t="s">
        <v>26</v>
      </c>
      <c r="B2910" t="s">
        <v>6439</v>
      </c>
      <c r="C2910">
        <v>67489.609375</v>
      </c>
      <c r="D2910">
        <v>67839.765625</v>
      </c>
      <c r="E2910">
        <v>67386.1953125</v>
      </c>
      <c r="F2910">
        <v>67706.9375</v>
      </c>
      <c r="G2910">
        <v>67706.9375</v>
      </c>
      <c r="H2910">
        <v>11641495604</v>
      </c>
      <c r="I2910" t="s">
        <v>6438</v>
      </c>
      <c r="J2910" t="s">
        <v>6440</v>
      </c>
      <c r="K2910" t="s">
        <v>4634</v>
      </c>
    </row>
    <row r="2911" spans="1:11" ht="20" customHeight="1">
      <c r="A2911" t="s">
        <v>26</v>
      </c>
      <c r="B2911" t="s">
        <v>6441</v>
      </c>
      <c r="C2911">
        <v>67710.2734375</v>
      </c>
      <c r="D2911">
        <v>68409.1640625</v>
      </c>
      <c r="E2911">
        <v>67315.5234375</v>
      </c>
      <c r="F2911">
        <v>67751.6015625</v>
      </c>
      <c r="G2911">
        <v>67751.6015625</v>
      </c>
      <c r="H2911">
        <v>17110588415</v>
      </c>
      <c r="I2911" t="s">
        <v>6440</v>
      </c>
      <c r="J2911" t="s">
        <v>6442</v>
      </c>
      <c r="K2911" t="s">
        <v>4634</v>
      </c>
    </row>
    <row r="2912" spans="1:11" ht="20" customHeight="1">
      <c r="A2912" t="s">
        <v>26</v>
      </c>
      <c r="B2912" t="s">
        <v>2886</v>
      </c>
      <c r="C2912">
        <v>67753.8984375</v>
      </c>
      <c r="D2912">
        <v>70230.8203125</v>
      </c>
      <c r="E2912">
        <v>67589.8359375</v>
      </c>
      <c r="F2912">
        <v>68804.78125</v>
      </c>
      <c r="G2912">
        <v>68804.78125</v>
      </c>
      <c r="H2912">
        <v>32401285324</v>
      </c>
      <c r="I2912" t="s">
        <v>6442</v>
      </c>
      <c r="J2912" t="s">
        <v>6443</v>
      </c>
      <c r="K2912" t="s">
        <v>4634</v>
      </c>
    </row>
    <row r="2913" spans="1:11" ht="20" customHeight="1">
      <c r="A2913" t="s">
        <v>26</v>
      </c>
      <c r="B2913" t="s">
        <v>2889</v>
      </c>
      <c r="C2913">
        <v>68804.5703125</v>
      </c>
      <c r="D2913">
        <v>71047.40625</v>
      </c>
      <c r="E2913">
        <v>68564.640625</v>
      </c>
      <c r="F2913">
        <v>70567.765625</v>
      </c>
      <c r="G2913">
        <v>70567.765625</v>
      </c>
      <c r="H2913">
        <v>33149696545</v>
      </c>
      <c r="I2913" t="s">
        <v>6443</v>
      </c>
      <c r="J2913" t="s">
        <v>6444</v>
      </c>
      <c r="K2913" t="s">
        <v>4634</v>
      </c>
    </row>
    <row r="2914" spans="1:11" ht="20" customHeight="1">
      <c r="A2914" t="s">
        <v>26</v>
      </c>
      <c r="B2914" t="s">
        <v>2892</v>
      </c>
      <c r="C2914">
        <v>70568.3515625</v>
      </c>
      <c r="D2914">
        <v>71735.4140625</v>
      </c>
      <c r="E2914">
        <v>70390.7109375</v>
      </c>
      <c r="F2914">
        <v>71082.8203125</v>
      </c>
      <c r="G2914">
        <v>71082.8203125</v>
      </c>
      <c r="H2914">
        <v>32810771409</v>
      </c>
      <c r="I2914" t="s">
        <v>6444</v>
      </c>
      <c r="J2914" t="s">
        <v>6445</v>
      </c>
      <c r="K2914" t="s">
        <v>4634</v>
      </c>
    </row>
    <row r="2915" spans="1:11" ht="20" customHeight="1">
      <c r="A2915" t="s">
        <v>26</v>
      </c>
      <c r="B2915" t="s">
        <v>2895</v>
      </c>
      <c r="C2915">
        <v>71082.84375</v>
      </c>
      <c r="D2915">
        <v>71625.734375</v>
      </c>
      <c r="E2915">
        <v>70119.125</v>
      </c>
      <c r="F2915">
        <v>70757.1640625</v>
      </c>
      <c r="G2915">
        <v>70757.1640625</v>
      </c>
      <c r="H2915">
        <v>25223152007</v>
      </c>
      <c r="I2915" t="s">
        <v>6445</v>
      </c>
      <c r="J2915" t="s">
        <v>6446</v>
      </c>
      <c r="K2915" t="s">
        <v>4634</v>
      </c>
    </row>
    <row r="2916" spans="1:11" ht="20" customHeight="1">
      <c r="A2916" t="s">
        <v>26</v>
      </c>
      <c r="B2916" t="s">
        <v>2898</v>
      </c>
      <c r="C2916">
        <v>70759.1875</v>
      </c>
      <c r="D2916">
        <v>71907.8515625</v>
      </c>
      <c r="E2916">
        <v>68507.2578125</v>
      </c>
      <c r="F2916">
        <v>69342.5859375</v>
      </c>
      <c r="G2916">
        <v>69342.5859375</v>
      </c>
      <c r="H2916">
        <v>36188381096</v>
      </c>
      <c r="I2916" t="s">
        <v>6446</v>
      </c>
      <c r="J2916" t="s">
        <v>6447</v>
      </c>
      <c r="K2916" t="s">
        <v>4634</v>
      </c>
    </row>
    <row r="2917" spans="1:11" ht="20" customHeight="1">
      <c r="A2917" t="s">
        <v>26</v>
      </c>
      <c r="B2917" t="s">
        <v>6448</v>
      </c>
      <c r="C2917">
        <v>69324.1796875</v>
      </c>
      <c r="D2917">
        <v>69533.3203125</v>
      </c>
      <c r="E2917">
        <v>69210.7421875</v>
      </c>
      <c r="F2917">
        <v>69305.7734375</v>
      </c>
      <c r="G2917">
        <v>69305.7734375</v>
      </c>
      <c r="H2917">
        <v>14262185861</v>
      </c>
      <c r="I2917" t="s">
        <v>6447</v>
      </c>
      <c r="J2917" t="s">
        <v>6449</v>
      </c>
      <c r="K2917" t="s">
        <v>4634</v>
      </c>
    </row>
    <row r="2918" spans="1:11" ht="20" customHeight="1">
      <c r="A2918" t="s">
        <v>26</v>
      </c>
      <c r="B2918" t="s">
        <v>6450</v>
      </c>
      <c r="C2918">
        <v>69297.4921875</v>
      </c>
      <c r="D2918">
        <v>69817.5234375</v>
      </c>
      <c r="E2918">
        <v>69160.84375</v>
      </c>
      <c r="F2918">
        <v>69647.9921875</v>
      </c>
      <c r="G2918">
        <v>69647.9921875</v>
      </c>
      <c r="H2918">
        <v>13534028500</v>
      </c>
      <c r="I2918" t="s">
        <v>6449</v>
      </c>
      <c r="J2918" t="s">
        <v>6451</v>
      </c>
      <c r="K2918" t="s">
        <v>4634</v>
      </c>
    </row>
    <row r="2919" spans="1:11" ht="20" customHeight="1">
      <c r="A2919" t="s">
        <v>26</v>
      </c>
      <c r="B2919" t="s">
        <v>2901</v>
      </c>
      <c r="C2919">
        <v>69644.3125</v>
      </c>
      <c r="D2919">
        <v>70146.0703125</v>
      </c>
      <c r="E2919">
        <v>69232.421875</v>
      </c>
      <c r="F2919">
        <v>69512.28125</v>
      </c>
      <c r="G2919">
        <v>69512.28125</v>
      </c>
      <c r="H2919">
        <v>20597699541</v>
      </c>
      <c r="I2919" t="s">
        <v>6451</v>
      </c>
      <c r="J2919" t="s">
        <v>6452</v>
      </c>
      <c r="K2919" t="s">
        <v>4634</v>
      </c>
    </row>
    <row r="2920" spans="1:11" ht="20" customHeight="1">
      <c r="A2920" t="s">
        <v>26</v>
      </c>
      <c r="B2920" t="s">
        <v>2904</v>
      </c>
      <c r="C2920">
        <v>69508.078125</v>
      </c>
      <c r="D2920">
        <v>69549.4140625</v>
      </c>
      <c r="E2920">
        <v>66123.6015625</v>
      </c>
      <c r="F2920">
        <v>67332.03125</v>
      </c>
      <c r="G2920">
        <v>67332.03125</v>
      </c>
      <c r="H2920">
        <v>37116136345</v>
      </c>
      <c r="I2920" t="s">
        <v>6452</v>
      </c>
      <c r="J2920" t="s">
        <v>6453</v>
      </c>
      <c r="K2920" t="s">
        <v>4634</v>
      </c>
    </row>
    <row r="2921" spans="1:11" ht="20" customHeight="1">
      <c r="A2921" t="s">
        <v>26</v>
      </c>
      <c r="B2921" t="s">
        <v>2907</v>
      </c>
      <c r="C2921">
        <v>67321.375</v>
      </c>
      <c r="D2921">
        <v>69977.890625</v>
      </c>
      <c r="E2921">
        <v>66902.453125</v>
      </c>
      <c r="F2921">
        <v>68241.1875</v>
      </c>
      <c r="G2921">
        <v>68241.1875</v>
      </c>
      <c r="H2921">
        <v>34497940694</v>
      </c>
      <c r="I2921" t="s">
        <v>6453</v>
      </c>
      <c r="J2921" t="s">
        <v>6454</v>
      </c>
      <c r="K2921" t="s">
        <v>4634</v>
      </c>
    </row>
    <row r="2922" spans="1:11" ht="20" customHeight="1">
      <c r="A2922" t="s">
        <v>26</v>
      </c>
      <c r="B2922" t="s">
        <v>2910</v>
      </c>
      <c r="C2922">
        <v>68243.1015625</v>
      </c>
      <c r="D2922">
        <v>68365.78125</v>
      </c>
      <c r="E2922">
        <v>66304.5625</v>
      </c>
      <c r="F2922">
        <v>66756.3984375</v>
      </c>
      <c r="G2922">
        <v>66756.3984375</v>
      </c>
      <c r="H2922">
        <v>28955204146</v>
      </c>
      <c r="I2922" t="s">
        <v>6454</v>
      </c>
      <c r="J2922" t="s">
        <v>6455</v>
      </c>
      <c r="K2922" t="s">
        <v>4634</v>
      </c>
    </row>
    <row r="2923" spans="1:11" ht="20" customHeight="1">
      <c r="A2923" t="s">
        <v>26</v>
      </c>
      <c r="B2923" t="s">
        <v>2913</v>
      </c>
      <c r="C2923">
        <v>66747.5703125</v>
      </c>
      <c r="D2923">
        <v>67294.6484375</v>
      </c>
      <c r="E2923">
        <v>65056.89453125</v>
      </c>
      <c r="F2923">
        <v>66011.09375</v>
      </c>
      <c r="G2923">
        <v>66011.09375</v>
      </c>
      <c r="H2923">
        <v>27403884779</v>
      </c>
      <c r="I2923" t="s">
        <v>6455</v>
      </c>
      <c r="J2923" t="s">
        <v>6456</v>
      </c>
      <c r="K2923" t="s">
        <v>4634</v>
      </c>
    </row>
    <row r="2924" spans="1:11" ht="20" customHeight="1">
      <c r="A2924" t="s">
        <v>26</v>
      </c>
      <c r="B2924" t="s">
        <v>6457</v>
      </c>
      <c r="C2924">
        <v>66006.7421875</v>
      </c>
      <c r="D2924">
        <v>66402.1875</v>
      </c>
      <c r="E2924">
        <v>65871.7734375</v>
      </c>
      <c r="F2924">
        <v>66191</v>
      </c>
      <c r="G2924">
        <v>66191</v>
      </c>
      <c r="H2924">
        <v>14121265576</v>
      </c>
      <c r="I2924" t="s">
        <v>6456</v>
      </c>
      <c r="J2924" t="s">
        <v>6458</v>
      </c>
      <c r="K2924" t="s">
        <v>4634</v>
      </c>
    </row>
    <row r="2925" spans="1:11" ht="20" customHeight="1">
      <c r="A2925" t="s">
        <v>26</v>
      </c>
      <c r="B2925" t="s">
        <v>6459</v>
      </c>
      <c r="C2925">
        <v>66189.359375</v>
      </c>
      <c r="D2925">
        <v>66894.84375</v>
      </c>
      <c r="E2925">
        <v>66018.25</v>
      </c>
      <c r="F2925">
        <v>66639.046875</v>
      </c>
      <c r="G2925">
        <v>66639.046875</v>
      </c>
      <c r="H2925">
        <v>13281140541</v>
      </c>
      <c r="I2925" t="s">
        <v>6458</v>
      </c>
      <c r="J2925" t="s">
        <v>6460</v>
      </c>
      <c r="K2925" t="s">
        <v>4634</v>
      </c>
    </row>
    <row r="2926" spans="1:11" ht="20" customHeight="1">
      <c r="A2926" t="s">
        <v>26</v>
      </c>
      <c r="B2926" t="s">
        <v>2916</v>
      </c>
      <c r="C2926">
        <v>66636.515625</v>
      </c>
      <c r="D2926">
        <v>67188.3203125</v>
      </c>
      <c r="E2926">
        <v>65094.96484375</v>
      </c>
      <c r="F2926">
        <v>66490.296875</v>
      </c>
      <c r="G2926">
        <v>66490.296875</v>
      </c>
      <c r="H2926">
        <v>30006354476</v>
      </c>
      <c r="I2926" t="s">
        <v>6460</v>
      </c>
      <c r="J2926" t="s">
        <v>6461</v>
      </c>
      <c r="K2926" t="s">
        <v>4634</v>
      </c>
    </row>
    <row r="2927" spans="1:11" ht="20" customHeight="1">
      <c r="A2927" t="s">
        <v>26</v>
      </c>
      <c r="B2927" t="s">
        <v>2919</v>
      </c>
      <c r="C2927">
        <v>66490.9765625</v>
      </c>
      <c r="D2927">
        <v>66556.703125</v>
      </c>
      <c r="E2927">
        <v>64066.95703125</v>
      </c>
      <c r="F2927">
        <v>65140.74609375</v>
      </c>
      <c r="G2927">
        <v>65140.74609375</v>
      </c>
      <c r="H2927">
        <v>39481285950</v>
      </c>
      <c r="I2927" t="s">
        <v>6461</v>
      </c>
      <c r="J2927" t="s">
        <v>6462</v>
      </c>
      <c r="K2927" t="s">
        <v>4634</v>
      </c>
    </row>
    <row r="2928" spans="1:11" ht="20" customHeight="1">
      <c r="A2928" t="s">
        <v>26</v>
      </c>
      <c r="B2928" t="s">
        <v>6463</v>
      </c>
      <c r="C2928">
        <v>65146.66015625</v>
      </c>
      <c r="D2928">
        <v>65695.3515625</v>
      </c>
      <c r="E2928">
        <v>64693.30078125</v>
      </c>
      <c r="F2928">
        <v>64960.296875</v>
      </c>
      <c r="G2928">
        <v>64960.296875</v>
      </c>
      <c r="H2928">
        <v>21103423504</v>
      </c>
      <c r="I2928" t="s">
        <v>6462</v>
      </c>
      <c r="J2928" t="s">
        <v>6464</v>
      </c>
      <c r="K2928" t="s">
        <v>4634</v>
      </c>
    </row>
    <row r="2929" spans="1:11" ht="20" customHeight="1">
      <c r="A2929" t="s">
        <v>26</v>
      </c>
      <c r="B2929" t="s">
        <v>2922</v>
      </c>
      <c r="C2929">
        <v>64960.296875</v>
      </c>
      <c r="D2929">
        <v>66438.9609375</v>
      </c>
      <c r="E2929">
        <v>64547.84765625</v>
      </c>
      <c r="F2929">
        <v>64828.65625</v>
      </c>
      <c r="G2929">
        <v>64828.65625</v>
      </c>
      <c r="H2929">
        <v>25641109124</v>
      </c>
      <c r="I2929" t="s">
        <v>6464</v>
      </c>
      <c r="J2929" t="s">
        <v>6465</v>
      </c>
      <c r="K2929" t="s">
        <v>4634</v>
      </c>
    </row>
    <row r="2930" spans="1:11" ht="20" customHeight="1">
      <c r="A2930" t="s">
        <v>26</v>
      </c>
      <c r="B2930" t="s">
        <v>2925</v>
      </c>
      <c r="C2930">
        <v>64837.98828125</v>
      </c>
      <c r="D2930">
        <v>65007.546875</v>
      </c>
      <c r="E2930">
        <v>63378.89453125</v>
      </c>
      <c r="F2930">
        <v>64096.19921875</v>
      </c>
      <c r="G2930">
        <v>64096.19921875</v>
      </c>
      <c r="H2930">
        <v>26188171739</v>
      </c>
      <c r="I2930" t="s">
        <v>6465</v>
      </c>
      <c r="J2930" t="s">
        <v>6466</v>
      </c>
      <c r="K2930" t="s">
        <v>4634</v>
      </c>
    </row>
    <row r="2931" spans="1:11" ht="20" customHeight="1">
      <c r="A2931" t="s">
        <v>26</v>
      </c>
      <c r="B2931" t="s">
        <v>6467</v>
      </c>
      <c r="C2931">
        <v>64113.86328125</v>
      </c>
      <c r="D2931">
        <v>64475.46875</v>
      </c>
      <c r="E2931">
        <v>63929.7578125</v>
      </c>
      <c r="F2931">
        <v>64252.578125</v>
      </c>
      <c r="G2931">
        <v>64252.578125</v>
      </c>
      <c r="H2931">
        <v>9858198793</v>
      </c>
      <c r="I2931" t="s">
        <v>6466</v>
      </c>
      <c r="J2931" t="s">
        <v>6468</v>
      </c>
      <c r="K2931" t="s">
        <v>4634</v>
      </c>
    </row>
    <row r="2932" spans="1:11" ht="20" customHeight="1">
      <c r="A2932" t="s">
        <v>26</v>
      </c>
      <c r="B2932" t="s">
        <v>6469</v>
      </c>
      <c r="C2932">
        <v>64248.96484375</v>
      </c>
      <c r="D2932">
        <v>64491.703125</v>
      </c>
      <c r="E2932">
        <v>63180.796875</v>
      </c>
      <c r="F2932">
        <v>63180.796875</v>
      </c>
      <c r="G2932">
        <v>63180.796875</v>
      </c>
      <c r="H2932">
        <v>11170471802</v>
      </c>
      <c r="I2932" t="s">
        <v>6468</v>
      </c>
      <c r="J2932" t="s">
        <v>6470</v>
      </c>
      <c r="K2932" t="s">
        <v>4634</v>
      </c>
    </row>
    <row r="2933" spans="1:11" ht="20" customHeight="1">
      <c r="A2933" t="s">
        <v>26</v>
      </c>
      <c r="B2933" t="s">
        <v>2928</v>
      </c>
      <c r="C2933">
        <v>63173.3515625</v>
      </c>
      <c r="D2933">
        <v>63292.52734375</v>
      </c>
      <c r="E2933">
        <v>58601.69921875</v>
      </c>
      <c r="F2933">
        <v>60277.4140625</v>
      </c>
      <c r="G2933">
        <v>60277.4140625</v>
      </c>
      <c r="H2933">
        <v>43152133651</v>
      </c>
      <c r="I2933" t="s">
        <v>6470</v>
      </c>
      <c r="J2933" t="s">
        <v>6471</v>
      </c>
      <c r="K2933" t="s">
        <v>4634</v>
      </c>
    </row>
    <row r="2934" spans="1:11" ht="20" customHeight="1">
      <c r="A2934" t="s">
        <v>26</v>
      </c>
      <c r="B2934" t="s">
        <v>2931</v>
      </c>
      <c r="C2934">
        <v>60266.28125</v>
      </c>
      <c r="D2934">
        <v>62258.26171875</v>
      </c>
      <c r="E2934">
        <v>60239.75</v>
      </c>
      <c r="F2934">
        <v>61804.640625</v>
      </c>
      <c r="G2934">
        <v>61804.640625</v>
      </c>
      <c r="H2934">
        <v>29201215431</v>
      </c>
      <c r="I2934" t="s">
        <v>6471</v>
      </c>
      <c r="J2934" t="s">
        <v>6472</v>
      </c>
      <c r="K2934" t="s">
        <v>4634</v>
      </c>
    </row>
    <row r="2935" spans="1:11" ht="20" customHeight="1">
      <c r="A2935" t="s">
        <v>26</v>
      </c>
      <c r="B2935" t="s">
        <v>2934</v>
      </c>
      <c r="C2935">
        <v>61789.67578125</v>
      </c>
      <c r="D2935">
        <v>62434.13671875</v>
      </c>
      <c r="E2935">
        <v>60695.1875</v>
      </c>
      <c r="F2935">
        <v>60811.27734375</v>
      </c>
      <c r="G2935">
        <v>60811.27734375</v>
      </c>
      <c r="H2935">
        <v>22506003064</v>
      </c>
      <c r="I2935" t="s">
        <v>6472</v>
      </c>
      <c r="J2935" t="s">
        <v>6473</v>
      </c>
      <c r="K2935" t="s">
        <v>4634</v>
      </c>
    </row>
    <row r="2936" spans="1:11" ht="20" customHeight="1">
      <c r="A2936" t="s">
        <v>26</v>
      </c>
      <c r="B2936" t="s">
        <v>2937</v>
      </c>
      <c r="C2936">
        <v>60811.2265625</v>
      </c>
      <c r="D2936">
        <v>62293.86328125</v>
      </c>
      <c r="E2936">
        <v>60585.33203125</v>
      </c>
      <c r="F2936">
        <v>61604.80078125</v>
      </c>
      <c r="G2936">
        <v>61604.80078125</v>
      </c>
      <c r="H2936">
        <v>21231745045</v>
      </c>
      <c r="I2936" t="s">
        <v>6473</v>
      </c>
      <c r="J2936" t="s">
        <v>6474</v>
      </c>
      <c r="K2936" t="s">
        <v>4634</v>
      </c>
    </row>
    <row r="2937" spans="1:11" ht="20" customHeight="1">
      <c r="A2937" t="s">
        <v>26</v>
      </c>
      <c r="B2937" t="s">
        <v>2940</v>
      </c>
      <c r="C2937">
        <v>61612.8046875</v>
      </c>
      <c r="D2937">
        <v>62126.09765625</v>
      </c>
      <c r="E2937">
        <v>59985.40234375</v>
      </c>
      <c r="F2937">
        <v>60320.13671875</v>
      </c>
      <c r="G2937">
        <v>60320.13671875</v>
      </c>
      <c r="H2937">
        <v>24952866877</v>
      </c>
      <c r="I2937" t="s">
        <v>6474</v>
      </c>
      <c r="J2937" t="s">
        <v>6475</v>
      </c>
      <c r="K2937" t="s">
        <v>4634</v>
      </c>
    </row>
    <row r="2938" spans="1:11" ht="20" customHeight="1">
      <c r="A2938" t="s">
        <v>26</v>
      </c>
      <c r="B2938" t="s">
        <v>6476</v>
      </c>
      <c r="C2938">
        <v>60319.875</v>
      </c>
      <c r="D2938">
        <v>61097.62109375</v>
      </c>
      <c r="E2938">
        <v>60300.96484375</v>
      </c>
      <c r="F2938">
        <v>60887.37890625</v>
      </c>
      <c r="G2938">
        <v>60887.37890625</v>
      </c>
      <c r="H2938">
        <v>12652903396</v>
      </c>
      <c r="I2938" t="s">
        <v>6475</v>
      </c>
      <c r="J2938" t="s">
        <v>6477</v>
      </c>
      <c r="K2938" t="s">
        <v>4634</v>
      </c>
    </row>
    <row r="2939" spans="1:11" ht="20" customHeight="1">
      <c r="A2939" t="s">
        <v>26</v>
      </c>
      <c r="B2939" t="s">
        <v>6478</v>
      </c>
      <c r="C2939">
        <v>60888.4453125</v>
      </c>
      <c r="D2939">
        <v>62892.828125</v>
      </c>
      <c r="E2939">
        <v>60632.94921875</v>
      </c>
      <c r="F2939">
        <v>62678.29296875</v>
      </c>
      <c r="G2939">
        <v>62678.29296875</v>
      </c>
      <c r="H2939">
        <v>17333226409</v>
      </c>
      <c r="I2939" t="s">
        <v>6477</v>
      </c>
      <c r="J2939" t="s">
        <v>6479</v>
      </c>
      <c r="K2939" t="s">
        <v>4634</v>
      </c>
    </row>
    <row r="2940" spans="1:11" ht="20" customHeight="1">
      <c r="A2940" t="s">
        <v>26</v>
      </c>
      <c r="B2940" t="s">
        <v>2943</v>
      </c>
      <c r="C2940">
        <v>62673.60546875</v>
      </c>
      <c r="D2940">
        <v>63777.2265625</v>
      </c>
      <c r="E2940">
        <v>62495.51171875</v>
      </c>
      <c r="F2940">
        <v>62851.98046875</v>
      </c>
      <c r="G2940">
        <v>62851.98046875</v>
      </c>
      <c r="H2940">
        <v>25468379421</v>
      </c>
      <c r="I2940" t="s">
        <v>6479</v>
      </c>
      <c r="J2940" t="s">
        <v>6480</v>
      </c>
      <c r="K2940" t="s">
        <v>4634</v>
      </c>
    </row>
    <row r="2941" spans="1:11" ht="20" customHeight="1">
      <c r="A2941" t="s">
        <v>26</v>
      </c>
      <c r="B2941" t="s">
        <v>2946</v>
      </c>
      <c r="C2941">
        <v>62844.41015625</v>
      </c>
      <c r="D2941">
        <v>63203.359375</v>
      </c>
      <c r="E2941">
        <v>61752.74609375</v>
      </c>
      <c r="F2941">
        <v>62029.015625</v>
      </c>
      <c r="G2941">
        <v>62029.015625</v>
      </c>
      <c r="H2941">
        <v>20151616992</v>
      </c>
      <c r="I2941" t="s">
        <v>6480</v>
      </c>
      <c r="J2941" t="s">
        <v>6481</v>
      </c>
      <c r="K2941" t="s">
        <v>4634</v>
      </c>
    </row>
    <row r="2942" spans="1:11" ht="20" customHeight="1">
      <c r="A2942" t="s">
        <v>26</v>
      </c>
      <c r="B2942" t="s">
        <v>2949</v>
      </c>
      <c r="C2942">
        <v>62034.33203125</v>
      </c>
      <c r="D2942">
        <v>62187.703125</v>
      </c>
      <c r="E2942">
        <v>59419.38671875</v>
      </c>
      <c r="F2942">
        <v>60173.921875</v>
      </c>
      <c r="G2942">
        <v>60173.921875</v>
      </c>
      <c r="H2942">
        <v>29756701685</v>
      </c>
      <c r="I2942" t="s">
        <v>6481</v>
      </c>
      <c r="J2942" t="s">
        <v>6482</v>
      </c>
      <c r="K2942" t="s">
        <v>4634</v>
      </c>
    </row>
    <row r="2943" spans="1:11" ht="20" customHeight="1">
      <c r="A2943" t="s">
        <v>26</v>
      </c>
      <c r="B2943" t="s">
        <v>6483</v>
      </c>
      <c r="C2943">
        <v>60147.13671875</v>
      </c>
      <c r="D2943">
        <v>60399.67578125</v>
      </c>
      <c r="E2943">
        <v>56777.8046875</v>
      </c>
      <c r="F2943">
        <v>56977.703125</v>
      </c>
      <c r="G2943">
        <v>56977.703125</v>
      </c>
      <c r="H2943">
        <v>41149609230</v>
      </c>
      <c r="I2943" t="s">
        <v>6482</v>
      </c>
      <c r="J2943" t="s">
        <v>6484</v>
      </c>
      <c r="K2943" t="s">
        <v>4634</v>
      </c>
    </row>
    <row r="2944" spans="1:11" ht="20" customHeight="1">
      <c r="A2944" t="s">
        <v>26</v>
      </c>
      <c r="B2944" t="s">
        <v>2952</v>
      </c>
      <c r="C2944">
        <v>57022.80859375</v>
      </c>
      <c r="D2944">
        <v>57497.15234375</v>
      </c>
      <c r="E2944">
        <v>53717.375</v>
      </c>
      <c r="F2944">
        <v>56662.375</v>
      </c>
      <c r="G2944">
        <v>56662.375</v>
      </c>
      <c r="H2944">
        <v>55417544033</v>
      </c>
      <c r="I2944" t="s">
        <v>6484</v>
      </c>
      <c r="J2944" t="s">
        <v>6485</v>
      </c>
      <c r="K2944" t="s">
        <v>4634</v>
      </c>
    </row>
    <row r="2945" spans="1:11" ht="20" customHeight="1">
      <c r="A2945" t="s">
        <v>26</v>
      </c>
      <c r="B2945" t="s">
        <v>6486</v>
      </c>
      <c r="C2945">
        <v>56659.07421875</v>
      </c>
      <c r="D2945">
        <v>58472.546875</v>
      </c>
      <c r="E2945">
        <v>56038.9609375</v>
      </c>
      <c r="F2945">
        <v>58303.5390625</v>
      </c>
      <c r="G2945">
        <v>58303.5390625</v>
      </c>
      <c r="H2945">
        <v>20610320577</v>
      </c>
      <c r="I2945" t="s">
        <v>6485</v>
      </c>
      <c r="J2945" t="s">
        <v>6487</v>
      </c>
      <c r="K2945" t="s">
        <v>4634</v>
      </c>
    </row>
    <row r="2946" spans="1:11" ht="20" customHeight="1">
      <c r="A2946" t="s">
        <v>26</v>
      </c>
      <c r="B2946" t="s">
        <v>6488</v>
      </c>
      <c r="C2946">
        <v>58239.4296875</v>
      </c>
      <c r="D2946">
        <v>58371.12109375</v>
      </c>
      <c r="E2946">
        <v>55793.32421875</v>
      </c>
      <c r="F2946">
        <v>55849.109375</v>
      </c>
      <c r="G2946">
        <v>55849.109375</v>
      </c>
      <c r="H2946">
        <v>20553359505</v>
      </c>
      <c r="I2946" t="s">
        <v>6487</v>
      </c>
      <c r="J2946" t="s">
        <v>6489</v>
      </c>
      <c r="K2946" t="s">
        <v>4634</v>
      </c>
    </row>
    <row r="2947" spans="1:11" ht="20" customHeight="1">
      <c r="A2947" t="s">
        <v>26</v>
      </c>
      <c r="B2947" t="s">
        <v>2955</v>
      </c>
      <c r="C2947">
        <v>55849.57421875</v>
      </c>
      <c r="D2947">
        <v>58131.3359375</v>
      </c>
      <c r="E2947">
        <v>54321.01953125</v>
      </c>
      <c r="F2947">
        <v>56705.09765625</v>
      </c>
      <c r="G2947">
        <v>56705.09765625</v>
      </c>
      <c r="H2947">
        <v>39766159899</v>
      </c>
      <c r="I2947" t="s">
        <v>6489</v>
      </c>
      <c r="J2947" t="s">
        <v>6490</v>
      </c>
      <c r="K2947" t="s">
        <v>4634</v>
      </c>
    </row>
    <row r="2948" spans="1:11" ht="20" customHeight="1">
      <c r="A2948" t="s">
        <v>26</v>
      </c>
      <c r="B2948" t="s">
        <v>2958</v>
      </c>
      <c r="C2948">
        <v>56704.59765625</v>
      </c>
      <c r="D2948">
        <v>58239.1953125</v>
      </c>
      <c r="E2948">
        <v>56316.875</v>
      </c>
      <c r="F2948">
        <v>58009.2265625</v>
      </c>
      <c r="G2948">
        <v>58009.2265625</v>
      </c>
      <c r="H2948">
        <v>27849512607</v>
      </c>
      <c r="I2948" t="s">
        <v>6490</v>
      </c>
      <c r="J2948" t="s">
        <v>6491</v>
      </c>
      <c r="K2948" t="s">
        <v>4634</v>
      </c>
    </row>
    <row r="2949" spans="1:11" ht="20" customHeight="1">
      <c r="A2949" t="s">
        <v>26</v>
      </c>
      <c r="B2949" t="s">
        <v>2961</v>
      </c>
      <c r="C2949">
        <v>58033.8828125</v>
      </c>
      <c r="D2949">
        <v>59359.43359375</v>
      </c>
      <c r="E2949">
        <v>57178.4140625</v>
      </c>
      <c r="F2949">
        <v>57742.49609375</v>
      </c>
      <c r="G2949">
        <v>57742.49609375</v>
      </c>
      <c r="H2949">
        <v>26175260526</v>
      </c>
      <c r="I2949" t="s">
        <v>6491</v>
      </c>
      <c r="J2949" t="s">
        <v>6492</v>
      </c>
      <c r="K2949" t="s">
        <v>4634</v>
      </c>
    </row>
    <row r="2950" spans="1:11" ht="20" customHeight="1">
      <c r="A2950" t="s">
        <v>26</v>
      </c>
      <c r="B2950" t="s">
        <v>2964</v>
      </c>
      <c r="C2950">
        <v>57729.890625</v>
      </c>
      <c r="D2950">
        <v>59299.43359375</v>
      </c>
      <c r="E2950">
        <v>57120.37890625</v>
      </c>
      <c r="F2950">
        <v>57344.9140625</v>
      </c>
      <c r="G2950">
        <v>57344.9140625</v>
      </c>
      <c r="H2950">
        <v>28707803842</v>
      </c>
      <c r="I2950" t="s">
        <v>6492</v>
      </c>
      <c r="J2950" t="s">
        <v>6493</v>
      </c>
      <c r="K2950" t="s">
        <v>4634</v>
      </c>
    </row>
    <row r="2951" spans="1:11" ht="20" customHeight="1">
      <c r="A2951" t="s">
        <v>26</v>
      </c>
      <c r="B2951" t="s">
        <v>2967</v>
      </c>
      <c r="C2951">
        <v>57341.1953125</v>
      </c>
      <c r="D2951">
        <v>58532.5546875</v>
      </c>
      <c r="E2951">
        <v>56590.17578125</v>
      </c>
      <c r="F2951">
        <v>57899.46484375</v>
      </c>
      <c r="G2951">
        <v>57899.46484375</v>
      </c>
      <c r="H2951">
        <v>25604805221</v>
      </c>
      <c r="I2951" t="s">
        <v>6493</v>
      </c>
      <c r="J2951" t="s">
        <v>6494</v>
      </c>
      <c r="K2951" t="s">
        <v>4634</v>
      </c>
    </row>
    <row r="2952" spans="1:11" ht="20" customHeight="1">
      <c r="A2952" t="s">
        <v>26</v>
      </c>
      <c r="B2952" t="s">
        <v>6495</v>
      </c>
      <c r="C2952">
        <v>57908.73828125</v>
      </c>
      <c r="D2952">
        <v>59787.078125</v>
      </c>
      <c r="E2952">
        <v>57796.44140625</v>
      </c>
      <c r="F2952">
        <v>59231.953125</v>
      </c>
      <c r="G2952">
        <v>59231.953125</v>
      </c>
      <c r="H2952">
        <v>17080061806</v>
      </c>
      <c r="I2952" t="s">
        <v>6494</v>
      </c>
      <c r="J2952" t="s">
        <v>6496</v>
      </c>
      <c r="K2952" t="s">
        <v>4634</v>
      </c>
    </row>
    <row r="2953" spans="1:11" ht="20" customHeight="1">
      <c r="A2953" t="s">
        <v>26</v>
      </c>
      <c r="B2953" t="s">
        <v>6497</v>
      </c>
      <c r="C2953">
        <v>59225.25</v>
      </c>
      <c r="D2953">
        <v>61329.52734375</v>
      </c>
      <c r="E2953">
        <v>59225.25</v>
      </c>
      <c r="F2953">
        <v>60787.79296875</v>
      </c>
      <c r="G2953">
        <v>60787.79296875</v>
      </c>
      <c r="H2953">
        <v>22223416061</v>
      </c>
      <c r="I2953" t="s">
        <v>6496</v>
      </c>
      <c r="J2953" t="s">
        <v>6498</v>
      </c>
      <c r="K2953" t="s">
        <v>4634</v>
      </c>
    </row>
    <row r="2954" spans="1:11" ht="20" customHeight="1">
      <c r="A2954" t="s">
        <v>26</v>
      </c>
      <c r="B2954" t="s">
        <v>2970</v>
      </c>
      <c r="C2954">
        <v>60815.45703125</v>
      </c>
      <c r="D2954">
        <v>64870.15234375</v>
      </c>
      <c r="E2954">
        <v>60704.9296875</v>
      </c>
      <c r="F2954">
        <v>64870.15234375</v>
      </c>
      <c r="G2954">
        <v>64870.15234375</v>
      </c>
      <c r="H2954">
        <v>38094526099</v>
      </c>
      <c r="I2954" t="s">
        <v>6498</v>
      </c>
      <c r="J2954" t="s">
        <v>6499</v>
      </c>
      <c r="K2954" t="s">
        <v>4634</v>
      </c>
    </row>
    <row r="2955" spans="1:11" ht="20" customHeight="1">
      <c r="A2955" t="s">
        <v>26</v>
      </c>
      <c r="B2955" t="s">
        <v>2973</v>
      </c>
      <c r="C2955">
        <v>64784.41796875</v>
      </c>
      <c r="D2955">
        <v>65354.33984375</v>
      </c>
      <c r="E2955">
        <v>62487.96875</v>
      </c>
      <c r="F2955">
        <v>65097.1484375</v>
      </c>
      <c r="G2955">
        <v>65097.1484375</v>
      </c>
      <c r="H2955">
        <v>41617346768</v>
      </c>
      <c r="I2955" t="s">
        <v>6499</v>
      </c>
      <c r="J2955" t="s">
        <v>6500</v>
      </c>
      <c r="K2955" t="s">
        <v>4634</v>
      </c>
    </row>
    <row r="2956" spans="1:11" ht="20" customHeight="1">
      <c r="A2956" t="s">
        <v>26</v>
      </c>
      <c r="B2956" t="s">
        <v>2976</v>
      </c>
      <c r="C2956">
        <v>65091.83203125</v>
      </c>
      <c r="D2956">
        <v>66066.734375</v>
      </c>
      <c r="E2956">
        <v>63896.0859375</v>
      </c>
      <c r="F2956">
        <v>64118.79296875</v>
      </c>
      <c r="G2956">
        <v>64118.79296875</v>
      </c>
      <c r="H2956">
        <v>32525071311</v>
      </c>
      <c r="I2956" t="s">
        <v>6500</v>
      </c>
      <c r="J2956" t="s">
        <v>6501</v>
      </c>
      <c r="K2956" t="s">
        <v>4634</v>
      </c>
    </row>
    <row r="2957" spans="1:11" ht="20" customHeight="1">
      <c r="A2957" t="s">
        <v>26</v>
      </c>
      <c r="B2957" t="s">
        <v>2979</v>
      </c>
      <c r="C2957">
        <v>64104.73828125</v>
      </c>
      <c r="D2957">
        <v>65104.66015625</v>
      </c>
      <c r="E2957">
        <v>63246.1640625</v>
      </c>
      <c r="F2957">
        <v>63974.06640625</v>
      </c>
      <c r="G2957">
        <v>63974.06640625</v>
      </c>
      <c r="H2957">
        <v>27239305337</v>
      </c>
      <c r="I2957" t="s">
        <v>6501</v>
      </c>
      <c r="J2957" t="s">
        <v>6502</v>
      </c>
      <c r="K2957" t="s">
        <v>4634</v>
      </c>
    </row>
    <row r="2958" spans="1:11" ht="20" customHeight="1">
      <c r="A2958" t="s">
        <v>26</v>
      </c>
      <c r="B2958" t="s">
        <v>2982</v>
      </c>
      <c r="C2958">
        <v>63972.32421875</v>
      </c>
      <c r="D2958">
        <v>67442.640625</v>
      </c>
      <c r="E2958">
        <v>63329.34375</v>
      </c>
      <c r="F2958">
        <v>66710.15625</v>
      </c>
      <c r="G2958">
        <v>66710.15625</v>
      </c>
      <c r="H2958">
        <v>37003855410</v>
      </c>
      <c r="I2958" t="s">
        <v>6502</v>
      </c>
      <c r="J2958" t="s">
        <v>6503</v>
      </c>
      <c r="K2958" t="s">
        <v>4634</v>
      </c>
    </row>
    <row r="2959" spans="1:11" ht="20" customHeight="1">
      <c r="A2959" t="s">
        <v>26</v>
      </c>
      <c r="B2959" t="s">
        <v>6504</v>
      </c>
      <c r="C2959">
        <v>66709.921875</v>
      </c>
      <c r="D2959">
        <v>67610.734375</v>
      </c>
      <c r="E2959">
        <v>66299.6171875</v>
      </c>
      <c r="F2959">
        <v>67163.6484375</v>
      </c>
      <c r="G2959">
        <v>67163.6484375</v>
      </c>
      <c r="H2959">
        <v>19029581250</v>
      </c>
      <c r="I2959" t="s">
        <v>6503</v>
      </c>
      <c r="J2959" t="s">
        <v>6505</v>
      </c>
      <c r="K2959" t="s">
        <v>4634</v>
      </c>
    </row>
    <row r="2960" spans="1:11" ht="20" customHeight="1">
      <c r="A2960" t="s">
        <v>26</v>
      </c>
      <c r="B2960" t="s">
        <v>6506</v>
      </c>
      <c r="C2960">
        <v>67164.9140625</v>
      </c>
      <c r="D2960">
        <v>68372.90625</v>
      </c>
      <c r="E2960">
        <v>65842.296875</v>
      </c>
      <c r="F2960">
        <v>68154.5234375</v>
      </c>
      <c r="G2960">
        <v>68154.5234375</v>
      </c>
      <c r="H2960">
        <v>26652190004</v>
      </c>
      <c r="I2960" t="s">
        <v>6505</v>
      </c>
      <c r="J2960" t="s">
        <v>6507</v>
      </c>
      <c r="K2960" t="s">
        <v>4634</v>
      </c>
    </row>
    <row r="2961" spans="1:11" ht="20" customHeight="1">
      <c r="A2961" t="s">
        <v>26</v>
      </c>
      <c r="B2961" t="s">
        <v>2985</v>
      </c>
      <c r="C2961">
        <v>68152.9765625</v>
      </c>
      <c r="D2961">
        <v>68480.0625</v>
      </c>
      <c r="E2961">
        <v>66611.296875</v>
      </c>
      <c r="F2961">
        <v>67585.25</v>
      </c>
      <c r="G2961">
        <v>67585.25</v>
      </c>
      <c r="H2961">
        <v>42649109453</v>
      </c>
      <c r="I2961" t="s">
        <v>6507</v>
      </c>
      <c r="J2961" t="s">
        <v>6508</v>
      </c>
      <c r="K2961" t="s">
        <v>4634</v>
      </c>
    </row>
    <row r="2962" spans="1:11" ht="20" customHeight="1">
      <c r="A2962" t="s">
        <v>26</v>
      </c>
      <c r="B2962" t="s">
        <v>2988</v>
      </c>
      <c r="C2962">
        <v>67584.8046875</v>
      </c>
      <c r="D2962">
        <v>67779.015625</v>
      </c>
      <c r="E2962">
        <v>65484.4609375</v>
      </c>
      <c r="F2962">
        <v>65927.671875</v>
      </c>
      <c r="G2962">
        <v>65927.671875</v>
      </c>
      <c r="H2962">
        <v>35605668666</v>
      </c>
      <c r="I2962" t="s">
        <v>6508</v>
      </c>
      <c r="J2962" t="s">
        <v>6509</v>
      </c>
      <c r="K2962" t="s">
        <v>4634</v>
      </c>
    </row>
    <row r="2963" spans="1:11" ht="20" customHeight="1">
      <c r="A2963" t="s">
        <v>26</v>
      </c>
      <c r="B2963" t="s">
        <v>2991</v>
      </c>
      <c r="C2963">
        <v>65927.859375</v>
      </c>
      <c r="D2963">
        <v>67113.984375</v>
      </c>
      <c r="E2963">
        <v>65146.99609375</v>
      </c>
      <c r="F2963">
        <v>65372.1328125</v>
      </c>
      <c r="G2963">
        <v>65372.1328125</v>
      </c>
      <c r="H2963">
        <v>27470942309</v>
      </c>
      <c r="I2963" t="s">
        <v>6509</v>
      </c>
      <c r="J2963" t="s">
        <v>6510</v>
      </c>
      <c r="K2963" t="s">
        <v>4634</v>
      </c>
    </row>
    <row r="2964" spans="1:11" ht="20" customHeight="1">
      <c r="A2964" t="s">
        <v>26</v>
      </c>
      <c r="B2964" t="s">
        <v>2994</v>
      </c>
      <c r="C2964">
        <v>65375.875</v>
      </c>
      <c r="D2964">
        <v>66112.421875</v>
      </c>
      <c r="E2964">
        <v>63473.47265625</v>
      </c>
      <c r="F2964">
        <v>65777.2265625</v>
      </c>
      <c r="G2964">
        <v>65777.2265625</v>
      </c>
      <c r="H2964">
        <v>38315761670</v>
      </c>
      <c r="I2964" t="s">
        <v>6510</v>
      </c>
      <c r="J2964" t="s">
        <v>6511</v>
      </c>
      <c r="K2964" t="s">
        <v>4634</v>
      </c>
    </row>
    <row r="2965" spans="1:11" ht="20" customHeight="1">
      <c r="A2965" t="s">
        <v>26</v>
      </c>
      <c r="B2965" t="s">
        <v>2997</v>
      </c>
      <c r="C2965">
        <v>65771.8125</v>
      </c>
      <c r="D2965">
        <v>68207.6015625</v>
      </c>
      <c r="E2965">
        <v>65743.765625</v>
      </c>
      <c r="F2965">
        <v>67912.0625</v>
      </c>
      <c r="G2965">
        <v>67912.0625</v>
      </c>
      <c r="H2965">
        <v>30488630457</v>
      </c>
      <c r="I2965" t="s">
        <v>6511</v>
      </c>
      <c r="J2965" t="s">
        <v>6512</v>
      </c>
      <c r="K2965" t="s">
        <v>4634</v>
      </c>
    </row>
    <row r="2966" spans="1:11" ht="20" customHeight="1">
      <c r="A2966" t="s">
        <v>26</v>
      </c>
      <c r="B2966" t="s">
        <v>6513</v>
      </c>
      <c r="C2966">
        <v>67911.8125</v>
      </c>
      <c r="D2966">
        <v>69398.5078125</v>
      </c>
      <c r="E2966">
        <v>66705.21875</v>
      </c>
      <c r="F2966">
        <v>67813.3359375</v>
      </c>
      <c r="G2966">
        <v>67813.3359375</v>
      </c>
      <c r="H2966">
        <v>34691905492</v>
      </c>
      <c r="I2966" t="s">
        <v>6512</v>
      </c>
      <c r="J2966" t="s">
        <v>6514</v>
      </c>
      <c r="K2966" t="s">
        <v>4634</v>
      </c>
    </row>
    <row r="2967" spans="1:11" ht="20" customHeight="1">
      <c r="A2967" t="s">
        <v>26</v>
      </c>
      <c r="B2967" t="s">
        <v>6515</v>
      </c>
      <c r="C2967">
        <v>67808.65625</v>
      </c>
      <c r="D2967">
        <v>68301.8515625</v>
      </c>
      <c r="E2967">
        <v>67085.828125</v>
      </c>
      <c r="F2967">
        <v>68255.8671875</v>
      </c>
      <c r="G2967">
        <v>68255.8671875</v>
      </c>
      <c r="H2967">
        <v>18043166945</v>
      </c>
      <c r="I2967" t="s">
        <v>6514</v>
      </c>
      <c r="J2967" t="s">
        <v>6516</v>
      </c>
      <c r="K2967" t="s">
        <v>4634</v>
      </c>
    </row>
    <row r="2968" spans="1:11" ht="20" customHeight="1">
      <c r="A2968" t="s">
        <v>26</v>
      </c>
      <c r="B2968" t="s">
        <v>3000</v>
      </c>
      <c r="C2968">
        <v>68259.0546875</v>
      </c>
      <c r="D2968">
        <v>69987.5390625</v>
      </c>
      <c r="E2968">
        <v>66532.59375</v>
      </c>
      <c r="F2968">
        <v>66819.9140625</v>
      </c>
      <c r="G2968">
        <v>66819.9140625</v>
      </c>
      <c r="H2968">
        <v>40780682628</v>
      </c>
      <c r="I2968" t="s">
        <v>6516</v>
      </c>
      <c r="J2968" t="s">
        <v>6517</v>
      </c>
      <c r="K2968" t="s">
        <v>4634</v>
      </c>
    </row>
    <row r="2969" spans="1:11" ht="20" customHeight="1">
      <c r="A2969" t="s">
        <v>26</v>
      </c>
      <c r="B2969" t="s">
        <v>3003</v>
      </c>
      <c r="C2969">
        <v>66819.0546875</v>
      </c>
      <c r="D2969">
        <v>66987.671875</v>
      </c>
      <c r="E2969">
        <v>65323.19140625</v>
      </c>
      <c r="F2969">
        <v>66201.015625</v>
      </c>
      <c r="G2969">
        <v>66201.015625</v>
      </c>
      <c r="H2969">
        <v>31380492109</v>
      </c>
      <c r="I2969" t="s">
        <v>6517</v>
      </c>
      <c r="J2969" t="s">
        <v>6518</v>
      </c>
      <c r="K2969" t="s">
        <v>4634</v>
      </c>
    </row>
    <row r="2970" spans="1:11" ht="20" customHeight="1">
      <c r="A2970" t="s">
        <v>26</v>
      </c>
      <c r="B2970" t="s">
        <v>3006</v>
      </c>
      <c r="C2970">
        <v>66201.2734375</v>
      </c>
      <c r="D2970">
        <v>66810.2109375</v>
      </c>
      <c r="E2970">
        <v>64532.046875</v>
      </c>
      <c r="F2970">
        <v>64619.25</v>
      </c>
      <c r="G2970">
        <v>64619.25</v>
      </c>
      <c r="H2970">
        <v>31292785994</v>
      </c>
      <c r="I2970" t="s">
        <v>6518</v>
      </c>
      <c r="J2970" t="s">
        <v>6519</v>
      </c>
      <c r="K2970" t="s">
        <v>4634</v>
      </c>
    </row>
    <row r="2971" spans="1:11" ht="20" customHeight="1">
      <c r="A2971" t="s">
        <v>26</v>
      </c>
      <c r="B2971" t="s">
        <v>3009</v>
      </c>
      <c r="C2971">
        <v>64625.83984375</v>
      </c>
      <c r="D2971">
        <v>65593.2421875</v>
      </c>
      <c r="E2971">
        <v>62248.94140625</v>
      </c>
      <c r="F2971">
        <v>65357.5</v>
      </c>
      <c r="G2971">
        <v>65357.5</v>
      </c>
      <c r="H2971">
        <v>40975554494</v>
      </c>
      <c r="I2971" t="s">
        <v>6519</v>
      </c>
      <c r="J2971" t="s">
        <v>6520</v>
      </c>
      <c r="K2971" t="s">
        <v>4634</v>
      </c>
    </row>
    <row r="2972" spans="1:11" ht="20" customHeight="1">
      <c r="A2972" t="s">
        <v>26</v>
      </c>
      <c r="B2972" t="s">
        <v>3012</v>
      </c>
      <c r="C2972">
        <v>65353.5</v>
      </c>
      <c r="D2972">
        <v>65523.22265625</v>
      </c>
      <c r="E2972">
        <v>61184.89453125</v>
      </c>
      <c r="F2972">
        <v>61415.06640625</v>
      </c>
      <c r="G2972">
        <v>61415.06640625</v>
      </c>
      <c r="H2972">
        <v>43060875727</v>
      </c>
      <c r="I2972" t="s">
        <v>6520</v>
      </c>
      <c r="J2972" t="s">
        <v>6521</v>
      </c>
      <c r="K2972" t="s">
        <v>4634</v>
      </c>
    </row>
    <row r="2973" spans="1:11" ht="20" customHeight="1">
      <c r="A2973" t="s">
        <v>26</v>
      </c>
      <c r="B2973" t="s">
        <v>6522</v>
      </c>
      <c r="C2973">
        <v>61414.80859375</v>
      </c>
      <c r="D2973">
        <v>62148.37109375</v>
      </c>
      <c r="E2973">
        <v>59836.52734375</v>
      </c>
      <c r="F2973">
        <v>60680.09375</v>
      </c>
      <c r="G2973">
        <v>60680.09375</v>
      </c>
      <c r="H2973">
        <v>31753030589</v>
      </c>
      <c r="I2973" t="s">
        <v>6521</v>
      </c>
      <c r="J2973" t="s">
        <v>6523</v>
      </c>
      <c r="K2973" t="s">
        <v>4634</v>
      </c>
    </row>
    <row r="2974" spans="1:11" ht="20" customHeight="1">
      <c r="A2974" t="s">
        <v>26</v>
      </c>
      <c r="B2974" t="s">
        <v>6524</v>
      </c>
      <c r="C2974">
        <v>60676.09375</v>
      </c>
      <c r="D2974">
        <v>61062.98828125</v>
      </c>
      <c r="E2974">
        <v>57210.8046875</v>
      </c>
      <c r="F2974">
        <v>58116.9765625</v>
      </c>
      <c r="G2974">
        <v>58116.9765625</v>
      </c>
      <c r="H2974">
        <v>31758917219</v>
      </c>
      <c r="I2974" t="s">
        <v>6523</v>
      </c>
      <c r="J2974" t="s">
        <v>6525</v>
      </c>
      <c r="K2974" t="s">
        <v>4634</v>
      </c>
    </row>
    <row r="2975" spans="1:11" ht="20" customHeight="1">
      <c r="A2975" t="s">
        <v>26</v>
      </c>
      <c r="B2975" t="s">
        <v>3015</v>
      </c>
      <c r="C2975">
        <v>58110.296875</v>
      </c>
      <c r="D2975">
        <v>58268.828125</v>
      </c>
      <c r="E2975">
        <v>49121.23828125</v>
      </c>
      <c r="F2975">
        <v>53991.45703125</v>
      </c>
      <c r="G2975">
        <v>53991.45703125</v>
      </c>
      <c r="H2975">
        <v>108991085584</v>
      </c>
      <c r="I2975" t="s">
        <v>6525</v>
      </c>
      <c r="J2975" t="s">
        <v>6526</v>
      </c>
      <c r="K2975" t="s">
        <v>4634</v>
      </c>
    </row>
    <row r="2976" spans="1:11" ht="20" customHeight="1">
      <c r="A2976" t="s">
        <v>26</v>
      </c>
      <c r="B2976" t="s">
        <v>3018</v>
      </c>
      <c r="C2976">
        <v>53991.34765625</v>
      </c>
      <c r="D2976">
        <v>57059.91796875</v>
      </c>
      <c r="E2976">
        <v>53973.2734375</v>
      </c>
      <c r="F2976">
        <v>56034.31640625</v>
      </c>
      <c r="G2976">
        <v>56034.31640625</v>
      </c>
      <c r="H2976">
        <v>49300484106</v>
      </c>
      <c r="I2976" t="s">
        <v>6526</v>
      </c>
      <c r="J2976" t="s">
        <v>6527</v>
      </c>
      <c r="K2976" t="s">
        <v>4634</v>
      </c>
    </row>
    <row r="2977" spans="1:11" ht="20" customHeight="1">
      <c r="A2977" t="s">
        <v>26</v>
      </c>
      <c r="B2977" t="s">
        <v>3021</v>
      </c>
      <c r="C2977">
        <v>56040.6328125</v>
      </c>
      <c r="D2977">
        <v>57726.8828125</v>
      </c>
      <c r="E2977">
        <v>54620.5078125</v>
      </c>
      <c r="F2977">
        <v>55027.4609375</v>
      </c>
      <c r="G2977">
        <v>55027.4609375</v>
      </c>
      <c r="H2977">
        <v>41637562185</v>
      </c>
      <c r="I2977" t="s">
        <v>6527</v>
      </c>
      <c r="J2977" t="s">
        <v>6528</v>
      </c>
      <c r="K2977" t="s">
        <v>4634</v>
      </c>
    </row>
    <row r="2978" spans="1:11" ht="20" customHeight="1">
      <c r="A2978" t="s">
        <v>26</v>
      </c>
      <c r="B2978" t="s">
        <v>3024</v>
      </c>
      <c r="C2978">
        <v>55030.02734375</v>
      </c>
      <c r="D2978">
        <v>62673.765625</v>
      </c>
      <c r="E2978">
        <v>54766.7265625</v>
      </c>
      <c r="F2978">
        <v>61710.13671875</v>
      </c>
      <c r="G2978">
        <v>61710.13671875</v>
      </c>
      <c r="H2978">
        <v>45298472567</v>
      </c>
      <c r="I2978" t="s">
        <v>6528</v>
      </c>
      <c r="J2978" t="s">
        <v>6529</v>
      </c>
      <c r="K2978" t="s">
        <v>4634</v>
      </c>
    </row>
    <row r="2979" spans="1:11" ht="20" customHeight="1">
      <c r="A2979" t="s">
        <v>26</v>
      </c>
      <c r="B2979" t="s">
        <v>3027</v>
      </c>
      <c r="C2979">
        <v>61728.20703125</v>
      </c>
      <c r="D2979">
        <v>61751.86328125</v>
      </c>
      <c r="E2979">
        <v>59587.859375</v>
      </c>
      <c r="F2979">
        <v>60880.11328125</v>
      </c>
      <c r="G2979">
        <v>60880.11328125</v>
      </c>
      <c r="H2979">
        <v>33425553115</v>
      </c>
      <c r="I2979" t="s">
        <v>6529</v>
      </c>
      <c r="J2979" t="s">
        <v>6530</v>
      </c>
      <c r="K2979" t="s">
        <v>4634</v>
      </c>
    </row>
    <row r="2980" spans="1:11" ht="20" customHeight="1">
      <c r="A2980" t="s">
        <v>26</v>
      </c>
      <c r="B2980" t="s">
        <v>6531</v>
      </c>
      <c r="C2980">
        <v>60881.23046875</v>
      </c>
      <c r="D2980">
        <v>61464.51171875</v>
      </c>
      <c r="E2980">
        <v>60287.56640625</v>
      </c>
      <c r="F2980">
        <v>60945.8125</v>
      </c>
      <c r="G2980">
        <v>60945.8125</v>
      </c>
      <c r="H2980">
        <v>15745822278</v>
      </c>
      <c r="I2980" t="s">
        <v>6530</v>
      </c>
      <c r="J2980" t="s">
        <v>6532</v>
      </c>
      <c r="K2980" t="s">
        <v>4634</v>
      </c>
    </row>
    <row r="2981" spans="1:11" ht="20" customHeight="1">
      <c r="A2981" t="s">
        <v>26</v>
      </c>
      <c r="B2981" t="s">
        <v>6533</v>
      </c>
      <c r="C2981">
        <v>60944.890625</v>
      </c>
      <c r="D2981">
        <v>61778.66015625</v>
      </c>
      <c r="E2981">
        <v>58348.82421875</v>
      </c>
      <c r="F2981">
        <v>58719.484375</v>
      </c>
      <c r="G2981">
        <v>58719.484375</v>
      </c>
      <c r="H2981">
        <v>22759754812</v>
      </c>
      <c r="I2981" t="s">
        <v>6532</v>
      </c>
      <c r="J2981" t="s">
        <v>6534</v>
      </c>
      <c r="K2981" t="s">
        <v>4634</v>
      </c>
    </row>
    <row r="2982" spans="1:11" ht="20" customHeight="1">
      <c r="A2982" t="s">
        <v>26</v>
      </c>
      <c r="B2982" t="s">
        <v>3030</v>
      </c>
      <c r="C2982">
        <v>58719.39453125</v>
      </c>
      <c r="D2982">
        <v>60680.33203125</v>
      </c>
      <c r="E2982">
        <v>57688.8984375</v>
      </c>
      <c r="F2982">
        <v>59354.515625</v>
      </c>
      <c r="G2982">
        <v>59354.515625</v>
      </c>
      <c r="H2982">
        <v>37078637820</v>
      </c>
      <c r="I2982" t="s">
        <v>6534</v>
      </c>
      <c r="J2982" t="s">
        <v>6535</v>
      </c>
      <c r="K2982" t="s">
        <v>4634</v>
      </c>
    </row>
    <row r="2983" spans="1:11" ht="20" customHeight="1">
      <c r="A2983" t="s">
        <v>26</v>
      </c>
      <c r="B2983" t="s">
        <v>3033</v>
      </c>
      <c r="C2983">
        <v>59356.20703125</v>
      </c>
      <c r="D2983">
        <v>61572.3984375</v>
      </c>
      <c r="E2983">
        <v>58506.25390625</v>
      </c>
      <c r="F2983">
        <v>60609.56640625</v>
      </c>
      <c r="G2983">
        <v>60609.56640625</v>
      </c>
      <c r="H2983">
        <v>30327698167</v>
      </c>
      <c r="I2983" t="s">
        <v>6535</v>
      </c>
      <c r="J2983" t="s">
        <v>6536</v>
      </c>
      <c r="K2983" t="s">
        <v>4634</v>
      </c>
    </row>
    <row r="2984" spans="1:11" ht="20" customHeight="1">
      <c r="A2984" t="s">
        <v>26</v>
      </c>
      <c r="B2984" t="s">
        <v>3036</v>
      </c>
      <c r="C2984">
        <v>60611.05078125</v>
      </c>
      <c r="D2984">
        <v>61687.7578125</v>
      </c>
      <c r="E2984">
        <v>58472.875</v>
      </c>
      <c r="F2984">
        <v>58737.26953125</v>
      </c>
      <c r="G2984">
        <v>58737.26953125</v>
      </c>
      <c r="H2984">
        <v>29961696180</v>
      </c>
      <c r="I2984" t="s">
        <v>6536</v>
      </c>
      <c r="J2984" t="s">
        <v>6537</v>
      </c>
      <c r="K2984" t="s">
        <v>4634</v>
      </c>
    </row>
    <row r="2985" spans="1:11" ht="20" customHeight="1">
      <c r="A2985" t="s">
        <v>26</v>
      </c>
      <c r="B2985" t="s">
        <v>3039</v>
      </c>
      <c r="C2985">
        <v>58733.26171875</v>
      </c>
      <c r="D2985">
        <v>59838.6484375</v>
      </c>
      <c r="E2985">
        <v>56161.59375</v>
      </c>
      <c r="F2985">
        <v>57560.09765625</v>
      </c>
      <c r="G2985">
        <v>57560.09765625</v>
      </c>
      <c r="H2985">
        <v>35682112440</v>
      </c>
      <c r="I2985" t="s">
        <v>6537</v>
      </c>
      <c r="J2985" t="s">
        <v>6538</v>
      </c>
      <c r="K2985" t="s">
        <v>4634</v>
      </c>
    </row>
    <row r="2986" spans="1:11" ht="20" customHeight="1">
      <c r="A2986" t="s">
        <v>26</v>
      </c>
      <c r="B2986" t="s">
        <v>3042</v>
      </c>
      <c r="C2986">
        <v>57560.2734375</v>
      </c>
      <c r="D2986">
        <v>59847.359375</v>
      </c>
      <c r="E2986">
        <v>57110.01953125</v>
      </c>
      <c r="F2986">
        <v>58894.10546875</v>
      </c>
      <c r="G2986">
        <v>58894.10546875</v>
      </c>
      <c r="H2986">
        <v>29350938673</v>
      </c>
      <c r="I2986" t="s">
        <v>6538</v>
      </c>
      <c r="J2986" t="s">
        <v>6539</v>
      </c>
      <c r="K2986" t="s">
        <v>4634</v>
      </c>
    </row>
    <row r="2987" spans="1:11" ht="20" customHeight="1">
      <c r="A2987" t="s">
        <v>26</v>
      </c>
      <c r="B2987" t="s">
        <v>6540</v>
      </c>
      <c r="C2987">
        <v>58893.53125</v>
      </c>
      <c r="D2987">
        <v>59694.66796875</v>
      </c>
      <c r="E2987">
        <v>58814.83203125</v>
      </c>
      <c r="F2987">
        <v>59478.97265625</v>
      </c>
      <c r="G2987">
        <v>59478.97265625</v>
      </c>
      <c r="H2987">
        <v>13589684021</v>
      </c>
      <c r="I2987" t="s">
        <v>6539</v>
      </c>
      <c r="J2987" t="s">
        <v>6541</v>
      </c>
      <c r="K2987" t="s">
        <v>4634</v>
      </c>
    </row>
    <row r="2988" spans="1:11" ht="20" customHeight="1">
      <c r="A2988" t="s">
        <v>26</v>
      </c>
      <c r="B2988" t="s">
        <v>6542</v>
      </c>
      <c r="C2988">
        <v>59468.1328125</v>
      </c>
      <c r="D2988">
        <v>60262.71875</v>
      </c>
      <c r="E2988">
        <v>58445.40234375</v>
      </c>
      <c r="F2988">
        <v>58483.96484375</v>
      </c>
      <c r="G2988">
        <v>58483.96484375</v>
      </c>
      <c r="H2988">
        <v>17740625837</v>
      </c>
      <c r="I2988" t="s">
        <v>6541</v>
      </c>
      <c r="J2988" t="s">
        <v>6543</v>
      </c>
      <c r="K2988" t="s">
        <v>4634</v>
      </c>
    </row>
    <row r="2989" spans="1:11" ht="20" customHeight="1">
      <c r="A2989" t="s">
        <v>26</v>
      </c>
      <c r="B2989" t="s">
        <v>3045</v>
      </c>
      <c r="C2989">
        <v>58480.7109375</v>
      </c>
      <c r="D2989">
        <v>59612.66015625</v>
      </c>
      <c r="E2989">
        <v>57864.7109375</v>
      </c>
      <c r="F2989">
        <v>59493.453125</v>
      </c>
      <c r="G2989">
        <v>59493.453125</v>
      </c>
      <c r="H2989">
        <v>25911207712</v>
      </c>
      <c r="I2989" t="s">
        <v>6543</v>
      </c>
      <c r="J2989" t="s">
        <v>6544</v>
      </c>
      <c r="K2989" t="s">
        <v>4634</v>
      </c>
    </row>
    <row r="2990" spans="1:11" ht="20" customHeight="1">
      <c r="A2990" t="s">
        <v>26</v>
      </c>
      <c r="B2990" t="s">
        <v>3048</v>
      </c>
      <c r="C2990">
        <v>59493.453125</v>
      </c>
      <c r="D2990">
        <v>61396.328125</v>
      </c>
      <c r="E2990">
        <v>58610.8828125</v>
      </c>
      <c r="F2990">
        <v>59012.79296875</v>
      </c>
      <c r="G2990">
        <v>59012.79296875</v>
      </c>
      <c r="H2990">
        <v>31613400008</v>
      </c>
      <c r="I2990" t="s">
        <v>6544</v>
      </c>
      <c r="J2990" t="s">
        <v>6545</v>
      </c>
      <c r="K2990" t="s">
        <v>4634</v>
      </c>
    </row>
    <row r="2991" spans="1:11" ht="20" customHeight="1">
      <c r="A2991" t="s">
        <v>26</v>
      </c>
      <c r="B2991" t="s">
        <v>3051</v>
      </c>
      <c r="C2991">
        <v>59014.98828125</v>
      </c>
      <c r="D2991">
        <v>61834.3515625</v>
      </c>
      <c r="E2991">
        <v>58823.4453125</v>
      </c>
      <c r="F2991">
        <v>61175.19140625</v>
      </c>
      <c r="G2991">
        <v>61175.19140625</v>
      </c>
      <c r="H2991">
        <v>32731154072</v>
      </c>
      <c r="I2991" t="s">
        <v>6545</v>
      </c>
      <c r="J2991" t="s">
        <v>6546</v>
      </c>
      <c r="K2991" t="s">
        <v>4634</v>
      </c>
    </row>
    <row r="2992" spans="1:11" ht="20" customHeight="1">
      <c r="A2992" t="s">
        <v>26</v>
      </c>
      <c r="B2992" t="s">
        <v>3054</v>
      </c>
      <c r="C2992">
        <v>61168.31640625</v>
      </c>
      <c r="D2992">
        <v>61408.109375</v>
      </c>
      <c r="E2992">
        <v>59815.25390625</v>
      </c>
      <c r="F2992">
        <v>60381.9140625</v>
      </c>
      <c r="G2992">
        <v>60381.9140625</v>
      </c>
      <c r="H2992">
        <v>27625734377</v>
      </c>
      <c r="I2992" t="s">
        <v>6546</v>
      </c>
      <c r="J2992" t="s">
        <v>6547</v>
      </c>
      <c r="K2992" t="s">
        <v>4634</v>
      </c>
    </row>
    <row r="2993" spans="1:11" ht="20" customHeight="1">
      <c r="A2993" t="s">
        <v>26</v>
      </c>
      <c r="B2993" t="s">
        <v>3057</v>
      </c>
      <c r="C2993">
        <v>60380.953125</v>
      </c>
      <c r="D2993">
        <v>64947.0625</v>
      </c>
      <c r="E2993">
        <v>60372.05078125</v>
      </c>
      <c r="F2993">
        <v>64094.35546875</v>
      </c>
      <c r="G2993">
        <v>64094.35546875</v>
      </c>
      <c r="H2993">
        <v>42530509233</v>
      </c>
      <c r="I2993" t="s">
        <v>6547</v>
      </c>
      <c r="J2993" t="s">
        <v>6548</v>
      </c>
      <c r="K2993" t="s">
        <v>4634</v>
      </c>
    </row>
    <row r="2994" spans="1:11" ht="20" customHeight="1">
      <c r="A2994" t="s">
        <v>26</v>
      </c>
      <c r="B2994" t="s">
        <v>6549</v>
      </c>
      <c r="C2994">
        <v>64103.87109375</v>
      </c>
      <c r="D2994">
        <v>64513.7890625</v>
      </c>
      <c r="E2994">
        <v>63619.91796875</v>
      </c>
      <c r="F2994">
        <v>64178.9921875</v>
      </c>
      <c r="G2994">
        <v>64178.9921875</v>
      </c>
      <c r="H2994">
        <v>21430585163</v>
      </c>
      <c r="I2994" t="s">
        <v>6548</v>
      </c>
      <c r="J2994" t="s">
        <v>6550</v>
      </c>
      <c r="K2994" t="s">
        <v>4634</v>
      </c>
    </row>
    <row r="2995" spans="1:11" ht="20" customHeight="1">
      <c r="A2995" t="s">
        <v>26</v>
      </c>
      <c r="B2995" t="s">
        <v>6551</v>
      </c>
      <c r="C2995">
        <v>64176.3671875</v>
      </c>
      <c r="D2995">
        <v>64996.421875</v>
      </c>
      <c r="E2995">
        <v>63833.51953125</v>
      </c>
      <c r="F2995">
        <v>64333.54296875</v>
      </c>
      <c r="G2995">
        <v>64333.54296875</v>
      </c>
      <c r="H2995">
        <v>18827683555</v>
      </c>
      <c r="I2995" t="s">
        <v>6550</v>
      </c>
      <c r="J2995" t="s">
        <v>6552</v>
      </c>
      <c r="K2995" t="s">
        <v>4634</v>
      </c>
    </row>
    <row r="2996" spans="1:11" ht="20" customHeight="1">
      <c r="A2996" t="s">
        <v>26</v>
      </c>
      <c r="B2996" t="s">
        <v>3060</v>
      </c>
      <c r="C2996">
        <v>64342.2265625</v>
      </c>
      <c r="D2996">
        <v>64489.70703125</v>
      </c>
      <c r="E2996">
        <v>62849.55859375</v>
      </c>
      <c r="F2996">
        <v>62880.66015625</v>
      </c>
      <c r="G2996">
        <v>62880.66015625</v>
      </c>
      <c r="H2996">
        <v>27682040631</v>
      </c>
      <c r="I2996" t="s">
        <v>6552</v>
      </c>
      <c r="J2996" t="s">
        <v>6553</v>
      </c>
      <c r="K2996" t="s">
        <v>4634</v>
      </c>
    </row>
    <row r="2997" spans="1:11" ht="20" customHeight="1">
      <c r="A2997" t="s">
        <v>26</v>
      </c>
      <c r="B2997" t="s">
        <v>3063</v>
      </c>
      <c r="C2997">
        <v>62879.70703125</v>
      </c>
      <c r="D2997">
        <v>63210.796875</v>
      </c>
      <c r="E2997">
        <v>58116.75</v>
      </c>
      <c r="F2997">
        <v>59504.1328125</v>
      </c>
      <c r="G2997">
        <v>59504.1328125</v>
      </c>
      <c r="H2997">
        <v>39103882198</v>
      </c>
      <c r="I2997" t="s">
        <v>6553</v>
      </c>
      <c r="J2997" t="s">
        <v>6554</v>
      </c>
      <c r="K2997" t="s">
        <v>4634</v>
      </c>
    </row>
    <row r="2998" spans="1:11" ht="20" customHeight="1">
      <c r="A2998" t="s">
        <v>26</v>
      </c>
      <c r="B2998" t="s">
        <v>3066</v>
      </c>
      <c r="C2998">
        <v>59507.92578125</v>
      </c>
      <c r="D2998">
        <v>60236.44921875</v>
      </c>
      <c r="E2998">
        <v>57890.67578125</v>
      </c>
      <c r="F2998">
        <v>59027.625</v>
      </c>
      <c r="G2998">
        <v>59027.625</v>
      </c>
      <c r="H2998">
        <v>40289564698</v>
      </c>
      <c r="I2998" t="s">
        <v>6554</v>
      </c>
      <c r="J2998" t="s">
        <v>6555</v>
      </c>
      <c r="K2998" t="s">
        <v>4634</v>
      </c>
    </row>
    <row r="2999" spans="1:11" ht="20" customHeight="1">
      <c r="A2999" t="s">
        <v>26</v>
      </c>
      <c r="B2999" t="s">
        <v>3069</v>
      </c>
      <c r="C2999">
        <v>59027.46875</v>
      </c>
      <c r="D2999">
        <v>61184.08203125</v>
      </c>
      <c r="E2999">
        <v>58786.2265625</v>
      </c>
      <c r="F2999">
        <v>59388.1796875</v>
      </c>
      <c r="G2999">
        <v>59388.1796875</v>
      </c>
      <c r="H2999">
        <v>32224990582</v>
      </c>
      <c r="I2999" t="s">
        <v>6555</v>
      </c>
      <c r="J2999" t="s">
        <v>6556</v>
      </c>
      <c r="K2999" t="s">
        <v>4634</v>
      </c>
    </row>
    <row r="3000" spans="1:11" ht="20" customHeight="1">
      <c r="A3000" t="s">
        <v>26</v>
      </c>
      <c r="B3000" t="s">
        <v>3072</v>
      </c>
      <c r="C3000">
        <v>59388.6015625</v>
      </c>
      <c r="D3000">
        <v>59896.88671875</v>
      </c>
      <c r="E3000">
        <v>57768.53125</v>
      </c>
      <c r="F3000">
        <v>59119.4765625</v>
      </c>
      <c r="G3000">
        <v>59119.4765625</v>
      </c>
      <c r="H3000">
        <v>32292756405</v>
      </c>
      <c r="I3000" t="s">
        <v>6556</v>
      </c>
      <c r="J3000" t="s">
        <v>6557</v>
      </c>
      <c r="K3000" t="s">
        <v>4634</v>
      </c>
    </row>
    <row r="3001" spans="1:11" ht="20" customHeight="1">
      <c r="A3001" t="s">
        <v>26</v>
      </c>
      <c r="B3001" t="s">
        <v>6558</v>
      </c>
      <c r="C3001">
        <v>59117.48046875</v>
      </c>
      <c r="D3001">
        <v>59432.59375</v>
      </c>
      <c r="E3001">
        <v>58768.78515625</v>
      </c>
      <c r="F3001">
        <v>58969.8984375</v>
      </c>
      <c r="G3001">
        <v>58969.8984375</v>
      </c>
      <c r="H3001">
        <v>12403470760</v>
      </c>
      <c r="I3001" t="s">
        <v>6557</v>
      </c>
      <c r="J3001" t="s">
        <v>6559</v>
      </c>
      <c r="K3001" t="s">
        <v>4634</v>
      </c>
    </row>
    <row r="3002" spans="1:11" ht="20" customHeight="1">
      <c r="A3002" t="s">
        <v>26</v>
      </c>
      <c r="B3002" t="s">
        <v>6560</v>
      </c>
      <c r="C3002">
        <v>58969.80078125</v>
      </c>
      <c r="D3002">
        <v>59062.0703125</v>
      </c>
      <c r="E3002">
        <v>57217.82421875</v>
      </c>
      <c r="F3002">
        <v>57325.48828125</v>
      </c>
      <c r="G3002">
        <v>57325.48828125</v>
      </c>
      <c r="H3002">
        <v>24592449997</v>
      </c>
      <c r="I3002" t="s">
        <v>6559</v>
      </c>
      <c r="J3002" t="s">
        <v>6561</v>
      </c>
      <c r="K3002" t="s">
        <v>4634</v>
      </c>
    </row>
    <row r="3003" spans="1:11" ht="20" customHeight="1">
      <c r="A3003" t="s">
        <v>26</v>
      </c>
      <c r="B3003" t="s">
        <v>6562</v>
      </c>
      <c r="C3003">
        <v>57326.96875</v>
      </c>
      <c r="D3003">
        <v>59403.0703125</v>
      </c>
      <c r="E3003">
        <v>57136.02734375</v>
      </c>
      <c r="F3003">
        <v>59112.48046875</v>
      </c>
      <c r="G3003">
        <v>59112.48046875</v>
      </c>
      <c r="H3003">
        <v>27036454524</v>
      </c>
      <c r="I3003" t="s">
        <v>6561</v>
      </c>
      <c r="J3003" t="s">
        <v>6563</v>
      </c>
      <c r="K3003" t="s">
        <v>4634</v>
      </c>
    </row>
    <row r="3004" spans="1:11" ht="20" customHeight="1">
      <c r="A3004" t="s">
        <v>26</v>
      </c>
      <c r="B3004" t="s">
        <v>3075</v>
      </c>
      <c r="C3004">
        <v>59106.19140625</v>
      </c>
      <c r="D3004">
        <v>59815.05859375</v>
      </c>
      <c r="E3004">
        <v>57425.16796875</v>
      </c>
      <c r="F3004">
        <v>57431.0234375</v>
      </c>
      <c r="G3004">
        <v>57431.0234375</v>
      </c>
      <c r="H3004">
        <v>26666961053</v>
      </c>
      <c r="I3004" t="s">
        <v>6563</v>
      </c>
      <c r="J3004" t="s">
        <v>6564</v>
      </c>
      <c r="K3004" t="s">
        <v>4634</v>
      </c>
    </row>
    <row r="3005" spans="1:11" ht="20" customHeight="1">
      <c r="A3005" t="s">
        <v>26</v>
      </c>
      <c r="B3005" t="s">
        <v>3078</v>
      </c>
      <c r="C3005">
        <v>57430.34765625</v>
      </c>
      <c r="D3005">
        <v>58511.5703125</v>
      </c>
      <c r="E3005">
        <v>55673.1640625</v>
      </c>
      <c r="F3005">
        <v>57971.5390625</v>
      </c>
      <c r="G3005">
        <v>57971.5390625</v>
      </c>
      <c r="H3005">
        <v>35627680312</v>
      </c>
      <c r="I3005" t="s">
        <v>6564</v>
      </c>
      <c r="J3005" t="s">
        <v>6565</v>
      </c>
      <c r="K3005" t="s">
        <v>4634</v>
      </c>
    </row>
    <row r="3006" spans="1:11" ht="20" customHeight="1">
      <c r="A3006" t="s">
        <v>26</v>
      </c>
      <c r="B3006" t="s">
        <v>3081</v>
      </c>
      <c r="C3006">
        <v>57971.703125</v>
      </c>
      <c r="D3006">
        <v>58300.58203125</v>
      </c>
      <c r="E3006">
        <v>55712.453125</v>
      </c>
      <c r="F3006">
        <v>56160.48828125</v>
      </c>
      <c r="G3006">
        <v>56160.48828125</v>
      </c>
      <c r="H3006">
        <v>31030280656</v>
      </c>
      <c r="I3006" t="s">
        <v>6565</v>
      </c>
      <c r="J3006" t="s">
        <v>6566</v>
      </c>
      <c r="K3006" t="s">
        <v>4634</v>
      </c>
    </row>
    <row r="3007" spans="1:11" ht="20" customHeight="1">
      <c r="A3007" t="s">
        <v>26</v>
      </c>
      <c r="B3007" t="s">
        <v>3084</v>
      </c>
      <c r="C3007">
        <v>56160.19140625</v>
      </c>
      <c r="D3007">
        <v>56976.109375</v>
      </c>
      <c r="E3007">
        <v>52598.69921875</v>
      </c>
      <c r="F3007">
        <v>53948.75390625</v>
      </c>
      <c r="G3007">
        <v>53948.75390625</v>
      </c>
      <c r="H3007">
        <v>49361693566</v>
      </c>
      <c r="I3007" t="s">
        <v>6566</v>
      </c>
      <c r="J3007" t="s">
        <v>6567</v>
      </c>
      <c r="K3007" t="s">
        <v>4634</v>
      </c>
    </row>
    <row r="3008" spans="1:11" ht="20" customHeight="1">
      <c r="A3008" t="s">
        <v>26</v>
      </c>
      <c r="B3008" t="s">
        <v>6568</v>
      </c>
      <c r="C3008">
        <v>53949.0859375</v>
      </c>
      <c r="D3008">
        <v>54838.14453125</v>
      </c>
      <c r="E3008">
        <v>53740.0703125</v>
      </c>
      <c r="F3008">
        <v>54139.6875</v>
      </c>
      <c r="G3008">
        <v>54139.6875</v>
      </c>
      <c r="H3008">
        <v>19061486526</v>
      </c>
      <c r="I3008" t="s">
        <v>6567</v>
      </c>
      <c r="J3008" t="s">
        <v>6569</v>
      </c>
      <c r="K3008" t="s">
        <v>4634</v>
      </c>
    </row>
    <row r="3009" spans="1:11" ht="20" customHeight="1">
      <c r="A3009" t="s">
        <v>26</v>
      </c>
      <c r="B3009" t="s">
        <v>6570</v>
      </c>
      <c r="C3009">
        <v>54147.93359375</v>
      </c>
      <c r="D3009">
        <v>55300.859375</v>
      </c>
      <c r="E3009">
        <v>53653.7578125</v>
      </c>
      <c r="F3009">
        <v>54841.56640625</v>
      </c>
      <c r="G3009">
        <v>54841.56640625</v>
      </c>
      <c r="H3009">
        <v>18268287531</v>
      </c>
      <c r="I3009" t="s">
        <v>6569</v>
      </c>
      <c r="J3009" t="s">
        <v>6571</v>
      </c>
      <c r="K3009" t="s">
        <v>4634</v>
      </c>
    </row>
    <row r="3010" spans="1:11" ht="20" customHeight="1">
      <c r="A3010" t="s">
        <v>26</v>
      </c>
      <c r="B3010" t="s">
        <v>3087</v>
      </c>
      <c r="C3010">
        <v>54851.88671875</v>
      </c>
      <c r="D3010">
        <v>58041.125</v>
      </c>
      <c r="E3010">
        <v>54598.43359375</v>
      </c>
      <c r="F3010">
        <v>57019.53515625</v>
      </c>
      <c r="G3010">
        <v>57019.53515625</v>
      </c>
      <c r="H3010">
        <v>34618096173</v>
      </c>
      <c r="I3010" t="s">
        <v>6571</v>
      </c>
      <c r="J3010" t="s">
        <v>6572</v>
      </c>
      <c r="K3010" t="s">
        <v>4634</v>
      </c>
    </row>
    <row r="3011" spans="1:11" ht="20" customHeight="1">
      <c r="A3011" t="s">
        <v>26</v>
      </c>
      <c r="B3011" t="s">
        <v>3090</v>
      </c>
      <c r="C3011">
        <v>57020.09765625</v>
      </c>
      <c r="D3011">
        <v>58029.9765625</v>
      </c>
      <c r="E3011">
        <v>56419.4140625</v>
      </c>
      <c r="F3011">
        <v>57648.7109375</v>
      </c>
      <c r="G3011">
        <v>57648.7109375</v>
      </c>
      <c r="H3011">
        <v>28857630507</v>
      </c>
      <c r="I3011" t="s">
        <v>6572</v>
      </c>
      <c r="J3011" t="s">
        <v>6573</v>
      </c>
      <c r="K3011" t="s">
        <v>4634</v>
      </c>
    </row>
    <row r="3012" spans="1:11" ht="20" customHeight="1">
      <c r="A3012" t="s">
        <v>26</v>
      </c>
      <c r="B3012" t="s">
        <v>3093</v>
      </c>
      <c r="C3012">
        <v>57650.2890625</v>
      </c>
      <c r="D3012">
        <v>57991.3203125</v>
      </c>
      <c r="E3012">
        <v>55567.33984375</v>
      </c>
      <c r="F3012">
        <v>57343.171875</v>
      </c>
      <c r="G3012">
        <v>57343.171875</v>
      </c>
      <c r="H3012">
        <v>37049062672</v>
      </c>
      <c r="I3012" t="s">
        <v>6573</v>
      </c>
      <c r="J3012" t="s">
        <v>6574</v>
      </c>
      <c r="K3012" t="s">
        <v>4634</v>
      </c>
    </row>
    <row r="3013" spans="1:11" ht="20" customHeight="1">
      <c r="A3013" t="s">
        <v>26</v>
      </c>
      <c r="B3013" t="s">
        <v>3096</v>
      </c>
      <c r="C3013">
        <v>57343.171875</v>
      </c>
      <c r="D3013">
        <v>58534.359375</v>
      </c>
      <c r="E3013">
        <v>57330.1015625</v>
      </c>
      <c r="F3013">
        <v>58127.01171875</v>
      </c>
      <c r="G3013">
        <v>58127.01171875</v>
      </c>
      <c r="H3013">
        <v>33835707949</v>
      </c>
      <c r="I3013" t="s">
        <v>6574</v>
      </c>
      <c r="J3013" t="s">
        <v>6575</v>
      </c>
      <c r="K3013" t="s">
        <v>4634</v>
      </c>
    </row>
    <row r="3014" spans="1:11" ht="20" customHeight="1">
      <c r="A3014" t="s">
        <v>26</v>
      </c>
      <c r="B3014" t="s">
        <v>3099</v>
      </c>
      <c r="C3014">
        <v>58130.32421875</v>
      </c>
      <c r="D3014">
        <v>60648.0234375</v>
      </c>
      <c r="E3014">
        <v>57650.11328125</v>
      </c>
      <c r="F3014">
        <v>60571.30078125</v>
      </c>
      <c r="G3014">
        <v>60571.30078125</v>
      </c>
      <c r="H3014">
        <v>32490528356</v>
      </c>
      <c r="I3014" t="s">
        <v>6575</v>
      </c>
      <c r="J3014" t="s">
        <v>6576</v>
      </c>
      <c r="K3014" t="s">
        <v>4634</v>
      </c>
    </row>
    <row r="3015" spans="1:11" ht="20" customHeight="1">
      <c r="A3015" t="s">
        <v>26</v>
      </c>
      <c r="B3015" t="s">
        <v>6577</v>
      </c>
      <c r="C3015">
        <v>60569.1171875</v>
      </c>
      <c r="D3015">
        <v>60656.72265625</v>
      </c>
      <c r="E3015">
        <v>59517.8828125</v>
      </c>
      <c r="F3015">
        <v>60005.12109375</v>
      </c>
      <c r="G3015">
        <v>60005.12109375</v>
      </c>
      <c r="H3015">
        <v>16428405496</v>
      </c>
      <c r="I3015" t="s">
        <v>6576</v>
      </c>
      <c r="J3015" t="s">
        <v>6578</v>
      </c>
      <c r="K3015" t="s">
        <v>4634</v>
      </c>
    </row>
    <row r="3016" spans="1:11" ht="20" customHeight="1">
      <c r="A3016" t="s">
        <v>26</v>
      </c>
      <c r="B3016" t="s">
        <v>6579</v>
      </c>
      <c r="C3016">
        <v>60000.7265625</v>
      </c>
      <c r="D3016">
        <v>60381.91796875</v>
      </c>
      <c r="E3016">
        <v>58696.30859375</v>
      </c>
      <c r="F3016">
        <v>59182.8359375</v>
      </c>
      <c r="G3016">
        <v>59182.8359375</v>
      </c>
      <c r="H3016">
        <v>18120960867</v>
      </c>
      <c r="I3016" t="s">
        <v>6578</v>
      </c>
      <c r="J3016" t="s">
        <v>6580</v>
      </c>
      <c r="K3016" t="s">
        <v>4634</v>
      </c>
    </row>
    <row r="3017" spans="1:11" ht="20" customHeight="1">
      <c r="A3017" t="s">
        <v>26</v>
      </c>
      <c r="B3017" t="s">
        <v>3102</v>
      </c>
      <c r="C3017">
        <v>59185.2265625</v>
      </c>
      <c r="D3017">
        <v>59205.51171875</v>
      </c>
      <c r="E3017">
        <v>57501.33984375</v>
      </c>
      <c r="F3017">
        <v>58192.5078125</v>
      </c>
      <c r="G3017">
        <v>58192.5078125</v>
      </c>
      <c r="H3017">
        <v>32032822113</v>
      </c>
      <c r="I3017" t="s">
        <v>6580</v>
      </c>
      <c r="J3017" t="s">
        <v>6581</v>
      </c>
      <c r="K3017" t="s">
        <v>4634</v>
      </c>
    </row>
    <row r="3018" spans="1:11" ht="20" customHeight="1">
      <c r="A3018" t="s">
        <v>26</v>
      </c>
      <c r="B3018" t="s">
        <v>3105</v>
      </c>
      <c r="C3018">
        <v>58192.5078125</v>
      </c>
      <c r="D3018">
        <v>61316.08984375</v>
      </c>
      <c r="E3018">
        <v>57628.0703125</v>
      </c>
      <c r="F3018">
        <v>60308.5390625</v>
      </c>
      <c r="G3018">
        <v>60308.5390625</v>
      </c>
      <c r="H3018">
        <v>38075570118</v>
      </c>
      <c r="I3018" t="s">
        <v>6581</v>
      </c>
      <c r="J3018" t="s">
        <v>6582</v>
      </c>
      <c r="K3018" t="s">
        <v>4634</v>
      </c>
    </row>
    <row r="3019" spans="1:11" ht="20" customHeight="1">
      <c r="A3019" t="s">
        <v>26</v>
      </c>
      <c r="B3019" t="s">
        <v>3108</v>
      </c>
      <c r="C3019">
        <v>60309</v>
      </c>
      <c r="D3019">
        <v>61664.06640625</v>
      </c>
      <c r="E3019">
        <v>59218.25390625</v>
      </c>
      <c r="F3019">
        <v>61649.6796875</v>
      </c>
      <c r="G3019">
        <v>61649.6796875</v>
      </c>
      <c r="H3019">
        <v>40990702891</v>
      </c>
      <c r="I3019" t="s">
        <v>6582</v>
      </c>
      <c r="J3019" t="s">
        <v>6583</v>
      </c>
      <c r="K3019" t="s">
        <v>4634</v>
      </c>
    </row>
    <row r="3020" spans="1:11" ht="20" customHeight="1">
      <c r="A3020" t="s">
        <v>26</v>
      </c>
      <c r="B3020" t="s">
        <v>3111</v>
      </c>
      <c r="C3020">
        <v>61651.15625</v>
      </c>
      <c r="D3020">
        <v>63872.44140625</v>
      </c>
      <c r="E3020">
        <v>61609.8671875</v>
      </c>
      <c r="F3020">
        <v>62940.45703125</v>
      </c>
      <c r="G3020">
        <v>62940.45703125</v>
      </c>
      <c r="H3020">
        <v>42710252573</v>
      </c>
      <c r="I3020" t="s">
        <v>6583</v>
      </c>
      <c r="J3020" t="s">
        <v>6584</v>
      </c>
      <c r="K3020" t="s">
        <v>4634</v>
      </c>
    </row>
    <row r="3021" spans="1:11" ht="20" customHeight="1">
      <c r="A3021" t="s">
        <v>26</v>
      </c>
      <c r="B3021" t="s">
        <v>3114</v>
      </c>
      <c r="C3021">
        <v>62941.42578125</v>
      </c>
      <c r="D3021">
        <v>64119.53125</v>
      </c>
      <c r="E3021">
        <v>62364.60546875</v>
      </c>
      <c r="F3021">
        <v>63192.9765625</v>
      </c>
      <c r="G3021">
        <v>63192.9765625</v>
      </c>
      <c r="H3021">
        <v>35177164222</v>
      </c>
      <c r="I3021" t="s">
        <v>6584</v>
      </c>
      <c r="J3021" t="s">
        <v>6585</v>
      </c>
      <c r="K3021" t="s">
        <v>4634</v>
      </c>
    </row>
    <row r="3022" spans="1:11" ht="20" customHeight="1">
      <c r="A3022" t="s">
        <v>26</v>
      </c>
      <c r="B3022" t="s">
        <v>6586</v>
      </c>
      <c r="C3022">
        <v>63184.33984375</v>
      </c>
      <c r="D3022">
        <v>63543.359375</v>
      </c>
      <c r="E3022">
        <v>62783.10546875</v>
      </c>
      <c r="F3022">
        <v>63394.83984375</v>
      </c>
      <c r="G3022">
        <v>63394.83984375</v>
      </c>
      <c r="H3022">
        <v>14408616220</v>
      </c>
      <c r="I3022" t="s">
        <v>6585</v>
      </c>
      <c r="J3022" t="s">
        <v>6587</v>
      </c>
      <c r="K3022" t="s">
        <v>4634</v>
      </c>
    </row>
    <row r="3023" spans="1:11" ht="20" customHeight="1">
      <c r="A3023" t="s">
        <v>26</v>
      </c>
      <c r="B3023" t="s">
        <v>6588</v>
      </c>
      <c r="C3023">
        <v>63396.8046875</v>
      </c>
      <c r="D3023">
        <v>63993.421875</v>
      </c>
      <c r="E3023">
        <v>62440.7265625</v>
      </c>
      <c r="F3023">
        <v>63648.7109375</v>
      </c>
      <c r="G3023">
        <v>63648.7109375</v>
      </c>
      <c r="H3023">
        <v>20183348802</v>
      </c>
      <c r="I3023" t="s">
        <v>6587</v>
      </c>
      <c r="J3023" t="s">
        <v>6589</v>
      </c>
      <c r="K3023" t="s">
        <v>4634</v>
      </c>
    </row>
    <row r="3024" spans="1:11" ht="20" customHeight="1">
      <c r="A3024" t="s">
        <v>26</v>
      </c>
      <c r="B3024" t="s">
        <v>3117</v>
      </c>
      <c r="C3024">
        <v>63643.1015625</v>
      </c>
      <c r="D3024">
        <v>64733.55859375</v>
      </c>
      <c r="E3024">
        <v>62628.078125</v>
      </c>
      <c r="F3024">
        <v>63329.80078125</v>
      </c>
      <c r="G3024">
        <v>63329.80078125</v>
      </c>
      <c r="H3024">
        <v>31400285425</v>
      </c>
      <c r="I3024" t="s">
        <v>6589</v>
      </c>
      <c r="J3024" t="s">
        <v>6590</v>
      </c>
      <c r="K3024" t="s">
        <v>4634</v>
      </c>
    </row>
    <row r="3025" spans="1:11" ht="20" customHeight="1">
      <c r="A3025" t="s">
        <v>26</v>
      </c>
      <c r="B3025" t="s">
        <v>3120</v>
      </c>
      <c r="C3025">
        <v>63326.83984375</v>
      </c>
      <c r="D3025">
        <v>64695.21484375</v>
      </c>
      <c r="E3025">
        <v>62737.41796875</v>
      </c>
      <c r="F3025">
        <v>64301.96875</v>
      </c>
      <c r="G3025">
        <v>64301.96875</v>
      </c>
      <c r="H3025">
        <v>29938335243</v>
      </c>
      <c r="I3025" t="s">
        <v>6590</v>
      </c>
      <c r="J3025" t="s">
        <v>6591</v>
      </c>
      <c r="K3025" t="s">
        <v>4634</v>
      </c>
    </row>
    <row r="3026" spans="1:11" ht="20" customHeight="1">
      <c r="A3026" t="s">
        <v>26</v>
      </c>
      <c r="B3026" t="s">
        <v>3123</v>
      </c>
      <c r="C3026">
        <v>64302.58984375</v>
      </c>
      <c r="D3026">
        <v>64804.50390625</v>
      </c>
      <c r="E3026">
        <v>62945.375</v>
      </c>
      <c r="F3026">
        <v>63143.14453125</v>
      </c>
      <c r="G3026">
        <v>63143.14453125</v>
      </c>
      <c r="H3026">
        <v>25078377700</v>
      </c>
      <c r="I3026" t="s">
        <v>6591</v>
      </c>
      <c r="J3026" t="s">
        <v>6592</v>
      </c>
      <c r="K3026" t="s">
        <v>4634</v>
      </c>
    </row>
    <row r="3027" spans="1:11" ht="20" customHeight="1">
      <c r="A3027" t="s">
        <v>26</v>
      </c>
      <c r="B3027" t="s">
        <v>3126</v>
      </c>
      <c r="C3027">
        <v>63138.546875</v>
      </c>
      <c r="D3027">
        <v>65790.796875</v>
      </c>
      <c r="E3027">
        <v>62669.26953125</v>
      </c>
      <c r="F3027">
        <v>65181.01953125</v>
      </c>
      <c r="G3027">
        <v>65181.01953125</v>
      </c>
      <c r="H3027">
        <v>36873129847</v>
      </c>
      <c r="I3027" t="s">
        <v>6592</v>
      </c>
      <c r="J3027" t="s">
        <v>6593</v>
      </c>
      <c r="K3027" t="s">
        <v>4634</v>
      </c>
    </row>
    <row r="3028" spans="1:11" ht="20" customHeight="1">
      <c r="A3028" t="s">
        <v>26</v>
      </c>
      <c r="B3028" t="s">
        <v>3129</v>
      </c>
      <c r="C3028">
        <v>65180.6640625</v>
      </c>
      <c r="D3028">
        <v>66480.6953125</v>
      </c>
      <c r="E3028">
        <v>64852.9921875</v>
      </c>
      <c r="F3028">
        <v>65790.6640625</v>
      </c>
      <c r="G3028">
        <v>65790.6640625</v>
      </c>
      <c r="H3028">
        <v>32058813449</v>
      </c>
      <c r="I3028" t="s">
        <v>6593</v>
      </c>
      <c r="J3028" t="s">
        <v>6594</v>
      </c>
      <c r="K3028" t="s">
        <v>4634</v>
      </c>
    </row>
    <row r="3029" spans="1:11" ht="20" customHeight="1">
      <c r="A3029" t="s">
        <v>26</v>
      </c>
      <c r="B3029" t="s">
        <v>6595</v>
      </c>
      <c r="C3029">
        <v>65792.1796875</v>
      </c>
      <c r="D3029">
        <v>66255.53125</v>
      </c>
      <c r="E3029">
        <v>65458.03515625</v>
      </c>
      <c r="F3029">
        <v>65887.6484375</v>
      </c>
      <c r="G3029">
        <v>65887.6484375</v>
      </c>
      <c r="H3029">
        <v>15243637984</v>
      </c>
      <c r="I3029" t="s">
        <v>6594</v>
      </c>
      <c r="J3029" t="s">
        <v>6596</v>
      </c>
      <c r="K3029" t="s">
        <v>4634</v>
      </c>
    </row>
    <row r="3030" spans="1:11" ht="20" customHeight="1">
      <c r="A3030" t="s">
        <v>26</v>
      </c>
      <c r="B3030" t="s">
        <v>6597</v>
      </c>
      <c r="C3030">
        <v>65888.8984375</v>
      </c>
      <c r="D3030">
        <v>66069.34375</v>
      </c>
      <c r="E3030">
        <v>65450.015625</v>
      </c>
      <c r="F3030">
        <v>65635.3046875</v>
      </c>
      <c r="G3030">
        <v>65635.3046875</v>
      </c>
      <c r="H3030">
        <v>14788214575</v>
      </c>
      <c r="I3030" t="s">
        <v>6596</v>
      </c>
      <c r="J3030" t="s">
        <v>6598</v>
      </c>
      <c r="K3030" t="s">
        <v>4634</v>
      </c>
    </row>
    <row r="3031" spans="1:11" ht="20" customHeight="1">
      <c r="A3031" t="s">
        <v>26</v>
      </c>
      <c r="B3031" t="s">
        <v>3132</v>
      </c>
      <c r="C3031">
        <v>65634.65625</v>
      </c>
      <c r="D3031">
        <v>65635.0546875</v>
      </c>
      <c r="E3031">
        <v>62873.6171875</v>
      </c>
      <c r="F3031">
        <v>63329.5</v>
      </c>
      <c r="G3031">
        <v>63329.5</v>
      </c>
      <c r="H3031">
        <v>37112957475</v>
      </c>
      <c r="I3031" t="s">
        <v>6598</v>
      </c>
      <c r="J3031" t="s">
        <v>6599</v>
      </c>
      <c r="K3031" t="s">
        <v>4634</v>
      </c>
    </row>
    <row r="3032" spans="1:11" ht="20" customHeight="1">
      <c r="A3032" t="s">
        <v>26</v>
      </c>
      <c r="B3032" t="s">
        <v>3135</v>
      </c>
      <c r="C3032">
        <v>63335.60546875</v>
      </c>
      <c r="D3032">
        <v>64110.98046875</v>
      </c>
      <c r="E3032">
        <v>60189.27734375</v>
      </c>
      <c r="F3032">
        <v>60837.0078125</v>
      </c>
      <c r="G3032">
        <v>60837.0078125</v>
      </c>
      <c r="H3032">
        <v>50220923500</v>
      </c>
      <c r="I3032" t="s">
        <v>6599</v>
      </c>
      <c r="J3032" t="s">
        <v>6600</v>
      </c>
      <c r="K3032" t="s">
        <v>4634</v>
      </c>
    </row>
    <row r="3033" spans="1:11" ht="20" customHeight="1">
      <c r="A3033" t="s">
        <v>26</v>
      </c>
      <c r="B3033" t="s">
        <v>3138</v>
      </c>
      <c r="C3033">
        <v>60836.32421875</v>
      </c>
      <c r="D3033">
        <v>62357.6875</v>
      </c>
      <c r="E3033">
        <v>59996.94921875</v>
      </c>
      <c r="F3033">
        <v>60632.78515625</v>
      </c>
      <c r="G3033">
        <v>60632.78515625</v>
      </c>
      <c r="H3033">
        <v>40762722398</v>
      </c>
      <c r="I3033" t="s">
        <v>6600</v>
      </c>
      <c r="J3033" t="s">
        <v>6601</v>
      </c>
      <c r="K3033" t="s">
        <v>4634</v>
      </c>
    </row>
    <row r="3034" spans="1:11" ht="20" customHeight="1">
      <c r="A3034" t="s">
        <v>26</v>
      </c>
      <c r="B3034" t="s">
        <v>3141</v>
      </c>
      <c r="C3034">
        <v>60632.484375</v>
      </c>
      <c r="D3034">
        <v>61469.0390625</v>
      </c>
      <c r="E3034">
        <v>59878.8046875</v>
      </c>
      <c r="F3034">
        <v>60759.40234375</v>
      </c>
      <c r="G3034">
        <v>60759.40234375</v>
      </c>
      <c r="H3034">
        <v>36106447279</v>
      </c>
      <c r="I3034" t="s">
        <v>6601</v>
      </c>
      <c r="J3034" t="s">
        <v>6602</v>
      </c>
      <c r="K3034" t="s">
        <v>4634</v>
      </c>
    </row>
    <row r="3035" spans="1:11" ht="20" customHeight="1">
      <c r="A3035" t="s">
        <v>26</v>
      </c>
      <c r="B3035" t="s">
        <v>3144</v>
      </c>
      <c r="C3035">
        <v>60754.625</v>
      </c>
      <c r="D3035">
        <v>62465.9921875</v>
      </c>
      <c r="E3035">
        <v>60459.94140625</v>
      </c>
      <c r="F3035">
        <v>62067.4765625</v>
      </c>
      <c r="G3035">
        <v>62067.4765625</v>
      </c>
      <c r="H3035">
        <v>29585472513</v>
      </c>
      <c r="I3035" t="s">
        <v>6602</v>
      </c>
      <c r="J3035" t="s">
        <v>6603</v>
      </c>
      <c r="K3035" t="s">
        <v>4634</v>
      </c>
    </row>
    <row r="3036" spans="1:11" ht="20" customHeight="1">
      <c r="A3036" t="s">
        <v>26</v>
      </c>
      <c r="B3036" t="s">
        <v>6604</v>
      </c>
      <c r="C3036">
        <v>62067.609375</v>
      </c>
      <c r="D3036">
        <v>62371.0234375</v>
      </c>
      <c r="E3036">
        <v>61689.58203125</v>
      </c>
      <c r="F3036">
        <v>62089.94921875</v>
      </c>
      <c r="G3036">
        <v>62089.94921875</v>
      </c>
      <c r="H3036">
        <v>13305410749</v>
      </c>
      <c r="I3036" t="s">
        <v>6603</v>
      </c>
      <c r="J3036" t="s">
        <v>6605</v>
      </c>
      <c r="K3036" t="s">
        <v>4634</v>
      </c>
    </row>
    <row r="3037" spans="1:11" ht="20" customHeight="1">
      <c r="A3037" t="s">
        <v>26</v>
      </c>
      <c r="B3037" t="s">
        <v>6606</v>
      </c>
      <c r="C3037">
        <v>62084.98828125</v>
      </c>
      <c r="D3037">
        <v>62959.5703125</v>
      </c>
      <c r="E3037">
        <v>61833.1484375</v>
      </c>
      <c r="F3037">
        <v>62818.953125</v>
      </c>
      <c r="G3037">
        <v>62818.953125</v>
      </c>
      <c r="H3037">
        <v>14776233667</v>
      </c>
      <c r="I3037" t="s">
        <v>6605</v>
      </c>
      <c r="J3037" t="s">
        <v>6607</v>
      </c>
      <c r="K3037" t="s">
        <v>4634</v>
      </c>
    </row>
    <row r="3038" spans="1:11" ht="20" customHeight="1">
      <c r="A3038" t="s">
        <v>26</v>
      </c>
      <c r="B3038" t="s">
        <v>3147</v>
      </c>
      <c r="C3038">
        <v>62819.109375</v>
      </c>
      <c r="D3038">
        <v>64443.70703125</v>
      </c>
      <c r="E3038">
        <v>62152.55078125</v>
      </c>
      <c r="F3038">
        <v>62236.66015625</v>
      </c>
      <c r="G3038">
        <v>62236.66015625</v>
      </c>
      <c r="H3038">
        <v>34253562610</v>
      </c>
      <c r="I3038" t="s">
        <v>6607</v>
      </c>
      <c r="J3038" t="s">
        <v>6608</v>
      </c>
      <c r="K3038" t="s">
        <v>4634</v>
      </c>
    </row>
    <row r="3039" spans="1:11" ht="20" customHeight="1">
      <c r="A3039" t="s">
        <v>26</v>
      </c>
      <c r="B3039" t="s">
        <v>3150</v>
      </c>
      <c r="C3039">
        <v>62221.64453125</v>
      </c>
      <c r="D3039">
        <v>63174.3046875</v>
      </c>
      <c r="E3039">
        <v>61843.5625</v>
      </c>
      <c r="F3039">
        <v>62131.96875</v>
      </c>
      <c r="G3039">
        <v>62131.96875</v>
      </c>
      <c r="H3039">
        <v>28134475157</v>
      </c>
      <c r="I3039" t="s">
        <v>6608</v>
      </c>
      <c r="J3039" t="s">
        <v>6609</v>
      </c>
      <c r="K3039" t="s">
        <v>4634</v>
      </c>
    </row>
    <row r="3040" spans="1:11" ht="20" customHeight="1">
      <c r="A3040" t="s">
        <v>26</v>
      </c>
      <c r="B3040" t="s">
        <v>3153</v>
      </c>
      <c r="C3040">
        <v>62131.7265625</v>
      </c>
      <c r="D3040">
        <v>62508.8359375</v>
      </c>
      <c r="E3040">
        <v>60314.61328125</v>
      </c>
      <c r="F3040">
        <v>60582.1015625</v>
      </c>
      <c r="G3040">
        <v>60582.1015625</v>
      </c>
      <c r="H3040">
        <v>27670982363</v>
      </c>
      <c r="I3040" t="s">
        <v>6609</v>
      </c>
      <c r="J3040" t="s">
        <v>6610</v>
      </c>
      <c r="K3040" t="s">
        <v>4634</v>
      </c>
    </row>
    <row r="3041" spans="1:11" ht="20" customHeight="1">
      <c r="A3041" t="s">
        <v>26</v>
      </c>
      <c r="B3041" t="s">
        <v>3156</v>
      </c>
      <c r="C3041">
        <v>60581.9296875</v>
      </c>
      <c r="D3041">
        <v>61236.72265625</v>
      </c>
      <c r="E3041">
        <v>58895.20703125</v>
      </c>
      <c r="F3041">
        <v>60274.5</v>
      </c>
      <c r="G3041">
        <v>60274.5</v>
      </c>
      <c r="H3041">
        <v>30452813570</v>
      </c>
      <c r="I3041" t="s">
        <v>6610</v>
      </c>
      <c r="J3041" t="s">
        <v>6611</v>
      </c>
      <c r="K3041" t="s">
        <v>4634</v>
      </c>
    </row>
    <row r="3042" spans="1:11" ht="20" customHeight="1">
      <c r="A3042" t="s">
        <v>26</v>
      </c>
      <c r="B3042" t="s">
        <v>3159</v>
      </c>
      <c r="C3042">
        <v>60275.4609375</v>
      </c>
      <c r="D3042">
        <v>63400.87109375</v>
      </c>
      <c r="E3042">
        <v>60046.125</v>
      </c>
      <c r="F3042">
        <v>62445.08984375</v>
      </c>
      <c r="G3042">
        <v>62445.08984375</v>
      </c>
      <c r="H3042">
        <v>30327141594</v>
      </c>
      <c r="I3042" t="s">
        <v>6611</v>
      </c>
      <c r="J3042" t="s">
        <v>6612</v>
      </c>
      <c r="K3042" t="s">
        <v>4634</v>
      </c>
    </row>
    <row r="3043" spans="1:11" ht="20" customHeight="1">
      <c r="A3043" t="s">
        <v>26</v>
      </c>
      <c r="B3043" t="s">
        <v>6613</v>
      </c>
      <c r="C3043">
        <v>62444.6171875</v>
      </c>
      <c r="D3043">
        <v>63448.78515625</v>
      </c>
      <c r="E3043">
        <v>62443.26953125</v>
      </c>
      <c r="F3043">
        <v>63193.0234375</v>
      </c>
      <c r="G3043">
        <v>63193.0234375</v>
      </c>
      <c r="H3043">
        <v>16744110886</v>
      </c>
      <c r="I3043" t="s">
        <v>6612</v>
      </c>
      <c r="J3043" t="s">
        <v>6614</v>
      </c>
      <c r="K3043" t="s">
        <v>4634</v>
      </c>
    </row>
    <row r="3044" spans="1:11" ht="20" customHeight="1">
      <c r="A3044" t="s">
        <v>26</v>
      </c>
      <c r="B3044" t="s">
        <v>6615</v>
      </c>
      <c r="C3044">
        <v>63192.9453125</v>
      </c>
      <c r="D3044">
        <v>63272.65234375</v>
      </c>
      <c r="E3044">
        <v>62035.63671875</v>
      </c>
      <c r="F3044">
        <v>62851.375</v>
      </c>
      <c r="G3044">
        <v>62851.375</v>
      </c>
      <c r="H3044">
        <v>18177529690</v>
      </c>
      <c r="I3044" t="s">
        <v>6614</v>
      </c>
      <c r="J3044" t="s">
        <v>6616</v>
      </c>
      <c r="K3044" t="s">
        <v>4634</v>
      </c>
    </row>
    <row r="3045" spans="1:11" ht="20" customHeight="1">
      <c r="A3045" t="s">
        <v>26</v>
      </c>
      <c r="B3045" t="s">
        <v>3162</v>
      </c>
      <c r="C3045">
        <v>62848.3984375</v>
      </c>
      <c r="D3045">
        <v>66482.4921875</v>
      </c>
      <c r="E3045">
        <v>62442.15234375</v>
      </c>
      <c r="F3045">
        <v>66046.125</v>
      </c>
      <c r="G3045">
        <v>66046.125</v>
      </c>
      <c r="H3045">
        <v>43706958056</v>
      </c>
      <c r="I3045" t="s">
        <v>6616</v>
      </c>
      <c r="J3045" t="s">
        <v>6617</v>
      </c>
      <c r="K3045" t="s">
        <v>4634</v>
      </c>
    </row>
    <row r="3046" spans="1:11" ht="20" customHeight="1">
      <c r="A3046" t="s">
        <v>26</v>
      </c>
      <c r="B3046" t="s">
        <v>3165</v>
      </c>
      <c r="C3046">
        <v>66050.3671875</v>
      </c>
      <c r="D3046">
        <v>67881.6796875</v>
      </c>
      <c r="E3046">
        <v>64809.1953125</v>
      </c>
      <c r="F3046">
        <v>67041.109375</v>
      </c>
      <c r="G3046">
        <v>67041.109375</v>
      </c>
      <c r="H3046">
        <v>48863870879</v>
      </c>
      <c r="I3046" t="s">
        <v>6617</v>
      </c>
      <c r="J3046" t="s">
        <v>6618</v>
      </c>
      <c r="K3046" t="s">
        <v>4634</v>
      </c>
    </row>
    <row r="3047" spans="1:11" ht="20" customHeight="1">
      <c r="A3047" t="s">
        <v>26</v>
      </c>
      <c r="B3047" t="s">
        <v>3168</v>
      </c>
      <c r="C3047">
        <v>67042.4609375</v>
      </c>
      <c r="D3047">
        <v>68375.2890625</v>
      </c>
      <c r="E3047">
        <v>66758.7265625</v>
      </c>
      <c r="F3047">
        <v>67612.71875</v>
      </c>
      <c r="G3047">
        <v>67612.71875</v>
      </c>
      <c r="H3047">
        <v>38195189534</v>
      </c>
      <c r="I3047" t="s">
        <v>6618</v>
      </c>
      <c r="J3047" t="s">
        <v>6619</v>
      </c>
      <c r="K3047" t="s">
        <v>4634</v>
      </c>
    </row>
    <row r="3048" spans="1:11" ht="20" customHeight="1">
      <c r="A3048" t="s">
        <v>26</v>
      </c>
      <c r="B3048" t="s">
        <v>3171</v>
      </c>
      <c r="C3048">
        <v>67617.078125</v>
      </c>
      <c r="D3048">
        <v>67912.2109375</v>
      </c>
      <c r="E3048">
        <v>66647.390625</v>
      </c>
      <c r="F3048">
        <v>67399.8359375</v>
      </c>
      <c r="G3048">
        <v>67399.8359375</v>
      </c>
      <c r="H3048">
        <v>32790898511</v>
      </c>
      <c r="I3048" t="s">
        <v>6619</v>
      </c>
      <c r="J3048" t="s">
        <v>6620</v>
      </c>
      <c r="K3048" t="s">
        <v>4634</v>
      </c>
    </row>
    <row r="3049" spans="1:11" ht="20" customHeight="1">
      <c r="A3049" t="s">
        <v>26</v>
      </c>
      <c r="B3049" t="s">
        <v>3174</v>
      </c>
      <c r="C3049">
        <v>67419.109375</v>
      </c>
      <c r="D3049">
        <v>68969.75</v>
      </c>
      <c r="E3049">
        <v>67177.8203125</v>
      </c>
      <c r="F3049">
        <v>68418.7890625</v>
      </c>
      <c r="G3049">
        <v>68418.7890625</v>
      </c>
      <c r="H3049">
        <v>36857165014</v>
      </c>
      <c r="I3049" t="s">
        <v>6620</v>
      </c>
      <c r="J3049" t="s">
        <v>6621</v>
      </c>
      <c r="K3049" t="s">
        <v>4634</v>
      </c>
    </row>
    <row r="3050" spans="1:11" ht="20" customHeight="1">
      <c r="A3050" t="s">
        <v>26</v>
      </c>
      <c r="B3050" t="s">
        <v>6622</v>
      </c>
      <c r="C3050">
        <v>68418.9765625</v>
      </c>
      <c r="D3050">
        <v>68668.0078125</v>
      </c>
      <c r="E3050">
        <v>68024.640625</v>
      </c>
      <c r="F3050">
        <v>68362.734375</v>
      </c>
      <c r="G3050">
        <v>68362.734375</v>
      </c>
      <c r="H3050">
        <v>14443497908</v>
      </c>
      <c r="I3050" t="s">
        <v>6621</v>
      </c>
      <c r="J3050" t="s">
        <v>6623</v>
      </c>
      <c r="K3050" t="s">
        <v>4634</v>
      </c>
    </row>
    <row r="3051" spans="1:11" ht="20" customHeight="1">
      <c r="A3051" t="s">
        <v>26</v>
      </c>
      <c r="B3051" t="s">
        <v>6624</v>
      </c>
      <c r="C3051">
        <v>68364.1796875</v>
      </c>
      <c r="D3051">
        <v>69359.0078125</v>
      </c>
      <c r="E3051">
        <v>68105.71875</v>
      </c>
      <c r="F3051">
        <v>69001.703125</v>
      </c>
      <c r="G3051">
        <v>69001.703125</v>
      </c>
      <c r="H3051">
        <v>18975847518</v>
      </c>
      <c r="I3051" t="s">
        <v>6623</v>
      </c>
      <c r="J3051" t="s">
        <v>6625</v>
      </c>
      <c r="K3051" t="s">
        <v>4634</v>
      </c>
    </row>
    <row r="3052" spans="1:11" ht="20" customHeight="1">
      <c r="A3052" t="s">
        <v>26</v>
      </c>
      <c r="B3052" t="s">
        <v>3177</v>
      </c>
      <c r="C3052">
        <v>69002</v>
      </c>
      <c r="D3052">
        <v>69462.734375</v>
      </c>
      <c r="E3052">
        <v>66829.8515625</v>
      </c>
      <c r="F3052">
        <v>67367.8515625</v>
      </c>
      <c r="G3052">
        <v>67367.8515625</v>
      </c>
      <c r="H3052">
        <v>37498611780</v>
      </c>
      <c r="I3052" t="s">
        <v>6625</v>
      </c>
      <c r="J3052" t="s">
        <v>6626</v>
      </c>
      <c r="K3052" t="s">
        <v>4634</v>
      </c>
    </row>
    <row r="3053" spans="1:11" ht="20" customHeight="1">
      <c r="A3053" t="s">
        <v>26</v>
      </c>
      <c r="B3053" t="s">
        <v>3180</v>
      </c>
      <c r="C3053">
        <v>67360.703125</v>
      </c>
      <c r="D3053">
        <v>67801.578125</v>
      </c>
      <c r="E3053">
        <v>66581.3671875</v>
      </c>
      <c r="F3053">
        <v>67361.40625</v>
      </c>
      <c r="G3053">
        <v>67361.40625</v>
      </c>
      <c r="H3053">
        <v>31808472566</v>
      </c>
      <c r="I3053" t="s">
        <v>6626</v>
      </c>
      <c r="J3053" t="s">
        <v>6627</v>
      </c>
      <c r="K3053" t="s">
        <v>4634</v>
      </c>
    </row>
    <row r="3054" spans="1:11" ht="20" customHeight="1">
      <c r="A3054" t="s">
        <v>26</v>
      </c>
      <c r="B3054" t="s">
        <v>3183</v>
      </c>
      <c r="C3054">
        <v>67362.375</v>
      </c>
      <c r="D3054">
        <v>67402.7421875</v>
      </c>
      <c r="E3054">
        <v>65188.03515625</v>
      </c>
      <c r="F3054">
        <v>66432.1953125</v>
      </c>
      <c r="G3054">
        <v>66432.1953125</v>
      </c>
      <c r="H3054">
        <v>32263980353</v>
      </c>
      <c r="I3054" t="s">
        <v>6627</v>
      </c>
      <c r="J3054" t="s">
        <v>6628</v>
      </c>
      <c r="K3054" t="s">
        <v>4634</v>
      </c>
    </row>
    <row r="3055" spans="1:11" ht="20" customHeight="1">
      <c r="A3055" t="s">
        <v>26</v>
      </c>
      <c r="B3055" t="s">
        <v>3186</v>
      </c>
      <c r="C3055">
        <v>66653.703125</v>
      </c>
      <c r="D3055">
        <v>68798.9609375</v>
      </c>
      <c r="E3055">
        <v>66454.1015625</v>
      </c>
      <c r="F3055">
        <v>68161.0546875</v>
      </c>
      <c r="G3055">
        <v>68161.0546875</v>
      </c>
      <c r="H3055">
        <v>31414428647</v>
      </c>
      <c r="I3055" t="s">
        <v>6628</v>
      </c>
      <c r="J3055" t="s">
        <v>6629</v>
      </c>
      <c r="K3055" t="s">
        <v>4634</v>
      </c>
    </row>
    <row r="3056" spans="1:11" ht="20" customHeight="1">
      <c r="A3056" t="s">
        <v>26</v>
      </c>
      <c r="B3056" t="s">
        <v>3189</v>
      </c>
      <c r="C3056">
        <v>68165.296875</v>
      </c>
      <c r="D3056">
        <v>68722.15625</v>
      </c>
      <c r="E3056">
        <v>65521.79296875</v>
      </c>
      <c r="F3056">
        <v>66642.4140625</v>
      </c>
      <c r="G3056">
        <v>66642.4140625</v>
      </c>
      <c r="H3056">
        <v>41469984306</v>
      </c>
      <c r="I3056" t="s">
        <v>6629</v>
      </c>
      <c r="J3056" t="s">
        <v>6630</v>
      </c>
      <c r="K3056" t="s">
        <v>4634</v>
      </c>
    </row>
    <row r="3057" spans="1:11" ht="20" customHeight="1">
      <c r="A3057" t="s">
        <v>26</v>
      </c>
      <c r="B3057" t="s">
        <v>6631</v>
      </c>
      <c r="C3057">
        <v>66628.734375</v>
      </c>
      <c r="D3057">
        <v>67317.921875</v>
      </c>
      <c r="E3057">
        <v>66360.59375</v>
      </c>
      <c r="F3057">
        <v>67014.6953125</v>
      </c>
      <c r="G3057">
        <v>67014.6953125</v>
      </c>
      <c r="H3057">
        <v>19588098156</v>
      </c>
      <c r="I3057" t="s">
        <v>6630</v>
      </c>
      <c r="J3057" t="s">
        <v>6632</v>
      </c>
      <c r="K3057" t="s">
        <v>4634</v>
      </c>
    </row>
    <row r="3058" spans="1:11" ht="20" customHeight="1">
      <c r="A3058" t="s">
        <v>26</v>
      </c>
      <c r="B3058" t="s">
        <v>6633</v>
      </c>
      <c r="C3058">
        <v>67023.4765625</v>
      </c>
      <c r="D3058">
        <v>68221.3125</v>
      </c>
      <c r="E3058">
        <v>66847.2265625</v>
      </c>
      <c r="F3058">
        <v>67929.296875</v>
      </c>
      <c r="G3058">
        <v>67929.296875</v>
      </c>
      <c r="H3058">
        <v>16721307878</v>
      </c>
      <c r="I3058" t="s">
        <v>6632</v>
      </c>
      <c r="J3058" t="s">
        <v>6634</v>
      </c>
      <c r="K3058" t="s">
        <v>4634</v>
      </c>
    </row>
    <row r="3059" spans="1:11" ht="20" customHeight="1">
      <c r="A3059" t="s">
        <v>26</v>
      </c>
      <c r="B3059" t="s">
        <v>3192</v>
      </c>
      <c r="C3059">
        <v>67922.671875</v>
      </c>
      <c r="D3059">
        <v>70212.265625</v>
      </c>
      <c r="E3059">
        <v>67535.1328125</v>
      </c>
      <c r="F3059">
        <v>69907.7578125</v>
      </c>
      <c r="G3059">
        <v>69907.7578125</v>
      </c>
      <c r="H3059">
        <v>38799856657</v>
      </c>
      <c r="I3059" t="s">
        <v>6634</v>
      </c>
      <c r="J3059" t="s">
        <v>6635</v>
      </c>
      <c r="K3059" t="s">
        <v>4634</v>
      </c>
    </row>
    <row r="3060" spans="1:11" ht="20" customHeight="1">
      <c r="A3060" t="s">
        <v>26</v>
      </c>
      <c r="B3060" t="s">
        <v>3195</v>
      </c>
      <c r="C3060">
        <v>69910.046875</v>
      </c>
      <c r="D3060">
        <v>73577.2109375</v>
      </c>
      <c r="E3060">
        <v>69729.9140625</v>
      </c>
      <c r="F3060">
        <v>72720.4921875</v>
      </c>
      <c r="G3060">
        <v>72720.4921875</v>
      </c>
      <c r="H3060">
        <v>58541874402</v>
      </c>
      <c r="I3060" t="s">
        <v>6635</v>
      </c>
      <c r="J3060" t="s">
        <v>6636</v>
      </c>
      <c r="K3060" t="s">
        <v>4634</v>
      </c>
    </row>
    <row r="3061" spans="1:11" ht="20" customHeight="1">
      <c r="A3061" t="s">
        <v>26</v>
      </c>
      <c r="B3061" t="s">
        <v>3198</v>
      </c>
      <c r="C3061">
        <v>72715.3671875</v>
      </c>
      <c r="D3061">
        <v>72905.296875</v>
      </c>
      <c r="E3061">
        <v>71411.734375</v>
      </c>
      <c r="F3061">
        <v>72339.5390625</v>
      </c>
      <c r="G3061">
        <v>72339.5390625</v>
      </c>
      <c r="H3061">
        <v>40646637831</v>
      </c>
      <c r="I3061" t="s">
        <v>6636</v>
      </c>
      <c r="J3061" t="s">
        <v>6637</v>
      </c>
      <c r="K3061" t="s">
        <v>4634</v>
      </c>
    </row>
    <row r="3062" spans="1:11" ht="20" customHeight="1">
      <c r="A3062" t="s">
        <v>26</v>
      </c>
      <c r="B3062" t="s">
        <v>3201</v>
      </c>
      <c r="C3062">
        <v>72335.046875</v>
      </c>
      <c r="D3062">
        <v>72662.3125</v>
      </c>
      <c r="E3062">
        <v>69590.5</v>
      </c>
      <c r="F3062">
        <v>70215.1875</v>
      </c>
      <c r="G3062">
        <v>70215.1875</v>
      </c>
      <c r="H3062">
        <v>40627912076</v>
      </c>
      <c r="I3062" t="s">
        <v>6637</v>
      </c>
      <c r="J3062" t="s">
        <v>6638</v>
      </c>
      <c r="K3062" t="s">
        <v>4634</v>
      </c>
    </row>
    <row r="3063" spans="1:11" ht="20" customHeight="1">
      <c r="A3063" t="s">
        <v>26</v>
      </c>
      <c r="B3063" t="s">
        <v>3204</v>
      </c>
      <c r="C3063">
        <v>70216.8984375</v>
      </c>
      <c r="D3063">
        <v>71559.015625</v>
      </c>
      <c r="E3063">
        <v>68779.703125</v>
      </c>
      <c r="F3063">
        <v>69482.46875</v>
      </c>
      <c r="G3063">
        <v>69482.46875</v>
      </c>
      <c r="H3063">
        <v>49989795365</v>
      </c>
      <c r="I3063" t="s">
        <v>6638</v>
      </c>
      <c r="J3063" t="s">
        <v>6639</v>
      </c>
      <c r="K3063" t="s">
        <v>4634</v>
      </c>
    </row>
    <row r="3064" spans="1:11" ht="20" customHeight="1">
      <c r="A3064" t="s">
        <v>26</v>
      </c>
      <c r="B3064" t="s">
        <v>6640</v>
      </c>
      <c r="C3064">
        <v>69486.0234375</v>
      </c>
      <c r="D3064">
        <v>69867.3515625</v>
      </c>
      <c r="E3064">
        <v>69033.71875</v>
      </c>
      <c r="F3064">
        <v>69289.2734375</v>
      </c>
      <c r="G3064">
        <v>69289.2734375</v>
      </c>
      <c r="H3064">
        <v>18184612091</v>
      </c>
      <c r="I3064" t="s">
        <v>6639</v>
      </c>
      <c r="J3064" t="s">
        <v>6641</v>
      </c>
      <c r="K3064" t="s">
        <v>4634</v>
      </c>
    </row>
    <row r="3065" spans="1:11" ht="20" customHeight="1">
      <c r="A3065" t="s">
        <v>26</v>
      </c>
      <c r="B3065" t="s">
        <v>6642</v>
      </c>
      <c r="C3065">
        <v>69296.3828125</v>
      </c>
      <c r="D3065">
        <v>69361.65625</v>
      </c>
      <c r="E3065">
        <v>67482.5234375</v>
      </c>
      <c r="F3065">
        <v>68741.1171875</v>
      </c>
      <c r="G3065">
        <v>68741.1171875</v>
      </c>
      <c r="H3065">
        <v>34868307655</v>
      </c>
      <c r="I3065" t="s">
        <v>6641</v>
      </c>
      <c r="J3065" t="s">
        <v>6643</v>
      </c>
      <c r="K3065" t="s">
        <v>4634</v>
      </c>
    </row>
    <row r="3066" spans="1:11" ht="20" customHeight="1">
      <c r="A3066" t="s">
        <v>26</v>
      </c>
      <c r="B3066" t="s">
        <v>3207</v>
      </c>
      <c r="C3066">
        <v>68742.1328125</v>
      </c>
      <c r="D3066">
        <v>69433.1796875</v>
      </c>
      <c r="E3066">
        <v>66803.6484375</v>
      </c>
      <c r="F3066">
        <v>67811.5078125</v>
      </c>
      <c r="G3066">
        <v>67811.5078125</v>
      </c>
      <c r="H3066">
        <v>41184819348</v>
      </c>
      <c r="I3066" t="s">
        <v>6643</v>
      </c>
      <c r="J3066" t="s">
        <v>6644</v>
      </c>
      <c r="K3066" t="s">
        <v>4634</v>
      </c>
    </row>
    <row r="3067" spans="1:11" ht="20" customHeight="1">
      <c r="A3067" t="s">
        <v>26</v>
      </c>
      <c r="B3067" t="s">
        <v>3210</v>
      </c>
      <c r="C3067">
        <v>67811.171875</v>
      </c>
      <c r="D3067">
        <v>70522.7890625</v>
      </c>
      <c r="E3067">
        <v>67458.8671875</v>
      </c>
      <c r="F3067">
        <v>69359.5625</v>
      </c>
      <c r="G3067">
        <v>69359.5625</v>
      </c>
      <c r="H3067">
        <v>46046889204</v>
      </c>
      <c r="I3067" t="s">
        <v>6644</v>
      </c>
      <c r="J3067" t="s">
        <v>6645</v>
      </c>
      <c r="K3067" t="s">
        <v>4634</v>
      </c>
    </row>
    <row r="3068" spans="1:11" ht="20" customHeight="1">
      <c r="A3068" t="s">
        <v>26</v>
      </c>
      <c r="B3068" t="s">
        <v>3213</v>
      </c>
      <c r="C3068">
        <v>69358.5</v>
      </c>
      <c r="D3068">
        <v>76460.15625</v>
      </c>
      <c r="E3068">
        <v>69322.03125</v>
      </c>
      <c r="F3068">
        <v>75639.078125</v>
      </c>
      <c r="G3068">
        <v>75639.078125</v>
      </c>
      <c r="H3068">
        <v>118592653963</v>
      </c>
      <c r="I3068" t="s">
        <v>6645</v>
      </c>
      <c r="J3068" t="s">
        <v>6646</v>
      </c>
      <c r="K3068" t="s">
        <v>4634</v>
      </c>
    </row>
    <row r="3069" spans="1:11" ht="20" customHeight="1">
      <c r="A3069" t="s">
        <v>26</v>
      </c>
      <c r="B3069" t="s">
        <v>3216</v>
      </c>
      <c r="C3069">
        <v>75637.0859375</v>
      </c>
      <c r="D3069">
        <v>76943.1171875</v>
      </c>
      <c r="E3069">
        <v>74480.421875</v>
      </c>
      <c r="F3069">
        <v>75904.859375</v>
      </c>
      <c r="G3069">
        <v>75904.859375</v>
      </c>
      <c r="H3069">
        <v>63467654989</v>
      </c>
      <c r="I3069" t="s">
        <v>6646</v>
      </c>
      <c r="J3069" t="s">
        <v>6647</v>
      </c>
      <c r="K3069" t="s">
        <v>4634</v>
      </c>
    </row>
    <row r="3070" spans="1:11" ht="20" customHeight="1">
      <c r="A3070" t="s">
        <v>26</v>
      </c>
      <c r="B3070" t="s">
        <v>3219</v>
      </c>
      <c r="C3070">
        <v>75902.8359375</v>
      </c>
      <c r="D3070">
        <v>77252.75</v>
      </c>
      <c r="E3070">
        <v>75648.7421875</v>
      </c>
      <c r="F3070">
        <v>76545.4765625</v>
      </c>
      <c r="G3070">
        <v>76545.4765625</v>
      </c>
      <c r="H3070">
        <v>55176858003</v>
      </c>
      <c r="I3070" t="s">
        <v>6647</v>
      </c>
      <c r="J3070" t="s">
        <v>6648</v>
      </c>
      <c r="K3070" t="s">
        <v>4634</v>
      </c>
    </row>
    <row r="3071" spans="1:11" ht="20" customHeight="1">
      <c r="A3071" t="s">
        <v>26</v>
      </c>
      <c r="B3071" t="s">
        <v>6649</v>
      </c>
      <c r="C3071">
        <v>76556.1875</v>
      </c>
      <c r="D3071">
        <v>76932.765625</v>
      </c>
      <c r="E3071">
        <v>75773.7890625</v>
      </c>
      <c r="F3071">
        <v>76778.8671875</v>
      </c>
      <c r="G3071">
        <v>76778.8671875</v>
      </c>
      <c r="H3071">
        <v>29009480361</v>
      </c>
      <c r="I3071" t="s">
        <v>6648</v>
      </c>
      <c r="J3071" t="s">
        <v>6650</v>
      </c>
      <c r="K3071" t="s">
        <v>4634</v>
      </c>
    </row>
    <row r="3072" spans="1:11" ht="20" customHeight="1">
      <c r="A3072" t="s">
        <v>26</v>
      </c>
      <c r="B3072" t="s">
        <v>6651</v>
      </c>
      <c r="C3072">
        <v>76775.546875</v>
      </c>
      <c r="D3072">
        <v>81474.421875</v>
      </c>
      <c r="E3072">
        <v>76565.4296875</v>
      </c>
      <c r="F3072">
        <v>80474.1875</v>
      </c>
      <c r="G3072">
        <v>80474.1875</v>
      </c>
      <c r="H3072">
        <v>82570594495</v>
      </c>
      <c r="I3072" t="s">
        <v>6650</v>
      </c>
      <c r="J3072" t="s">
        <v>6652</v>
      </c>
      <c r="K3072" t="s">
        <v>4634</v>
      </c>
    </row>
    <row r="3073" spans="1:11" ht="20" customHeight="1">
      <c r="A3073" t="s">
        <v>26</v>
      </c>
      <c r="B3073" t="s">
        <v>3222</v>
      </c>
      <c r="C3073">
        <v>80471.4140625</v>
      </c>
      <c r="D3073">
        <v>89604.5</v>
      </c>
      <c r="E3073">
        <v>80283.25</v>
      </c>
      <c r="F3073">
        <v>88701.484375</v>
      </c>
      <c r="G3073">
        <v>88701.484375</v>
      </c>
      <c r="H3073">
        <v>117966845037</v>
      </c>
      <c r="I3073" t="s">
        <v>6652</v>
      </c>
      <c r="J3073" t="s">
        <v>6653</v>
      </c>
      <c r="K3073" t="s">
        <v>4634</v>
      </c>
    </row>
    <row r="3074" spans="1:11" ht="20" customHeight="1">
      <c r="A3074" t="s">
        <v>26</v>
      </c>
      <c r="B3074" t="s">
        <v>3225</v>
      </c>
      <c r="C3074">
        <v>88705.5625</v>
      </c>
      <c r="D3074">
        <v>89956.8828125</v>
      </c>
      <c r="E3074">
        <v>85155.109375</v>
      </c>
      <c r="F3074">
        <v>87955.8125</v>
      </c>
      <c r="G3074">
        <v>87955.8125</v>
      </c>
      <c r="H3074">
        <v>133673285375</v>
      </c>
      <c r="I3074" t="s">
        <v>6653</v>
      </c>
      <c r="J3074" t="s">
        <v>6654</v>
      </c>
      <c r="K3074" t="s">
        <v>4634</v>
      </c>
    </row>
    <row r="3075" spans="1:11" ht="20" customHeight="1">
      <c r="A3075" t="s">
        <v>26</v>
      </c>
      <c r="B3075" t="s">
        <v>3228</v>
      </c>
      <c r="C3075">
        <v>87929.96875</v>
      </c>
      <c r="D3075">
        <v>93434.3515625</v>
      </c>
      <c r="E3075">
        <v>86256.9296875</v>
      </c>
      <c r="F3075">
        <v>90584.1640625</v>
      </c>
      <c r="G3075">
        <v>90584.1640625</v>
      </c>
      <c r="H3075">
        <v>123559027869</v>
      </c>
      <c r="I3075" t="s">
        <v>6654</v>
      </c>
      <c r="J3075" t="s">
        <v>6655</v>
      </c>
      <c r="K3075" t="s">
        <v>4634</v>
      </c>
    </row>
    <row r="3076" spans="1:11" ht="20" customHeight="1">
      <c r="A3076" t="s">
        <v>26</v>
      </c>
      <c r="B3076" t="s">
        <v>3231</v>
      </c>
      <c r="C3076">
        <v>90574.8828125</v>
      </c>
      <c r="D3076">
        <v>91765.21875</v>
      </c>
      <c r="E3076">
        <v>86682.8125</v>
      </c>
      <c r="F3076">
        <v>87250.4296875</v>
      </c>
      <c r="G3076">
        <v>87250.4296875</v>
      </c>
      <c r="H3076">
        <v>87616705248</v>
      </c>
      <c r="I3076" t="s">
        <v>6655</v>
      </c>
      <c r="J3076" t="s">
        <v>6656</v>
      </c>
      <c r="K3076" t="s">
        <v>4634</v>
      </c>
    </row>
    <row r="3077" spans="1:11" ht="20" customHeight="1">
      <c r="A3077" t="s">
        <v>26</v>
      </c>
      <c r="B3077" t="s">
        <v>3234</v>
      </c>
      <c r="C3077">
        <v>87284.1796875</v>
      </c>
      <c r="D3077">
        <v>91868.7421875</v>
      </c>
      <c r="E3077">
        <v>87124.8984375</v>
      </c>
      <c r="F3077">
        <v>91066.0078125</v>
      </c>
      <c r="G3077">
        <v>91066.0078125</v>
      </c>
      <c r="H3077">
        <v>78243109518</v>
      </c>
      <c r="I3077" t="s">
        <v>6656</v>
      </c>
      <c r="J3077" t="s">
        <v>6657</v>
      </c>
      <c r="K3077" t="s">
        <v>4634</v>
      </c>
    </row>
    <row r="3078" spans="1:11" ht="20" customHeight="1">
      <c r="A3078" t="s">
        <v>26</v>
      </c>
      <c r="B3078" t="s">
        <v>6658</v>
      </c>
      <c r="C3078">
        <v>91064.3671875</v>
      </c>
      <c r="D3078">
        <v>91763.9453125</v>
      </c>
      <c r="E3078">
        <v>90094.2265625</v>
      </c>
      <c r="F3078">
        <v>90558.4765625</v>
      </c>
      <c r="G3078">
        <v>90558.4765625</v>
      </c>
      <c r="H3078">
        <v>44333192814</v>
      </c>
      <c r="I3078" t="s">
        <v>6657</v>
      </c>
      <c r="J3078" t="s">
        <v>6659</v>
      </c>
      <c r="K3078" t="s">
        <v>4634</v>
      </c>
    </row>
    <row r="3079" spans="1:11" ht="20" customHeight="1">
      <c r="A3079" t="s">
        <v>26</v>
      </c>
      <c r="B3079" t="s">
        <v>6660</v>
      </c>
      <c r="C3079">
        <v>90558.4609375</v>
      </c>
      <c r="D3079">
        <v>91433.0390625</v>
      </c>
      <c r="E3079">
        <v>88741.6640625</v>
      </c>
      <c r="F3079">
        <v>89845.8515625</v>
      </c>
      <c r="G3079">
        <v>89845.8515625</v>
      </c>
      <c r="H3079">
        <v>46350159305</v>
      </c>
      <c r="I3079" t="s">
        <v>6659</v>
      </c>
      <c r="J3079" t="s">
        <v>6661</v>
      </c>
      <c r="K3079" t="s">
        <v>4634</v>
      </c>
    </row>
    <row r="3080" spans="1:11" ht="20" customHeight="1">
      <c r="A3080" t="s">
        <v>26</v>
      </c>
      <c r="B3080" t="s">
        <v>3237</v>
      </c>
      <c r="C3080">
        <v>89843.71875</v>
      </c>
      <c r="D3080">
        <v>92596.7890625</v>
      </c>
      <c r="E3080">
        <v>89393.59375</v>
      </c>
      <c r="F3080">
        <v>90542.640625</v>
      </c>
      <c r="G3080">
        <v>90542.640625</v>
      </c>
      <c r="H3080">
        <v>75535775084</v>
      </c>
      <c r="I3080" t="s">
        <v>6661</v>
      </c>
      <c r="J3080" t="s">
        <v>6662</v>
      </c>
      <c r="K3080" t="s">
        <v>4634</v>
      </c>
    </row>
    <row r="3081" spans="1:11" ht="20" customHeight="1">
      <c r="A3081" t="s">
        <v>26</v>
      </c>
      <c r="B3081" t="s">
        <v>3240</v>
      </c>
      <c r="C3081">
        <v>90536.8125</v>
      </c>
      <c r="D3081">
        <v>94002.8671875</v>
      </c>
      <c r="E3081">
        <v>90426.984375</v>
      </c>
      <c r="F3081">
        <v>92343.7890625</v>
      </c>
      <c r="G3081">
        <v>92343.7890625</v>
      </c>
      <c r="H3081">
        <v>74521048295</v>
      </c>
      <c r="I3081" t="s">
        <v>6662</v>
      </c>
      <c r="J3081" t="s">
        <v>6663</v>
      </c>
      <c r="K3081" t="s">
        <v>4634</v>
      </c>
    </row>
    <row r="3082" spans="1:11" ht="20" customHeight="1">
      <c r="A3082" t="s">
        <v>26</v>
      </c>
      <c r="B3082" t="s">
        <v>3243</v>
      </c>
      <c r="C3082">
        <v>92341.890625</v>
      </c>
      <c r="D3082">
        <v>94902.0234375</v>
      </c>
      <c r="E3082">
        <v>91619.5</v>
      </c>
      <c r="F3082">
        <v>94339.4921875</v>
      </c>
      <c r="G3082">
        <v>94339.4921875</v>
      </c>
      <c r="H3082">
        <v>71730956426</v>
      </c>
      <c r="I3082" t="s">
        <v>6663</v>
      </c>
      <c r="J3082" t="s">
        <v>6664</v>
      </c>
      <c r="K3082" t="s">
        <v>4634</v>
      </c>
    </row>
    <row r="3083" spans="1:11" ht="20" customHeight="1">
      <c r="A3083" t="s">
        <v>26</v>
      </c>
      <c r="B3083" t="s">
        <v>3246</v>
      </c>
      <c r="C3083">
        <v>94334.640625</v>
      </c>
      <c r="D3083">
        <v>99014.21875</v>
      </c>
      <c r="E3083">
        <v>94132.6015625</v>
      </c>
      <c r="F3083">
        <v>98504.7265625</v>
      </c>
      <c r="G3083">
        <v>98504.7265625</v>
      </c>
      <c r="H3083">
        <v>106024505582</v>
      </c>
      <c r="I3083" t="s">
        <v>6664</v>
      </c>
      <c r="J3083" t="s">
        <v>6665</v>
      </c>
      <c r="K3083" t="s">
        <v>4634</v>
      </c>
    </row>
    <row r="3084" spans="1:11" ht="20" customHeight="1">
      <c r="A3084" t="s">
        <v>26</v>
      </c>
      <c r="B3084" t="s">
        <v>3249</v>
      </c>
      <c r="C3084">
        <v>98496.4296875</v>
      </c>
      <c r="D3084">
        <v>99655.5</v>
      </c>
      <c r="E3084">
        <v>97222.6640625</v>
      </c>
      <c r="F3084">
        <v>98997.6640625</v>
      </c>
      <c r="G3084">
        <v>98997.6640625</v>
      </c>
      <c r="H3084">
        <v>78473580551</v>
      </c>
      <c r="I3084" t="s">
        <v>6665</v>
      </c>
      <c r="J3084" t="s">
        <v>6666</v>
      </c>
      <c r="K3084" t="s">
        <v>4634</v>
      </c>
    </row>
    <row r="3085" spans="1:11" ht="20" customHeight="1">
      <c r="A3085" t="s">
        <v>26</v>
      </c>
      <c r="B3085" t="s">
        <v>6667</v>
      </c>
      <c r="C3085">
        <v>99006.7421875</v>
      </c>
      <c r="D3085">
        <v>99014.6796875</v>
      </c>
      <c r="E3085">
        <v>97232.890625</v>
      </c>
      <c r="F3085">
        <v>97777.28125</v>
      </c>
      <c r="G3085">
        <v>97777.28125</v>
      </c>
      <c r="H3085">
        <v>44414644677</v>
      </c>
      <c r="I3085" t="s">
        <v>6666</v>
      </c>
      <c r="J3085" t="s">
        <v>6668</v>
      </c>
      <c r="K3085" t="s">
        <v>4634</v>
      </c>
    </row>
    <row r="3086" spans="1:11" ht="20" customHeight="1">
      <c r="A3086" t="s">
        <v>26</v>
      </c>
      <c r="B3086" t="s">
        <v>6669</v>
      </c>
      <c r="C3086">
        <v>97778.09375</v>
      </c>
      <c r="D3086">
        <v>98647.1796875</v>
      </c>
      <c r="E3086">
        <v>95788.078125</v>
      </c>
      <c r="F3086">
        <v>98013.8203125</v>
      </c>
      <c r="G3086">
        <v>98013.8203125</v>
      </c>
      <c r="H3086">
        <v>51712020623</v>
      </c>
      <c r="I3086" t="s">
        <v>6668</v>
      </c>
      <c r="J3086" t="s">
        <v>6670</v>
      </c>
      <c r="K3086" t="s">
        <v>4634</v>
      </c>
    </row>
    <row r="3087" spans="1:11" ht="20" customHeight="1">
      <c r="A3087" t="s">
        <v>26</v>
      </c>
      <c r="B3087" t="s">
        <v>3252</v>
      </c>
      <c r="C3087">
        <v>98033.4453125</v>
      </c>
      <c r="D3087">
        <v>98935.03125</v>
      </c>
      <c r="E3087">
        <v>92642.9140625</v>
      </c>
      <c r="F3087">
        <v>93102.296875</v>
      </c>
      <c r="G3087">
        <v>93102.296875</v>
      </c>
      <c r="H3087">
        <v>80909462490</v>
      </c>
      <c r="I3087" t="s">
        <v>6670</v>
      </c>
      <c r="J3087" t="s">
        <v>6671</v>
      </c>
      <c r="K3087" t="s">
        <v>4634</v>
      </c>
    </row>
    <row r="3088" spans="1:11" ht="20" customHeight="1">
      <c r="A3088" t="s">
        <v>26</v>
      </c>
      <c r="B3088" t="s">
        <v>3255</v>
      </c>
      <c r="C3088">
        <v>93087.28125</v>
      </c>
      <c r="D3088">
        <v>94991.75</v>
      </c>
      <c r="E3088">
        <v>90770.8125</v>
      </c>
      <c r="F3088">
        <v>91985.3203125</v>
      </c>
      <c r="G3088">
        <v>91985.3203125</v>
      </c>
      <c r="H3088">
        <v>91656519855</v>
      </c>
      <c r="I3088" t="s">
        <v>6671</v>
      </c>
      <c r="J3088" t="s">
        <v>6672</v>
      </c>
      <c r="K3088" t="s">
        <v>4634</v>
      </c>
    </row>
    <row r="3089" spans="1:11" ht="20" customHeight="1">
      <c r="A3089" t="s">
        <v>26</v>
      </c>
      <c r="B3089" t="s">
        <v>3258</v>
      </c>
      <c r="C3089">
        <v>91978.140625</v>
      </c>
      <c r="D3089">
        <v>97361.1796875</v>
      </c>
      <c r="E3089">
        <v>91778.6640625</v>
      </c>
      <c r="F3089">
        <v>95962.53125</v>
      </c>
      <c r="G3089">
        <v>95962.53125</v>
      </c>
      <c r="H3089">
        <v>71133452438</v>
      </c>
      <c r="I3089" t="s">
        <v>6672</v>
      </c>
      <c r="J3089" t="s">
        <v>6673</v>
      </c>
      <c r="K3089" t="s">
        <v>4634</v>
      </c>
    </row>
    <row r="3090" spans="1:11" ht="20" customHeight="1">
      <c r="A3090" t="s">
        <v>26</v>
      </c>
      <c r="B3090" t="s">
        <v>6674</v>
      </c>
      <c r="C3090">
        <v>95954.9453125</v>
      </c>
      <c r="D3090">
        <v>96650.203125</v>
      </c>
      <c r="E3090">
        <v>94677.3515625</v>
      </c>
      <c r="F3090">
        <v>95652.46875</v>
      </c>
      <c r="G3090">
        <v>95652.46875</v>
      </c>
      <c r="H3090">
        <v>52260008261</v>
      </c>
      <c r="I3090" t="s">
        <v>6673</v>
      </c>
      <c r="J3090" t="s">
        <v>6675</v>
      </c>
      <c r="K3090" t="s">
        <v>4634</v>
      </c>
    </row>
    <row r="3091" spans="1:11" ht="20" customHeight="1">
      <c r="A3091" t="s">
        <v>26</v>
      </c>
      <c r="B3091" t="s">
        <v>3261</v>
      </c>
      <c r="C3091">
        <v>95653.953125</v>
      </c>
      <c r="D3091">
        <v>98693.171875</v>
      </c>
      <c r="E3091">
        <v>95407.8828125</v>
      </c>
      <c r="F3091">
        <v>97461.5234375</v>
      </c>
      <c r="G3091">
        <v>97461.5234375</v>
      </c>
      <c r="H3091">
        <v>54968682476</v>
      </c>
      <c r="I3091" t="s">
        <v>6675</v>
      </c>
      <c r="J3091" t="s">
        <v>6676</v>
      </c>
      <c r="K3091" t="s">
        <v>4634</v>
      </c>
    </row>
    <row r="3092" spans="1:11" ht="20" customHeight="1">
      <c r="A3092" t="s">
        <v>26</v>
      </c>
      <c r="B3092" t="s">
        <v>6677</v>
      </c>
      <c r="C3092">
        <v>97468.8125</v>
      </c>
      <c r="D3092">
        <v>97499.34375</v>
      </c>
      <c r="E3092">
        <v>96144.21875</v>
      </c>
      <c r="F3092">
        <v>96449.0546875</v>
      </c>
      <c r="G3092">
        <v>96449.0546875</v>
      </c>
      <c r="H3092">
        <v>31634227866</v>
      </c>
      <c r="I3092" t="s">
        <v>6676</v>
      </c>
      <c r="J3092" t="s">
        <v>6678</v>
      </c>
      <c r="K3092" t="s">
        <v>4634</v>
      </c>
    </row>
    <row r="3093" spans="1:11" ht="20" customHeight="1">
      <c r="A3093" t="s">
        <v>26</v>
      </c>
      <c r="B3093" t="s">
        <v>6679</v>
      </c>
      <c r="C3093">
        <v>96461.3359375</v>
      </c>
      <c r="D3093">
        <v>97888.125</v>
      </c>
      <c r="E3093">
        <v>95770.1875</v>
      </c>
      <c r="F3093">
        <v>97279.7890625</v>
      </c>
      <c r="G3093">
        <v>97279.7890625</v>
      </c>
      <c r="H3093">
        <v>36590695296</v>
      </c>
      <c r="I3093" t="s">
        <v>6678</v>
      </c>
      <c r="J3093" t="s">
        <v>6680</v>
      </c>
      <c r="K3093" t="s">
        <v>4634</v>
      </c>
    </row>
    <row r="3094" spans="1:11" ht="20" customHeight="1">
      <c r="A3094" t="s">
        <v>26</v>
      </c>
      <c r="B3094" t="s">
        <v>3264</v>
      </c>
      <c r="C3094">
        <v>97276.0078125</v>
      </c>
      <c r="D3094">
        <v>98152.6015625</v>
      </c>
      <c r="E3094">
        <v>94482.8671875</v>
      </c>
      <c r="F3094">
        <v>95865.3046875</v>
      </c>
      <c r="G3094">
        <v>95865.3046875</v>
      </c>
      <c r="H3094">
        <v>72680784305</v>
      </c>
      <c r="I3094" t="s">
        <v>6680</v>
      </c>
      <c r="J3094" t="s">
        <v>6681</v>
      </c>
      <c r="K3094" t="s">
        <v>4634</v>
      </c>
    </row>
    <row r="3095" spans="1:11" ht="20" customHeight="1">
      <c r="A3095" t="s">
        <v>26</v>
      </c>
      <c r="B3095" t="s">
        <v>3267</v>
      </c>
      <c r="C3095">
        <v>95854.59375</v>
      </c>
      <c r="D3095">
        <v>96297.203125</v>
      </c>
      <c r="E3095">
        <v>93629.5625</v>
      </c>
      <c r="F3095">
        <v>96002.1640625</v>
      </c>
      <c r="G3095">
        <v>96002.1640625</v>
      </c>
      <c r="H3095">
        <v>67067810961</v>
      </c>
      <c r="I3095" t="s">
        <v>6681</v>
      </c>
      <c r="J3095" t="s">
        <v>6682</v>
      </c>
      <c r="K3095" t="s">
        <v>4634</v>
      </c>
    </row>
    <row r="3096" spans="1:11" ht="20" customHeight="1">
      <c r="A3096" t="s">
        <v>26</v>
      </c>
      <c r="B3096" t="s">
        <v>3270</v>
      </c>
      <c r="C3096">
        <v>95988.53125</v>
      </c>
      <c r="D3096">
        <v>99207.328125</v>
      </c>
      <c r="E3096">
        <v>94660.5234375</v>
      </c>
      <c r="F3096">
        <v>98768.53125</v>
      </c>
      <c r="G3096">
        <v>98768.53125</v>
      </c>
      <c r="H3096">
        <v>77199817112</v>
      </c>
      <c r="I3096" t="s">
        <v>6682</v>
      </c>
      <c r="J3096" t="s">
        <v>6683</v>
      </c>
      <c r="K3096" t="s">
        <v>4634</v>
      </c>
    </row>
    <row r="3097" spans="1:11" ht="20" customHeight="1">
      <c r="A3097" t="s">
        <v>26</v>
      </c>
      <c r="B3097" t="s">
        <v>3273</v>
      </c>
      <c r="C3097">
        <v>98741.5390625</v>
      </c>
      <c r="D3097">
        <v>103900.46875</v>
      </c>
      <c r="E3097">
        <v>91998.78125</v>
      </c>
      <c r="F3097">
        <v>96593.5703125</v>
      </c>
      <c r="G3097">
        <v>96593.5703125</v>
      </c>
      <c r="H3097">
        <v>149218945580</v>
      </c>
      <c r="I3097" t="s">
        <v>6683</v>
      </c>
      <c r="J3097" t="s">
        <v>6684</v>
      </c>
      <c r="K3097" t="s">
        <v>4634</v>
      </c>
    </row>
    <row r="3098" spans="1:11" ht="20" customHeight="1">
      <c r="A3098" t="s">
        <v>26</v>
      </c>
      <c r="B3098" t="s">
        <v>3276</v>
      </c>
      <c r="C3098">
        <v>97074.2265625</v>
      </c>
      <c r="D3098">
        <v>102039.8828125</v>
      </c>
      <c r="E3098">
        <v>96514.875</v>
      </c>
      <c r="F3098">
        <v>99920.7109375</v>
      </c>
      <c r="G3098">
        <v>99920.7109375</v>
      </c>
      <c r="H3098">
        <v>94534772658</v>
      </c>
      <c r="I3098" t="s">
        <v>6684</v>
      </c>
      <c r="J3098" t="s">
        <v>6685</v>
      </c>
      <c r="K3098" t="s">
        <v>4634</v>
      </c>
    </row>
    <row r="3099" spans="1:11" ht="20" customHeight="1">
      <c r="A3099" t="s">
        <v>26</v>
      </c>
      <c r="B3099" t="s">
        <v>6686</v>
      </c>
      <c r="C3099">
        <v>99916.7109375</v>
      </c>
      <c r="D3099">
        <v>100563.3828125</v>
      </c>
      <c r="E3099">
        <v>99030.8828125</v>
      </c>
      <c r="F3099">
        <v>99923.3359375</v>
      </c>
      <c r="G3099">
        <v>99923.3359375</v>
      </c>
      <c r="H3099">
        <v>44177510897</v>
      </c>
      <c r="I3099" t="s">
        <v>6685</v>
      </c>
      <c r="J3099" t="s">
        <v>6687</v>
      </c>
      <c r="K3099" t="s">
        <v>4634</v>
      </c>
    </row>
    <row r="3100" spans="1:11" ht="20" customHeight="1">
      <c r="A3100" t="s">
        <v>26</v>
      </c>
      <c r="B3100" t="s">
        <v>6688</v>
      </c>
      <c r="C3100">
        <v>99921.9140625</v>
      </c>
      <c r="D3100">
        <v>101399.9921875</v>
      </c>
      <c r="E3100">
        <v>98771.515625</v>
      </c>
      <c r="F3100">
        <v>101236.015625</v>
      </c>
      <c r="G3100">
        <v>101236.015625</v>
      </c>
      <c r="H3100">
        <v>44125751925</v>
      </c>
      <c r="I3100" t="s">
        <v>6687</v>
      </c>
      <c r="J3100" t="s">
        <v>6689</v>
      </c>
      <c r="K3100" t="s">
        <v>4634</v>
      </c>
    </row>
    <row r="3101" spans="1:11" ht="20" customHeight="1">
      <c r="A3101" t="s">
        <v>26</v>
      </c>
      <c r="B3101" t="s">
        <v>3279</v>
      </c>
      <c r="C3101">
        <v>101237.0625</v>
      </c>
      <c r="D3101">
        <v>101272.5078125</v>
      </c>
      <c r="E3101">
        <v>94355.9140625</v>
      </c>
      <c r="F3101">
        <v>97432.71875</v>
      </c>
      <c r="G3101">
        <v>97432.71875</v>
      </c>
      <c r="H3101">
        <v>110676473908</v>
      </c>
      <c r="I3101" t="s">
        <v>6689</v>
      </c>
      <c r="J3101" t="s">
        <v>6690</v>
      </c>
      <c r="K3101" t="s">
        <v>4634</v>
      </c>
    </row>
    <row r="3102" spans="1:11" ht="20" customHeight="1">
      <c r="A3102" t="s">
        <v>26</v>
      </c>
      <c r="B3102" t="s">
        <v>3282</v>
      </c>
      <c r="C3102">
        <v>97441.234375</v>
      </c>
      <c r="D3102">
        <v>98270.15625</v>
      </c>
      <c r="E3102">
        <v>94321.2578125</v>
      </c>
      <c r="F3102">
        <v>96675.4296875</v>
      </c>
      <c r="G3102">
        <v>96675.4296875</v>
      </c>
      <c r="H3102">
        <v>104823780634</v>
      </c>
      <c r="I3102" t="s">
        <v>6690</v>
      </c>
      <c r="J3102" t="s">
        <v>6691</v>
      </c>
      <c r="K3102" t="s">
        <v>4634</v>
      </c>
    </row>
    <row r="3103" spans="1:11" ht="20" customHeight="1">
      <c r="A3103" t="s">
        <v>26</v>
      </c>
      <c r="B3103" t="s">
        <v>3285</v>
      </c>
      <c r="C3103">
        <v>96656.0625</v>
      </c>
      <c r="D3103">
        <v>101913.359375</v>
      </c>
      <c r="E3103">
        <v>95747.2265625</v>
      </c>
      <c r="F3103">
        <v>101173.03125</v>
      </c>
      <c r="G3103">
        <v>101173.03125</v>
      </c>
      <c r="H3103">
        <v>85391409936</v>
      </c>
      <c r="I3103" t="s">
        <v>6691</v>
      </c>
      <c r="J3103" t="s">
        <v>6692</v>
      </c>
      <c r="K3103" t="s">
        <v>4634</v>
      </c>
    </row>
    <row r="3104" spans="1:11" ht="20" customHeight="1">
      <c r="A3104" t="s">
        <v>26</v>
      </c>
      <c r="B3104" t="s">
        <v>3288</v>
      </c>
      <c r="C3104">
        <v>101167.8046875</v>
      </c>
      <c r="D3104">
        <v>102524.9140625</v>
      </c>
      <c r="E3104">
        <v>99339.953125</v>
      </c>
      <c r="F3104">
        <v>100043</v>
      </c>
      <c r="G3104">
        <v>100043</v>
      </c>
      <c r="H3104">
        <v>72073983533</v>
      </c>
      <c r="I3104" t="s">
        <v>6692</v>
      </c>
      <c r="J3104" t="s">
        <v>6693</v>
      </c>
      <c r="K3104" t="s">
        <v>4634</v>
      </c>
    </row>
    <row r="3105" spans="1:11" ht="20" customHeight="1">
      <c r="A3105" t="s">
        <v>26</v>
      </c>
      <c r="B3105" t="s">
        <v>3291</v>
      </c>
      <c r="C3105">
        <v>100046.6484375</v>
      </c>
      <c r="D3105">
        <v>101888.8046875</v>
      </c>
      <c r="E3105">
        <v>99233.28125</v>
      </c>
      <c r="F3105">
        <v>101459.2578125</v>
      </c>
      <c r="G3105">
        <v>101459.2578125</v>
      </c>
      <c r="H3105">
        <v>56894751583</v>
      </c>
      <c r="I3105" t="s">
        <v>6693</v>
      </c>
      <c r="J3105" t="s">
        <v>6694</v>
      </c>
      <c r="K3105" t="s">
        <v>4634</v>
      </c>
    </row>
    <row r="3106" spans="1:11" ht="20" customHeight="1">
      <c r="A3106" t="s">
        <v>26</v>
      </c>
      <c r="B3106" t="s">
        <v>6695</v>
      </c>
      <c r="C3106">
        <v>101451.4375</v>
      </c>
      <c r="D3106">
        <v>102618.8828125</v>
      </c>
      <c r="E3106">
        <v>100634.0546875</v>
      </c>
      <c r="F3106">
        <v>101372.96875</v>
      </c>
      <c r="G3106">
        <v>101372.96875</v>
      </c>
      <c r="H3106">
        <v>40422968793</v>
      </c>
      <c r="I3106" t="s">
        <v>6694</v>
      </c>
      <c r="J3106" t="s">
        <v>6696</v>
      </c>
      <c r="K3106" t="s">
        <v>4634</v>
      </c>
    </row>
    <row r="3107" spans="1:11" ht="20" customHeight="1">
      <c r="A3107" t="s">
        <v>26</v>
      </c>
      <c r="B3107" t="s">
        <v>6697</v>
      </c>
      <c r="C3107">
        <v>101373.53125</v>
      </c>
      <c r="D3107">
        <v>105047.5390625</v>
      </c>
      <c r="E3107">
        <v>101227.03125</v>
      </c>
      <c r="F3107">
        <v>104298.6953125</v>
      </c>
      <c r="G3107">
        <v>104298.6953125</v>
      </c>
      <c r="H3107">
        <v>51145914137</v>
      </c>
      <c r="I3107" t="s">
        <v>6696</v>
      </c>
      <c r="J3107" t="s">
        <v>6698</v>
      </c>
      <c r="K3107" t="s">
        <v>4634</v>
      </c>
    </row>
    <row r="3108" spans="1:11" ht="20" customHeight="1">
      <c r="A3108" t="s">
        <v>26</v>
      </c>
      <c r="B3108" t="s">
        <v>3294</v>
      </c>
      <c r="C3108">
        <v>104293.578125</v>
      </c>
      <c r="D3108">
        <v>107780.578125</v>
      </c>
      <c r="E3108">
        <v>103322.984375</v>
      </c>
      <c r="F3108">
        <v>106029.71875</v>
      </c>
      <c r="G3108">
        <v>106029.71875</v>
      </c>
      <c r="H3108">
        <v>91020417816</v>
      </c>
      <c r="I3108" t="s">
        <v>6698</v>
      </c>
      <c r="J3108" t="s">
        <v>6699</v>
      </c>
      <c r="K3108" t="s">
        <v>4634</v>
      </c>
    </row>
    <row r="3109" spans="1:11" ht="20" customHeight="1">
      <c r="A3109" t="s">
        <v>26</v>
      </c>
      <c r="B3109" t="s">
        <v>3297</v>
      </c>
      <c r="C3109">
        <v>106030.6875</v>
      </c>
      <c r="D3109">
        <v>108268.4453125</v>
      </c>
      <c r="E3109">
        <v>105291.734375</v>
      </c>
      <c r="F3109">
        <v>106140.6015625</v>
      </c>
      <c r="G3109">
        <v>106140.6015625</v>
      </c>
      <c r="H3109">
        <v>68589364868</v>
      </c>
      <c r="I3109" t="s">
        <v>6699</v>
      </c>
      <c r="J3109" t="s">
        <v>6700</v>
      </c>
      <c r="K3109" t="s">
        <v>4634</v>
      </c>
    </row>
    <row r="3110" spans="1:11" ht="20" customHeight="1">
      <c r="A3110" t="s">
        <v>26</v>
      </c>
      <c r="B3110" t="s">
        <v>3300</v>
      </c>
      <c r="C3110">
        <v>106147.296875</v>
      </c>
      <c r="D3110">
        <v>106470.609375</v>
      </c>
      <c r="E3110">
        <v>100041.5390625</v>
      </c>
      <c r="F3110">
        <v>100041.5390625</v>
      </c>
      <c r="G3110">
        <v>100041.5390625</v>
      </c>
      <c r="H3110">
        <v>93865656139</v>
      </c>
      <c r="I3110" t="s">
        <v>6700</v>
      </c>
      <c r="J3110" t="s">
        <v>6701</v>
      </c>
      <c r="K3110" t="s">
        <v>4634</v>
      </c>
    </row>
    <row r="3111" spans="1:11" ht="20" customHeight="1">
      <c r="A3111" t="s">
        <v>26</v>
      </c>
      <c r="B3111" t="s">
        <v>3303</v>
      </c>
      <c r="C3111">
        <v>100070.6875</v>
      </c>
      <c r="D3111">
        <v>102748.1484375</v>
      </c>
      <c r="E3111">
        <v>95587.6796875</v>
      </c>
      <c r="F3111">
        <v>97490.953125</v>
      </c>
      <c r="G3111">
        <v>97490.953125</v>
      </c>
      <c r="H3111">
        <v>97221662392</v>
      </c>
      <c r="I3111" t="s">
        <v>6701</v>
      </c>
      <c r="J3111" t="s">
        <v>6702</v>
      </c>
      <c r="K3111" t="s">
        <v>4634</v>
      </c>
    </row>
    <row r="3112" spans="1:11" ht="20" customHeight="1">
      <c r="A3112" t="s">
        <v>26</v>
      </c>
      <c r="B3112" t="s">
        <v>3306</v>
      </c>
      <c r="C3112">
        <v>97484.6953125</v>
      </c>
      <c r="D3112">
        <v>98098.9140625</v>
      </c>
      <c r="E3112">
        <v>92175.1796875</v>
      </c>
      <c r="F3112">
        <v>97755.9296875</v>
      </c>
      <c r="G3112">
        <v>97755.9296875</v>
      </c>
      <c r="H3112">
        <v>105634083408</v>
      </c>
      <c r="I3112" t="s">
        <v>6702</v>
      </c>
      <c r="J3112" t="s">
        <v>6703</v>
      </c>
      <c r="K3112" t="s">
        <v>4634</v>
      </c>
    </row>
    <row r="3113" spans="1:11" ht="20" customHeight="1">
      <c r="A3113" t="s">
        <v>26</v>
      </c>
      <c r="B3113" t="s">
        <v>6704</v>
      </c>
      <c r="C3113">
        <v>97756.1953125</v>
      </c>
      <c r="D3113">
        <v>99507.1015625</v>
      </c>
      <c r="E3113">
        <v>96426.5234375</v>
      </c>
      <c r="F3113">
        <v>97224.7265625</v>
      </c>
      <c r="G3113">
        <v>97224.7265625</v>
      </c>
      <c r="H3113">
        <v>51765334294</v>
      </c>
      <c r="I3113" t="s">
        <v>6703</v>
      </c>
      <c r="J3113" t="s">
        <v>6705</v>
      </c>
      <c r="K3113" t="s">
        <v>4634</v>
      </c>
    </row>
    <row r="3114" spans="1:11" ht="20" customHeight="1">
      <c r="A3114" t="s">
        <v>26</v>
      </c>
      <c r="B3114" t="s">
        <v>6706</v>
      </c>
      <c r="C3114">
        <v>97218.3203125</v>
      </c>
      <c r="D3114">
        <v>97360.265625</v>
      </c>
      <c r="E3114">
        <v>94202.1875</v>
      </c>
      <c r="F3114">
        <v>95104.9375</v>
      </c>
      <c r="G3114">
        <v>95104.9375</v>
      </c>
      <c r="H3114">
        <v>43147981314</v>
      </c>
      <c r="I3114" t="s">
        <v>6705</v>
      </c>
      <c r="J3114" t="s">
        <v>6707</v>
      </c>
      <c r="K3114" t="s">
        <v>4634</v>
      </c>
    </row>
    <row r="3115" spans="1:11" ht="20" customHeight="1">
      <c r="A3115" t="s">
        <v>26</v>
      </c>
      <c r="B3115" t="s">
        <v>3309</v>
      </c>
      <c r="C3115">
        <v>95099.390625</v>
      </c>
      <c r="D3115">
        <v>96416.2109375</v>
      </c>
      <c r="E3115">
        <v>92403.1328125</v>
      </c>
      <c r="F3115">
        <v>94686.2421875</v>
      </c>
      <c r="G3115">
        <v>94686.2421875</v>
      </c>
      <c r="H3115">
        <v>65239002919</v>
      </c>
      <c r="I3115" t="s">
        <v>6707</v>
      </c>
      <c r="J3115" t="s">
        <v>6708</v>
      </c>
      <c r="K3115" t="s">
        <v>4634</v>
      </c>
    </row>
    <row r="3116" spans="1:11" ht="20" customHeight="1">
      <c r="A3116" t="s">
        <v>26</v>
      </c>
      <c r="B3116" t="s">
        <v>3312</v>
      </c>
      <c r="C3116">
        <v>94684.34375</v>
      </c>
      <c r="D3116">
        <v>99404.0625</v>
      </c>
      <c r="E3116">
        <v>93448.015625</v>
      </c>
      <c r="F3116">
        <v>98676.09375</v>
      </c>
      <c r="G3116">
        <v>98676.09375</v>
      </c>
      <c r="H3116">
        <v>47114953674</v>
      </c>
      <c r="I3116" t="s">
        <v>6708</v>
      </c>
      <c r="J3116" t="s">
        <v>6709</v>
      </c>
      <c r="K3116" t="s">
        <v>4634</v>
      </c>
    </row>
    <row r="3117" spans="1:11" ht="20" customHeight="1">
      <c r="A3117" t="s">
        <v>26</v>
      </c>
      <c r="B3117" t="s">
        <v>6710</v>
      </c>
      <c r="C3117">
        <v>98675.9140625</v>
      </c>
      <c r="D3117">
        <v>99478.75</v>
      </c>
      <c r="E3117">
        <v>97593.46875</v>
      </c>
      <c r="F3117">
        <v>99299.1953125</v>
      </c>
      <c r="G3117">
        <v>99299.1953125</v>
      </c>
      <c r="H3117">
        <v>33700394629</v>
      </c>
      <c r="I3117" t="s">
        <v>6709</v>
      </c>
      <c r="J3117" t="s">
        <v>6711</v>
      </c>
      <c r="K3117" t="s">
        <v>4634</v>
      </c>
    </row>
    <row r="3118" spans="1:11" ht="20" customHeight="1">
      <c r="A3118" t="s">
        <v>26</v>
      </c>
      <c r="B3118" t="s">
        <v>3315</v>
      </c>
      <c r="C3118">
        <v>99297.6953125</v>
      </c>
      <c r="D3118">
        <v>99884.5703125</v>
      </c>
      <c r="E3118">
        <v>95137.8828125</v>
      </c>
      <c r="F3118">
        <v>95795.515625</v>
      </c>
      <c r="G3118">
        <v>95795.515625</v>
      </c>
      <c r="H3118">
        <v>47054980873</v>
      </c>
      <c r="I3118" t="s">
        <v>6711</v>
      </c>
      <c r="J3118" t="s">
        <v>6712</v>
      </c>
      <c r="K3118" t="s">
        <v>4634</v>
      </c>
    </row>
    <row r="3119" spans="1:11" ht="20" customHeight="1">
      <c r="A3119" t="s">
        <v>26</v>
      </c>
      <c r="B3119" t="s">
        <v>3318</v>
      </c>
      <c r="C3119">
        <v>95704.9765625</v>
      </c>
      <c r="D3119">
        <v>97294.84375</v>
      </c>
      <c r="E3119">
        <v>93310.7421875</v>
      </c>
      <c r="F3119">
        <v>94164.859375</v>
      </c>
      <c r="G3119">
        <v>94164.859375</v>
      </c>
      <c r="H3119">
        <v>52419934565</v>
      </c>
      <c r="I3119" t="s">
        <v>6712</v>
      </c>
      <c r="J3119" t="s">
        <v>6713</v>
      </c>
      <c r="K3119" t="s">
        <v>4634</v>
      </c>
    </row>
    <row r="3120" spans="1:11" ht="20" customHeight="1">
      <c r="A3120" t="s">
        <v>26</v>
      </c>
      <c r="B3120" t="s">
        <v>6714</v>
      </c>
      <c r="C3120">
        <v>94160.1875</v>
      </c>
      <c r="D3120">
        <v>95525.8984375</v>
      </c>
      <c r="E3120">
        <v>94014.2890625</v>
      </c>
      <c r="F3120">
        <v>95163.9296875</v>
      </c>
      <c r="G3120">
        <v>95163.9296875</v>
      </c>
      <c r="H3120">
        <v>24107436185</v>
      </c>
      <c r="I3120" t="s">
        <v>6713</v>
      </c>
      <c r="J3120" t="s">
        <v>6715</v>
      </c>
      <c r="K3120" t="s">
        <v>4634</v>
      </c>
    </row>
    <row r="3121" spans="1:11" ht="20" customHeight="1">
      <c r="A3121" t="s">
        <v>26</v>
      </c>
      <c r="B3121" t="s">
        <v>6716</v>
      </c>
      <c r="C3121">
        <v>95174.0546875</v>
      </c>
      <c r="D3121">
        <v>95174.875</v>
      </c>
      <c r="E3121">
        <v>92881.7890625</v>
      </c>
      <c r="F3121">
        <v>93530.2265625</v>
      </c>
      <c r="G3121">
        <v>93530.2265625</v>
      </c>
      <c r="H3121">
        <v>29635885267</v>
      </c>
      <c r="I3121" t="s">
        <v>6715</v>
      </c>
      <c r="J3121" t="s">
        <v>6717</v>
      </c>
      <c r="K3121" t="s">
        <v>4634</v>
      </c>
    </row>
    <row r="3122" spans="1:11" ht="20" customHeight="1">
      <c r="A3122" t="s">
        <v>26</v>
      </c>
      <c r="B3122" t="s">
        <v>3321</v>
      </c>
      <c r="C3122">
        <v>93527.1953125</v>
      </c>
      <c r="D3122">
        <v>94903.3203125</v>
      </c>
      <c r="E3122">
        <v>91317.1328125</v>
      </c>
      <c r="F3122">
        <v>92643.2109375</v>
      </c>
      <c r="G3122">
        <v>92643.2109375</v>
      </c>
      <c r="H3122">
        <v>56188003691</v>
      </c>
      <c r="I3122" t="s">
        <v>6717</v>
      </c>
      <c r="J3122" t="s">
        <v>6718</v>
      </c>
      <c r="K3122" t="s">
        <v>4634</v>
      </c>
    </row>
    <row r="3123" spans="1:11" ht="20" customHeight="1">
      <c r="A3123" t="s">
        <v>26</v>
      </c>
      <c r="B3123" t="s">
        <v>3324</v>
      </c>
      <c r="C3123">
        <v>92643.25</v>
      </c>
      <c r="D3123">
        <v>96090.6015625</v>
      </c>
      <c r="E3123">
        <v>91914.03125</v>
      </c>
      <c r="F3123">
        <v>93429.203125</v>
      </c>
      <c r="G3123">
        <v>93429.203125</v>
      </c>
      <c r="H3123">
        <v>43625106843</v>
      </c>
      <c r="I3123" t="s">
        <v>6718</v>
      </c>
      <c r="J3123" t="s">
        <v>6719</v>
      </c>
      <c r="K3123" t="s">
        <v>4634</v>
      </c>
    </row>
    <row r="3124" spans="1:11" ht="20" customHeight="1">
      <c r="A3124" t="s">
        <v>26</v>
      </c>
      <c r="B3124" t="s">
        <v>6720</v>
      </c>
      <c r="C3124">
        <v>93425.1015625</v>
      </c>
      <c r="D3124">
        <v>94929.8671875</v>
      </c>
      <c r="E3124">
        <v>92788.125</v>
      </c>
      <c r="F3124">
        <v>94419.7578125</v>
      </c>
      <c r="G3124">
        <v>94419.7578125</v>
      </c>
      <c r="H3124">
        <v>24519888919</v>
      </c>
      <c r="I3124" t="s">
        <v>6719</v>
      </c>
      <c r="J3124" t="s">
        <v>6721</v>
      </c>
      <c r="K3124" t="s">
        <v>4634</v>
      </c>
    </row>
    <row r="3125" spans="1:11" ht="20" customHeight="1">
      <c r="A3125" t="s">
        <v>26</v>
      </c>
      <c r="B3125" t="s">
        <v>3327</v>
      </c>
      <c r="C3125">
        <v>94416.2890625</v>
      </c>
      <c r="D3125">
        <v>97739.8203125</v>
      </c>
      <c r="E3125">
        <v>94201.5703125</v>
      </c>
      <c r="F3125">
        <v>96886.875</v>
      </c>
      <c r="G3125">
        <v>96886.875</v>
      </c>
      <c r="H3125">
        <v>46009564411</v>
      </c>
      <c r="I3125" t="s">
        <v>6721</v>
      </c>
      <c r="J3125" t="s">
        <v>6722</v>
      </c>
      <c r="K3125" t="s">
        <v>4634</v>
      </c>
    </row>
    <row r="3126" spans="1:11" ht="20" customHeight="1">
      <c r="A3126" t="s">
        <v>26</v>
      </c>
      <c r="B3126" t="s">
        <v>3330</v>
      </c>
      <c r="C3126">
        <v>96881.7265625</v>
      </c>
      <c r="D3126">
        <v>98956.9140625</v>
      </c>
      <c r="E3126">
        <v>96034.6171875</v>
      </c>
      <c r="F3126">
        <v>98107.4296875</v>
      </c>
      <c r="G3126">
        <v>98107.4296875</v>
      </c>
      <c r="H3126">
        <v>35611391163</v>
      </c>
      <c r="I3126" t="s">
        <v>6722</v>
      </c>
      <c r="J3126" t="s">
        <v>6723</v>
      </c>
      <c r="K3126" t="s">
        <v>4634</v>
      </c>
    </row>
    <row r="3127" spans="1:11" ht="20" customHeight="1">
      <c r="A3127" t="s">
        <v>26</v>
      </c>
      <c r="B3127" t="s">
        <v>6724</v>
      </c>
      <c r="C3127">
        <v>98106.9921875</v>
      </c>
      <c r="D3127">
        <v>98734.4296875</v>
      </c>
      <c r="E3127">
        <v>97562.9765625</v>
      </c>
      <c r="F3127">
        <v>98236.2265625</v>
      </c>
      <c r="G3127">
        <v>98236.2265625</v>
      </c>
      <c r="H3127">
        <v>22342608078</v>
      </c>
      <c r="I3127" t="s">
        <v>6723</v>
      </c>
      <c r="J3127" t="s">
        <v>6725</v>
      </c>
      <c r="K3127" t="s">
        <v>4634</v>
      </c>
    </row>
    <row r="3128" spans="1:11" ht="20" customHeight="1">
      <c r="A3128" t="s">
        <v>26</v>
      </c>
      <c r="B3128" t="s">
        <v>6726</v>
      </c>
      <c r="C3128">
        <v>98233.90625</v>
      </c>
      <c r="D3128">
        <v>98813.3046875</v>
      </c>
      <c r="E3128">
        <v>97291.765625</v>
      </c>
      <c r="F3128">
        <v>98314.9609375</v>
      </c>
      <c r="G3128">
        <v>98314.9609375</v>
      </c>
      <c r="H3128">
        <v>20525254825</v>
      </c>
      <c r="I3128" t="s">
        <v>6725</v>
      </c>
      <c r="J3128" t="s">
        <v>6727</v>
      </c>
      <c r="K3128" t="s">
        <v>4634</v>
      </c>
    </row>
    <row r="3129" spans="1:11" ht="20" customHeight="1">
      <c r="A3129" t="s">
        <v>26</v>
      </c>
      <c r="B3129" t="s">
        <v>3333</v>
      </c>
      <c r="C3129">
        <v>98314.953125</v>
      </c>
      <c r="D3129">
        <v>102482.875</v>
      </c>
      <c r="E3129">
        <v>97926.1484375</v>
      </c>
      <c r="F3129">
        <v>102078.0859375</v>
      </c>
      <c r="G3129">
        <v>102078.0859375</v>
      </c>
      <c r="H3129">
        <v>51823432705</v>
      </c>
      <c r="I3129" t="s">
        <v>6727</v>
      </c>
      <c r="J3129" t="s">
        <v>6728</v>
      </c>
      <c r="K3129" t="s">
        <v>4634</v>
      </c>
    </row>
    <row r="3130" spans="1:11" ht="20" customHeight="1">
      <c r="A3130" t="s">
        <v>26</v>
      </c>
      <c r="B3130" t="s">
        <v>3336</v>
      </c>
      <c r="C3130">
        <v>102248.8515625</v>
      </c>
      <c r="D3130">
        <v>102712.484375</v>
      </c>
      <c r="E3130">
        <v>96132.875</v>
      </c>
      <c r="F3130">
        <v>96922.703125</v>
      </c>
      <c r="G3130">
        <v>96922.703125</v>
      </c>
      <c r="H3130">
        <v>58685738547</v>
      </c>
      <c r="I3130" t="s">
        <v>6728</v>
      </c>
      <c r="J3130" t="s">
        <v>6729</v>
      </c>
      <c r="K3130" t="s">
        <v>4634</v>
      </c>
    </row>
    <row r="3131" spans="1:11" ht="20" customHeight="1">
      <c r="A3131" t="s">
        <v>26</v>
      </c>
      <c r="B3131" t="s">
        <v>3339</v>
      </c>
      <c r="C3131">
        <v>96924.1640625</v>
      </c>
      <c r="D3131">
        <v>97258.3203125</v>
      </c>
      <c r="E3131">
        <v>92525.84375</v>
      </c>
      <c r="F3131">
        <v>95043.5234375</v>
      </c>
      <c r="G3131">
        <v>95043.5234375</v>
      </c>
      <c r="H3131">
        <v>63875859171</v>
      </c>
      <c r="I3131" t="s">
        <v>6729</v>
      </c>
      <c r="J3131" t="s">
        <v>6730</v>
      </c>
      <c r="K3131" t="s">
        <v>4634</v>
      </c>
    </row>
    <row r="3132" spans="1:11" ht="20" customHeight="1">
      <c r="A3132" t="s">
        <v>26</v>
      </c>
      <c r="B3132" t="s">
        <v>6731</v>
      </c>
      <c r="C3132">
        <v>95043.484375</v>
      </c>
      <c r="D3132">
        <v>95349.71875</v>
      </c>
      <c r="E3132">
        <v>91220.84375</v>
      </c>
      <c r="F3132">
        <v>92484.0390625</v>
      </c>
      <c r="G3132">
        <v>92484.0390625</v>
      </c>
      <c r="H3132">
        <v>62777261693</v>
      </c>
      <c r="I3132" t="s">
        <v>6730</v>
      </c>
      <c r="J3132" t="s">
        <v>6732</v>
      </c>
      <c r="K3132" t="s">
        <v>4634</v>
      </c>
    </row>
    <row r="3133" spans="1:11" ht="20" customHeight="1">
      <c r="A3133" t="s">
        <v>26</v>
      </c>
      <c r="B3133" t="s">
        <v>3342</v>
      </c>
      <c r="C3133">
        <v>92494.4921875</v>
      </c>
      <c r="D3133">
        <v>95770.609375</v>
      </c>
      <c r="E3133">
        <v>92250.09375</v>
      </c>
      <c r="F3133">
        <v>94701.453125</v>
      </c>
      <c r="G3133">
        <v>94701.453125</v>
      </c>
      <c r="H3133">
        <v>62058693684</v>
      </c>
      <c r="I3133" t="s">
        <v>6732</v>
      </c>
      <c r="J3133" t="s">
        <v>6733</v>
      </c>
      <c r="K3133" t="s">
        <v>4634</v>
      </c>
    </row>
    <row r="3134" spans="1:11" ht="20" customHeight="1">
      <c r="A3134" t="s">
        <v>26</v>
      </c>
      <c r="B3134" t="s">
        <v>6734</v>
      </c>
      <c r="C3134">
        <v>94700.8359375</v>
      </c>
      <c r="D3134">
        <v>94977.6875</v>
      </c>
      <c r="E3134">
        <v>93840.046875</v>
      </c>
      <c r="F3134">
        <v>94566.59375</v>
      </c>
      <c r="G3134">
        <v>94566.59375</v>
      </c>
      <c r="H3134">
        <v>18860894100</v>
      </c>
      <c r="I3134" t="s">
        <v>6733</v>
      </c>
      <c r="J3134" t="s">
        <v>6735</v>
      </c>
      <c r="K3134" t="s">
        <v>4634</v>
      </c>
    </row>
    <row r="3135" spans="1:11" ht="20" customHeight="1">
      <c r="A3135" t="s">
        <v>26</v>
      </c>
      <c r="B3135" t="s">
        <v>6736</v>
      </c>
      <c r="C3135">
        <v>94565.7265625</v>
      </c>
      <c r="D3135">
        <v>95367.5390625</v>
      </c>
      <c r="E3135">
        <v>93712.5078125</v>
      </c>
      <c r="F3135">
        <v>94488.4375</v>
      </c>
      <c r="G3135">
        <v>94488.4375</v>
      </c>
      <c r="H3135">
        <v>20885130965</v>
      </c>
      <c r="I3135" t="s">
        <v>6735</v>
      </c>
      <c r="J3135" t="s">
        <v>6737</v>
      </c>
      <c r="K3135" t="s">
        <v>4634</v>
      </c>
    </row>
    <row r="3136" spans="1:11" ht="20" customHeight="1">
      <c r="A3136" t="s">
        <v>26</v>
      </c>
      <c r="B3136" t="s">
        <v>3345</v>
      </c>
      <c r="C3136">
        <v>94488.890625</v>
      </c>
      <c r="D3136">
        <v>95837</v>
      </c>
      <c r="E3136">
        <v>89260.1015625</v>
      </c>
      <c r="F3136">
        <v>94516.5234375</v>
      </c>
      <c r="G3136">
        <v>94516.5234375</v>
      </c>
      <c r="H3136">
        <v>72978998252</v>
      </c>
      <c r="I3136" t="s">
        <v>6737</v>
      </c>
      <c r="J3136" t="s">
        <v>6738</v>
      </c>
      <c r="K3136" t="s">
        <v>4634</v>
      </c>
    </row>
    <row r="3137" spans="1:11" ht="20" customHeight="1">
      <c r="A3137" t="s">
        <v>26</v>
      </c>
      <c r="B3137" t="s">
        <v>3348</v>
      </c>
      <c r="C3137">
        <v>94519.0078125</v>
      </c>
      <c r="D3137">
        <v>97352.6640625</v>
      </c>
      <c r="E3137">
        <v>94322.15625</v>
      </c>
      <c r="F3137">
        <v>96534.046875</v>
      </c>
      <c r="G3137">
        <v>96534.046875</v>
      </c>
      <c r="H3137">
        <v>53769675818</v>
      </c>
      <c r="I3137" t="s">
        <v>6738</v>
      </c>
      <c r="J3137" t="s">
        <v>6739</v>
      </c>
      <c r="K3137" t="s">
        <v>4634</v>
      </c>
    </row>
    <row r="3138" spans="1:11" ht="20" customHeight="1">
      <c r="A3138" t="s">
        <v>26</v>
      </c>
      <c r="B3138" t="s">
        <v>3351</v>
      </c>
      <c r="C3138">
        <v>96534.046875</v>
      </c>
      <c r="D3138">
        <v>100697.234375</v>
      </c>
      <c r="E3138">
        <v>96501.640625</v>
      </c>
      <c r="F3138">
        <v>100504.4921875</v>
      </c>
      <c r="G3138">
        <v>100504.4921875</v>
      </c>
      <c r="H3138">
        <v>57805923627</v>
      </c>
      <c r="I3138" t="s">
        <v>6739</v>
      </c>
      <c r="J3138" t="s">
        <v>6740</v>
      </c>
      <c r="K3138" t="s">
        <v>4634</v>
      </c>
    </row>
    <row r="3139" spans="1:11" ht="20" customHeight="1">
      <c r="A3139" t="s">
        <v>26</v>
      </c>
      <c r="B3139" t="s">
        <v>3354</v>
      </c>
      <c r="C3139">
        <v>100505.296875</v>
      </c>
      <c r="D3139">
        <v>100781.5859375</v>
      </c>
      <c r="E3139">
        <v>97364.4453125</v>
      </c>
      <c r="F3139">
        <v>99756.90625</v>
      </c>
      <c r="G3139">
        <v>99756.90625</v>
      </c>
      <c r="H3139">
        <v>54103781805</v>
      </c>
      <c r="I3139" t="s">
        <v>6740</v>
      </c>
      <c r="J3139" t="s">
        <v>6741</v>
      </c>
      <c r="K3139" t="s">
        <v>4634</v>
      </c>
    </row>
    <row r="3140" spans="1:11" ht="20" customHeight="1">
      <c r="A3140" t="s">
        <v>26</v>
      </c>
      <c r="B3140" t="s">
        <v>3357</v>
      </c>
      <c r="C3140">
        <v>100025.765625</v>
      </c>
      <c r="D3140">
        <v>105884.2265625</v>
      </c>
      <c r="E3140">
        <v>99948.90625</v>
      </c>
      <c r="F3140">
        <v>104462.0390625</v>
      </c>
      <c r="G3140">
        <v>104462.0390625</v>
      </c>
      <c r="H3140">
        <v>71888972663</v>
      </c>
      <c r="I3140" t="s">
        <v>6741</v>
      </c>
      <c r="J3140" t="s">
        <v>6742</v>
      </c>
      <c r="K3140" t="s">
        <v>4634</v>
      </c>
    </row>
    <row r="3141" spans="1:11" ht="20" customHeight="1">
      <c r="A3141" t="s">
        <v>26</v>
      </c>
      <c r="B3141" t="s">
        <v>6743</v>
      </c>
      <c r="C3141">
        <v>104124.953125</v>
      </c>
      <c r="D3141">
        <v>104913.203125</v>
      </c>
      <c r="E3141">
        <v>102226.6171875</v>
      </c>
      <c r="F3141">
        <v>104408.0703125</v>
      </c>
      <c r="G3141">
        <v>104408.0703125</v>
      </c>
      <c r="H3141">
        <v>50445655726</v>
      </c>
      <c r="I3141" t="s">
        <v>6742</v>
      </c>
      <c r="J3141" t="s">
        <v>6744</v>
      </c>
      <c r="K3141" t="s">
        <v>4634</v>
      </c>
    </row>
    <row r="3142" spans="1:11" ht="20" customHeight="1">
      <c r="A3142" t="s">
        <v>26</v>
      </c>
      <c r="B3142" t="s">
        <v>6745</v>
      </c>
      <c r="C3142">
        <v>104411.2890625</v>
      </c>
      <c r="D3142">
        <v>106299.796875</v>
      </c>
      <c r="E3142">
        <v>99570.53125</v>
      </c>
      <c r="F3142">
        <v>101089.609375</v>
      </c>
      <c r="G3142">
        <v>101089.609375</v>
      </c>
      <c r="H3142">
        <v>76789928525</v>
      </c>
      <c r="I3142" t="s">
        <v>6744</v>
      </c>
      <c r="J3142" t="s">
        <v>6746</v>
      </c>
      <c r="K3142" t="s">
        <v>4634</v>
      </c>
    </row>
    <row r="3143" spans="1:11" ht="20" customHeight="1">
      <c r="A3143" t="s">
        <v>26</v>
      </c>
      <c r="B3143" t="s">
        <v>6747</v>
      </c>
      <c r="C3143">
        <v>101083.75</v>
      </c>
      <c r="D3143">
        <v>109114.8828125</v>
      </c>
      <c r="E3143">
        <v>99471.359375</v>
      </c>
      <c r="F3143">
        <v>102016.6640625</v>
      </c>
      <c r="G3143">
        <v>102016.6640625</v>
      </c>
      <c r="H3143">
        <v>126279678351</v>
      </c>
      <c r="I3143" t="s">
        <v>6746</v>
      </c>
      <c r="J3143" t="s">
        <v>6748</v>
      </c>
      <c r="K3143" t="s">
        <v>4634</v>
      </c>
    </row>
    <row r="3144" spans="1:11" ht="20" customHeight="1">
      <c r="A3144" t="s">
        <v>26</v>
      </c>
      <c r="B3144" t="s">
        <v>3360</v>
      </c>
      <c r="C3144">
        <v>102052.578125</v>
      </c>
      <c r="D3144">
        <v>107180.921875</v>
      </c>
      <c r="E3144">
        <v>100103.953125</v>
      </c>
      <c r="F3144">
        <v>106146.265625</v>
      </c>
      <c r="G3144">
        <v>106146.265625</v>
      </c>
      <c r="H3144">
        <v>88733878242</v>
      </c>
      <c r="I3144" t="s">
        <v>6748</v>
      </c>
      <c r="J3144" t="s">
        <v>6749</v>
      </c>
      <c r="K3144" t="s">
        <v>4634</v>
      </c>
    </row>
    <row r="3145" spans="1:11" ht="20" customHeight="1">
      <c r="A3145" t="s">
        <v>26</v>
      </c>
      <c r="B3145" t="s">
        <v>3363</v>
      </c>
      <c r="C3145">
        <v>106136.3828125</v>
      </c>
      <c r="D3145">
        <v>106294.34375</v>
      </c>
      <c r="E3145">
        <v>103360.265625</v>
      </c>
      <c r="F3145">
        <v>103653.0703125</v>
      </c>
      <c r="G3145">
        <v>103653.0703125</v>
      </c>
      <c r="H3145">
        <v>53878181052</v>
      </c>
      <c r="I3145" t="s">
        <v>6749</v>
      </c>
      <c r="J3145" t="s">
        <v>6750</v>
      </c>
      <c r="K3145" t="s">
        <v>4634</v>
      </c>
    </row>
    <row r="3146" spans="1:11" ht="20" customHeight="1">
      <c r="A3146" t="s">
        <v>26</v>
      </c>
      <c r="B3146" t="s">
        <v>3366</v>
      </c>
      <c r="C3146">
        <v>103657.671875</v>
      </c>
      <c r="D3146">
        <v>106820.328125</v>
      </c>
      <c r="E3146">
        <v>101257.8046875</v>
      </c>
      <c r="F3146">
        <v>103960.171875</v>
      </c>
      <c r="G3146">
        <v>103960.171875</v>
      </c>
      <c r="H3146">
        <v>104104515428</v>
      </c>
      <c r="I3146" t="s">
        <v>6750</v>
      </c>
      <c r="J3146" t="s">
        <v>6751</v>
      </c>
      <c r="K3146" t="s">
        <v>4634</v>
      </c>
    </row>
    <row r="3147" spans="1:11" ht="20" customHeight="1">
      <c r="A3147" t="s">
        <v>26</v>
      </c>
      <c r="B3147" t="s">
        <v>3369</v>
      </c>
      <c r="C3147">
        <v>103965.671875</v>
      </c>
      <c r="D3147">
        <v>107098.546875</v>
      </c>
      <c r="E3147">
        <v>102772.125</v>
      </c>
      <c r="F3147">
        <v>104819.484375</v>
      </c>
      <c r="G3147">
        <v>104819.484375</v>
      </c>
      <c r="H3147">
        <v>52388229265</v>
      </c>
      <c r="I3147" t="s">
        <v>6751</v>
      </c>
      <c r="J3147" t="s">
        <v>6752</v>
      </c>
      <c r="K3147" t="s">
        <v>4634</v>
      </c>
    </row>
    <row r="3148" spans="1:11" ht="20" customHeight="1">
      <c r="A3148" t="s">
        <v>26</v>
      </c>
      <c r="B3148" t="s">
        <v>6753</v>
      </c>
      <c r="C3148">
        <v>104824.03125</v>
      </c>
      <c r="D3148">
        <v>105243.7890625</v>
      </c>
      <c r="E3148">
        <v>104120.375</v>
      </c>
      <c r="F3148">
        <v>104714.6484375</v>
      </c>
      <c r="G3148">
        <v>104714.6484375</v>
      </c>
      <c r="H3148">
        <v>23888996502</v>
      </c>
      <c r="I3148" t="s">
        <v>6752</v>
      </c>
      <c r="J3148" t="s">
        <v>6754</v>
      </c>
      <c r="K3148" t="s">
        <v>4634</v>
      </c>
    </row>
    <row r="3149" spans="1:11" ht="20" customHeight="1">
      <c r="A3149" t="s">
        <v>26</v>
      </c>
      <c r="B3149" t="s">
        <v>6755</v>
      </c>
      <c r="C3149">
        <v>104713.2109375</v>
      </c>
      <c r="D3149">
        <v>105438.6484375</v>
      </c>
      <c r="E3149">
        <v>102507.7109375</v>
      </c>
      <c r="F3149">
        <v>102682.5</v>
      </c>
      <c r="G3149">
        <v>102682.5</v>
      </c>
      <c r="H3149">
        <v>22543395879</v>
      </c>
      <c r="I3149" t="s">
        <v>6754</v>
      </c>
      <c r="J3149" t="s">
        <v>6756</v>
      </c>
      <c r="K3149" t="s">
        <v>4634</v>
      </c>
    </row>
    <row r="3150" spans="1:11" ht="20" customHeight="1">
      <c r="A3150" t="s">
        <v>26</v>
      </c>
      <c r="B3150" t="s">
        <v>3372</v>
      </c>
      <c r="C3150">
        <v>102680.3046875</v>
      </c>
      <c r="D3150">
        <v>103214.109375</v>
      </c>
      <c r="E3150">
        <v>97795.9375</v>
      </c>
      <c r="F3150">
        <v>102087.6875</v>
      </c>
      <c r="G3150">
        <v>102087.6875</v>
      </c>
      <c r="H3150">
        <v>89006608428</v>
      </c>
      <c r="I3150" t="s">
        <v>6756</v>
      </c>
      <c r="J3150" t="s">
        <v>6757</v>
      </c>
      <c r="K3150" t="s">
        <v>4634</v>
      </c>
    </row>
    <row r="3151" spans="1:11" ht="20" customHeight="1">
      <c r="A3151" t="s">
        <v>26</v>
      </c>
      <c r="B3151" t="s">
        <v>3375</v>
      </c>
      <c r="C3151">
        <v>102095.4140625</v>
      </c>
      <c r="D3151">
        <v>103730.8203125</v>
      </c>
      <c r="E3151">
        <v>100238.1875</v>
      </c>
      <c r="F3151">
        <v>101332.4765625</v>
      </c>
      <c r="G3151">
        <v>101332.4765625</v>
      </c>
      <c r="H3151">
        <v>47180685494</v>
      </c>
      <c r="I3151" t="s">
        <v>6757</v>
      </c>
      <c r="J3151" t="s">
        <v>6758</v>
      </c>
      <c r="K3151" t="s">
        <v>4634</v>
      </c>
    </row>
    <row r="3152" spans="1:11" ht="20" customHeight="1">
      <c r="A3152" t="s">
        <v>26</v>
      </c>
      <c r="B3152" t="s">
        <v>3378</v>
      </c>
      <c r="C3152">
        <v>101317.5234375</v>
      </c>
      <c r="D3152">
        <v>104750.8046875</v>
      </c>
      <c r="E3152">
        <v>101283.8203125</v>
      </c>
      <c r="F3152">
        <v>103703.2109375</v>
      </c>
      <c r="G3152">
        <v>103703.2109375</v>
      </c>
      <c r="H3152">
        <v>47432049818</v>
      </c>
      <c r="I3152" t="s">
        <v>6758</v>
      </c>
      <c r="J3152" t="s">
        <v>6759</v>
      </c>
      <c r="K3152" t="s">
        <v>4634</v>
      </c>
    </row>
    <row r="3153" spans="1:11" ht="20" customHeight="1">
      <c r="A3153" t="s">
        <v>26</v>
      </c>
      <c r="B3153" t="s">
        <v>3381</v>
      </c>
      <c r="C3153">
        <v>103709.3359375</v>
      </c>
      <c r="D3153">
        <v>106418.765625</v>
      </c>
      <c r="E3153">
        <v>103321.6484375</v>
      </c>
      <c r="F3153">
        <v>104735.3046875</v>
      </c>
      <c r="G3153">
        <v>104735.3046875</v>
      </c>
      <c r="H3153">
        <v>41915744521</v>
      </c>
      <c r="I3153" t="s">
        <v>6759</v>
      </c>
      <c r="J3153" t="s">
        <v>6760</v>
      </c>
      <c r="K3153" t="s">
        <v>4634</v>
      </c>
    </row>
    <row r="3154" spans="1:11" ht="20" customHeight="1">
      <c r="A3154" t="s">
        <v>26</v>
      </c>
      <c r="B3154" t="s">
        <v>3384</v>
      </c>
      <c r="C3154">
        <v>104737.5625</v>
      </c>
      <c r="D3154">
        <v>106026.3515625</v>
      </c>
      <c r="E3154">
        <v>101543.8828125</v>
      </c>
      <c r="F3154">
        <v>102405.0234375</v>
      </c>
      <c r="G3154">
        <v>102405.0234375</v>
      </c>
      <c r="H3154">
        <v>45732764360</v>
      </c>
      <c r="I3154" t="s">
        <v>6760</v>
      </c>
      <c r="J3154" t="s">
        <v>6761</v>
      </c>
      <c r="K3154" t="s">
        <v>4634</v>
      </c>
    </row>
    <row r="3155" spans="1:11" ht="20" customHeight="1">
      <c r="A3155" t="s">
        <v>26</v>
      </c>
      <c r="B3155" t="s">
        <v>6762</v>
      </c>
      <c r="C3155">
        <v>102402.796875</v>
      </c>
      <c r="D3155">
        <v>102755.7265625</v>
      </c>
      <c r="E3155">
        <v>100297.7109375</v>
      </c>
      <c r="F3155">
        <v>100655.90625</v>
      </c>
      <c r="G3155">
        <v>100655.90625</v>
      </c>
      <c r="H3155">
        <v>27757944848</v>
      </c>
      <c r="I3155" t="s">
        <v>6761</v>
      </c>
      <c r="J3155" t="s">
        <v>6763</v>
      </c>
      <c r="K3155" t="s">
        <v>4634</v>
      </c>
    </row>
    <row r="3156" spans="1:11" ht="20" customHeight="1">
      <c r="A3156" t="s">
        <v>26</v>
      </c>
      <c r="B3156" t="s">
        <v>6764</v>
      </c>
      <c r="C3156">
        <v>100661.5390625</v>
      </c>
      <c r="D3156">
        <v>101430.6640625</v>
      </c>
      <c r="E3156">
        <v>96216.078125</v>
      </c>
      <c r="F3156">
        <v>97688.9765625</v>
      </c>
      <c r="G3156">
        <v>97688.9765625</v>
      </c>
      <c r="H3156">
        <v>63091816853</v>
      </c>
      <c r="I3156" t="s">
        <v>6763</v>
      </c>
      <c r="J3156" t="s">
        <v>6765</v>
      </c>
      <c r="K3156" t="s">
        <v>4634</v>
      </c>
    </row>
    <row r="3157" spans="1:11" ht="20" customHeight="1">
      <c r="A3157" t="s">
        <v>26</v>
      </c>
      <c r="B3157" t="s">
        <v>3387</v>
      </c>
      <c r="C3157">
        <v>97681.1015625</v>
      </c>
      <c r="D3157">
        <v>102514.171875</v>
      </c>
      <c r="E3157">
        <v>91242.890625</v>
      </c>
      <c r="F3157">
        <v>101405.421875</v>
      </c>
      <c r="G3157">
        <v>101405.421875</v>
      </c>
      <c r="H3157">
        <v>115400897748</v>
      </c>
      <c r="I3157" t="s">
        <v>6765</v>
      </c>
      <c r="J3157" t="s">
        <v>6766</v>
      </c>
      <c r="K3157" t="s">
        <v>4634</v>
      </c>
    </row>
    <row r="3158" spans="1:11" ht="20" customHeight="1">
      <c r="A3158" t="s">
        <v>26</v>
      </c>
      <c r="B3158" t="s">
        <v>3390</v>
      </c>
      <c r="C3158">
        <v>101398.71875</v>
      </c>
      <c r="D3158">
        <v>101745.6171875</v>
      </c>
      <c r="E3158">
        <v>96208.109375</v>
      </c>
      <c r="F3158">
        <v>97871.8203125</v>
      </c>
      <c r="G3158">
        <v>97871.8203125</v>
      </c>
      <c r="H3158">
        <v>73002130211</v>
      </c>
      <c r="I3158" t="s">
        <v>6766</v>
      </c>
      <c r="J3158" t="s">
        <v>6767</v>
      </c>
      <c r="K3158" t="s">
        <v>4634</v>
      </c>
    </row>
    <row r="3159" spans="1:11" ht="20" customHeight="1">
      <c r="A3159" t="s">
        <v>26</v>
      </c>
      <c r="B3159" t="s">
        <v>3393</v>
      </c>
      <c r="C3159">
        <v>97878.0078125</v>
      </c>
      <c r="D3159">
        <v>99113.2109375</v>
      </c>
      <c r="E3159">
        <v>96174.828125</v>
      </c>
      <c r="F3159">
        <v>96615.4453125</v>
      </c>
      <c r="G3159">
        <v>96615.4453125</v>
      </c>
      <c r="H3159">
        <v>49125911241</v>
      </c>
      <c r="I3159" t="s">
        <v>6767</v>
      </c>
      <c r="J3159" t="s">
        <v>6768</v>
      </c>
      <c r="K3159" t="s">
        <v>4634</v>
      </c>
    </row>
    <row r="3160" spans="1:11" ht="20" customHeight="1">
      <c r="A3160" t="s">
        <v>26</v>
      </c>
      <c r="B3160" t="s">
        <v>3396</v>
      </c>
      <c r="C3160">
        <v>96610.640625</v>
      </c>
      <c r="D3160">
        <v>99168.609375</v>
      </c>
      <c r="E3160">
        <v>95707.3515625</v>
      </c>
      <c r="F3160">
        <v>96593.296875</v>
      </c>
      <c r="G3160">
        <v>96593.296875</v>
      </c>
      <c r="H3160">
        <v>45302471947</v>
      </c>
      <c r="I3160" t="s">
        <v>6768</v>
      </c>
      <c r="J3160" t="s">
        <v>6769</v>
      </c>
      <c r="K3160" t="s">
        <v>4634</v>
      </c>
    </row>
    <row r="3161" spans="1:11" ht="20" customHeight="1">
      <c r="A3161" t="s">
        <v>26</v>
      </c>
      <c r="B3161" t="s">
        <v>3399</v>
      </c>
      <c r="C3161">
        <v>96581.3203125</v>
      </c>
      <c r="D3161">
        <v>100154.140625</v>
      </c>
      <c r="E3161">
        <v>95653.8828125</v>
      </c>
      <c r="F3161">
        <v>96529.0859375</v>
      </c>
      <c r="G3161">
        <v>96529.0859375</v>
      </c>
      <c r="H3161">
        <v>55741290456</v>
      </c>
      <c r="I3161" t="s">
        <v>6769</v>
      </c>
      <c r="J3161" t="s">
        <v>6770</v>
      </c>
      <c r="K3161" t="s">
        <v>4634</v>
      </c>
    </row>
    <row r="3162" spans="1:11" ht="20" customHeight="1">
      <c r="A3162" t="s">
        <v>26</v>
      </c>
      <c r="B3162" t="s">
        <v>6771</v>
      </c>
      <c r="C3162">
        <v>96533.2578125</v>
      </c>
      <c r="D3162">
        <v>96877.8046875</v>
      </c>
      <c r="E3162">
        <v>95702.4921875</v>
      </c>
      <c r="F3162">
        <v>96482.453125</v>
      </c>
      <c r="G3162">
        <v>96482.453125</v>
      </c>
      <c r="H3162">
        <v>22447526395</v>
      </c>
      <c r="I3162" t="s">
        <v>6770</v>
      </c>
      <c r="J3162" t="s">
        <v>6772</v>
      </c>
      <c r="K3162" t="s">
        <v>4634</v>
      </c>
    </row>
    <row r="3163" spans="1:11" ht="20" customHeight="1">
      <c r="A3163" t="s">
        <v>26</v>
      </c>
      <c r="B3163" t="s">
        <v>6773</v>
      </c>
      <c r="C3163">
        <v>96481.3125</v>
      </c>
      <c r="D3163">
        <v>97325.28125</v>
      </c>
      <c r="E3163">
        <v>94745.2578125</v>
      </c>
      <c r="F3163">
        <v>96500.09375</v>
      </c>
      <c r="G3163">
        <v>96500.09375</v>
      </c>
      <c r="H3163">
        <v>27732901800</v>
      </c>
      <c r="I3163" t="s">
        <v>6772</v>
      </c>
      <c r="J3163" t="s">
        <v>6774</v>
      </c>
      <c r="K3163" t="s">
        <v>4634</v>
      </c>
    </row>
    <row r="3164" spans="1:11" ht="20" customHeight="1">
      <c r="A3164" t="s">
        <v>26</v>
      </c>
      <c r="B3164" t="s">
        <v>3402</v>
      </c>
      <c r="C3164">
        <v>96499.4609375</v>
      </c>
      <c r="D3164">
        <v>98333.21875</v>
      </c>
      <c r="E3164">
        <v>95320.84375</v>
      </c>
      <c r="F3164">
        <v>97437.5546875</v>
      </c>
      <c r="G3164">
        <v>97437.5546875</v>
      </c>
      <c r="H3164">
        <v>40078962391</v>
      </c>
      <c r="I3164" t="s">
        <v>6774</v>
      </c>
      <c r="J3164" t="s">
        <v>6775</v>
      </c>
      <c r="K3164" t="s">
        <v>4634</v>
      </c>
    </row>
    <row r="3165" spans="1:11" ht="20" customHeight="1">
      <c r="A3165" t="s">
        <v>26</v>
      </c>
      <c r="B3165" t="s">
        <v>3405</v>
      </c>
      <c r="C3165">
        <v>97438.1328125</v>
      </c>
      <c r="D3165">
        <v>98492.8984375</v>
      </c>
      <c r="E3165">
        <v>94875.0390625</v>
      </c>
      <c r="F3165">
        <v>95747.4296875</v>
      </c>
      <c r="G3165">
        <v>95747.4296875</v>
      </c>
      <c r="H3165">
        <v>37488783272</v>
      </c>
      <c r="I3165" t="s">
        <v>6775</v>
      </c>
      <c r="J3165" t="s">
        <v>6776</v>
      </c>
      <c r="K3165" t="s">
        <v>4634</v>
      </c>
    </row>
    <row r="3166" spans="1:11" ht="20" customHeight="1">
      <c r="A3166" t="s">
        <v>26</v>
      </c>
      <c r="B3166" t="s">
        <v>3408</v>
      </c>
      <c r="C3166">
        <v>95745.6953125</v>
      </c>
      <c r="D3166">
        <v>98151.0234375</v>
      </c>
      <c r="E3166">
        <v>94101.203125</v>
      </c>
      <c r="F3166">
        <v>97885.859375</v>
      </c>
      <c r="G3166">
        <v>97885.859375</v>
      </c>
      <c r="H3166">
        <v>49340445530</v>
      </c>
      <c r="I3166" t="s">
        <v>6776</v>
      </c>
      <c r="J3166" t="s">
        <v>6777</v>
      </c>
      <c r="K3166" t="s">
        <v>4634</v>
      </c>
    </row>
    <row r="3167" spans="1:11" ht="20" customHeight="1">
      <c r="A3167" t="s">
        <v>26</v>
      </c>
      <c r="B3167" t="s">
        <v>3411</v>
      </c>
      <c r="C3167">
        <v>97888.75</v>
      </c>
      <c r="D3167">
        <v>98111.0859375</v>
      </c>
      <c r="E3167">
        <v>95269.7109375</v>
      </c>
      <c r="F3167">
        <v>96623.8671875</v>
      </c>
      <c r="G3167">
        <v>96623.8671875</v>
      </c>
      <c r="H3167">
        <v>37147280860</v>
      </c>
      <c r="I3167" t="s">
        <v>6777</v>
      </c>
      <c r="J3167" t="s">
        <v>6778</v>
      </c>
      <c r="K3167" t="s">
        <v>4634</v>
      </c>
    </row>
    <row r="3168" spans="1:11" ht="20" customHeight="1">
      <c r="A3168" t="s">
        <v>26</v>
      </c>
      <c r="B3168" t="s">
        <v>3414</v>
      </c>
      <c r="C3168">
        <v>96623.3671875</v>
      </c>
      <c r="D3168">
        <v>98819.46875</v>
      </c>
      <c r="E3168">
        <v>96342.8046875</v>
      </c>
      <c r="F3168">
        <v>97508.96875</v>
      </c>
      <c r="G3168">
        <v>97508.96875</v>
      </c>
      <c r="H3168">
        <v>32697987277</v>
      </c>
      <c r="I3168" t="s">
        <v>6778</v>
      </c>
      <c r="J3168" t="s">
        <v>6779</v>
      </c>
      <c r="K3168" t="s">
        <v>4634</v>
      </c>
    </row>
    <row r="3169" spans="1:11" ht="20" customHeight="1">
      <c r="A3169" t="s">
        <v>26</v>
      </c>
      <c r="B3169" t="s">
        <v>6780</v>
      </c>
      <c r="C3169">
        <v>97508.3828125</v>
      </c>
      <c r="D3169">
        <v>97975.0390625</v>
      </c>
      <c r="E3169">
        <v>97240.1953125</v>
      </c>
      <c r="F3169">
        <v>97580.3515625</v>
      </c>
      <c r="G3169">
        <v>97580.3515625</v>
      </c>
      <c r="H3169">
        <v>17047266288</v>
      </c>
      <c r="I3169" t="s">
        <v>6779</v>
      </c>
      <c r="J3169" t="s">
        <v>6781</v>
      </c>
      <c r="K3169" t="s">
        <v>4634</v>
      </c>
    </row>
    <row r="3170" spans="1:11" ht="20" customHeight="1">
      <c r="A3170" t="s">
        <v>26</v>
      </c>
      <c r="B3170" t="s">
        <v>6782</v>
      </c>
      <c r="C3170">
        <v>97580.4921875</v>
      </c>
      <c r="D3170">
        <v>97725.59375</v>
      </c>
      <c r="E3170">
        <v>96060.9765625</v>
      </c>
      <c r="F3170">
        <v>96175.03125</v>
      </c>
      <c r="G3170">
        <v>96175.03125</v>
      </c>
      <c r="H3170">
        <v>16536755396</v>
      </c>
      <c r="I3170" t="s">
        <v>6781</v>
      </c>
      <c r="J3170" t="s">
        <v>6783</v>
      </c>
      <c r="K3170" t="s">
        <v>4634</v>
      </c>
    </row>
    <row r="3171" spans="1:11" ht="20" customHeight="1">
      <c r="A3171" t="s">
        <v>26</v>
      </c>
      <c r="B3171" t="s">
        <v>6784</v>
      </c>
      <c r="C3171">
        <v>96179.0078125</v>
      </c>
      <c r="D3171">
        <v>97032.234375</v>
      </c>
      <c r="E3171">
        <v>95243.546875</v>
      </c>
      <c r="F3171">
        <v>95773.3828125</v>
      </c>
      <c r="G3171">
        <v>95773.3828125</v>
      </c>
      <c r="H3171">
        <v>27336550690</v>
      </c>
      <c r="I3171" t="s">
        <v>6783</v>
      </c>
      <c r="J3171" t="s">
        <v>6785</v>
      </c>
      <c r="K3171" t="s">
        <v>4634</v>
      </c>
    </row>
    <row r="3172" spans="1:11" ht="20" customHeight="1">
      <c r="A3172" t="s">
        <v>26</v>
      </c>
      <c r="B3172" t="s">
        <v>3417</v>
      </c>
      <c r="C3172">
        <v>95773.8125</v>
      </c>
      <c r="D3172">
        <v>96695.375</v>
      </c>
      <c r="E3172">
        <v>93388.8359375</v>
      </c>
      <c r="F3172">
        <v>95539.546875</v>
      </c>
      <c r="G3172">
        <v>95539.546875</v>
      </c>
      <c r="H3172">
        <v>37325720482</v>
      </c>
      <c r="I3172" t="s">
        <v>6785</v>
      </c>
      <c r="J3172" t="s">
        <v>6786</v>
      </c>
      <c r="K3172" t="s">
        <v>4634</v>
      </c>
    </row>
    <row r="3173" spans="1:11" ht="20" customHeight="1">
      <c r="A3173" t="s">
        <v>26</v>
      </c>
      <c r="B3173" t="s">
        <v>3420</v>
      </c>
      <c r="C3173">
        <v>95532.53125</v>
      </c>
      <c r="D3173">
        <v>96855.59375</v>
      </c>
      <c r="E3173">
        <v>95011.96875</v>
      </c>
      <c r="F3173">
        <v>96635.609375</v>
      </c>
      <c r="G3173">
        <v>96635.609375</v>
      </c>
      <c r="H3173">
        <v>28990872862</v>
      </c>
      <c r="I3173" t="s">
        <v>6786</v>
      </c>
      <c r="J3173" t="s">
        <v>6787</v>
      </c>
      <c r="K3173" t="s">
        <v>4634</v>
      </c>
    </row>
    <row r="3174" spans="1:11" ht="20" customHeight="1">
      <c r="A3174" t="s">
        <v>26</v>
      </c>
      <c r="B3174" t="s">
        <v>3423</v>
      </c>
      <c r="C3174">
        <v>96632.6796875</v>
      </c>
      <c r="D3174">
        <v>98767.1953125</v>
      </c>
      <c r="E3174">
        <v>96442.671875</v>
      </c>
      <c r="F3174">
        <v>98333.9375</v>
      </c>
      <c r="G3174">
        <v>98333.9375</v>
      </c>
      <c r="H3174">
        <v>31668022771</v>
      </c>
      <c r="I3174" t="s">
        <v>6787</v>
      </c>
      <c r="J3174" t="s">
        <v>6788</v>
      </c>
      <c r="K3174" t="s">
        <v>4634</v>
      </c>
    </row>
    <row r="3175" spans="1:11" ht="20" customHeight="1">
      <c r="A3175" t="s">
        <v>26</v>
      </c>
      <c r="B3175" t="s">
        <v>3426</v>
      </c>
      <c r="C3175">
        <v>98340.671875</v>
      </c>
      <c r="D3175">
        <v>99497.96875</v>
      </c>
      <c r="E3175">
        <v>94852.9609375</v>
      </c>
      <c r="F3175">
        <v>96125.546875</v>
      </c>
      <c r="G3175">
        <v>96125.546875</v>
      </c>
      <c r="H3175">
        <v>49608706470</v>
      </c>
      <c r="I3175" t="s">
        <v>6788</v>
      </c>
      <c r="J3175" t="s">
        <v>6789</v>
      </c>
      <c r="K3175" t="s">
        <v>4634</v>
      </c>
    </row>
    <row r="3176" spans="1:11" ht="20" customHeight="1">
      <c r="A3176" t="s">
        <v>26</v>
      </c>
      <c r="B3176" t="s">
        <v>6790</v>
      </c>
      <c r="C3176">
        <v>96134.203125</v>
      </c>
      <c r="D3176">
        <v>96950.15625</v>
      </c>
      <c r="E3176">
        <v>95765.34375</v>
      </c>
      <c r="F3176">
        <v>96577.7578125</v>
      </c>
      <c r="G3176">
        <v>96577.7578125</v>
      </c>
      <c r="H3176">
        <v>18353824477</v>
      </c>
      <c r="I3176" t="s">
        <v>6789</v>
      </c>
      <c r="J3176" t="s">
        <v>6791</v>
      </c>
      <c r="K3176" t="s">
        <v>4634</v>
      </c>
    </row>
    <row r="3177" spans="1:11" ht="20" customHeight="1">
      <c r="A3177" t="s">
        <v>26</v>
      </c>
      <c r="B3177" t="s">
        <v>6792</v>
      </c>
      <c r="C3177">
        <v>96577.8046875</v>
      </c>
      <c r="D3177">
        <v>96671.875</v>
      </c>
      <c r="E3177">
        <v>95270.453125</v>
      </c>
      <c r="F3177">
        <v>96273.921875</v>
      </c>
      <c r="G3177">
        <v>96273.921875</v>
      </c>
      <c r="H3177">
        <v>16999478976</v>
      </c>
      <c r="I3177" t="s">
        <v>6791</v>
      </c>
      <c r="J3177" t="s">
        <v>6793</v>
      </c>
      <c r="K3177" t="s">
        <v>4634</v>
      </c>
    </row>
    <row r="3178" spans="1:11" ht="20" customHeight="1">
      <c r="A3178" t="s">
        <v>26</v>
      </c>
      <c r="B3178" t="s">
        <v>3429</v>
      </c>
      <c r="C3178">
        <v>96277.9609375</v>
      </c>
      <c r="D3178">
        <v>96503.453125</v>
      </c>
      <c r="E3178">
        <v>91371.7421875</v>
      </c>
      <c r="F3178">
        <v>91418.171875</v>
      </c>
      <c r="G3178">
        <v>91418.171875</v>
      </c>
      <c r="H3178">
        <v>44046480529</v>
      </c>
      <c r="I3178" t="s">
        <v>6793</v>
      </c>
      <c r="J3178" t="s">
        <v>6794</v>
      </c>
      <c r="K3178" t="s">
        <v>4634</v>
      </c>
    </row>
    <row r="3179" spans="1:11" ht="20" customHeight="1">
      <c r="A3179" t="s">
        <v>26</v>
      </c>
      <c r="B3179" t="s">
        <v>3432</v>
      </c>
      <c r="C3179">
        <v>91437.1171875</v>
      </c>
      <c r="D3179">
        <v>92511.078125</v>
      </c>
      <c r="E3179">
        <v>86008.234375</v>
      </c>
      <c r="F3179">
        <v>88736.171875</v>
      </c>
      <c r="G3179">
        <v>88736.171875</v>
      </c>
      <c r="H3179">
        <v>92139104128</v>
      </c>
      <c r="I3179" t="s">
        <v>6794</v>
      </c>
      <c r="J3179" t="s">
        <v>6795</v>
      </c>
      <c r="K3179" t="s">
        <v>4634</v>
      </c>
    </row>
    <row r="3180" spans="1:11" ht="20" customHeight="1">
      <c r="A3180" t="s">
        <v>26</v>
      </c>
      <c r="B3180" t="s">
        <v>3435</v>
      </c>
      <c r="C3180">
        <v>88638.890625</v>
      </c>
      <c r="D3180">
        <v>89286.25</v>
      </c>
      <c r="E3180">
        <v>82131.8984375</v>
      </c>
      <c r="F3180">
        <v>84347.0234375</v>
      </c>
      <c r="G3180">
        <v>84347.0234375</v>
      </c>
      <c r="H3180">
        <v>64597492134</v>
      </c>
      <c r="I3180" t="s">
        <v>6795</v>
      </c>
      <c r="J3180" t="s">
        <v>6796</v>
      </c>
      <c r="K3180" t="s">
        <v>4634</v>
      </c>
    </row>
    <row r="3181" spans="1:11" ht="20" customHeight="1">
      <c r="A3181" t="s">
        <v>26</v>
      </c>
      <c r="B3181" t="s">
        <v>3438</v>
      </c>
      <c r="C3181">
        <v>84076.859375</v>
      </c>
      <c r="D3181">
        <v>87000.78125</v>
      </c>
      <c r="E3181">
        <v>83144.9609375</v>
      </c>
      <c r="F3181">
        <v>84704.2265625</v>
      </c>
      <c r="G3181">
        <v>84704.2265625</v>
      </c>
      <c r="H3181">
        <v>52659591954</v>
      </c>
      <c r="I3181" t="s">
        <v>6796</v>
      </c>
      <c r="J3181" t="s">
        <v>6797</v>
      </c>
      <c r="K3181" t="s">
        <v>4634</v>
      </c>
    </row>
    <row r="3182" spans="1:11" ht="20" customHeight="1">
      <c r="A3182" t="s">
        <v>26</v>
      </c>
      <c r="B3182" t="s">
        <v>3441</v>
      </c>
      <c r="C3182">
        <v>84705.625</v>
      </c>
      <c r="D3182">
        <v>85036.3203125</v>
      </c>
      <c r="E3182">
        <v>78248.9140625</v>
      </c>
      <c r="F3182">
        <v>84373.0078125</v>
      </c>
      <c r="G3182">
        <v>84373.0078125</v>
      </c>
      <c r="H3182">
        <v>83610570576</v>
      </c>
      <c r="I3182" t="s">
        <v>6797</v>
      </c>
      <c r="J3182" t="s">
        <v>6798</v>
      </c>
      <c r="K3182" t="s">
        <v>4634</v>
      </c>
    </row>
    <row r="3183" spans="1:11" ht="20" customHeight="1">
      <c r="A3183" t="s">
        <v>26</v>
      </c>
      <c r="B3183" t="s">
        <v>6799</v>
      </c>
      <c r="C3183">
        <v>84373.8671875</v>
      </c>
      <c r="D3183">
        <v>86522.3046875</v>
      </c>
      <c r="E3183">
        <v>83794.234375</v>
      </c>
      <c r="F3183">
        <v>86031.9140625</v>
      </c>
      <c r="G3183">
        <v>86031.9140625</v>
      </c>
      <c r="H3183">
        <v>29190628396</v>
      </c>
      <c r="I3183" t="s">
        <v>6798</v>
      </c>
      <c r="J3183" t="s">
        <v>6800</v>
      </c>
      <c r="K3183" t="s">
        <v>4634</v>
      </c>
    </row>
    <row r="3184" spans="1:11" ht="20" customHeight="1">
      <c r="A3184" t="s">
        <v>26</v>
      </c>
      <c r="B3184" t="s">
        <v>6801</v>
      </c>
      <c r="C3184">
        <v>86036.2578125</v>
      </c>
      <c r="D3184">
        <v>95043.4375</v>
      </c>
      <c r="E3184">
        <v>85040.2109375</v>
      </c>
      <c r="F3184">
        <v>94248.3515625</v>
      </c>
      <c r="G3184">
        <v>94248.3515625</v>
      </c>
      <c r="H3184">
        <v>58398341092</v>
      </c>
      <c r="I3184" t="s">
        <v>6800</v>
      </c>
      <c r="J3184" t="s">
        <v>6802</v>
      </c>
      <c r="K3184" t="s">
        <v>4634</v>
      </c>
    </row>
    <row r="3185" spans="1:11" ht="20" customHeight="1">
      <c r="A3185" t="s">
        <v>26</v>
      </c>
      <c r="B3185" t="s">
        <v>3444</v>
      </c>
      <c r="C3185">
        <v>94248.421875</v>
      </c>
      <c r="D3185">
        <v>94429.75</v>
      </c>
      <c r="E3185">
        <v>85081.3046875</v>
      </c>
      <c r="F3185">
        <v>86065.671875</v>
      </c>
      <c r="G3185">
        <v>86065.671875</v>
      </c>
      <c r="H3185">
        <v>70072228536</v>
      </c>
      <c r="I3185" t="s">
        <v>6802</v>
      </c>
      <c r="J3185" t="s">
        <v>6803</v>
      </c>
      <c r="K3185" t="s">
        <v>4634</v>
      </c>
    </row>
    <row r="3186" spans="1:11" ht="20" customHeight="1">
      <c r="A3186" t="s">
        <v>26</v>
      </c>
      <c r="B3186" t="s">
        <v>3447</v>
      </c>
      <c r="C3186">
        <v>86064.0703125</v>
      </c>
      <c r="D3186">
        <v>88911.2734375</v>
      </c>
      <c r="E3186">
        <v>81529.2421875</v>
      </c>
      <c r="F3186">
        <v>87222.1953125</v>
      </c>
      <c r="G3186">
        <v>87222.1953125</v>
      </c>
      <c r="H3186">
        <v>68095241474</v>
      </c>
      <c r="I3186" t="s">
        <v>6803</v>
      </c>
      <c r="J3186" t="s">
        <v>6804</v>
      </c>
      <c r="K3186" t="s">
        <v>4634</v>
      </c>
    </row>
    <row r="3187" spans="1:11" ht="20" customHeight="1">
      <c r="A3187" t="s">
        <v>26</v>
      </c>
      <c r="B3187" t="s">
        <v>3450</v>
      </c>
      <c r="C3187">
        <v>87222.953125</v>
      </c>
      <c r="D3187">
        <v>90998.2421875</v>
      </c>
      <c r="E3187">
        <v>86379.7734375</v>
      </c>
      <c r="F3187">
        <v>90623.5625</v>
      </c>
      <c r="G3187">
        <v>90623.5625</v>
      </c>
      <c r="H3187">
        <v>50498988027</v>
      </c>
      <c r="I3187" t="s">
        <v>6804</v>
      </c>
      <c r="J3187" t="s">
        <v>6805</v>
      </c>
      <c r="K3187" t="s">
        <v>4634</v>
      </c>
    </row>
    <row r="3188" spans="1:11" ht="20" customHeight="1">
      <c r="A3188" t="s">
        <v>26</v>
      </c>
      <c r="B3188" t="s">
        <v>3453</v>
      </c>
      <c r="C3188">
        <v>90622.359375</v>
      </c>
      <c r="D3188">
        <v>92804.9375</v>
      </c>
      <c r="E3188">
        <v>87852.140625</v>
      </c>
      <c r="F3188">
        <v>89961.7265625</v>
      </c>
      <c r="G3188">
        <v>89961.7265625</v>
      </c>
      <c r="H3188">
        <v>47749810486</v>
      </c>
      <c r="I3188" t="s">
        <v>6805</v>
      </c>
      <c r="J3188" t="s">
        <v>6806</v>
      </c>
      <c r="K3188" t="s">
        <v>4634</v>
      </c>
    </row>
    <row r="3189" spans="1:11" ht="20" customHeight="1">
      <c r="A3189" t="s">
        <v>26</v>
      </c>
      <c r="B3189" t="s">
        <v>3456</v>
      </c>
      <c r="C3189">
        <v>89963.28125</v>
      </c>
      <c r="D3189">
        <v>91191.046875</v>
      </c>
      <c r="E3189">
        <v>84717.6796875</v>
      </c>
      <c r="F3189">
        <v>86742.671875</v>
      </c>
      <c r="G3189">
        <v>86742.671875</v>
      </c>
      <c r="H3189">
        <v>65945677657</v>
      </c>
      <c r="I3189" t="s">
        <v>6806</v>
      </c>
      <c r="J3189" t="s">
        <v>6807</v>
      </c>
      <c r="K3189" t="s">
        <v>4634</v>
      </c>
    </row>
    <row r="3190" spans="1:11" ht="20" customHeight="1">
      <c r="A3190" t="s">
        <v>26</v>
      </c>
      <c r="B3190" t="s">
        <v>6808</v>
      </c>
      <c r="C3190">
        <v>86742.65625</v>
      </c>
      <c r="D3190">
        <v>86847.265625</v>
      </c>
      <c r="E3190">
        <v>85247.484375</v>
      </c>
      <c r="F3190">
        <v>86154.59375</v>
      </c>
      <c r="G3190">
        <v>86154.59375</v>
      </c>
      <c r="H3190">
        <v>18206118081</v>
      </c>
      <c r="I3190" t="s">
        <v>6807</v>
      </c>
      <c r="J3190" t="s">
        <v>6809</v>
      </c>
      <c r="K3190" t="s">
        <v>4634</v>
      </c>
    </row>
    <row r="3191" spans="1:11" ht="20" customHeight="1">
      <c r="A3191" t="s">
        <v>26</v>
      </c>
      <c r="B3191" t="s">
        <v>6810</v>
      </c>
      <c r="C3191">
        <v>86154.3046875</v>
      </c>
      <c r="D3191">
        <v>86471.1328125</v>
      </c>
      <c r="E3191">
        <v>80052.484375</v>
      </c>
      <c r="F3191">
        <v>80601.0390625</v>
      </c>
      <c r="G3191">
        <v>80601.0390625</v>
      </c>
      <c r="H3191">
        <v>30899345977</v>
      </c>
      <c r="I3191" t="s">
        <v>6809</v>
      </c>
      <c r="J3191" t="s">
        <v>6811</v>
      </c>
      <c r="K3191" t="s">
        <v>4634</v>
      </c>
    </row>
    <row r="3192" spans="1:11" ht="20" customHeight="1">
      <c r="A3192" t="s">
        <v>26</v>
      </c>
      <c r="B3192" t="s">
        <v>3459</v>
      </c>
      <c r="C3192">
        <v>80597.1484375</v>
      </c>
      <c r="D3192">
        <v>83955.9296875</v>
      </c>
      <c r="E3192">
        <v>77420.59375</v>
      </c>
      <c r="F3192">
        <v>78532</v>
      </c>
      <c r="G3192">
        <v>78532</v>
      </c>
      <c r="H3192">
        <v>54061099422</v>
      </c>
      <c r="I3192" t="s">
        <v>6811</v>
      </c>
      <c r="J3192" t="s">
        <v>6812</v>
      </c>
      <c r="K3192" t="s">
        <v>4634</v>
      </c>
    </row>
    <row r="3193" spans="1:11" ht="20" customHeight="1">
      <c r="A3193" t="s">
        <v>26</v>
      </c>
      <c r="B3193" t="s">
        <v>3462</v>
      </c>
      <c r="C3193">
        <v>78523.875</v>
      </c>
      <c r="D3193">
        <v>83577.7578125</v>
      </c>
      <c r="E3193">
        <v>76624.25</v>
      </c>
      <c r="F3193">
        <v>82862.2109375</v>
      </c>
      <c r="G3193">
        <v>82862.2109375</v>
      </c>
      <c r="H3193">
        <v>54702837196</v>
      </c>
      <c r="I3193" t="s">
        <v>6812</v>
      </c>
      <c r="J3193" t="s">
        <v>6813</v>
      </c>
      <c r="K3193" t="s">
        <v>4634</v>
      </c>
    </row>
    <row r="3194" spans="1:11" ht="20" customHeight="1">
      <c r="A3194" t="s">
        <v>26</v>
      </c>
      <c r="B3194" t="s">
        <v>3465</v>
      </c>
      <c r="C3194">
        <v>82857.375</v>
      </c>
      <c r="D3194">
        <v>84358.578125</v>
      </c>
      <c r="E3194">
        <v>80635.25</v>
      </c>
      <c r="F3194">
        <v>83722.359375</v>
      </c>
      <c r="G3194">
        <v>83722.359375</v>
      </c>
      <c r="H3194">
        <v>40353484454</v>
      </c>
      <c r="I3194" t="s">
        <v>6813</v>
      </c>
      <c r="J3194" t="s">
        <v>6814</v>
      </c>
      <c r="K3194" t="s">
        <v>4634</v>
      </c>
    </row>
    <row r="3195" spans="1:11" ht="20" customHeight="1">
      <c r="A3195" t="s">
        <v>26</v>
      </c>
      <c r="B3195" t="s">
        <v>3468</v>
      </c>
      <c r="C3195">
        <v>83724.921875</v>
      </c>
      <c r="D3195">
        <v>84301.6953125</v>
      </c>
      <c r="E3195">
        <v>79931.8515625</v>
      </c>
      <c r="F3195">
        <v>81066.703125</v>
      </c>
      <c r="G3195">
        <v>81066.703125</v>
      </c>
      <c r="H3195">
        <v>31412940153</v>
      </c>
      <c r="I3195" t="s">
        <v>6814</v>
      </c>
      <c r="J3195" t="s">
        <v>6815</v>
      </c>
      <c r="K3195" t="s">
        <v>4634</v>
      </c>
    </row>
    <row r="3196" spans="1:11" ht="20" customHeight="1">
      <c r="A3196" t="s">
        <v>26</v>
      </c>
      <c r="B3196" t="s">
        <v>3471</v>
      </c>
      <c r="C3196">
        <v>81066.9921875</v>
      </c>
      <c r="D3196">
        <v>85263.2890625</v>
      </c>
      <c r="E3196">
        <v>80797.5625</v>
      </c>
      <c r="F3196">
        <v>83969.1015625</v>
      </c>
      <c r="G3196">
        <v>83969.1015625</v>
      </c>
      <c r="H3196">
        <v>29588112414</v>
      </c>
      <c r="I3196" t="s">
        <v>6815</v>
      </c>
      <c r="J3196" t="s">
        <v>6816</v>
      </c>
      <c r="K3196" t="s">
        <v>4634</v>
      </c>
    </row>
    <row r="3197" spans="1:11" ht="20" customHeight="1">
      <c r="A3197" t="s">
        <v>26</v>
      </c>
      <c r="B3197" t="s">
        <v>6817</v>
      </c>
      <c r="C3197">
        <v>83968.40625</v>
      </c>
      <c r="D3197">
        <v>84672.671875</v>
      </c>
      <c r="E3197">
        <v>83639.59375</v>
      </c>
      <c r="F3197">
        <v>84343.109375</v>
      </c>
      <c r="G3197">
        <v>84343.109375</v>
      </c>
      <c r="H3197">
        <v>13650491277</v>
      </c>
      <c r="I3197" t="s">
        <v>6816</v>
      </c>
      <c r="J3197" t="s">
        <v>6818</v>
      </c>
      <c r="K3197" t="s">
        <v>4634</v>
      </c>
    </row>
    <row r="3198" spans="1:11" ht="20" customHeight="1">
      <c r="A3198" t="s">
        <v>26</v>
      </c>
      <c r="B3198" t="s">
        <v>6819</v>
      </c>
      <c r="C3198">
        <v>84333.3203125</v>
      </c>
      <c r="D3198">
        <v>85051.6015625</v>
      </c>
      <c r="E3198">
        <v>82017.90625</v>
      </c>
      <c r="F3198">
        <v>82579.6875</v>
      </c>
      <c r="G3198">
        <v>82579.6875</v>
      </c>
      <c r="H3198">
        <v>21330270174</v>
      </c>
      <c r="I3198" t="s">
        <v>6818</v>
      </c>
      <c r="J3198" t="s">
        <v>6820</v>
      </c>
      <c r="K3198" t="s">
        <v>4634</v>
      </c>
    </row>
    <row r="3199" spans="1:11" ht="20" customHeight="1">
      <c r="A3199" t="s">
        <v>26</v>
      </c>
      <c r="B3199" t="s">
        <v>3474</v>
      </c>
      <c r="C3199">
        <v>82576.3359375</v>
      </c>
      <c r="D3199">
        <v>84725.328125</v>
      </c>
      <c r="E3199">
        <v>82492.15625</v>
      </c>
      <c r="F3199">
        <v>84075.6875</v>
      </c>
      <c r="G3199">
        <v>84075.6875</v>
      </c>
      <c r="H3199">
        <v>25092785558</v>
      </c>
      <c r="I3199" t="s">
        <v>6820</v>
      </c>
      <c r="J3199" t="s">
        <v>6821</v>
      </c>
      <c r="K3199" t="s">
        <v>4634</v>
      </c>
    </row>
    <row r="3200" spans="1:11" ht="20" customHeight="1">
      <c r="A3200" t="s">
        <v>26</v>
      </c>
      <c r="B3200" t="s">
        <v>3477</v>
      </c>
      <c r="C3200">
        <v>84075.71875</v>
      </c>
      <c r="D3200">
        <v>84075.71875</v>
      </c>
      <c r="E3200">
        <v>81179.9921875</v>
      </c>
      <c r="F3200">
        <v>82718.5</v>
      </c>
      <c r="G3200">
        <v>82718.5</v>
      </c>
      <c r="H3200">
        <v>24095774594</v>
      </c>
      <c r="I3200" t="s">
        <v>6821</v>
      </c>
      <c r="J3200" t="s">
        <v>6822</v>
      </c>
      <c r="K3200" t="s">
        <v>4634</v>
      </c>
    </row>
    <row r="3201" spans="1:11" ht="20" customHeight="1">
      <c r="A3201" t="s">
        <v>26</v>
      </c>
      <c r="B3201" t="s">
        <v>3480</v>
      </c>
      <c r="C3201">
        <v>82718.8046875</v>
      </c>
      <c r="D3201">
        <v>87021.1875</v>
      </c>
      <c r="E3201">
        <v>82569.7265625</v>
      </c>
      <c r="F3201">
        <v>86854.2265625</v>
      </c>
      <c r="G3201">
        <v>86854.2265625</v>
      </c>
      <c r="H3201">
        <v>34931960257</v>
      </c>
      <c r="I3201" t="s">
        <v>6822</v>
      </c>
      <c r="J3201" t="s">
        <v>6823</v>
      </c>
      <c r="K3201" t="s">
        <v>4634</v>
      </c>
    </row>
    <row r="3202" spans="1:11" ht="20" customHeight="1">
      <c r="A3202" t="s">
        <v>26</v>
      </c>
      <c r="B3202" t="s">
        <v>3483</v>
      </c>
      <c r="C3202">
        <v>86872.953125</v>
      </c>
      <c r="D3202">
        <v>87443.265625</v>
      </c>
      <c r="E3202">
        <v>83647.1953125</v>
      </c>
      <c r="F3202">
        <v>84167.1953125</v>
      </c>
      <c r="G3202">
        <v>84167.1953125</v>
      </c>
      <c r="H3202">
        <v>29028988961</v>
      </c>
      <c r="I3202" t="s">
        <v>6823</v>
      </c>
      <c r="J3202" t="s">
        <v>6824</v>
      </c>
      <c r="K3202" t="s">
        <v>4634</v>
      </c>
    </row>
    <row r="3203" spans="1:11" ht="20" customHeight="1">
      <c r="A3203" t="s">
        <v>26</v>
      </c>
      <c r="B3203" t="s">
        <v>3486</v>
      </c>
      <c r="C3203">
        <v>84164.5390625</v>
      </c>
      <c r="D3203">
        <v>84782.2734375</v>
      </c>
      <c r="E3203">
        <v>83171.0703125</v>
      </c>
      <c r="F3203">
        <v>84043.2421875</v>
      </c>
      <c r="G3203">
        <v>84043.2421875</v>
      </c>
      <c r="H3203">
        <v>19030452299</v>
      </c>
      <c r="I3203" t="s">
        <v>6824</v>
      </c>
      <c r="J3203" t="s">
        <v>6825</v>
      </c>
      <c r="K3203" t="s">
        <v>4634</v>
      </c>
    </row>
    <row r="3204" spans="1:11" ht="20" customHeight="1">
      <c r="A3204" t="s">
        <v>26</v>
      </c>
      <c r="B3204" t="s">
        <v>6826</v>
      </c>
      <c r="C3204">
        <v>84046.2578125</v>
      </c>
      <c r="D3204">
        <v>84513.875</v>
      </c>
      <c r="E3204">
        <v>83674.78125</v>
      </c>
      <c r="F3204">
        <v>83832.484375</v>
      </c>
      <c r="G3204">
        <v>83832.484375</v>
      </c>
      <c r="H3204">
        <v>9863214091</v>
      </c>
      <c r="I3204" t="s">
        <v>6825</v>
      </c>
      <c r="J3204" t="s">
        <v>6827</v>
      </c>
      <c r="K3204" t="s">
        <v>4634</v>
      </c>
    </row>
    <row r="3205" spans="1:11" ht="20" customHeight="1">
      <c r="A3205" t="s">
        <v>26</v>
      </c>
      <c r="B3205" t="s">
        <v>6828</v>
      </c>
      <c r="C3205">
        <v>83831.8984375</v>
      </c>
      <c r="D3205">
        <v>86094.78125</v>
      </c>
      <c r="E3205">
        <v>83794.9140625</v>
      </c>
      <c r="F3205">
        <v>86054.375</v>
      </c>
      <c r="G3205">
        <v>86054.375</v>
      </c>
      <c r="H3205">
        <v>12594615537</v>
      </c>
      <c r="I3205" t="s">
        <v>6827</v>
      </c>
      <c r="J3205" t="s">
        <v>6829</v>
      </c>
      <c r="K3205" t="s">
        <v>4634</v>
      </c>
    </row>
    <row r="3206" spans="1:11" ht="20" customHeight="1">
      <c r="A3206" t="s">
        <v>26</v>
      </c>
      <c r="B3206" t="s">
        <v>3489</v>
      </c>
      <c r="C3206">
        <v>86070.9296875</v>
      </c>
      <c r="D3206">
        <v>88758.7265625</v>
      </c>
      <c r="E3206">
        <v>85541.1953125</v>
      </c>
      <c r="F3206">
        <v>87498.9140625</v>
      </c>
      <c r="G3206">
        <v>87498.9140625</v>
      </c>
      <c r="H3206">
        <v>34582604933</v>
      </c>
      <c r="I3206" t="s">
        <v>6829</v>
      </c>
      <c r="J3206" t="s">
        <v>6830</v>
      </c>
      <c r="K3206" t="s">
        <v>4634</v>
      </c>
    </row>
    <row r="3207" spans="1:11" ht="20" customHeight="1">
      <c r="A3207" t="s">
        <v>26</v>
      </c>
      <c r="B3207" t="s">
        <v>3492</v>
      </c>
      <c r="C3207">
        <v>87512.8203125</v>
      </c>
      <c r="D3207">
        <v>88542.3984375</v>
      </c>
      <c r="E3207">
        <v>86346.078125</v>
      </c>
      <c r="F3207">
        <v>87471.703125</v>
      </c>
      <c r="G3207">
        <v>87471.703125</v>
      </c>
      <c r="H3207">
        <v>30005840049</v>
      </c>
      <c r="I3207" t="s">
        <v>6830</v>
      </c>
      <c r="J3207" t="s">
        <v>6831</v>
      </c>
      <c r="K3207" t="s">
        <v>4634</v>
      </c>
    </row>
    <row r="3208" spans="1:11" ht="20" customHeight="1">
      <c r="A3208" t="s">
        <v>26</v>
      </c>
      <c r="B3208" t="s">
        <v>3495</v>
      </c>
      <c r="C3208">
        <v>87460.234375</v>
      </c>
      <c r="D3208">
        <v>88292.15625</v>
      </c>
      <c r="E3208">
        <v>85861.453125</v>
      </c>
      <c r="F3208">
        <v>86900.8828125</v>
      </c>
      <c r="G3208">
        <v>86900.8828125</v>
      </c>
      <c r="H3208">
        <v>26704046038</v>
      </c>
      <c r="I3208" t="s">
        <v>6831</v>
      </c>
      <c r="J3208" t="s">
        <v>6832</v>
      </c>
      <c r="K3208" t="s">
        <v>4634</v>
      </c>
    </row>
    <row r="3209" spans="1:11" ht="20" customHeight="1">
      <c r="A3209" t="s">
        <v>26</v>
      </c>
      <c r="B3209" t="s">
        <v>3498</v>
      </c>
      <c r="C3209">
        <v>86896.2578125</v>
      </c>
      <c r="D3209">
        <v>87786.7265625</v>
      </c>
      <c r="E3209">
        <v>85837.9375</v>
      </c>
      <c r="F3209">
        <v>87177.1015625</v>
      </c>
      <c r="G3209">
        <v>87177.1015625</v>
      </c>
      <c r="H3209">
        <v>24413471941</v>
      </c>
      <c r="I3209" t="s">
        <v>6832</v>
      </c>
      <c r="J3209" t="s">
        <v>6833</v>
      </c>
      <c r="K3209" t="s">
        <v>4634</v>
      </c>
    </row>
    <row r="3210" spans="1:11" ht="20" customHeight="1">
      <c r="A3210" t="s">
        <v>26</v>
      </c>
      <c r="B3210" t="s">
        <v>3501</v>
      </c>
      <c r="C3210">
        <v>87185.234375</v>
      </c>
      <c r="D3210">
        <v>87489.859375</v>
      </c>
      <c r="E3210">
        <v>83557.640625</v>
      </c>
      <c r="F3210">
        <v>84353.1484375</v>
      </c>
      <c r="G3210">
        <v>84353.1484375</v>
      </c>
      <c r="H3210">
        <v>34198619509</v>
      </c>
      <c r="I3210" t="s">
        <v>6833</v>
      </c>
      <c r="J3210" t="s">
        <v>6834</v>
      </c>
      <c r="K3210" t="s">
        <v>4634</v>
      </c>
    </row>
    <row r="3211" spans="1:11" ht="20" customHeight="1">
      <c r="A3211" t="s">
        <v>26</v>
      </c>
      <c r="B3211" t="s">
        <v>6835</v>
      </c>
      <c r="C3211">
        <v>84352.0703125</v>
      </c>
      <c r="D3211">
        <v>84567.3359375</v>
      </c>
      <c r="E3211">
        <v>81634.140625</v>
      </c>
      <c r="F3211">
        <v>82597.5859375</v>
      </c>
      <c r="G3211">
        <v>82597.5859375</v>
      </c>
      <c r="H3211">
        <v>16969396135</v>
      </c>
      <c r="I3211" t="s">
        <v>6834</v>
      </c>
      <c r="J3211" t="s">
        <v>6836</v>
      </c>
      <c r="K3211" t="s">
        <v>4634</v>
      </c>
    </row>
    <row r="3212" spans="1:11" ht="20" customHeight="1">
      <c r="A3212" t="s">
        <v>26</v>
      </c>
      <c r="B3212" t="s">
        <v>6837</v>
      </c>
      <c r="C3212">
        <v>82596.984375</v>
      </c>
      <c r="D3212">
        <v>83505</v>
      </c>
      <c r="E3212">
        <v>81573.25</v>
      </c>
      <c r="F3212">
        <v>82334.5234375</v>
      </c>
      <c r="G3212">
        <v>82334.5234375</v>
      </c>
      <c r="H3212">
        <v>14763760943</v>
      </c>
      <c r="I3212" t="s">
        <v>6836</v>
      </c>
      <c r="J3212" t="s">
        <v>6838</v>
      </c>
      <c r="K3212" t="s">
        <v>4634</v>
      </c>
    </row>
    <row r="3213" spans="1:11" ht="20" customHeight="1">
      <c r="A3213" t="s">
        <v>26</v>
      </c>
      <c r="B3213" t="s">
        <v>3504</v>
      </c>
      <c r="C3213">
        <v>82336.0625</v>
      </c>
      <c r="D3213">
        <v>83870.125</v>
      </c>
      <c r="E3213">
        <v>81293.890625</v>
      </c>
      <c r="F3213">
        <v>82548.9140625</v>
      </c>
      <c r="G3213">
        <v>82548.9140625</v>
      </c>
      <c r="H3213">
        <v>29004228247</v>
      </c>
      <c r="I3213" t="s">
        <v>6838</v>
      </c>
      <c r="J3213" t="s">
        <v>6839</v>
      </c>
      <c r="K3213" t="s">
        <v>4634</v>
      </c>
    </row>
    <row r="3214" spans="1:11" ht="20" customHeight="1">
      <c r="A3214" t="s">
        <v>26</v>
      </c>
      <c r="B3214" t="s">
        <v>3507</v>
      </c>
      <c r="C3214">
        <v>82551.921875</v>
      </c>
      <c r="D3214">
        <v>85487.3671875</v>
      </c>
      <c r="E3214">
        <v>82429.359375</v>
      </c>
      <c r="F3214">
        <v>85169.171875</v>
      </c>
      <c r="G3214">
        <v>85169.171875</v>
      </c>
      <c r="H3214">
        <v>28175650319</v>
      </c>
      <c r="I3214" t="s">
        <v>6839</v>
      </c>
      <c r="J3214" t="s">
        <v>6840</v>
      </c>
      <c r="K3214" t="s">
        <v>4634</v>
      </c>
    </row>
    <row r="3215" spans="1:11" ht="20" customHeight="1">
      <c r="A3215" t="s">
        <v>26</v>
      </c>
      <c r="B3215" t="s">
        <v>3510</v>
      </c>
      <c r="C3215">
        <v>85180.609375</v>
      </c>
      <c r="D3215">
        <v>88466.953125</v>
      </c>
      <c r="E3215">
        <v>82343.5390625</v>
      </c>
      <c r="F3215">
        <v>82485.7109375</v>
      </c>
      <c r="G3215">
        <v>82485.7109375</v>
      </c>
      <c r="H3215">
        <v>47584398470</v>
      </c>
      <c r="I3215" t="s">
        <v>6840</v>
      </c>
      <c r="J3215" t="s">
        <v>6841</v>
      </c>
      <c r="K3215" t="s">
        <v>4634</v>
      </c>
    </row>
    <row r="3216" spans="1:11" ht="20" customHeight="1">
      <c r="A3216" t="s">
        <v>26</v>
      </c>
      <c r="B3216" t="s">
        <v>3513</v>
      </c>
      <c r="C3216">
        <v>82487.4765625</v>
      </c>
      <c r="D3216">
        <v>83909.296875</v>
      </c>
      <c r="E3216">
        <v>81282.1015625</v>
      </c>
      <c r="F3216">
        <v>83102.828125</v>
      </c>
      <c r="G3216">
        <v>83102.828125</v>
      </c>
      <c r="H3216">
        <v>36852112080</v>
      </c>
      <c r="I3216" t="s">
        <v>6841</v>
      </c>
      <c r="J3216" t="s">
        <v>6842</v>
      </c>
      <c r="K3216" t="s">
        <v>4634</v>
      </c>
    </row>
    <row r="3217" spans="1:11" ht="20" customHeight="1">
      <c r="A3217" t="s">
        <v>26</v>
      </c>
      <c r="B3217" t="s">
        <v>3516</v>
      </c>
      <c r="C3217">
        <v>83100.25</v>
      </c>
      <c r="D3217">
        <v>84696.1484375</v>
      </c>
      <c r="E3217">
        <v>81670.75</v>
      </c>
      <c r="F3217">
        <v>83843.8046875</v>
      </c>
      <c r="G3217">
        <v>83843.8046875</v>
      </c>
      <c r="H3217">
        <v>45157640207</v>
      </c>
      <c r="I3217" t="s">
        <v>6842</v>
      </c>
      <c r="J3217" t="s">
        <v>6843</v>
      </c>
      <c r="K3217" t="s">
        <v>4634</v>
      </c>
    </row>
    <row r="3218" spans="1:11" ht="20" customHeight="1">
      <c r="A3218" t="s">
        <v>26</v>
      </c>
      <c r="B3218" t="s">
        <v>6844</v>
      </c>
      <c r="C3218">
        <v>83844.703125</v>
      </c>
      <c r="D3218">
        <v>84207.015625</v>
      </c>
      <c r="E3218">
        <v>82377.734375</v>
      </c>
      <c r="F3218">
        <v>83504.796875</v>
      </c>
      <c r="G3218">
        <v>83504.796875</v>
      </c>
      <c r="H3218">
        <v>14380803631</v>
      </c>
      <c r="I3218" t="s">
        <v>6843</v>
      </c>
      <c r="J3218" t="s">
        <v>6845</v>
      </c>
      <c r="K3218" t="s">
        <v>4634</v>
      </c>
    </row>
    <row r="3219" spans="1:11" ht="20" customHeight="1">
      <c r="A3219" t="s">
        <v>26</v>
      </c>
      <c r="B3219" t="s">
        <v>6846</v>
      </c>
      <c r="C3219">
        <v>83504.5078125</v>
      </c>
      <c r="D3219">
        <v>83704.71875</v>
      </c>
      <c r="E3219">
        <v>77097.7421875</v>
      </c>
      <c r="F3219">
        <v>78214.484375</v>
      </c>
      <c r="G3219">
        <v>78214.484375</v>
      </c>
      <c r="H3219">
        <v>36294853736</v>
      </c>
      <c r="I3219" t="s">
        <v>6845</v>
      </c>
      <c r="J3219" t="s">
        <v>6847</v>
      </c>
      <c r="K3219" t="s">
        <v>4634</v>
      </c>
    </row>
    <row r="3220" spans="1:11" ht="20" customHeight="1">
      <c r="A3220" t="s">
        <v>26</v>
      </c>
      <c r="B3220" t="s">
        <v>3519</v>
      </c>
      <c r="C3220">
        <v>78221.3359375</v>
      </c>
      <c r="D3220">
        <v>81119.0625</v>
      </c>
      <c r="E3220">
        <v>74436.6796875</v>
      </c>
      <c r="F3220">
        <v>79235.3359375</v>
      </c>
      <c r="G3220">
        <v>79235.3359375</v>
      </c>
      <c r="H3220">
        <v>91262424987</v>
      </c>
      <c r="I3220" t="s">
        <v>6847</v>
      </c>
      <c r="J3220" t="s">
        <v>6848</v>
      </c>
      <c r="K3220" t="s">
        <v>4634</v>
      </c>
    </row>
    <row r="3221" spans="1:11" ht="20" customHeight="1">
      <c r="A3221" t="s">
        <v>26</v>
      </c>
      <c r="B3221" t="s">
        <v>3522</v>
      </c>
      <c r="C3221">
        <v>79218.4765625</v>
      </c>
      <c r="D3221">
        <v>80823.890625</v>
      </c>
      <c r="E3221">
        <v>76198.0234375</v>
      </c>
      <c r="F3221">
        <v>76271.953125</v>
      </c>
      <c r="G3221">
        <v>76271.953125</v>
      </c>
      <c r="H3221">
        <v>48314590749</v>
      </c>
      <c r="I3221" t="s">
        <v>6848</v>
      </c>
      <c r="J3221" t="s">
        <v>6849</v>
      </c>
      <c r="K3221" t="s">
        <v>4634</v>
      </c>
    </row>
    <row r="3222" spans="1:11" ht="20" customHeight="1">
      <c r="A3222" t="s">
        <v>26</v>
      </c>
      <c r="B3222" t="s">
        <v>3525</v>
      </c>
      <c r="C3222">
        <v>76273.5625</v>
      </c>
      <c r="D3222">
        <v>83541</v>
      </c>
      <c r="E3222">
        <v>74589.671875</v>
      </c>
      <c r="F3222">
        <v>82573.953125</v>
      </c>
      <c r="G3222">
        <v>82573.953125</v>
      </c>
      <c r="H3222">
        <v>84213627038</v>
      </c>
      <c r="I3222" t="s">
        <v>6849</v>
      </c>
      <c r="J3222" t="s">
        <v>6850</v>
      </c>
      <c r="K3222" t="s">
        <v>4634</v>
      </c>
    </row>
    <row r="3223" spans="1:11" ht="20" customHeight="1">
      <c r="A3223" t="s">
        <v>26</v>
      </c>
      <c r="B3223" t="s">
        <v>3528</v>
      </c>
      <c r="C3223">
        <v>82565.9765625</v>
      </c>
      <c r="D3223">
        <v>82700.9296875</v>
      </c>
      <c r="E3223">
        <v>78456.1328125</v>
      </c>
      <c r="F3223">
        <v>79626.140625</v>
      </c>
      <c r="G3223">
        <v>79626.140625</v>
      </c>
      <c r="H3223">
        <v>44718000633</v>
      </c>
      <c r="I3223" t="s">
        <v>6850</v>
      </c>
      <c r="J3223" t="s">
        <v>6851</v>
      </c>
      <c r="K3223" t="s">
        <v>4634</v>
      </c>
    </row>
    <row r="3224" spans="1:11" ht="20" customHeight="1">
      <c r="A3224" t="s">
        <v>26</v>
      </c>
      <c r="B3224" t="s">
        <v>3531</v>
      </c>
      <c r="C3224">
        <v>79625.046875</v>
      </c>
      <c r="D3224">
        <v>84247.4765625</v>
      </c>
      <c r="E3224">
        <v>78936.3203125</v>
      </c>
      <c r="F3224">
        <v>83404.8359375</v>
      </c>
      <c r="G3224">
        <v>83404.8359375</v>
      </c>
      <c r="H3224">
        <v>41656778779</v>
      </c>
      <c r="I3224" t="s">
        <v>6851</v>
      </c>
      <c r="J3224" t="s">
        <v>6852</v>
      </c>
      <c r="K3224" t="s">
        <v>4634</v>
      </c>
    </row>
    <row r="3225" spans="1:11" ht="20" customHeight="1">
      <c r="A3225" t="s">
        <v>26</v>
      </c>
      <c r="B3225" t="s">
        <v>6853</v>
      </c>
      <c r="C3225">
        <v>83404.515625</v>
      </c>
      <c r="D3225">
        <v>85856.1875</v>
      </c>
      <c r="E3225">
        <v>82769.375</v>
      </c>
      <c r="F3225">
        <v>85287.109375</v>
      </c>
      <c r="G3225">
        <v>85287.109375</v>
      </c>
      <c r="H3225">
        <v>24258059104</v>
      </c>
      <c r="I3225" t="s">
        <v>6852</v>
      </c>
      <c r="J3225" t="s">
        <v>6854</v>
      </c>
      <c r="K3225" t="s">
        <v>4634</v>
      </c>
    </row>
    <row r="3226" spans="1:11" ht="20" customHeight="1">
      <c r="A3226" t="s">
        <v>26</v>
      </c>
      <c r="B3226" t="s">
        <v>6855</v>
      </c>
      <c r="C3226">
        <v>85279.46875</v>
      </c>
      <c r="D3226">
        <v>86015.1875</v>
      </c>
      <c r="E3226">
        <v>83027.0078125</v>
      </c>
      <c r="F3226">
        <v>83684.9765625</v>
      </c>
      <c r="G3226">
        <v>83684.9765625</v>
      </c>
      <c r="H3226">
        <v>28796984817</v>
      </c>
      <c r="I3226" t="s">
        <v>6854</v>
      </c>
      <c r="J3226" t="s">
        <v>6856</v>
      </c>
      <c r="K3226" t="s">
        <v>4634</v>
      </c>
    </row>
    <row r="3227" spans="1:11" ht="20" customHeight="1">
      <c r="A3227" t="s">
        <v>26</v>
      </c>
      <c r="B3227" t="s">
        <v>3534</v>
      </c>
      <c r="C3227">
        <v>83694.5234375</v>
      </c>
      <c r="D3227">
        <v>85785</v>
      </c>
      <c r="E3227">
        <v>83690.640625</v>
      </c>
      <c r="F3227">
        <v>84542.390625</v>
      </c>
      <c r="G3227">
        <v>84542.390625</v>
      </c>
      <c r="H3227">
        <v>34090769777</v>
      </c>
      <c r="I3227" t="s">
        <v>6856</v>
      </c>
      <c r="J3227" t="s">
        <v>6857</v>
      </c>
      <c r="K3227" t="s">
        <v>4634</v>
      </c>
    </row>
    <row r="3228" spans="1:11" ht="20" customHeight="1">
      <c r="A3228" t="s">
        <v>26</v>
      </c>
      <c r="B3228" t="s">
        <v>3537</v>
      </c>
      <c r="C3228">
        <v>84539.6953125</v>
      </c>
      <c r="D3228">
        <v>86429.3515625</v>
      </c>
      <c r="E3228">
        <v>83598.8203125</v>
      </c>
      <c r="F3228">
        <v>83668.9921875</v>
      </c>
      <c r="G3228">
        <v>83668.9921875</v>
      </c>
      <c r="H3228">
        <v>28040322885</v>
      </c>
      <c r="I3228" t="s">
        <v>6857</v>
      </c>
      <c r="J3228" t="s">
        <v>6858</v>
      </c>
      <c r="K3228" t="s">
        <v>4634</v>
      </c>
    </row>
    <row r="3229" spans="1:11" ht="20" customHeight="1">
      <c r="A3229" t="s">
        <v>26</v>
      </c>
      <c r="B3229" t="s">
        <v>3540</v>
      </c>
      <c r="C3229">
        <v>83674.5078125</v>
      </c>
      <c r="D3229">
        <v>85428.28125</v>
      </c>
      <c r="E3229">
        <v>83100.6171875</v>
      </c>
      <c r="F3229">
        <v>84033.8671875</v>
      </c>
      <c r="G3229">
        <v>84033.8671875</v>
      </c>
      <c r="H3229">
        <v>29617804112</v>
      </c>
      <c r="I3229" t="s">
        <v>6858</v>
      </c>
      <c r="J3229" t="s">
        <v>6859</v>
      </c>
      <c r="K3229" t="s">
        <v>4634</v>
      </c>
    </row>
    <row r="3230" spans="1:11" ht="20" customHeight="1">
      <c r="A3230" t="s">
        <v>26</v>
      </c>
      <c r="B3230" t="s">
        <v>3543</v>
      </c>
      <c r="C3230">
        <v>84030.671875</v>
      </c>
      <c r="D3230">
        <v>85449.0703125</v>
      </c>
      <c r="E3230">
        <v>83749.75</v>
      </c>
      <c r="F3230">
        <v>84895.75</v>
      </c>
      <c r="G3230">
        <v>84895.75</v>
      </c>
      <c r="H3230">
        <v>21276866029</v>
      </c>
      <c r="I3230" t="s">
        <v>6859</v>
      </c>
      <c r="J3230" t="s">
        <v>6860</v>
      </c>
      <c r="K3230" t="s">
        <v>4634</v>
      </c>
    </row>
    <row r="3231" spans="1:11" ht="20" customHeight="1">
      <c r="A3231" t="s">
        <v>26</v>
      </c>
      <c r="B3231" t="s">
        <v>6861</v>
      </c>
      <c r="C3231">
        <v>84900.1875</v>
      </c>
      <c r="D3231">
        <v>85095.046875</v>
      </c>
      <c r="E3231">
        <v>84298.8828125</v>
      </c>
      <c r="F3231">
        <v>84450.8046875</v>
      </c>
      <c r="G3231">
        <v>84450.8046875</v>
      </c>
      <c r="H3231">
        <v>12728372364</v>
      </c>
      <c r="I3231" t="s">
        <v>6860</v>
      </c>
      <c r="J3231" t="s">
        <v>6862</v>
      </c>
      <c r="K3231" t="s">
        <v>4634</v>
      </c>
    </row>
    <row r="3232" spans="1:11" ht="20" customHeight="1">
      <c r="A3232" t="s">
        <v>26</v>
      </c>
      <c r="B3232" t="s">
        <v>6863</v>
      </c>
      <c r="C3232">
        <v>84450.8671875</v>
      </c>
      <c r="D3232">
        <v>85597.703125</v>
      </c>
      <c r="E3232">
        <v>84353.4609375</v>
      </c>
      <c r="F3232">
        <v>85063.4140625</v>
      </c>
      <c r="G3232">
        <v>85063.4140625</v>
      </c>
      <c r="H3232">
        <v>15259300427</v>
      </c>
      <c r="I3232" t="s">
        <v>6862</v>
      </c>
      <c r="J3232" t="s">
        <v>6864</v>
      </c>
      <c r="K3232" t="s">
        <v>4634</v>
      </c>
    </row>
    <row r="3233" spans="1:11" ht="20" customHeight="1">
      <c r="A3233" t="s">
        <v>26</v>
      </c>
      <c r="B3233" t="s">
        <v>6865</v>
      </c>
      <c r="C3233">
        <v>85066.0703125</v>
      </c>
      <c r="D3233">
        <v>85306.3828125</v>
      </c>
      <c r="E3233">
        <v>83976.84375</v>
      </c>
      <c r="F3233">
        <v>85174.3046875</v>
      </c>
      <c r="G3233">
        <v>85174.3046875</v>
      </c>
      <c r="H3233">
        <v>14664050812</v>
      </c>
      <c r="I3233" t="s">
        <v>6864</v>
      </c>
      <c r="J3233" t="s">
        <v>6866</v>
      </c>
      <c r="K3233" t="s">
        <v>4634</v>
      </c>
    </row>
    <row r="3234" spans="1:11" ht="20" customHeight="1">
      <c r="A3234" t="s">
        <v>26</v>
      </c>
      <c r="B3234" t="s">
        <v>3546</v>
      </c>
      <c r="C3234">
        <v>85171.5390625</v>
      </c>
      <c r="D3234">
        <v>88460.09375</v>
      </c>
      <c r="E3234">
        <v>85143.8359375</v>
      </c>
      <c r="F3234">
        <v>87518.90625</v>
      </c>
      <c r="G3234">
        <v>87518.90625</v>
      </c>
      <c r="H3234">
        <v>41396190190</v>
      </c>
      <c r="I3234" t="s">
        <v>6866</v>
      </c>
      <c r="J3234" t="s">
        <v>6867</v>
      </c>
      <c r="K3234" t="s">
        <v>4634</v>
      </c>
    </row>
    <row r="3235" spans="1:11" ht="20" customHeight="1">
      <c r="A3235" t="s">
        <v>26</v>
      </c>
      <c r="B3235" t="s">
        <v>3549</v>
      </c>
      <c r="C3235">
        <v>87521.875</v>
      </c>
      <c r="D3235">
        <v>93817.3828125</v>
      </c>
      <c r="E3235">
        <v>87084.53125</v>
      </c>
      <c r="F3235">
        <v>93441.890625</v>
      </c>
      <c r="G3235">
        <v>93441.890625</v>
      </c>
      <c r="H3235">
        <v>55899038456</v>
      </c>
      <c r="I3235" t="s">
        <v>6867</v>
      </c>
      <c r="J3235" t="s">
        <v>6868</v>
      </c>
      <c r="K3235" t="s">
        <v>4634</v>
      </c>
    </row>
    <row r="3236" spans="1:11" ht="20" customHeight="1">
      <c r="A3236" t="s">
        <v>26</v>
      </c>
      <c r="B3236" t="s">
        <v>3552</v>
      </c>
      <c r="C3236">
        <v>93427.5859375</v>
      </c>
      <c r="D3236">
        <v>94535.734375</v>
      </c>
      <c r="E3236">
        <v>91962.9609375</v>
      </c>
      <c r="F3236">
        <v>93699.109375</v>
      </c>
      <c r="G3236">
        <v>93699.109375</v>
      </c>
      <c r="H3236">
        <v>41719568821</v>
      </c>
      <c r="I3236" t="s">
        <v>6868</v>
      </c>
      <c r="J3236" t="s">
        <v>6869</v>
      </c>
      <c r="K3236" t="s">
        <v>4634</v>
      </c>
    </row>
    <row r="3237" spans="1:11" ht="20" customHeight="1">
      <c r="A3237" t="s">
        <v>26</v>
      </c>
      <c r="B3237" t="s">
        <v>3555</v>
      </c>
      <c r="C3237">
        <v>93692.3984375</v>
      </c>
      <c r="D3237">
        <v>94016.1953125</v>
      </c>
      <c r="E3237">
        <v>91696.7109375</v>
      </c>
      <c r="F3237">
        <v>93943.796875</v>
      </c>
      <c r="G3237">
        <v>93943.796875</v>
      </c>
      <c r="H3237">
        <v>31483175315</v>
      </c>
      <c r="I3237" t="s">
        <v>6869</v>
      </c>
      <c r="J3237" t="s">
        <v>6870</v>
      </c>
      <c r="K3237" t="s">
        <v>4634</v>
      </c>
    </row>
    <row r="3238" spans="1:11" ht="20" customHeight="1">
      <c r="A3238" t="s">
        <v>26</v>
      </c>
      <c r="B3238" t="s">
        <v>3558</v>
      </c>
      <c r="C3238">
        <v>93954.25</v>
      </c>
      <c r="D3238">
        <v>95768.390625</v>
      </c>
      <c r="E3238">
        <v>92898.59375</v>
      </c>
      <c r="F3238">
        <v>94720.5</v>
      </c>
      <c r="G3238">
        <v>94720.5</v>
      </c>
      <c r="H3238">
        <v>40915232364</v>
      </c>
      <c r="I3238" t="s">
        <v>6870</v>
      </c>
      <c r="J3238" t="s">
        <v>6871</v>
      </c>
      <c r="K3238" t="s">
        <v>4634</v>
      </c>
    </row>
    <row r="3239" spans="1:11" ht="20" customHeight="1">
      <c r="A3239" t="s">
        <v>26</v>
      </c>
      <c r="B3239" t="s">
        <v>6872</v>
      </c>
      <c r="C3239">
        <v>94714.6484375</v>
      </c>
      <c r="D3239">
        <v>95251.359375</v>
      </c>
      <c r="E3239">
        <v>93927.25</v>
      </c>
      <c r="F3239">
        <v>94646.9296875</v>
      </c>
      <c r="G3239">
        <v>94646.9296875</v>
      </c>
      <c r="H3239">
        <v>17612825123</v>
      </c>
      <c r="I3239" t="s">
        <v>6871</v>
      </c>
      <c r="J3239" t="s">
        <v>6873</v>
      </c>
      <c r="K3239" t="s">
        <v>4634</v>
      </c>
    </row>
    <row r="3240" spans="1:11" ht="20" customHeight="1">
      <c r="A3240" t="s">
        <v>26</v>
      </c>
      <c r="B3240" t="s">
        <v>6874</v>
      </c>
      <c r="C3240">
        <v>94660.90625</v>
      </c>
      <c r="D3240">
        <v>95301.203125</v>
      </c>
      <c r="E3240">
        <v>93665.3984375</v>
      </c>
      <c r="F3240">
        <v>93754.84375</v>
      </c>
      <c r="G3240">
        <v>93754.84375</v>
      </c>
      <c r="H3240">
        <v>18090367764</v>
      </c>
      <c r="I3240" t="s">
        <v>6873</v>
      </c>
      <c r="J3240" t="s">
        <v>6875</v>
      </c>
      <c r="K3240" t="s">
        <v>4634</v>
      </c>
    </row>
    <row r="3241" spans="1:11" ht="20" customHeight="1">
      <c r="A3241" t="s">
        <v>26</v>
      </c>
      <c r="B3241" t="s">
        <v>3561</v>
      </c>
      <c r="C3241">
        <v>93755.3046875</v>
      </c>
      <c r="D3241">
        <v>95598.4921875</v>
      </c>
      <c r="E3241">
        <v>92860.8046875</v>
      </c>
      <c r="F3241">
        <v>94978.75</v>
      </c>
      <c r="G3241">
        <v>94978.75</v>
      </c>
      <c r="H3241">
        <v>32363449569</v>
      </c>
      <c r="I3241" t="s">
        <v>6875</v>
      </c>
      <c r="J3241" t="s">
        <v>6876</v>
      </c>
      <c r="K3241" t="s">
        <v>4634</v>
      </c>
    </row>
    <row r="3242" spans="1:11" ht="20" customHeight="1">
      <c r="A3242" t="s">
        <v>26</v>
      </c>
      <c r="B3242" t="s">
        <v>3564</v>
      </c>
      <c r="C3242">
        <v>94981.859375</v>
      </c>
      <c r="D3242">
        <v>95485.4140625</v>
      </c>
      <c r="E3242">
        <v>93796.6328125</v>
      </c>
      <c r="F3242">
        <v>94284.7890625</v>
      </c>
      <c r="G3242">
        <v>94284.7890625</v>
      </c>
      <c r="H3242">
        <v>25806129921</v>
      </c>
      <c r="I3242" t="s">
        <v>6876</v>
      </c>
      <c r="J3242" t="s">
        <v>6877</v>
      </c>
      <c r="K3242" t="s">
        <v>4634</v>
      </c>
    </row>
    <row r="3243" spans="1:11" ht="20" customHeight="1">
      <c r="A3243" t="s">
        <v>26</v>
      </c>
      <c r="B3243" t="s">
        <v>3567</v>
      </c>
      <c r="C3243">
        <v>94286.46875</v>
      </c>
      <c r="D3243">
        <v>95249.3203125</v>
      </c>
      <c r="E3243">
        <v>92979.640625</v>
      </c>
      <c r="F3243">
        <v>94207.3125</v>
      </c>
      <c r="G3243">
        <v>94207.3125</v>
      </c>
      <c r="H3243">
        <v>28344679831</v>
      </c>
      <c r="I3243" t="s">
        <v>6877</v>
      </c>
      <c r="J3243" t="s">
        <v>6878</v>
      </c>
      <c r="K3243" t="s">
        <v>4634</v>
      </c>
    </row>
    <row r="3244" spans="1:11" ht="20" customHeight="1">
      <c r="A3244" t="s">
        <v>26</v>
      </c>
      <c r="B3244" t="s">
        <v>3570</v>
      </c>
      <c r="C3244">
        <v>94212.859375</v>
      </c>
      <c r="D3244">
        <v>97437.9609375</v>
      </c>
      <c r="E3244">
        <v>94153.6328125</v>
      </c>
      <c r="F3244">
        <v>96492.3359375</v>
      </c>
      <c r="G3244">
        <v>96492.3359375</v>
      </c>
      <c r="H3244">
        <v>32875889623</v>
      </c>
      <c r="I3244" t="s">
        <v>6878</v>
      </c>
      <c r="J3244" t="s">
        <v>6879</v>
      </c>
      <c r="K3244" t="s">
        <v>4634</v>
      </c>
    </row>
    <row r="3245" spans="1:11" ht="20" customHeight="1">
      <c r="A3245" t="s">
        <v>26</v>
      </c>
      <c r="B3245" t="s">
        <v>3573</v>
      </c>
      <c r="C3245">
        <v>96494.96875</v>
      </c>
      <c r="D3245">
        <v>97905.8984375</v>
      </c>
      <c r="E3245">
        <v>96375.9453125</v>
      </c>
      <c r="F3245">
        <v>96910.0703125</v>
      </c>
      <c r="G3245">
        <v>96910.0703125</v>
      </c>
      <c r="H3245">
        <v>26421924677</v>
      </c>
      <c r="I3245" t="s">
        <v>6879</v>
      </c>
      <c r="J3245" t="s">
        <v>6880</v>
      </c>
      <c r="K3245" t="s">
        <v>4634</v>
      </c>
    </row>
    <row r="3246" spans="1:11" ht="20" customHeight="1">
      <c r="A3246" t="s">
        <v>26</v>
      </c>
      <c r="B3246" t="s">
        <v>6881</v>
      </c>
      <c r="C3246">
        <v>96904.6328125</v>
      </c>
      <c r="D3246">
        <v>96943.8828125</v>
      </c>
      <c r="E3246">
        <v>95821.2890625</v>
      </c>
      <c r="F3246">
        <v>95891.796875</v>
      </c>
      <c r="G3246">
        <v>95891.796875</v>
      </c>
      <c r="H3246">
        <v>15775154889</v>
      </c>
      <c r="I3246" t="s">
        <v>6880</v>
      </c>
      <c r="J3246" t="s">
        <v>6882</v>
      </c>
      <c r="K3246" t="s">
        <v>4634</v>
      </c>
    </row>
    <row r="3247" spans="1:11" ht="20" customHeight="1">
      <c r="A3247" t="s">
        <v>26</v>
      </c>
      <c r="B3247" t="s">
        <v>6883</v>
      </c>
      <c r="C3247">
        <v>95877.1875</v>
      </c>
      <c r="D3247">
        <v>96318.921875</v>
      </c>
      <c r="E3247">
        <v>94173.4296875</v>
      </c>
      <c r="F3247">
        <v>94315.9765625</v>
      </c>
      <c r="G3247">
        <v>94315.9765625</v>
      </c>
      <c r="H3247">
        <v>18198688416</v>
      </c>
      <c r="I3247" t="s">
        <v>6882</v>
      </c>
      <c r="J3247" t="s">
        <v>6884</v>
      </c>
      <c r="K3247" t="s">
        <v>4634</v>
      </c>
    </row>
    <row r="3248" spans="1:11" ht="20" customHeight="1">
      <c r="A3248" t="s">
        <v>26</v>
      </c>
      <c r="B3248" t="s">
        <v>3576</v>
      </c>
      <c r="C3248">
        <v>94319.5625</v>
      </c>
      <c r="D3248">
        <v>95193.1875</v>
      </c>
      <c r="E3248">
        <v>93566.265625</v>
      </c>
      <c r="F3248">
        <v>94748.0546875</v>
      </c>
      <c r="G3248">
        <v>94748.0546875</v>
      </c>
      <c r="H3248">
        <v>25816260327</v>
      </c>
      <c r="I3248" t="s">
        <v>6884</v>
      </c>
      <c r="J3248" t="s">
        <v>6885</v>
      </c>
      <c r="K3248" t="s">
        <v>4634</v>
      </c>
    </row>
    <row r="3249" spans="1:11" ht="20" customHeight="1">
      <c r="A3249" t="s">
        <v>26</v>
      </c>
      <c r="B3249" t="s">
        <v>3579</v>
      </c>
      <c r="C3249">
        <v>94748.3828125</v>
      </c>
      <c r="D3249">
        <v>96889.1796875</v>
      </c>
      <c r="E3249">
        <v>93399.859375</v>
      </c>
      <c r="F3249">
        <v>96802.4765625</v>
      </c>
      <c r="G3249">
        <v>96802.4765625</v>
      </c>
      <c r="H3249">
        <v>26551275827</v>
      </c>
      <c r="I3249" t="s">
        <v>6885</v>
      </c>
      <c r="J3249" t="s">
        <v>6886</v>
      </c>
      <c r="K3249" t="s">
        <v>4634</v>
      </c>
    </row>
    <row r="3250" spans="1:11" ht="20" customHeight="1">
      <c r="A3250" t="s">
        <v>26</v>
      </c>
      <c r="B3250" t="s">
        <v>3582</v>
      </c>
      <c r="C3250">
        <v>96800.1953125</v>
      </c>
      <c r="D3250">
        <v>97625.8046875</v>
      </c>
      <c r="E3250">
        <v>95829.3359375</v>
      </c>
      <c r="F3250">
        <v>97032.3203125</v>
      </c>
      <c r="G3250">
        <v>97032.3203125</v>
      </c>
      <c r="H3250">
        <v>76983822462</v>
      </c>
      <c r="I3250" t="s">
        <v>6886</v>
      </c>
      <c r="J3250" t="s">
        <v>6887</v>
      </c>
      <c r="K3250" t="s">
        <v>4634</v>
      </c>
    </row>
    <row r="3251" spans="1:11" ht="20" customHeight="1">
      <c r="A3251" t="s">
        <v>26</v>
      </c>
      <c r="B3251" t="s">
        <v>3585</v>
      </c>
      <c r="C3251">
        <v>97034.25</v>
      </c>
      <c r="D3251">
        <v>103969.5390625</v>
      </c>
      <c r="E3251">
        <v>96913.875</v>
      </c>
      <c r="F3251">
        <v>103241.4609375</v>
      </c>
      <c r="G3251">
        <v>103241.4609375</v>
      </c>
      <c r="H3251">
        <v>69895404397</v>
      </c>
      <c r="I3251" t="s">
        <v>6887</v>
      </c>
      <c r="J3251" t="s">
        <v>6888</v>
      </c>
      <c r="K3251" t="s">
        <v>4634</v>
      </c>
    </row>
    <row r="3252" spans="1:11" ht="20" customHeight="1">
      <c r="A3252" t="s">
        <v>26</v>
      </c>
      <c r="B3252" t="s">
        <v>3588</v>
      </c>
      <c r="C3252">
        <v>103239.125</v>
      </c>
      <c r="D3252">
        <v>104297.4921875</v>
      </c>
      <c r="E3252">
        <v>102343.09375</v>
      </c>
      <c r="F3252">
        <v>102970.8515625</v>
      </c>
      <c r="G3252">
        <v>102970.8515625</v>
      </c>
      <c r="H3252">
        <v>58198593958</v>
      </c>
      <c r="I3252" t="s">
        <v>6888</v>
      </c>
      <c r="J3252" t="s">
        <v>6889</v>
      </c>
      <c r="K3252" t="s">
        <v>4634</v>
      </c>
    </row>
    <row r="3253" spans="1:11" ht="20" customHeight="1">
      <c r="A3253" t="s">
        <v>26</v>
      </c>
      <c r="B3253" t="s">
        <v>6890</v>
      </c>
      <c r="C3253">
        <v>102973.7109375</v>
      </c>
      <c r="D3253">
        <v>104961.765625</v>
      </c>
      <c r="E3253">
        <v>102830.484375</v>
      </c>
      <c r="F3253">
        <v>104696.328125</v>
      </c>
      <c r="G3253">
        <v>104696.328125</v>
      </c>
      <c r="H3253">
        <v>42276713994</v>
      </c>
      <c r="I3253" t="s">
        <v>6889</v>
      </c>
      <c r="J3253" t="s">
        <v>6891</v>
      </c>
      <c r="K3253" t="s">
        <v>4634</v>
      </c>
    </row>
    <row r="3254" spans="1:11" ht="20" customHeight="1">
      <c r="A3254" t="s">
        <v>26</v>
      </c>
      <c r="B3254" t="s">
        <v>6892</v>
      </c>
      <c r="C3254">
        <v>104701.0703125</v>
      </c>
      <c r="D3254">
        <v>104937.9921875</v>
      </c>
      <c r="E3254">
        <v>103364.7421875</v>
      </c>
      <c r="F3254">
        <v>104106.359375</v>
      </c>
      <c r="G3254">
        <v>104106.359375</v>
      </c>
      <c r="H3254">
        <v>46285517406</v>
      </c>
      <c r="I3254" t="s">
        <v>6891</v>
      </c>
      <c r="J3254" t="s">
        <v>6893</v>
      </c>
      <c r="K3254" t="s">
        <v>4634</v>
      </c>
    </row>
    <row r="3255" spans="1:11" ht="20" customHeight="1">
      <c r="A3255" t="s">
        <v>26</v>
      </c>
      <c r="B3255" t="s">
        <v>3591</v>
      </c>
      <c r="C3255">
        <v>104106.9609375</v>
      </c>
      <c r="D3255">
        <v>105747.453125</v>
      </c>
      <c r="E3255">
        <v>100814.40625</v>
      </c>
      <c r="F3255">
        <v>102812.953125</v>
      </c>
      <c r="G3255">
        <v>102812.953125</v>
      </c>
      <c r="H3255">
        <v>63250475404</v>
      </c>
      <c r="I3255" t="s">
        <v>6893</v>
      </c>
      <c r="J3255" t="s">
        <v>6894</v>
      </c>
      <c r="K3255" t="s">
        <v>4634</v>
      </c>
    </row>
    <row r="3256" spans="1:11" ht="20" customHeight="1">
      <c r="A3256" t="s">
        <v>26</v>
      </c>
      <c r="B3256" t="s">
        <v>3594</v>
      </c>
      <c r="C3256">
        <v>102812.4921875</v>
      </c>
      <c r="D3256">
        <v>104997.421875</v>
      </c>
      <c r="E3256">
        <v>101515.09375</v>
      </c>
      <c r="F3256">
        <v>104169.8125</v>
      </c>
      <c r="G3256">
        <v>104169.8125</v>
      </c>
      <c r="H3256">
        <v>52608876410</v>
      </c>
      <c r="I3256" t="s">
        <v>6894</v>
      </c>
      <c r="J3256" t="s">
        <v>6895</v>
      </c>
      <c r="K3256" t="s">
        <v>4634</v>
      </c>
    </row>
    <row r="3257" spans="1:11" ht="20" customHeight="1">
      <c r="A3257" t="s">
        <v>26</v>
      </c>
      <c r="B3257" t="s">
        <v>3597</v>
      </c>
      <c r="C3257">
        <v>104167.328125</v>
      </c>
      <c r="D3257">
        <v>104303.5625</v>
      </c>
      <c r="E3257">
        <v>102618.296875</v>
      </c>
      <c r="F3257">
        <v>103539.4140625</v>
      </c>
      <c r="G3257">
        <v>103539.4140625</v>
      </c>
      <c r="H3257">
        <v>45956071155</v>
      </c>
      <c r="I3257" t="s">
        <v>6895</v>
      </c>
      <c r="J3257" t="s">
        <v>6896</v>
      </c>
      <c r="K3257" t="s">
        <v>4634</v>
      </c>
    </row>
    <row r="3258" spans="1:11" ht="20" customHeight="1">
      <c r="A3258" t="s">
        <v>26</v>
      </c>
      <c r="B3258" t="s">
        <v>3600</v>
      </c>
      <c r="C3258">
        <v>103538.828125</v>
      </c>
      <c r="D3258">
        <v>104153.6171875</v>
      </c>
      <c r="E3258">
        <v>101440.8125</v>
      </c>
      <c r="F3258">
        <v>103744.640625</v>
      </c>
      <c r="G3258">
        <v>103744.640625</v>
      </c>
      <c r="H3258">
        <v>50408241840</v>
      </c>
      <c r="I3258" t="s">
        <v>6896</v>
      </c>
      <c r="J3258" t="s">
        <v>6897</v>
      </c>
      <c r="K3258" t="s">
        <v>4634</v>
      </c>
    </row>
    <row r="3259" spans="1:11" ht="20" customHeight="1">
      <c r="A3259" t="s">
        <v>26</v>
      </c>
      <c r="B3259" t="s">
        <v>3603</v>
      </c>
      <c r="C3259">
        <v>103735.65625</v>
      </c>
      <c r="D3259">
        <v>104533.484375</v>
      </c>
      <c r="E3259">
        <v>103137.4765625</v>
      </c>
      <c r="F3259">
        <v>103489.2890625</v>
      </c>
      <c r="G3259">
        <v>103489.2890625</v>
      </c>
      <c r="H3259">
        <v>44386499364</v>
      </c>
      <c r="I3259" t="s">
        <v>6897</v>
      </c>
      <c r="J3259" t="s">
        <v>6898</v>
      </c>
      <c r="K3259" t="s">
        <v>4634</v>
      </c>
    </row>
    <row r="3260" spans="1:11" ht="20" customHeight="1">
      <c r="A3260" t="s">
        <v>26</v>
      </c>
      <c r="B3260" t="s">
        <v>6899</v>
      </c>
      <c r="C3260">
        <v>103489.2890625</v>
      </c>
      <c r="D3260">
        <v>103716.9453125</v>
      </c>
      <c r="E3260">
        <v>102659.1796875</v>
      </c>
      <c r="F3260">
        <v>103191.0859375</v>
      </c>
      <c r="G3260">
        <v>103191.0859375</v>
      </c>
      <c r="H3260">
        <v>37898552742</v>
      </c>
      <c r="I3260" t="s">
        <v>6898</v>
      </c>
      <c r="J3260" t="s">
        <v>6900</v>
      </c>
      <c r="K3260" t="s">
        <v>4634</v>
      </c>
    </row>
    <row r="3261" spans="1:11" ht="20" customHeight="1">
      <c r="A3261" t="s">
        <v>26</v>
      </c>
      <c r="B3261" t="s">
        <v>6901</v>
      </c>
      <c r="C3261">
        <v>103186.953125</v>
      </c>
      <c r="D3261">
        <v>106597.171875</v>
      </c>
      <c r="E3261">
        <v>103142.6015625</v>
      </c>
      <c r="F3261">
        <v>106446.0078125</v>
      </c>
      <c r="G3261">
        <v>106446.0078125</v>
      </c>
      <c r="H3261">
        <v>49887082058</v>
      </c>
      <c r="I3261" t="s">
        <v>6900</v>
      </c>
      <c r="J3261" t="s">
        <v>6902</v>
      </c>
      <c r="K3261" t="s">
        <v>4634</v>
      </c>
    </row>
    <row r="3262" spans="1:11" ht="20" customHeight="1">
      <c r="A3262" t="s">
        <v>26</v>
      </c>
      <c r="B3262" t="s">
        <v>3606</v>
      </c>
      <c r="C3262">
        <v>106430.53125</v>
      </c>
      <c r="D3262">
        <v>107068.71875</v>
      </c>
      <c r="E3262">
        <v>102112.6875</v>
      </c>
      <c r="F3262">
        <v>105606.1796875</v>
      </c>
      <c r="G3262">
        <v>105606.1796875</v>
      </c>
      <c r="H3262">
        <v>61761126647</v>
      </c>
      <c r="I3262" t="s">
        <v>6902</v>
      </c>
      <c r="J3262" t="s">
        <v>6903</v>
      </c>
      <c r="K3262" t="s">
        <v>4634</v>
      </c>
    </row>
    <row r="3263" spans="1:11" ht="20" customHeight="1">
      <c r="A3263" t="s">
        <v>26</v>
      </c>
      <c r="B3263" t="s">
        <v>3609</v>
      </c>
      <c r="C3263">
        <v>105605.40625</v>
      </c>
      <c r="D3263">
        <v>107307.1171875</v>
      </c>
      <c r="E3263">
        <v>104206.515625</v>
      </c>
      <c r="F3263">
        <v>106791.0859375</v>
      </c>
      <c r="G3263">
        <v>106791.0859375</v>
      </c>
      <c r="H3263">
        <v>36515726122</v>
      </c>
      <c r="I3263" t="s">
        <v>6903</v>
      </c>
      <c r="J3263" t="s">
        <v>6904</v>
      </c>
      <c r="K3263" t="s">
        <v>4634</v>
      </c>
    </row>
    <row r="3264" spans="1:11" ht="20" customHeight="1">
      <c r="A3264" t="s">
        <v>26</v>
      </c>
      <c r="B3264" t="s">
        <v>3612</v>
      </c>
      <c r="C3264">
        <v>106791.3125</v>
      </c>
      <c r="D3264">
        <v>110724.4609375</v>
      </c>
      <c r="E3264">
        <v>106127.234375</v>
      </c>
      <c r="F3264">
        <v>109678.078125</v>
      </c>
      <c r="G3264">
        <v>109678.078125</v>
      </c>
      <c r="H3264">
        <v>78086364051</v>
      </c>
      <c r="I3264" t="s">
        <v>6904</v>
      </c>
      <c r="J3264" t="s">
        <v>6905</v>
      </c>
      <c r="K3264" t="s">
        <v>4634</v>
      </c>
    </row>
    <row r="3265" spans="1:11" ht="20" customHeight="1">
      <c r="A3265" t="s">
        <v>26</v>
      </c>
      <c r="B3265" t="s">
        <v>3615</v>
      </c>
      <c r="C3265">
        <v>109673.4921875</v>
      </c>
      <c r="D3265">
        <v>111970.171875</v>
      </c>
      <c r="E3265">
        <v>109285.0703125</v>
      </c>
      <c r="F3265">
        <v>111673.28125</v>
      </c>
      <c r="G3265">
        <v>111673.28125</v>
      </c>
      <c r="H3265">
        <v>70157575642</v>
      </c>
      <c r="I3265" t="s">
        <v>6905</v>
      </c>
      <c r="J3265" t="s">
        <v>6906</v>
      </c>
      <c r="K3265" t="s">
        <v>4634</v>
      </c>
    </row>
    <row r="3266" spans="1:11" ht="20" customHeight="1">
      <c r="A3266" t="s">
        <v>26</v>
      </c>
      <c r="B3266" t="s">
        <v>3618</v>
      </c>
      <c r="C3266">
        <v>111679.359375</v>
      </c>
      <c r="D3266">
        <v>111798.90625</v>
      </c>
      <c r="E3266">
        <v>106841.3046875</v>
      </c>
      <c r="F3266">
        <v>107287.796875</v>
      </c>
      <c r="G3266">
        <v>107287.796875</v>
      </c>
      <c r="H3266">
        <v>67548133399</v>
      </c>
      <c r="I3266" t="s">
        <v>6906</v>
      </c>
      <c r="J3266" t="s">
        <v>6907</v>
      </c>
      <c r="K3266" t="s">
        <v>4634</v>
      </c>
    </row>
    <row r="3267" spans="1:11" ht="20" customHeight="1">
      <c r="A3267" t="s">
        <v>26</v>
      </c>
      <c r="B3267" t="s">
        <v>6908</v>
      </c>
      <c r="C3267">
        <v>107278.5078125</v>
      </c>
      <c r="D3267">
        <v>109454.5234375</v>
      </c>
      <c r="E3267">
        <v>106895.2890625</v>
      </c>
      <c r="F3267">
        <v>107791.15625</v>
      </c>
      <c r="G3267">
        <v>107791.15625</v>
      </c>
      <c r="H3267">
        <v>45903627163</v>
      </c>
      <c r="I3267" t="s">
        <v>6907</v>
      </c>
      <c r="J3267" t="s">
        <v>6909</v>
      </c>
      <c r="K3267" t="s">
        <v>4634</v>
      </c>
    </row>
    <row r="3268" spans="1:11" ht="20" customHeight="1">
      <c r="A3268" t="s">
        <v>26</v>
      </c>
      <c r="B3268" t="s">
        <v>6910</v>
      </c>
      <c r="C3268">
        <v>107802.2734375</v>
      </c>
      <c r="D3268">
        <v>109313.3046875</v>
      </c>
      <c r="E3268">
        <v>106683.375</v>
      </c>
      <c r="F3268">
        <v>109035.390625</v>
      </c>
      <c r="G3268">
        <v>109035.390625</v>
      </c>
      <c r="H3268">
        <v>47518041841</v>
      </c>
      <c r="I3268" t="s">
        <v>6909</v>
      </c>
      <c r="J3268" t="s">
        <v>6911</v>
      </c>
      <c r="K3268" t="s">
        <v>4634</v>
      </c>
    </row>
    <row r="3269" spans="1:11" ht="20" customHeight="1">
      <c r="A3269" t="s">
        <v>26</v>
      </c>
      <c r="B3269" t="s">
        <v>6912</v>
      </c>
      <c r="C3269">
        <v>109023.78125</v>
      </c>
      <c r="D3269">
        <v>110376.8828125</v>
      </c>
      <c r="E3269">
        <v>108735.640625</v>
      </c>
      <c r="F3269">
        <v>109440.3671875</v>
      </c>
      <c r="G3269">
        <v>109440.3671875</v>
      </c>
      <c r="H3269">
        <v>45950461571</v>
      </c>
      <c r="I3269" t="s">
        <v>6911</v>
      </c>
      <c r="J3269" t="s">
        <v>6913</v>
      </c>
      <c r="K3269" t="s">
        <v>4634</v>
      </c>
    </row>
    <row r="3270" spans="1:11" ht="20" customHeight="1">
      <c r="A3270" t="s">
        <v>26</v>
      </c>
      <c r="B3270" t="s">
        <v>3621</v>
      </c>
      <c r="C3270">
        <v>109440.40625</v>
      </c>
      <c r="D3270">
        <v>110744.2109375</v>
      </c>
      <c r="E3270">
        <v>107609.5546875</v>
      </c>
      <c r="F3270">
        <v>108994.640625</v>
      </c>
      <c r="G3270">
        <v>108994.640625</v>
      </c>
      <c r="H3270">
        <v>57450176272</v>
      </c>
      <c r="I3270" t="s">
        <v>6913</v>
      </c>
      <c r="J3270" t="s">
        <v>6914</v>
      </c>
      <c r="K3270" t="s">
        <v>4634</v>
      </c>
    </row>
    <row r="3271" spans="1:11" ht="20" customHeight="1">
      <c r="A3271" t="s">
        <v>26</v>
      </c>
      <c r="B3271" t="s">
        <v>3624</v>
      </c>
      <c r="C3271">
        <v>108992.171875</v>
      </c>
      <c r="D3271">
        <v>109298.2890625</v>
      </c>
      <c r="E3271">
        <v>106812.9296875</v>
      </c>
      <c r="F3271">
        <v>107802.328125</v>
      </c>
      <c r="G3271">
        <v>107802.328125</v>
      </c>
      <c r="H3271">
        <v>49155377493</v>
      </c>
      <c r="I3271" t="s">
        <v>6914</v>
      </c>
      <c r="J3271" t="s">
        <v>6915</v>
      </c>
      <c r="K3271" t="s">
        <v>4634</v>
      </c>
    </row>
    <row r="3272" spans="1:11" ht="20" customHeight="1">
      <c r="A3272" t="s">
        <v>26</v>
      </c>
      <c r="B3272" t="s">
        <v>3627</v>
      </c>
      <c r="C3272">
        <v>107795.5703125</v>
      </c>
      <c r="D3272">
        <v>108910.046875</v>
      </c>
      <c r="E3272">
        <v>105374.3984375</v>
      </c>
      <c r="F3272">
        <v>105641.7578125</v>
      </c>
      <c r="G3272">
        <v>105641.7578125</v>
      </c>
      <c r="H3272">
        <v>56022752042</v>
      </c>
      <c r="I3272" t="s">
        <v>6915</v>
      </c>
      <c r="J3272" t="s">
        <v>6916</v>
      </c>
      <c r="K3272" t="s">
        <v>4634</v>
      </c>
    </row>
    <row r="3273" spans="1:11" ht="20" customHeight="1">
      <c r="A3273" t="s">
        <v>26</v>
      </c>
      <c r="B3273" t="s">
        <v>3630</v>
      </c>
      <c r="C3273">
        <v>105646.2109375</v>
      </c>
      <c r="D3273">
        <v>106308.9453125</v>
      </c>
      <c r="E3273">
        <v>103685.7890625</v>
      </c>
      <c r="F3273">
        <v>103998.5703125</v>
      </c>
      <c r="G3273">
        <v>103998.5703125</v>
      </c>
      <c r="H3273">
        <v>57655287183</v>
      </c>
      <c r="I3273" t="s">
        <v>6916</v>
      </c>
      <c r="J3273" t="s">
        <v>6917</v>
      </c>
      <c r="K3273" t="s">
        <v>4634</v>
      </c>
    </row>
    <row r="3274" spans="1:11" ht="20" customHeight="1">
      <c r="A3274" t="s">
        <v>26</v>
      </c>
      <c r="B3274" t="s">
        <v>6918</v>
      </c>
      <c r="C3274">
        <v>103994.71875</v>
      </c>
      <c r="D3274">
        <v>104927.1015625</v>
      </c>
      <c r="E3274">
        <v>103136.1171875</v>
      </c>
      <c r="F3274">
        <v>104638.09375</v>
      </c>
      <c r="G3274">
        <v>104638.09375</v>
      </c>
      <c r="H3274">
        <v>38997843858</v>
      </c>
      <c r="I3274" t="s">
        <v>6917</v>
      </c>
      <c r="J3274" t="s">
        <v>6919</v>
      </c>
      <c r="K3274" t="s">
        <v>4634</v>
      </c>
    </row>
    <row r="3275" spans="1:11" ht="20" customHeight="1">
      <c r="A3275" t="s">
        <v>26</v>
      </c>
      <c r="B3275" t="s">
        <v>6920</v>
      </c>
      <c r="C3275">
        <v>104637.296875</v>
      </c>
      <c r="D3275">
        <v>105884.546875</v>
      </c>
      <c r="E3275">
        <v>103826.953125</v>
      </c>
      <c r="F3275">
        <v>105652.1015625</v>
      </c>
      <c r="G3275">
        <v>105652.1015625</v>
      </c>
      <c r="H3275">
        <v>37397056873</v>
      </c>
      <c r="I3275" t="s">
        <v>6919</v>
      </c>
      <c r="J3275" t="s">
        <v>6921</v>
      </c>
      <c r="K3275" t="s">
        <v>4634</v>
      </c>
    </row>
    <row r="3276" spans="1:11" ht="20" customHeight="1">
      <c r="A3276" t="s">
        <v>26</v>
      </c>
      <c r="B3276" t="s">
        <v>3633</v>
      </c>
      <c r="C3276">
        <v>105649.8125</v>
      </c>
      <c r="D3276">
        <v>105958.3125</v>
      </c>
      <c r="E3276">
        <v>103727.546875</v>
      </c>
      <c r="F3276">
        <v>105881.53125</v>
      </c>
      <c r="G3276">
        <v>105881.53125</v>
      </c>
      <c r="H3276">
        <v>45819706290</v>
      </c>
      <c r="I3276" t="s">
        <v>6921</v>
      </c>
      <c r="J3276" t="s">
        <v>6922</v>
      </c>
      <c r="K3276" t="s">
        <v>4634</v>
      </c>
    </row>
    <row r="3277" spans="1:11" ht="20" customHeight="1">
      <c r="A3277" t="s">
        <v>26</v>
      </c>
      <c r="B3277" t="s">
        <v>3636</v>
      </c>
      <c r="C3277">
        <v>105888.4765625</v>
      </c>
      <c r="D3277">
        <v>106813.578125</v>
      </c>
      <c r="E3277">
        <v>104920.84375</v>
      </c>
      <c r="F3277">
        <v>105432.46875</v>
      </c>
      <c r="G3277">
        <v>105432.46875</v>
      </c>
      <c r="H3277">
        <v>46196508367</v>
      </c>
      <c r="I3277" t="s">
        <v>6922</v>
      </c>
      <c r="J3277" t="s">
        <v>6923</v>
      </c>
      <c r="K3277" t="s">
        <v>4634</v>
      </c>
    </row>
    <row r="3278" spans="1:11" ht="20" customHeight="1">
      <c r="A3278" t="s">
        <v>26</v>
      </c>
      <c r="B3278" t="s">
        <v>3639</v>
      </c>
      <c r="C3278">
        <v>105434.3671875</v>
      </c>
      <c r="D3278">
        <v>105997.6953125</v>
      </c>
      <c r="E3278">
        <v>104232.703125</v>
      </c>
      <c r="F3278">
        <v>104731.984375</v>
      </c>
      <c r="G3278">
        <v>104731.984375</v>
      </c>
      <c r="H3278">
        <v>44544857105</v>
      </c>
      <c r="I3278" t="s">
        <v>6923</v>
      </c>
      <c r="J3278" t="s">
        <v>6924</v>
      </c>
      <c r="K3278" t="s">
        <v>4634</v>
      </c>
    </row>
    <row r="3279" spans="1:11" ht="20" customHeight="1">
      <c r="A3279" t="s">
        <v>26</v>
      </c>
      <c r="B3279" t="s">
        <v>3642</v>
      </c>
      <c r="C3279">
        <v>104750.78125</v>
      </c>
      <c r="D3279">
        <v>105936.6875</v>
      </c>
      <c r="E3279">
        <v>100436.8828125</v>
      </c>
      <c r="F3279">
        <v>101575.953125</v>
      </c>
      <c r="G3279">
        <v>101575.953125</v>
      </c>
      <c r="H3279">
        <v>57479298400</v>
      </c>
      <c r="I3279" t="s">
        <v>6924</v>
      </c>
      <c r="J3279" t="s">
        <v>6925</v>
      </c>
      <c r="K3279" t="s">
        <v>4634</v>
      </c>
    </row>
    <row r="3280" spans="1:11" ht="20" customHeight="1">
      <c r="A3280" t="s">
        <v>26</v>
      </c>
      <c r="B3280" t="s">
        <v>3645</v>
      </c>
      <c r="C3280">
        <v>101574.3671875</v>
      </c>
      <c r="D3280">
        <v>105376.7734375</v>
      </c>
      <c r="E3280">
        <v>101169.5703125</v>
      </c>
      <c r="F3280">
        <v>104390.34375</v>
      </c>
      <c r="G3280">
        <v>104390.34375</v>
      </c>
      <c r="H3280">
        <v>48856653697</v>
      </c>
      <c r="I3280" t="s">
        <v>6925</v>
      </c>
      <c r="J3280" t="s">
        <v>6926</v>
      </c>
      <c r="K3280" t="s">
        <v>4634</v>
      </c>
    </row>
    <row r="3281" spans="1:11" ht="20" customHeight="1">
      <c r="A3281" t="s">
        <v>26</v>
      </c>
      <c r="B3281" t="s">
        <v>6927</v>
      </c>
      <c r="C3281">
        <v>104390.6484375</v>
      </c>
      <c r="D3281">
        <v>105972.7578125</v>
      </c>
      <c r="E3281">
        <v>103987.3125</v>
      </c>
      <c r="F3281">
        <v>105615.625</v>
      </c>
      <c r="G3281">
        <v>105615.625</v>
      </c>
      <c r="H3281">
        <v>38365033776</v>
      </c>
      <c r="I3281" t="s">
        <v>6926</v>
      </c>
      <c r="J3281" t="s">
        <v>6928</v>
      </c>
      <c r="K3281" t="s">
        <v>4634</v>
      </c>
    </row>
    <row r="3282" spans="1:11" ht="20" customHeight="1">
      <c r="A3282" t="s">
        <v>26</v>
      </c>
      <c r="B3282" t="s">
        <v>6929</v>
      </c>
      <c r="C3282">
        <v>105617.5078125</v>
      </c>
      <c r="D3282">
        <v>106497.0625</v>
      </c>
      <c r="E3282">
        <v>105075.328125</v>
      </c>
      <c r="F3282">
        <v>105793.6484375</v>
      </c>
      <c r="G3282">
        <v>105793.6484375</v>
      </c>
      <c r="H3282">
        <v>36626232328</v>
      </c>
      <c r="I3282" t="s">
        <v>6928</v>
      </c>
      <c r="J3282" t="s">
        <v>6930</v>
      </c>
      <c r="K3282" t="s">
        <v>4634</v>
      </c>
    </row>
    <row r="3283" spans="1:11" ht="20" customHeight="1">
      <c r="A3283" t="s">
        <v>26</v>
      </c>
      <c r="B3283" t="s">
        <v>3648</v>
      </c>
      <c r="C3283">
        <v>105793.0234375</v>
      </c>
      <c r="D3283">
        <v>110561.421875</v>
      </c>
      <c r="E3283">
        <v>105400.234375</v>
      </c>
      <c r="F3283">
        <v>110294.1015625</v>
      </c>
      <c r="G3283">
        <v>110294.1015625</v>
      </c>
      <c r="H3283">
        <v>55903193732</v>
      </c>
      <c r="I3283" t="s">
        <v>6930</v>
      </c>
      <c r="J3283" t="s">
        <v>6931</v>
      </c>
      <c r="K3283" t="s">
        <v>4634</v>
      </c>
    </row>
    <row r="3284" spans="1:11" ht="20" customHeight="1">
      <c r="A3284" t="s">
        <v>26</v>
      </c>
      <c r="B3284" t="s">
        <v>3651</v>
      </c>
      <c r="C3284">
        <v>110295.6875</v>
      </c>
      <c r="D3284">
        <v>110380.125</v>
      </c>
      <c r="E3284">
        <v>108367.7109375</v>
      </c>
      <c r="F3284">
        <v>110257.234375</v>
      </c>
      <c r="G3284">
        <v>110257.234375</v>
      </c>
      <c r="H3284">
        <v>54700101509</v>
      </c>
      <c r="I3284" t="s">
        <v>6931</v>
      </c>
      <c r="J3284" t="s">
        <v>6932</v>
      </c>
      <c r="K3284" t="s">
        <v>4634</v>
      </c>
    </row>
    <row r="3285" spans="1:11" ht="20" customHeight="1">
      <c r="A3285" t="s">
        <v>26</v>
      </c>
      <c r="B3285" t="s">
        <v>3654</v>
      </c>
      <c r="C3285">
        <v>110261.796875</v>
      </c>
      <c r="D3285">
        <v>110384.21875</v>
      </c>
      <c r="E3285">
        <v>108086.328125</v>
      </c>
      <c r="F3285">
        <v>108686.625</v>
      </c>
      <c r="G3285">
        <v>108686.625</v>
      </c>
      <c r="H3285">
        <v>50842662052</v>
      </c>
      <c r="I3285" t="s">
        <v>6932</v>
      </c>
      <c r="J3285" t="s">
        <v>6933</v>
      </c>
      <c r="K3285" t="s">
        <v>4634</v>
      </c>
    </row>
    <row r="3286" spans="1:11" ht="20" customHeight="1">
      <c r="A3286" t="s">
        <v>26</v>
      </c>
      <c r="B3286" t="s">
        <v>3657</v>
      </c>
      <c r="C3286">
        <v>108685.9140625</v>
      </c>
      <c r="D3286">
        <v>108780.6953125</v>
      </c>
      <c r="E3286">
        <v>105785.6875</v>
      </c>
      <c r="F3286">
        <v>105929.0546875</v>
      </c>
      <c r="G3286">
        <v>105929.0546875</v>
      </c>
      <c r="H3286">
        <v>54843867968</v>
      </c>
      <c r="I3286" t="s">
        <v>6933</v>
      </c>
      <c r="J3286" t="s">
        <v>6934</v>
      </c>
      <c r="K3286" t="s">
        <v>4634</v>
      </c>
    </row>
    <row r="3287" spans="1:11" ht="20" customHeight="1">
      <c r="A3287" t="s">
        <v>26</v>
      </c>
      <c r="B3287" t="s">
        <v>3660</v>
      </c>
      <c r="C3287">
        <v>105924.59375</v>
      </c>
      <c r="D3287">
        <v>106182.546875</v>
      </c>
      <c r="E3287">
        <v>102822.0234375</v>
      </c>
      <c r="F3287">
        <v>106090.96875</v>
      </c>
      <c r="G3287">
        <v>106090.96875</v>
      </c>
      <c r="H3287">
        <v>69550440846</v>
      </c>
      <c r="I3287" t="s">
        <v>6934</v>
      </c>
      <c r="J3287" t="s">
        <v>6935</v>
      </c>
      <c r="K3287" t="s">
        <v>4634</v>
      </c>
    </row>
    <row r="3288" spans="1:11" ht="20" customHeight="1">
      <c r="A3288" t="s">
        <v>26</v>
      </c>
      <c r="B3288" t="s">
        <v>6936</v>
      </c>
      <c r="C3288">
        <v>106108.0859375</v>
      </c>
      <c r="D3288">
        <v>106203.7578125</v>
      </c>
      <c r="E3288">
        <v>104379.3671875</v>
      </c>
      <c r="F3288">
        <v>105472.40625</v>
      </c>
      <c r="G3288">
        <v>105472.40625</v>
      </c>
      <c r="H3288">
        <v>38007870453</v>
      </c>
      <c r="I3288" t="s">
        <v>6935</v>
      </c>
      <c r="J3288" t="s">
        <v>6937</v>
      </c>
      <c r="K3288" t="s">
        <v>4634</v>
      </c>
    </row>
    <row r="3289" spans="1:11" ht="20" customHeight="1">
      <c r="A3289" t="s">
        <v>26</v>
      </c>
      <c r="B3289" t="s">
        <v>6938</v>
      </c>
      <c r="C3289">
        <v>105464.84375</v>
      </c>
      <c r="D3289">
        <v>106157.1015625</v>
      </c>
      <c r="E3289">
        <v>104519.8828125</v>
      </c>
      <c r="F3289">
        <v>105552.0234375</v>
      </c>
      <c r="G3289">
        <v>105552.0234375</v>
      </c>
      <c r="H3289">
        <v>36744307742</v>
      </c>
      <c r="I3289" t="s">
        <v>6937</v>
      </c>
      <c r="J3289" t="s">
        <v>6939</v>
      </c>
      <c r="K3289" t="s">
        <v>4634</v>
      </c>
    </row>
    <row r="3290" spans="1:11" ht="20" customHeight="1">
      <c r="A3290" t="s">
        <v>26</v>
      </c>
      <c r="B3290" t="s">
        <v>3663</v>
      </c>
      <c r="C3290">
        <v>105555.59375</v>
      </c>
      <c r="D3290">
        <v>108915.375</v>
      </c>
      <c r="E3290">
        <v>104997.625</v>
      </c>
      <c r="F3290">
        <v>106796.7578125</v>
      </c>
      <c r="G3290">
        <v>106796.7578125</v>
      </c>
      <c r="H3290">
        <v>50366626945</v>
      </c>
      <c r="I3290" t="s">
        <v>6939</v>
      </c>
      <c r="J3290" t="s">
        <v>6940</v>
      </c>
      <c r="K3290" t="s">
        <v>4634</v>
      </c>
    </row>
    <row r="3291" spans="1:11" ht="20" customHeight="1">
      <c r="A3291" t="s">
        <v>26</v>
      </c>
      <c r="B3291" t="s">
        <v>3666</v>
      </c>
      <c r="C3291">
        <v>106794.1171875</v>
      </c>
      <c r="D3291">
        <v>107750.1953125</v>
      </c>
      <c r="E3291">
        <v>103396.53125</v>
      </c>
      <c r="F3291">
        <v>104601.1171875</v>
      </c>
      <c r="G3291">
        <v>104601.1171875</v>
      </c>
      <c r="H3291">
        <v>55964092176</v>
      </c>
      <c r="I3291" t="s">
        <v>6940</v>
      </c>
      <c r="J3291" t="s">
        <v>6941</v>
      </c>
      <c r="K3291" t="s">
        <v>4634</v>
      </c>
    </row>
    <row r="3292" spans="1:11" ht="20" customHeight="1">
      <c r="A3292" t="s">
        <v>26</v>
      </c>
      <c r="B3292" t="s">
        <v>3669</v>
      </c>
      <c r="C3292">
        <v>104602.0703125</v>
      </c>
      <c r="D3292">
        <v>105581.8515625</v>
      </c>
      <c r="E3292">
        <v>103602.265625</v>
      </c>
      <c r="F3292">
        <v>104883.328125</v>
      </c>
      <c r="G3292">
        <v>104883.328125</v>
      </c>
      <c r="H3292">
        <v>47318089133</v>
      </c>
      <c r="I3292" t="s">
        <v>6941</v>
      </c>
      <c r="J3292" t="s">
        <v>6942</v>
      </c>
      <c r="K3292" t="s">
        <v>4634</v>
      </c>
    </row>
    <row r="3293" spans="1:11" ht="20" customHeight="1">
      <c r="A3293" t="s">
        <v>26</v>
      </c>
      <c r="B3293" t="s">
        <v>6943</v>
      </c>
      <c r="C3293">
        <v>104886.7734375</v>
      </c>
      <c r="D3293">
        <v>105250.890625</v>
      </c>
      <c r="E3293">
        <v>103940.7734375</v>
      </c>
      <c r="F3293">
        <v>104684.2890625</v>
      </c>
      <c r="G3293">
        <v>104684.2890625</v>
      </c>
      <c r="H3293">
        <v>37333806920</v>
      </c>
      <c r="I3293" t="s">
        <v>6942</v>
      </c>
      <c r="J3293" t="s">
        <v>6944</v>
      </c>
      <c r="K3293" t="s">
        <v>4634</v>
      </c>
    </row>
    <row r="3294" spans="1:11" ht="20" customHeight="1">
      <c r="A3294" t="s">
        <v>26</v>
      </c>
      <c r="B3294" t="s">
        <v>3672</v>
      </c>
      <c r="C3294">
        <v>104681.03125</v>
      </c>
      <c r="D3294">
        <v>106539.3828125</v>
      </c>
      <c r="E3294">
        <v>102372.2109375</v>
      </c>
      <c r="F3294">
        <v>103309.6015625</v>
      </c>
      <c r="G3294">
        <v>103309.6015625</v>
      </c>
      <c r="H3294">
        <v>50951862476</v>
      </c>
      <c r="I3294" t="s">
        <v>6944</v>
      </c>
      <c r="J3294" t="s">
        <v>6945</v>
      </c>
      <c r="K3294" t="s">
        <v>4634</v>
      </c>
    </row>
    <row r="3295" spans="1:11" ht="20" customHeight="1">
      <c r="A3295" t="s">
        <v>26</v>
      </c>
      <c r="B3295" t="s">
        <v>6946</v>
      </c>
      <c r="C3295">
        <v>103315.078125</v>
      </c>
      <c r="D3295">
        <v>104015.78125</v>
      </c>
      <c r="E3295">
        <v>100973.0625</v>
      </c>
      <c r="F3295">
        <v>102257.40625</v>
      </c>
      <c r="G3295">
        <v>102257.40625</v>
      </c>
      <c r="H3295">
        <v>38360555118</v>
      </c>
      <c r="I3295" t="s">
        <v>6945</v>
      </c>
      <c r="J3295" t="s">
        <v>6947</v>
      </c>
      <c r="K3295" t="s">
        <v>4634</v>
      </c>
    </row>
    <row r="3296" spans="1:11" ht="20" customHeight="1">
      <c r="A3296" t="s">
        <v>26</v>
      </c>
      <c r="B3296" t="s">
        <v>6948</v>
      </c>
      <c r="C3296">
        <v>102212.03125</v>
      </c>
      <c r="D3296">
        <v>103351.6328125</v>
      </c>
      <c r="E3296">
        <v>98286.203125</v>
      </c>
      <c r="F3296">
        <v>100987.140625</v>
      </c>
      <c r="G3296">
        <v>100987.140625</v>
      </c>
      <c r="H3296">
        <v>65536997201</v>
      </c>
      <c r="I3296" t="s">
        <v>6947</v>
      </c>
      <c r="J3296" t="s">
        <v>6949</v>
      </c>
      <c r="K3296" t="s">
        <v>4634</v>
      </c>
    </row>
    <row r="3297" spans="1:11" ht="20" customHeight="1">
      <c r="A3297" t="s">
        <v>26</v>
      </c>
      <c r="B3297" t="s">
        <v>3675</v>
      </c>
      <c r="C3297">
        <v>100987.4765625</v>
      </c>
      <c r="D3297">
        <v>106116.859375</v>
      </c>
      <c r="E3297">
        <v>99705.75</v>
      </c>
      <c r="F3297">
        <v>105577.7734375</v>
      </c>
      <c r="G3297">
        <v>105577.7734375</v>
      </c>
      <c r="H3297">
        <v>65237759656</v>
      </c>
      <c r="I3297" t="s">
        <v>6949</v>
      </c>
      <c r="J3297" t="s">
        <v>6950</v>
      </c>
      <c r="K3297" t="s">
        <v>4634</v>
      </c>
    </row>
    <row r="3298" spans="1:11" ht="20" customHeight="1">
      <c r="A3298" t="s">
        <v>26</v>
      </c>
      <c r="B3298" t="s">
        <v>3678</v>
      </c>
      <c r="C3298">
        <v>105571.515625</v>
      </c>
      <c r="D3298">
        <v>106316.828125</v>
      </c>
      <c r="E3298">
        <v>104740.2421875</v>
      </c>
      <c r="F3298">
        <v>106045.6328125</v>
      </c>
      <c r="G3298">
        <v>106045.6328125</v>
      </c>
      <c r="H3298">
        <v>48822986421</v>
      </c>
      <c r="I3298" t="s">
        <v>6950</v>
      </c>
      <c r="J3298" t="s">
        <v>6951</v>
      </c>
      <c r="K3298" t="s">
        <v>4634</v>
      </c>
    </row>
    <row r="3299" spans="1:11" ht="20" customHeight="1">
      <c r="A3299" t="s">
        <v>26</v>
      </c>
      <c r="B3299" t="s">
        <v>3681</v>
      </c>
      <c r="C3299">
        <v>106047.40625</v>
      </c>
      <c r="D3299">
        <v>108168.3984375</v>
      </c>
      <c r="E3299">
        <v>105881.390625</v>
      </c>
      <c r="F3299">
        <v>107361.2578125</v>
      </c>
      <c r="G3299">
        <v>107361.2578125</v>
      </c>
      <c r="H3299">
        <v>51624120283</v>
      </c>
      <c r="I3299" t="s">
        <v>6951</v>
      </c>
      <c r="J3299" t="s">
        <v>6952</v>
      </c>
      <c r="K3299" t="s">
        <v>4634</v>
      </c>
    </row>
    <row r="3300" spans="1:11" ht="20" customHeight="1">
      <c r="A3300" t="s">
        <v>26</v>
      </c>
      <c r="B3300" t="s">
        <v>3684</v>
      </c>
      <c r="C3300">
        <v>107375.0703125</v>
      </c>
      <c r="D3300">
        <v>108305.546875</v>
      </c>
      <c r="E3300">
        <v>106666.3515625</v>
      </c>
      <c r="F3300">
        <v>106960</v>
      </c>
      <c r="G3300">
        <v>106960</v>
      </c>
      <c r="H3300">
        <v>43891990613</v>
      </c>
      <c r="I3300" t="s">
        <v>6952</v>
      </c>
      <c r="J3300" t="s">
        <v>6953</v>
      </c>
      <c r="K3300" t="s">
        <v>4634</v>
      </c>
    </row>
    <row r="3301" spans="1:11" ht="20" customHeight="1">
      <c r="A3301" t="s">
        <v>26</v>
      </c>
      <c r="B3301" t="s">
        <v>3687</v>
      </c>
      <c r="C3301">
        <v>106954.921875</v>
      </c>
      <c r="D3301">
        <v>107772.46875</v>
      </c>
      <c r="E3301">
        <v>106449.9921875</v>
      </c>
      <c r="F3301">
        <v>107088.4296875</v>
      </c>
      <c r="G3301">
        <v>107088.4296875</v>
      </c>
      <c r="H3301">
        <v>45353692675</v>
      </c>
      <c r="I3301" t="s">
        <v>6953</v>
      </c>
      <c r="J3301" t="s">
        <v>6954</v>
      </c>
      <c r="K3301" t="s">
        <v>4634</v>
      </c>
    </row>
    <row r="3302" spans="1:11" ht="20" customHeight="1">
      <c r="A3302" t="s">
        <v>26</v>
      </c>
      <c r="B3302" t="s">
        <v>6955</v>
      </c>
      <c r="C3302">
        <v>107090.546875</v>
      </c>
      <c r="D3302">
        <v>107567.8828125</v>
      </c>
      <c r="E3302">
        <v>106883.9765625</v>
      </c>
      <c r="F3302">
        <v>107327.703125</v>
      </c>
      <c r="G3302">
        <v>107327.703125</v>
      </c>
      <c r="H3302">
        <v>30037708335</v>
      </c>
      <c r="I3302" t="s">
        <v>6954</v>
      </c>
      <c r="J3302" t="s">
        <v>6956</v>
      </c>
      <c r="K3302" t="s">
        <v>4634</v>
      </c>
    </row>
    <row r="3303" spans="1:11" ht="20" customHeight="1">
      <c r="A3303" t="s">
        <v>26</v>
      </c>
      <c r="B3303" t="s">
        <v>6957</v>
      </c>
      <c r="C3303">
        <v>107327.8203125</v>
      </c>
      <c r="D3303">
        <v>108526.3046875</v>
      </c>
      <c r="E3303">
        <v>107230.109375</v>
      </c>
      <c r="F3303">
        <v>108385.5703125</v>
      </c>
      <c r="G3303">
        <v>108385.5703125</v>
      </c>
      <c r="H3303">
        <v>35534874438</v>
      </c>
      <c r="I3303" t="s">
        <v>6956</v>
      </c>
      <c r="J3303" t="s">
        <v>6958</v>
      </c>
      <c r="K3303" t="s">
        <v>4634</v>
      </c>
    </row>
    <row r="3304" spans="1:11" ht="20" customHeight="1">
      <c r="A3304" t="s">
        <v>26</v>
      </c>
      <c r="B3304" t="s">
        <v>3690</v>
      </c>
      <c r="C3304">
        <v>108383.4375</v>
      </c>
      <c r="D3304">
        <v>108798.7890625</v>
      </c>
      <c r="E3304">
        <v>106759.6484375</v>
      </c>
      <c r="F3304">
        <v>107135.3359375</v>
      </c>
      <c r="G3304">
        <v>107135.3359375</v>
      </c>
      <c r="H3304">
        <v>42064804590</v>
      </c>
      <c r="I3304" t="s">
        <v>6958</v>
      </c>
      <c r="J3304" t="s">
        <v>6959</v>
      </c>
      <c r="K3304" t="s">
        <v>4634</v>
      </c>
    </row>
    <row r="3305" spans="1:11" ht="20" customHeight="1">
      <c r="A3305" t="s">
        <v>26</v>
      </c>
      <c r="B3305" t="s">
        <v>3693</v>
      </c>
      <c r="C3305">
        <v>107144.3828125</v>
      </c>
      <c r="D3305">
        <v>107550.6796875</v>
      </c>
      <c r="E3305">
        <v>105270.2265625</v>
      </c>
      <c r="F3305">
        <v>105698.28125</v>
      </c>
      <c r="G3305">
        <v>105698.28125</v>
      </c>
      <c r="H3305">
        <v>44110692247</v>
      </c>
      <c r="I3305" t="s">
        <v>6959</v>
      </c>
      <c r="J3305" t="s">
        <v>6960</v>
      </c>
      <c r="K3305" t="s">
        <v>4634</v>
      </c>
    </row>
    <row r="3306" spans="1:11" ht="20" customHeight="1">
      <c r="A3306" t="s">
        <v>26</v>
      </c>
      <c r="B3306" t="s">
        <v>3696</v>
      </c>
      <c r="C3306">
        <v>105703.1015625</v>
      </c>
      <c r="D3306">
        <v>109763.65625</v>
      </c>
      <c r="E3306">
        <v>105157.3984375</v>
      </c>
      <c r="F3306">
        <v>108859.3203125</v>
      </c>
      <c r="G3306">
        <v>108859.3203125</v>
      </c>
      <c r="H3306">
        <v>56248657737</v>
      </c>
      <c r="I3306" t="s">
        <v>6960</v>
      </c>
      <c r="J3306" t="s">
        <v>6961</v>
      </c>
      <c r="K3306" t="s">
        <v>4634</v>
      </c>
    </row>
    <row r="3307" spans="1:11" ht="20" customHeight="1">
      <c r="A3307" t="s">
        <v>26</v>
      </c>
      <c r="B3307" t="s">
        <v>3699</v>
      </c>
      <c r="C3307">
        <v>108845.015625</v>
      </c>
      <c r="D3307">
        <v>110541.4609375</v>
      </c>
      <c r="E3307">
        <v>108605.796875</v>
      </c>
      <c r="F3307">
        <v>109647.9765625</v>
      </c>
      <c r="G3307">
        <v>109647.9765625</v>
      </c>
      <c r="H3307">
        <v>50494742270</v>
      </c>
      <c r="I3307" t="s">
        <v>6961</v>
      </c>
      <c r="J3307" t="s">
        <v>6962</v>
      </c>
      <c r="K3307" t="s">
        <v>4634</v>
      </c>
    </row>
    <row r="3308" spans="1:11" ht="20" customHeight="1">
      <c r="A3308" t="s">
        <v>26</v>
      </c>
      <c r="B3308" t="s">
        <v>6963</v>
      </c>
      <c r="C3308">
        <v>109635.65625</v>
      </c>
      <c r="D3308">
        <v>109751.984375</v>
      </c>
      <c r="E3308">
        <v>107296.3828125</v>
      </c>
      <c r="F3308">
        <v>108034.3359375</v>
      </c>
      <c r="G3308">
        <v>108034.3359375</v>
      </c>
      <c r="H3308">
        <v>42616442656</v>
      </c>
      <c r="I3308" t="s">
        <v>6962</v>
      </c>
      <c r="J3308" t="s">
        <v>6964</v>
      </c>
      <c r="K3308" t="s">
        <v>4634</v>
      </c>
    </row>
    <row r="3309" spans="1:11" ht="20" customHeight="1">
      <c r="A3309" t="s">
        <v>26</v>
      </c>
      <c r="B3309" t="s">
        <v>6965</v>
      </c>
      <c r="C3309">
        <v>108015.8359375</v>
      </c>
      <c r="D3309">
        <v>108381.34375</v>
      </c>
      <c r="E3309">
        <v>107842.2734375</v>
      </c>
      <c r="F3309">
        <v>108231.1796875</v>
      </c>
      <c r="G3309">
        <v>108231.1796875</v>
      </c>
      <c r="H3309">
        <v>30615537520</v>
      </c>
      <c r="I3309" t="s">
        <v>6964</v>
      </c>
      <c r="J3309" t="s">
        <v>6966</v>
      </c>
      <c r="K3309" t="s">
        <v>4634</v>
      </c>
    </row>
    <row r="3310" spans="1:11" ht="20" customHeight="1">
      <c r="A3310" t="s">
        <v>26</v>
      </c>
      <c r="B3310" t="s">
        <v>6967</v>
      </c>
      <c r="C3310">
        <v>108231.1875</v>
      </c>
      <c r="D3310">
        <v>109731.625</v>
      </c>
      <c r="E3310">
        <v>107847.015625</v>
      </c>
      <c r="F3310">
        <v>109232.0703125</v>
      </c>
      <c r="G3310">
        <v>109232.0703125</v>
      </c>
      <c r="H3310">
        <v>36746020463</v>
      </c>
      <c r="I3310" t="s">
        <v>6966</v>
      </c>
      <c r="J3310" t="s">
        <v>6968</v>
      </c>
      <c r="K3310" t="s">
        <v>4634</v>
      </c>
    </row>
    <row r="3311" spans="1:11" ht="20" customHeight="1">
      <c r="A3311" t="s">
        <v>26</v>
      </c>
      <c r="B3311" t="s">
        <v>3702</v>
      </c>
      <c r="C3311">
        <v>109235.328125</v>
      </c>
      <c r="D3311">
        <v>109710.25</v>
      </c>
      <c r="E3311">
        <v>107527.0546875</v>
      </c>
      <c r="F3311">
        <v>108299.8515625</v>
      </c>
      <c r="G3311">
        <v>108299.8515625</v>
      </c>
      <c r="H3311">
        <v>45415696597</v>
      </c>
      <c r="I3311" t="s">
        <v>6968</v>
      </c>
      <c r="J3311" t="s">
        <v>6969</v>
      </c>
      <c r="K3311" t="s">
        <v>4634</v>
      </c>
    </row>
    <row r="3312" spans="1:11" ht="20" customHeight="1">
      <c r="A3312" t="s">
        <v>26</v>
      </c>
      <c r="B3312" t="s">
        <v>3705</v>
      </c>
      <c r="C3312">
        <v>108298.2265625</v>
      </c>
      <c r="D3312">
        <v>109198.96875</v>
      </c>
      <c r="E3312">
        <v>107499.5546875</v>
      </c>
      <c r="F3312">
        <v>108950.2734375</v>
      </c>
      <c r="G3312">
        <v>108950.2734375</v>
      </c>
      <c r="H3312">
        <v>44282204127</v>
      </c>
      <c r="I3312" t="s">
        <v>6969</v>
      </c>
      <c r="J3312" t="s">
        <v>6970</v>
      </c>
      <c r="K3312" t="s">
        <v>4634</v>
      </c>
    </row>
    <row r="3313" spans="1:11" ht="20" customHeight="1">
      <c r="A3313" t="s">
        <v>26</v>
      </c>
      <c r="B3313" t="s">
        <v>3708</v>
      </c>
      <c r="C3313">
        <v>108950.2734375</v>
      </c>
      <c r="D3313">
        <v>111925.375</v>
      </c>
      <c r="E3313">
        <v>108357.6796875</v>
      </c>
      <c r="F3313">
        <v>111326.5546875</v>
      </c>
      <c r="G3313">
        <v>111326.5546875</v>
      </c>
      <c r="H3313">
        <v>57927418065</v>
      </c>
      <c r="I3313" t="s">
        <v>6970</v>
      </c>
      <c r="J3313" t="s">
        <v>6971</v>
      </c>
      <c r="K3313" t="s">
        <v>4634</v>
      </c>
    </row>
    <row r="3314" spans="1:11" ht="20" customHeight="1">
      <c r="A3314" t="s">
        <v>26</v>
      </c>
      <c r="B3314" t="s">
        <v>3711</v>
      </c>
      <c r="C3314">
        <v>111329.1953125</v>
      </c>
      <c r="D3314">
        <v>116608.78125</v>
      </c>
      <c r="E3314">
        <v>110660.75</v>
      </c>
      <c r="F3314">
        <v>115987.203125</v>
      </c>
      <c r="G3314">
        <v>115987.203125</v>
      </c>
      <c r="H3314">
        <v>95911605728</v>
      </c>
      <c r="I3314" t="s">
        <v>6971</v>
      </c>
      <c r="J3314" t="s">
        <v>6972</v>
      </c>
      <c r="K3314" t="s">
        <v>4634</v>
      </c>
    </row>
    <row r="3315" spans="1:11" ht="20" customHeight="1">
      <c r="A3315" t="s">
        <v>26</v>
      </c>
      <c r="B3315" t="s">
        <v>3714</v>
      </c>
      <c r="C3315">
        <v>115986.234375</v>
      </c>
      <c r="D3315">
        <v>118856.4765625</v>
      </c>
      <c r="E3315">
        <v>115245.6875</v>
      </c>
      <c r="F3315">
        <v>117516.9921875</v>
      </c>
      <c r="G3315">
        <v>117516.9921875</v>
      </c>
      <c r="H3315">
        <v>86928361085</v>
      </c>
      <c r="I3315" t="s">
        <v>6972</v>
      </c>
      <c r="J3315" t="s">
        <v>6973</v>
      </c>
      <c r="K3315" t="s">
        <v>4634</v>
      </c>
    </row>
    <row r="3316" spans="1:11" ht="20" customHeight="1">
      <c r="A3316" t="s">
        <v>26</v>
      </c>
      <c r="B3316" t="s">
        <v>6974</v>
      </c>
      <c r="C3316">
        <v>117530.7109375</v>
      </c>
      <c r="D3316">
        <v>118219.8984375</v>
      </c>
      <c r="E3316">
        <v>116977.0234375</v>
      </c>
      <c r="F3316">
        <v>117435.2265625</v>
      </c>
      <c r="G3316">
        <v>117435.2265625</v>
      </c>
      <c r="H3316">
        <v>45524560304</v>
      </c>
      <c r="I3316" t="s">
        <v>6973</v>
      </c>
      <c r="J3316" t="s">
        <v>6975</v>
      </c>
      <c r="K3316" t="s">
        <v>4634</v>
      </c>
    </row>
    <row r="3317" spans="1:11" ht="20" customHeight="1">
      <c r="A3317" t="s">
        <v>26</v>
      </c>
      <c r="B3317" t="s">
        <v>6976</v>
      </c>
      <c r="C3317">
        <v>117432.203125</v>
      </c>
      <c r="D3317">
        <v>119449.5703125</v>
      </c>
      <c r="E3317">
        <v>117265.4375</v>
      </c>
      <c r="F3317">
        <v>119116.1171875</v>
      </c>
      <c r="G3317">
        <v>119116.1171875</v>
      </c>
      <c r="H3317">
        <v>49021091807</v>
      </c>
      <c r="I3317" t="s">
        <v>6975</v>
      </c>
      <c r="J3317" t="s">
        <v>6977</v>
      </c>
      <c r="K3317" t="s">
        <v>4634</v>
      </c>
    </row>
    <row r="3318" spans="1:11" ht="20" customHeight="1">
      <c r="A3318" t="s">
        <v>26</v>
      </c>
      <c r="B3318" t="s">
        <v>3717</v>
      </c>
      <c r="C3318">
        <v>119115.7890625</v>
      </c>
      <c r="D3318">
        <v>123091.609375</v>
      </c>
      <c r="E3318">
        <v>118959.1953125</v>
      </c>
      <c r="F3318">
        <v>119849.703125</v>
      </c>
      <c r="G3318">
        <v>119849.703125</v>
      </c>
      <c r="H3318">
        <v>181746419401</v>
      </c>
      <c r="I3318" t="s">
        <v>6977</v>
      </c>
      <c r="J3318" t="s">
        <v>6978</v>
      </c>
      <c r="K3318" t="s">
        <v>4634</v>
      </c>
    </row>
    <row r="3319" spans="1:11" ht="20" customHeight="1">
      <c r="A3319" t="s">
        <v>26</v>
      </c>
      <c r="B3319" t="s">
        <v>3720</v>
      </c>
      <c r="C3319">
        <v>119853.8515625</v>
      </c>
      <c r="D3319">
        <v>119935.5625</v>
      </c>
      <c r="E3319">
        <v>115765.6875</v>
      </c>
      <c r="F3319">
        <v>117777.1875</v>
      </c>
      <c r="G3319">
        <v>117777.1875</v>
      </c>
      <c r="H3319">
        <v>98321661181</v>
      </c>
      <c r="I3319" t="s">
        <v>6978</v>
      </c>
      <c r="J3319" t="s">
        <v>6979</v>
      </c>
      <c r="K3319" t="s">
        <v>4634</v>
      </c>
    </row>
    <row r="3320" spans="1:11" ht="20" customHeight="1">
      <c r="A3320" t="s">
        <v>26</v>
      </c>
      <c r="B3320" t="s">
        <v>3723</v>
      </c>
      <c r="C3320">
        <v>117777.1875</v>
      </c>
      <c r="D3320">
        <v>120065.515625</v>
      </c>
      <c r="E3320">
        <v>117064.8203125</v>
      </c>
      <c r="F3320">
        <v>118738.5078125</v>
      </c>
      <c r="G3320">
        <v>118738.5078125</v>
      </c>
      <c r="H3320">
        <v>72162029070</v>
      </c>
      <c r="I3320" t="s">
        <v>6979</v>
      </c>
      <c r="J3320" t="s">
        <v>6980</v>
      </c>
      <c r="K3320" t="s">
        <v>4634</v>
      </c>
    </row>
    <row r="3321" spans="1:11" ht="20" customHeight="1">
      <c r="A3321" t="s">
        <v>26</v>
      </c>
      <c r="B3321" t="s">
        <v>3726</v>
      </c>
      <c r="C3321">
        <v>118738.5078125</v>
      </c>
      <c r="D3321">
        <v>120999.609375</v>
      </c>
      <c r="E3321">
        <v>117508.21875</v>
      </c>
      <c r="F3321">
        <v>119289.84375</v>
      </c>
      <c r="G3321">
        <v>119289.84375</v>
      </c>
      <c r="H3321">
        <v>72363841798</v>
      </c>
      <c r="I3321" t="s">
        <v>6980</v>
      </c>
      <c r="J3321" t="s">
        <v>6981</v>
      </c>
      <c r="K3321" t="s">
        <v>4634</v>
      </c>
    </row>
    <row r="3322" spans="1:11" ht="20" customHeight="1">
      <c r="A3322" t="s">
        <v>26</v>
      </c>
      <c r="B3322" t="s">
        <v>3729</v>
      </c>
      <c r="C3322">
        <v>119284.109375</v>
      </c>
      <c r="D3322">
        <v>120851.9140625</v>
      </c>
      <c r="E3322">
        <v>116925.984375</v>
      </c>
      <c r="F3322">
        <v>118003.2265625</v>
      </c>
      <c r="G3322">
        <v>118003.2265625</v>
      </c>
      <c r="H3322">
        <v>77945799785</v>
      </c>
      <c r="I3322" t="s">
        <v>6981</v>
      </c>
      <c r="J3322" t="s">
        <v>6982</v>
      </c>
      <c r="K3322" t="s">
        <v>4634</v>
      </c>
    </row>
    <row r="3323" spans="1:11" ht="20" customHeight="1">
      <c r="A3323" t="s">
        <v>26</v>
      </c>
      <c r="B3323" t="s">
        <v>6983</v>
      </c>
      <c r="C3323">
        <v>117998.125</v>
      </c>
      <c r="D3323">
        <v>118541.3984375</v>
      </c>
      <c r="E3323">
        <v>117388.4140625</v>
      </c>
      <c r="F3323">
        <v>117939.9765625</v>
      </c>
      <c r="G3323">
        <v>117939.9765625</v>
      </c>
      <c r="H3323">
        <v>47564562765</v>
      </c>
      <c r="I3323" t="s">
        <v>6982</v>
      </c>
      <c r="J3323" t="s">
        <v>6984</v>
      </c>
      <c r="K3323" t="s">
        <v>4634</v>
      </c>
    </row>
    <row r="3324" spans="1:11" ht="20" customHeight="1">
      <c r="A3324" t="s">
        <v>26</v>
      </c>
      <c r="B3324" t="s">
        <v>6985</v>
      </c>
      <c r="C3324">
        <v>117944.109375</v>
      </c>
      <c r="D3324">
        <v>118865.03125</v>
      </c>
      <c r="E3324">
        <v>116550.1328125</v>
      </c>
      <c r="F3324">
        <v>117300.7890625</v>
      </c>
      <c r="G3324">
        <v>117300.7890625</v>
      </c>
      <c r="H3324">
        <v>57515447231</v>
      </c>
      <c r="I3324" t="s">
        <v>6984</v>
      </c>
      <c r="J3324" t="s">
        <v>6986</v>
      </c>
      <c r="K3324" t="s">
        <v>4634</v>
      </c>
    </row>
    <row r="3325" spans="1:11" ht="20" customHeight="1">
      <c r="A3325" t="s">
        <v>26</v>
      </c>
      <c r="B3325" t="s">
        <v>3732</v>
      </c>
      <c r="C3325">
        <v>117306.46875</v>
      </c>
      <c r="D3325">
        <v>119671.5625</v>
      </c>
      <c r="E3325">
        <v>116584.3984375</v>
      </c>
      <c r="F3325">
        <v>117439.5390625</v>
      </c>
      <c r="G3325">
        <v>117439.5390625</v>
      </c>
      <c r="H3325">
        <v>69820091744</v>
      </c>
      <c r="I3325" t="s">
        <v>6986</v>
      </c>
      <c r="J3325" t="s">
        <v>6987</v>
      </c>
      <c r="K3325" t="s">
        <v>4634</v>
      </c>
    </row>
    <row r="3326" spans="1:11" ht="20" customHeight="1">
      <c r="A3326" t="s">
        <v>26</v>
      </c>
      <c r="B3326" t="s">
        <v>3735</v>
      </c>
      <c r="C3326">
        <v>117426.5</v>
      </c>
      <c r="D3326">
        <v>120269.96875</v>
      </c>
      <c r="E3326">
        <v>116233.2265625</v>
      </c>
      <c r="F3326">
        <v>119995.4140625</v>
      </c>
      <c r="G3326">
        <v>119995.4140625</v>
      </c>
      <c r="H3326">
        <v>79217583118</v>
      </c>
      <c r="I3326" t="s">
        <v>6987</v>
      </c>
      <c r="J3326" t="s">
        <v>6988</v>
      </c>
      <c r="K3326" t="s">
        <v>4634</v>
      </c>
    </row>
    <row r="3327" spans="1:11" ht="20" customHeight="1">
      <c r="A3327" t="s">
        <v>26</v>
      </c>
      <c r="B3327" t="s">
        <v>3738</v>
      </c>
      <c r="C3327">
        <v>119997.4453125</v>
      </c>
      <c r="D3327">
        <v>120113.3515625</v>
      </c>
      <c r="E3327">
        <v>117391.390625</v>
      </c>
      <c r="F3327">
        <v>118754.9609375</v>
      </c>
      <c r="G3327">
        <v>118754.9609375</v>
      </c>
      <c r="H3327">
        <v>66608604537</v>
      </c>
      <c r="I3327" t="s">
        <v>6988</v>
      </c>
      <c r="J3327" t="s">
        <v>6989</v>
      </c>
      <c r="K3327" t="s">
        <v>4634</v>
      </c>
    </row>
    <row r="3328" spans="1:11" ht="20" customHeight="1">
      <c r="A3328" t="s">
        <v>26</v>
      </c>
      <c r="B3328" t="s">
        <v>3741</v>
      </c>
      <c r="C3328">
        <v>118770.984375</v>
      </c>
      <c r="D3328">
        <v>119535.453125</v>
      </c>
      <c r="E3328">
        <v>117247.96875</v>
      </c>
      <c r="F3328">
        <v>118368</v>
      </c>
      <c r="G3328">
        <v>118368</v>
      </c>
      <c r="H3328">
        <v>72627318560</v>
      </c>
      <c r="I3328" t="s">
        <v>6989</v>
      </c>
      <c r="J3328" t="s">
        <v>6990</v>
      </c>
      <c r="K3328" t="s">
        <v>4634</v>
      </c>
    </row>
    <row r="3329" spans="1:11" ht="20" customHeight="1">
      <c r="A3329" t="s">
        <v>26</v>
      </c>
      <c r="B3329" t="s">
        <v>3744</v>
      </c>
      <c r="C3329">
        <v>118368</v>
      </c>
      <c r="D3329">
        <v>118486.9765625</v>
      </c>
      <c r="E3329">
        <v>114759.8203125</v>
      </c>
      <c r="F3329">
        <v>117635.8828125</v>
      </c>
      <c r="G3329">
        <v>117635.8828125</v>
      </c>
      <c r="H3329">
        <v>104857024569</v>
      </c>
      <c r="I3329" t="s">
        <v>6990</v>
      </c>
      <c r="J3329" t="s">
        <v>6991</v>
      </c>
      <c r="K3329" t="s">
        <v>4634</v>
      </c>
    </row>
    <row r="3330" spans="1:11" ht="20" customHeight="1">
      <c r="A3330" t="s">
        <v>26</v>
      </c>
      <c r="B3330" t="s">
        <v>6992</v>
      </c>
      <c r="C3330">
        <v>117644.84375</v>
      </c>
      <c r="D3330">
        <v>118335.6875</v>
      </c>
      <c r="E3330">
        <v>117181.2265625</v>
      </c>
      <c r="F3330">
        <v>117947.3671875</v>
      </c>
      <c r="G3330">
        <v>117947.3671875</v>
      </c>
      <c r="H3330">
        <v>48508954046</v>
      </c>
      <c r="I3330" t="s">
        <v>6991</v>
      </c>
      <c r="J3330" t="s">
        <v>6993</v>
      </c>
      <c r="K3330" t="s">
        <v>4634</v>
      </c>
    </row>
    <row r="3331" spans="1:11" ht="20" customHeight="1">
      <c r="A3331" t="s">
        <v>26</v>
      </c>
      <c r="B3331" t="s">
        <v>6994</v>
      </c>
      <c r="C3331">
        <v>117944.7265625</v>
      </c>
      <c r="D3331">
        <v>119815.59375</v>
      </c>
      <c r="E3331">
        <v>117859.6875</v>
      </c>
      <c r="F3331">
        <v>119448.4921875</v>
      </c>
      <c r="G3331">
        <v>119448.4921875</v>
      </c>
      <c r="H3331">
        <v>54683390892</v>
      </c>
      <c r="I3331" t="s">
        <v>6993</v>
      </c>
      <c r="J3331" t="s">
        <v>6995</v>
      </c>
      <c r="K3331" t="s">
        <v>4634</v>
      </c>
    </row>
    <row r="3332" spans="1:11" ht="20" customHeight="1">
      <c r="A3332" t="s">
        <v>26</v>
      </c>
      <c r="B3332" t="s">
        <v>3747</v>
      </c>
      <c r="C3332">
        <v>119457.5234375</v>
      </c>
      <c r="D3332">
        <v>119819.7890625</v>
      </c>
      <c r="E3332">
        <v>117441.4375</v>
      </c>
      <c r="F3332">
        <v>117924.4765625</v>
      </c>
      <c r="G3332">
        <v>117924.4765625</v>
      </c>
      <c r="H3332">
        <v>64822943193</v>
      </c>
      <c r="I3332" t="s">
        <v>6995</v>
      </c>
      <c r="J3332" t="s">
        <v>6996</v>
      </c>
      <c r="K3332" t="s">
        <v>4634</v>
      </c>
    </row>
    <row r="3333" spans="1:11" ht="20" customHeight="1">
      <c r="A3333" t="s">
        <v>26</v>
      </c>
      <c r="B3333" t="s">
        <v>3750</v>
      </c>
      <c r="C3333">
        <v>117938.5859375</v>
      </c>
      <c r="D3333">
        <v>119273.8671875</v>
      </c>
      <c r="E3333">
        <v>116987.3671875</v>
      </c>
      <c r="F3333">
        <v>117922.1484375</v>
      </c>
      <c r="G3333">
        <v>117922.1484375</v>
      </c>
      <c r="H3333">
        <v>68463107433</v>
      </c>
      <c r="I3333" t="s">
        <v>6996</v>
      </c>
      <c r="J3333" t="s">
        <v>6997</v>
      </c>
      <c r="K3333" t="s">
        <v>4634</v>
      </c>
    </row>
    <row r="3334" spans="1:11" ht="20" customHeight="1">
      <c r="A3334" t="s">
        <v>26</v>
      </c>
      <c r="B3334" t="s">
        <v>3753</v>
      </c>
      <c r="C3334">
        <v>117921.9921875</v>
      </c>
      <c r="D3334">
        <v>118780.7265625</v>
      </c>
      <c r="E3334">
        <v>115800.828125</v>
      </c>
      <c r="F3334">
        <v>117831.1875</v>
      </c>
      <c r="G3334">
        <v>117831.1875</v>
      </c>
      <c r="H3334">
        <v>68896148592</v>
      </c>
      <c r="I3334" t="s">
        <v>6997</v>
      </c>
      <c r="J3334" t="s">
        <v>6998</v>
      </c>
      <c r="K3334" t="s">
        <v>4634</v>
      </c>
    </row>
    <row r="3335" spans="1:11" ht="20" customHeight="1">
      <c r="A3335" t="s">
        <v>26</v>
      </c>
      <c r="B3335" t="s">
        <v>3756</v>
      </c>
      <c r="C3335">
        <v>117833.6328125</v>
      </c>
      <c r="D3335">
        <v>118919.984375</v>
      </c>
      <c r="E3335">
        <v>115505.21875</v>
      </c>
      <c r="F3335">
        <v>115758.203125</v>
      </c>
      <c r="G3335">
        <v>115758.203125</v>
      </c>
      <c r="H3335">
        <v>69370346018</v>
      </c>
      <c r="I3335" t="s">
        <v>6998</v>
      </c>
      <c r="J3335" t="s">
        <v>6999</v>
      </c>
      <c r="K3335" t="s">
        <v>4634</v>
      </c>
    </row>
    <row r="3336" spans="1:11" ht="20" customHeight="1">
      <c r="A3336" t="s">
        <v>26</v>
      </c>
      <c r="B3336" t="s">
        <v>3759</v>
      </c>
      <c r="C3336">
        <v>115738.953125</v>
      </c>
      <c r="D3336">
        <v>116060.7734375</v>
      </c>
      <c r="E3336">
        <v>112724.4453125</v>
      </c>
      <c r="F3336">
        <v>113320.0859375</v>
      </c>
      <c r="G3336">
        <v>113320.0859375</v>
      </c>
      <c r="H3336">
        <v>91294530181</v>
      </c>
      <c r="I3336" t="s">
        <v>6999</v>
      </c>
      <c r="J3336" t="s">
        <v>7000</v>
      </c>
      <c r="K3336" t="s">
        <v>4634</v>
      </c>
    </row>
    <row r="3337" spans="1:11" ht="20" customHeight="1">
      <c r="A3337" t="s">
        <v>26</v>
      </c>
      <c r="B3337" t="s">
        <v>7001</v>
      </c>
      <c r="C3337">
        <v>113320.390625</v>
      </c>
      <c r="D3337">
        <v>114021.6015625</v>
      </c>
      <c r="E3337">
        <v>112005.765625</v>
      </c>
      <c r="F3337">
        <v>112526.9140625</v>
      </c>
      <c r="G3337">
        <v>112526.9140625</v>
      </c>
      <c r="H3337">
        <v>56870866000</v>
      </c>
      <c r="I3337" t="s">
        <v>7000</v>
      </c>
      <c r="J3337" t="s">
        <v>7002</v>
      </c>
      <c r="K3337" t="s">
        <v>4634</v>
      </c>
    </row>
    <row r="3338" spans="1:11" ht="20" customHeight="1">
      <c r="A3338" t="s">
        <v>26</v>
      </c>
      <c r="B3338" t="s">
        <v>7003</v>
      </c>
      <c r="C3338">
        <v>112525.8046875</v>
      </c>
      <c r="D3338">
        <v>114747.421875</v>
      </c>
      <c r="E3338">
        <v>111943.8046875</v>
      </c>
      <c r="F3338">
        <v>114217.671875</v>
      </c>
      <c r="G3338">
        <v>114217.671875</v>
      </c>
      <c r="H3338">
        <v>48099615826</v>
      </c>
      <c r="I3338" t="s">
        <v>7002</v>
      </c>
      <c r="J3338" t="s">
        <v>7004</v>
      </c>
      <c r="K3338" t="s">
        <v>4634</v>
      </c>
    </row>
    <row r="3339" spans="1:11" ht="20" customHeight="1">
      <c r="A3339" t="s">
        <v>26</v>
      </c>
      <c r="B3339" t="s">
        <v>3762</v>
      </c>
      <c r="C3339">
        <v>114223.921875</v>
      </c>
      <c r="D3339">
        <v>115729.46875</v>
      </c>
      <c r="E3339">
        <v>114130.40625</v>
      </c>
      <c r="F3339">
        <v>115071.8828125</v>
      </c>
      <c r="G3339">
        <v>115071.8828125</v>
      </c>
      <c r="H3339">
        <v>35783028986</v>
      </c>
      <c r="I3339" t="s">
        <v>7004</v>
      </c>
      <c r="J3339" t="s">
        <v>7005</v>
      </c>
      <c r="K3339" t="s">
        <v>4634</v>
      </c>
    </row>
    <row r="3340" spans="1:11" ht="20" customHeight="1">
      <c r="A3340" t="s">
        <v>26</v>
      </c>
      <c r="B3340" t="s">
        <v>3765</v>
      </c>
      <c r="C3340">
        <v>115072.1875</v>
      </c>
      <c r="D3340">
        <v>115117.4375</v>
      </c>
      <c r="E3340">
        <v>112701.109375</v>
      </c>
      <c r="F3340">
        <v>114141.4453125</v>
      </c>
      <c r="G3340">
        <v>114141.4453125</v>
      </c>
      <c r="H3340">
        <v>61039182286</v>
      </c>
      <c r="I3340" t="s">
        <v>7005</v>
      </c>
      <c r="J3340" t="s">
        <v>7006</v>
      </c>
      <c r="K3340" t="s">
        <v>4634</v>
      </c>
    </row>
    <row r="3341" spans="1:11" ht="20" customHeight="1">
      <c r="A3341" t="s">
        <v>26</v>
      </c>
      <c r="B3341" t="s">
        <v>3768</v>
      </c>
      <c r="C3341">
        <v>114140.9140625</v>
      </c>
      <c r="D3341">
        <v>115737.8359375</v>
      </c>
      <c r="E3341">
        <v>113372.25</v>
      </c>
      <c r="F3341">
        <v>115028</v>
      </c>
      <c r="G3341">
        <v>115028</v>
      </c>
      <c r="H3341">
        <v>56379133510</v>
      </c>
      <c r="I3341" t="s">
        <v>7006</v>
      </c>
      <c r="J3341" t="s">
        <v>7007</v>
      </c>
      <c r="K3341" t="s">
        <v>4634</v>
      </c>
    </row>
    <row r="3342" spans="1:11" ht="20" customHeight="1">
      <c r="A3342" t="s">
        <v>26</v>
      </c>
      <c r="B3342" t="s">
        <v>3771</v>
      </c>
      <c r="C3342">
        <v>115030.0546875</v>
      </c>
      <c r="D3342">
        <v>117676.90625</v>
      </c>
      <c r="E3342">
        <v>114279.7109375</v>
      </c>
      <c r="F3342">
        <v>117496.8984375</v>
      </c>
      <c r="G3342">
        <v>117496.8984375</v>
      </c>
      <c r="H3342">
        <v>64051649681</v>
      </c>
      <c r="I3342" t="s">
        <v>7007</v>
      </c>
      <c r="J3342" t="s">
        <v>7008</v>
      </c>
      <c r="K3342" t="s">
        <v>4634</v>
      </c>
    </row>
    <row r="3343" spans="1:11" ht="20" customHeight="1">
      <c r="A3343" t="s">
        <v>26</v>
      </c>
      <c r="B3343" t="s">
        <v>3774</v>
      </c>
      <c r="C3343">
        <v>117505.5</v>
      </c>
      <c r="D3343">
        <v>117689.203125</v>
      </c>
      <c r="E3343">
        <v>115917.4609375</v>
      </c>
      <c r="F3343">
        <v>116688.7265625</v>
      </c>
      <c r="G3343">
        <v>116688.7265625</v>
      </c>
      <c r="H3343">
        <v>59713005166</v>
      </c>
      <c r="I3343" t="s">
        <v>7008</v>
      </c>
      <c r="J3343" t="s">
        <v>7009</v>
      </c>
      <c r="K3343" t="s">
        <v>4634</v>
      </c>
    </row>
    <row r="3344" spans="1:11" ht="20" customHeight="1">
      <c r="A3344" t="s">
        <v>26</v>
      </c>
      <c r="B3344" t="s">
        <v>7010</v>
      </c>
      <c r="C3344">
        <v>116678.2734375</v>
      </c>
      <c r="D3344">
        <v>117906.609375</v>
      </c>
      <c r="E3344">
        <v>116363.8359375</v>
      </c>
      <c r="F3344">
        <v>116500.359375</v>
      </c>
      <c r="G3344">
        <v>116500.359375</v>
      </c>
      <c r="H3344">
        <v>54004312429</v>
      </c>
      <c r="I3344" t="s">
        <v>7009</v>
      </c>
      <c r="J3344" t="s">
        <v>7011</v>
      </c>
      <c r="K3344" t="s">
        <v>4634</v>
      </c>
    </row>
    <row r="3345" spans="1:11" ht="20" customHeight="1">
      <c r="A3345" t="s">
        <v>26</v>
      </c>
      <c r="B3345" t="s">
        <v>7012</v>
      </c>
      <c r="C3345">
        <v>116497.71875</v>
      </c>
      <c r="D3345">
        <v>119320.7109375</v>
      </c>
      <c r="E3345">
        <v>116485.1640625</v>
      </c>
      <c r="F3345">
        <v>119306.7578125</v>
      </c>
      <c r="G3345">
        <v>119306.7578125</v>
      </c>
      <c r="H3345">
        <v>64755458694</v>
      </c>
      <c r="I3345" t="s">
        <v>7011</v>
      </c>
      <c r="J3345" t="s">
        <v>7013</v>
      </c>
      <c r="K3345" t="s">
        <v>4634</v>
      </c>
    </row>
    <row r="3346" spans="1:11" ht="20" customHeight="1">
      <c r="A3346" t="s">
        <v>26</v>
      </c>
      <c r="B3346" t="s">
        <v>3777</v>
      </c>
      <c r="C3346">
        <v>119306.8125</v>
      </c>
      <c r="D3346">
        <v>122321.09375</v>
      </c>
      <c r="E3346">
        <v>118159.03125</v>
      </c>
      <c r="F3346">
        <v>118731.4453125</v>
      </c>
      <c r="G3346">
        <v>118731.4453125</v>
      </c>
      <c r="H3346">
        <v>90528784177</v>
      </c>
      <c r="I3346" t="s">
        <v>7013</v>
      </c>
      <c r="J3346" t="s">
        <v>7014</v>
      </c>
      <c r="K3346" t="s">
        <v>4634</v>
      </c>
    </row>
    <row r="3347" spans="1:11" ht="20" customHeight="1">
      <c r="A3347" t="s">
        <v>26</v>
      </c>
      <c r="B3347" t="s">
        <v>3780</v>
      </c>
      <c r="C3347">
        <v>118717.6640625</v>
      </c>
      <c r="D3347">
        <v>120302.46875</v>
      </c>
      <c r="E3347">
        <v>118228.71875</v>
      </c>
      <c r="F3347">
        <v>120172.90625</v>
      </c>
      <c r="G3347">
        <v>120172.90625</v>
      </c>
      <c r="H3347">
        <v>72803657984</v>
      </c>
      <c r="I3347" t="s">
        <v>7014</v>
      </c>
      <c r="J3347" t="s">
        <v>7015</v>
      </c>
      <c r="K3347" t="s">
        <v>4634</v>
      </c>
    </row>
    <row r="3348" spans="1:11" ht="20" customHeight="1">
      <c r="A3348" t="s">
        <v>26</v>
      </c>
      <c r="B3348" t="s">
        <v>3783</v>
      </c>
      <c r="C3348">
        <v>120168.9765625</v>
      </c>
      <c r="D3348">
        <v>123682.453125</v>
      </c>
      <c r="E3348">
        <v>118939.6328125</v>
      </c>
      <c r="F3348">
        <v>123344.0625</v>
      </c>
      <c r="G3348">
        <v>123344.0625</v>
      </c>
      <c r="H3348">
        <v>90904808795</v>
      </c>
      <c r="I3348" t="s">
        <v>7015</v>
      </c>
      <c r="J3348" t="s">
        <v>7016</v>
      </c>
      <c r="K3348" t="s">
        <v>4634</v>
      </c>
    </row>
    <row r="3349" spans="1:11" ht="20" customHeight="1">
      <c r="A3349" t="s">
        <v>26</v>
      </c>
      <c r="B3349" t="s">
        <v>3786</v>
      </c>
      <c r="C3349">
        <v>123339.3984375</v>
      </c>
      <c r="D3349">
        <v>124457.1171875</v>
      </c>
      <c r="E3349">
        <v>117254.8828125</v>
      </c>
      <c r="F3349">
        <v>118359.578125</v>
      </c>
      <c r="G3349">
        <v>118359.578125</v>
      </c>
      <c r="H3349">
        <v>104055627395</v>
      </c>
      <c r="I3349" t="s">
        <v>7016</v>
      </c>
      <c r="J3349" t="s">
        <v>7017</v>
      </c>
      <c r="K3349" t="s">
        <v>4634</v>
      </c>
    </row>
    <row r="3350" spans="1:11" ht="20" customHeight="1">
      <c r="A3350" t="s">
        <v>26</v>
      </c>
      <c r="B3350" t="s">
        <v>3789</v>
      </c>
      <c r="C3350">
        <v>118365.78125</v>
      </c>
      <c r="D3350">
        <v>119332.3125</v>
      </c>
      <c r="E3350">
        <v>116864.5703125</v>
      </c>
      <c r="F3350">
        <v>117398.3515625</v>
      </c>
      <c r="G3350">
        <v>117398.3515625</v>
      </c>
      <c r="H3350">
        <v>68665353159</v>
      </c>
      <c r="I3350" t="s">
        <v>7017</v>
      </c>
      <c r="J3350" t="s">
        <v>7018</v>
      </c>
      <c r="K3350" t="s">
        <v>4634</v>
      </c>
    </row>
    <row r="3351" spans="1:11" ht="20" customHeight="1">
      <c r="A3351" t="s">
        <v>26</v>
      </c>
      <c r="B3351" t="s">
        <v>7019</v>
      </c>
      <c r="C3351">
        <v>117398.421875</v>
      </c>
      <c r="D3351">
        <v>117996.0625</v>
      </c>
      <c r="E3351">
        <v>117271.953125</v>
      </c>
      <c r="F3351">
        <v>117491.3515625</v>
      </c>
      <c r="G3351">
        <v>117491.3515625</v>
      </c>
      <c r="H3351">
        <v>48036922378</v>
      </c>
      <c r="I3351" t="s">
        <v>7018</v>
      </c>
      <c r="J3351" t="s">
        <v>7020</v>
      </c>
      <c r="K3351" t="s">
        <v>4634</v>
      </c>
    </row>
    <row r="3352" spans="1:11" ht="20" customHeight="1">
      <c r="A3352" t="s">
        <v>26</v>
      </c>
      <c r="B3352" t="s">
        <v>7021</v>
      </c>
      <c r="C3352">
        <v>117492.7890625</v>
      </c>
      <c r="D3352">
        <v>118595.7734375</v>
      </c>
      <c r="E3352">
        <v>117279.5234375</v>
      </c>
      <c r="F3352">
        <v>117453.0625</v>
      </c>
      <c r="G3352">
        <v>117453.0625</v>
      </c>
      <c r="H3352">
        <v>45852169525</v>
      </c>
      <c r="I3352" t="s">
        <v>7020</v>
      </c>
      <c r="J3352" t="s">
        <v>7022</v>
      </c>
      <c r="K3352" t="s">
        <v>4634</v>
      </c>
    </row>
    <row r="3353" spans="1:11" ht="20" customHeight="1">
      <c r="A3353" t="s">
        <v>26</v>
      </c>
      <c r="B3353" t="s">
        <v>3792</v>
      </c>
      <c r="C3353">
        <v>117453.90625</v>
      </c>
      <c r="D3353">
        <v>117614.171875</v>
      </c>
      <c r="E3353">
        <v>114723.6796875</v>
      </c>
      <c r="F3353">
        <v>116252.3125</v>
      </c>
      <c r="G3353">
        <v>116252.3125</v>
      </c>
      <c r="H3353">
        <v>72787808090</v>
      </c>
      <c r="I3353" t="s">
        <v>7022</v>
      </c>
      <c r="J3353" t="s">
        <v>7023</v>
      </c>
      <c r="K3353" t="s">
        <v>4634</v>
      </c>
    </row>
    <row r="3354" spans="1:11" ht="20" customHeight="1">
      <c r="A3354" t="s">
        <v>26</v>
      </c>
      <c r="B3354" t="s">
        <v>3795</v>
      </c>
      <c r="C3354">
        <v>116241.859375</v>
      </c>
      <c r="D3354">
        <v>116764.5</v>
      </c>
      <c r="E3354">
        <v>112730.3984375</v>
      </c>
      <c r="F3354">
        <v>112831.1796875</v>
      </c>
      <c r="G3354">
        <v>112831.1796875</v>
      </c>
      <c r="H3354">
        <v>71657600353</v>
      </c>
      <c r="I3354" t="s">
        <v>7023</v>
      </c>
      <c r="J3354" t="s">
        <v>7024</v>
      </c>
      <c r="K3354" t="s">
        <v>4634</v>
      </c>
    </row>
    <row r="3355" spans="1:11" ht="20" customHeight="1">
      <c r="A3355" t="s">
        <v>26</v>
      </c>
      <c r="B3355" t="s">
        <v>3798</v>
      </c>
      <c r="C3355">
        <v>112828.0234375</v>
      </c>
      <c r="D3355">
        <v>114625.796875</v>
      </c>
      <c r="E3355">
        <v>112387.9609375</v>
      </c>
      <c r="F3355">
        <v>114274.7421875</v>
      </c>
      <c r="G3355">
        <v>114274.7421875</v>
      </c>
      <c r="H3355">
        <v>67993811526</v>
      </c>
      <c r="I3355" t="s">
        <v>7024</v>
      </c>
      <c r="J3355" t="s">
        <v>7025</v>
      </c>
      <c r="K3355" t="s">
        <v>4634</v>
      </c>
    </row>
    <row r="3356" spans="1:11" ht="20" customHeight="1">
      <c r="A3356" t="s">
        <v>26</v>
      </c>
      <c r="B3356" t="s">
        <v>3801</v>
      </c>
      <c r="C3356">
        <v>114275.6875</v>
      </c>
      <c r="D3356">
        <v>114802.6484375</v>
      </c>
      <c r="E3356">
        <v>111986.234375</v>
      </c>
      <c r="F3356">
        <v>112419.03125</v>
      </c>
      <c r="G3356">
        <v>112419.03125</v>
      </c>
      <c r="H3356">
        <v>57817883700</v>
      </c>
      <c r="I3356" t="s">
        <v>7025</v>
      </c>
      <c r="J3356" t="s">
        <v>7026</v>
      </c>
      <c r="K3356" t="s">
        <v>4634</v>
      </c>
    </row>
    <row r="3357" spans="1:11" ht="20" customHeight="1">
      <c r="A3357" t="s">
        <v>26</v>
      </c>
      <c r="B3357" t="s">
        <v>3804</v>
      </c>
      <c r="C3357">
        <v>112433.734375</v>
      </c>
      <c r="D3357">
        <v>117377.3984375</v>
      </c>
      <c r="E3357">
        <v>111678.9453125</v>
      </c>
      <c r="F3357">
        <v>116874.0859375</v>
      </c>
      <c r="G3357">
        <v>116874.0859375</v>
      </c>
      <c r="H3357">
        <v>82528088240</v>
      </c>
      <c r="I3357" t="s">
        <v>7026</v>
      </c>
      <c r="J3357" t="s">
        <v>7027</v>
      </c>
      <c r="K3357" t="s">
        <v>4634</v>
      </c>
    </row>
    <row r="3358" spans="1:11" ht="20" customHeight="1">
      <c r="A3358" t="s">
        <v>26</v>
      </c>
      <c r="B3358" t="s">
        <v>7028</v>
      </c>
      <c r="C3358">
        <v>116866.3671875</v>
      </c>
      <c r="D3358">
        <v>116996.25</v>
      </c>
      <c r="E3358">
        <v>114536.109375</v>
      </c>
      <c r="F3358">
        <v>115374.328125</v>
      </c>
      <c r="G3358">
        <v>115374.328125</v>
      </c>
      <c r="H3358">
        <v>55377142586</v>
      </c>
      <c r="I3358" t="s">
        <v>7027</v>
      </c>
      <c r="J3358" t="s">
        <v>7029</v>
      </c>
      <c r="K3358" t="s">
        <v>4634</v>
      </c>
    </row>
    <row r="3359" spans="1:11" ht="20" customHeight="1">
      <c r="A3359" t="s">
        <v>26</v>
      </c>
      <c r="B3359" t="s">
        <v>7030</v>
      </c>
      <c r="C3359">
        <v>115387.390625</v>
      </c>
      <c r="D3359">
        <v>115615.0859375</v>
      </c>
      <c r="E3359">
        <v>111060.546875</v>
      </c>
      <c r="F3359">
        <v>113458.4296875</v>
      </c>
      <c r="G3359">
        <v>113458.4296875</v>
      </c>
      <c r="H3359">
        <v>73961489632</v>
      </c>
      <c r="I3359" t="s">
        <v>7029</v>
      </c>
      <c r="J3359" t="s">
        <v>7031</v>
      </c>
      <c r="K3359" t="s">
        <v>4634</v>
      </c>
    </row>
    <row r="3360" spans="1:11" ht="20" customHeight="1">
      <c r="A3360" t="s">
        <v>26</v>
      </c>
      <c r="B3360" t="s">
        <v>3807</v>
      </c>
      <c r="C3360">
        <v>113456.8984375</v>
      </c>
      <c r="D3360">
        <v>113637.84375</v>
      </c>
      <c r="E3360">
        <v>109324.28125</v>
      </c>
      <c r="F3360">
        <v>110124.3515625</v>
      </c>
      <c r="G3360">
        <v>110124.3515625</v>
      </c>
      <c r="H3360">
        <v>85706860190</v>
      </c>
      <c r="I3360" t="s">
        <v>7031</v>
      </c>
      <c r="J3360" t="s">
        <v>7032</v>
      </c>
      <c r="K3360" t="s">
        <v>4634</v>
      </c>
    </row>
    <row r="3361" spans="1:11" ht="20" customHeight="1">
      <c r="A3361" t="s">
        <v>26</v>
      </c>
      <c r="B3361" t="s">
        <v>3810</v>
      </c>
      <c r="C3361">
        <v>110124.1015625</v>
      </c>
      <c r="D3361">
        <v>112397.015625</v>
      </c>
      <c r="E3361">
        <v>108762.0390625</v>
      </c>
      <c r="F3361">
        <v>111802.65625</v>
      </c>
      <c r="G3361">
        <v>111802.65625</v>
      </c>
      <c r="H3361">
        <v>69396320317</v>
      </c>
      <c r="I3361" t="s">
        <v>7032</v>
      </c>
      <c r="J3361" t="s">
        <v>7033</v>
      </c>
      <c r="K3361" t="s">
        <v>4634</v>
      </c>
    </row>
    <row r="3362" spans="1:11" ht="20" customHeight="1">
      <c r="A3362" t="s">
        <v>26</v>
      </c>
      <c r="B3362" t="s">
        <v>3813</v>
      </c>
      <c r="C3362">
        <v>111795.7109375</v>
      </c>
      <c r="D3362">
        <v>112619.4140625</v>
      </c>
      <c r="E3362">
        <v>110398.265625</v>
      </c>
      <c r="F3362">
        <v>111222.0625</v>
      </c>
      <c r="G3362">
        <v>111222.0625</v>
      </c>
      <c r="H3362">
        <v>62137056409</v>
      </c>
      <c r="I3362" t="s">
        <v>7033</v>
      </c>
      <c r="J3362" t="s">
        <v>7034</v>
      </c>
      <c r="K3362" t="s">
        <v>4634</v>
      </c>
    </row>
    <row r="3363" spans="1:11" ht="20" customHeight="1">
      <c r="A3363" t="s">
        <v>26</v>
      </c>
      <c r="B3363" t="s">
        <v>3816</v>
      </c>
      <c r="C3363">
        <v>111219.0546875</v>
      </c>
      <c r="D3363">
        <v>113450.078125</v>
      </c>
      <c r="E3363">
        <v>110900.921875</v>
      </c>
      <c r="F3363">
        <v>112544.8046875</v>
      </c>
      <c r="G3363">
        <v>112544.8046875</v>
      </c>
      <c r="H3363">
        <v>58860155962</v>
      </c>
      <c r="I3363" t="s">
        <v>7034</v>
      </c>
      <c r="J3363" t="s">
        <v>7035</v>
      </c>
      <c r="K3363" t="s">
        <v>4634</v>
      </c>
    </row>
    <row r="3364" spans="1:11" ht="20" customHeight="1">
      <c r="A3364" t="s">
        <v>26</v>
      </c>
      <c r="B3364" t="s">
        <v>3819</v>
      </c>
      <c r="C3364">
        <v>112550.5234375</v>
      </c>
      <c r="D3364">
        <v>112619.0546875</v>
      </c>
      <c r="E3364">
        <v>107559.625</v>
      </c>
      <c r="F3364">
        <v>108410.8359375</v>
      </c>
      <c r="G3364">
        <v>108410.8359375</v>
      </c>
      <c r="H3364">
        <v>77843379644</v>
      </c>
      <c r="I3364" t="s">
        <v>7035</v>
      </c>
      <c r="J3364" t="s">
        <v>7036</v>
      </c>
      <c r="K3364" t="s">
        <v>4634</v>
      </c>
    </row>
    <row r="3365" spans="1:11" ht="20" customHeight="1">
      <c r="A3365" t="s">
        <v>26</v>
      </c>
      <c r="B3365" t="s">
        <v>7037</v>
      </c>
      <c r="C3365">
        <v>108409.40625</v>
      </c>
      <c r="D3365">
        <v>108929.3515625</v>
      </c>
      <c r="E3365">
        <v>107444.4453125</v>
      </c>
      <c r="F3365">
        <v>108808.0703125</v>
      </c>
      <c r="G3365">
        <v>108808.0703125</v>
      </c>
      <c r="H3365">
        <v>51486264208</v>
      </c>
      <c r="I3365" t="s">
        <v>7036</v>
      </c>
      <c r="J3365" t="s">
        <v>7038</v>
      </c>
      <c r="K3365" t="s">
        <v>4634</v>
      </c>
    </row>
    <row r="3366" spans="1:11" ht="20" customHeight="1">
      <c r="A3366" t="s">
        <v>26</v>
      </c>
      <c r="B3366" t="s">
        <v>7039</v>
      </c>
      <c r="C3366">
        <v>108818.4609375</v>
      </c>
      <c r="D3366">
        <v>109491</v>
      </c>
      <c r="E3366">
        <v>108104.65625</v>
      </c>
      <c r="F3366">
        <v>108236.7109375</v>
      </c>
      <c r="G3366">
        <v>108236.7109375</v>
      </c>
      <c r="H3366">
        <v>47986191770</v>
      </c>
      <c r="I3366" t="s">
        <v>7038</v>
      </c>
      <c r="J3366" t="s">
        <v>7040</v>
      </c>
      <c r="K3366" t="s">
        <v>4634</v>
      </c>
    </row>
    <row r="3367" spans="1:11" ht="20" customHeight="1">
      <c r="A3367" t="s">
        <v>26</v>
      </c>
      <c r="B3367" t="s">
        <v>7041</v>
      </c>
      <c r="C3367">
        <v>108228.75</v>
      </c>
      <c r="D3367">
        <v>109890.5859375</v>
      </c>
      <c r="E3367">
        <v>107271.1796875</v>
      </c>
      <c r="F3367">
        <v>109250.59375</v>
      </c>
      <c r="G3367">
        <v>109250.59375</v>
      </c>
      <c r="H3367">
        <v>66870372995</v>
      </c>
      <c r="I3367" t="s">
        <v>7040</v>
      </c>
      <c r="J3367" t="s">
        <v>7042</v>
      </c>
      <c r="K3367" t="s">
        <v>4634</v>
      </c>
    </row>
    <row r="3368" spans="1:11" ht="20" customHeight="1">
      <c r="A3368" t="s">
        <v>26</v>
      </c>
      <c r="B3368" t="s">
        <v>3822</v>
      </c>
      <c r="C3368">
        <v>109243.0703125</v>
      </c>
      <c r="D3368">
        <v>111748.015625</v>
      </c>
      <c r="E3368">
        <v>108454.03125</v>
      </c>
      <c r="F3368">
        <v>111200.5859375</v>
      </c>
      <c r="G3368">
        <v>111200.5859375</v>
      </c>
      <c r="H3368">
        <v>74776999491</v>
      </c>
      <c r="I3368" t="s">
        <v>7042</v>
      </c>
      <c r="J3368" t="s">
        <v>7043</v>
      </c>
      <c r="K3368" t="s">
        <v>4634</v>
      </c>
    </row>
    <row r="3369" spans="1:11" ht="20" customHeight="1">
      <c r="A3369" t="s">
        <v>26</v>
      </c>
      <c r="B3369" t="s">
        <v>3825</v>
      </c>
      <c r="C3369">
        <v>111190.6953125</v>
      </c>
      <c r="D3369">
        <v>112600.2265625</v>
      </c>
      <c r="E3369">
        <v>110582.9609375</v>
      </c>
      <c r="F3369">
        <v>111723.2109375</v>
      </c>
      <c r="G3369">
        <v>111723.2109375</v>
      </c>
      <c r="H3369">
        <v>61119643565</v>
      </c>
      <c r="I3369" t="s">
        <v>7043</v>
      </c>
      <c r="J3369" t="s">
        <v>7044</v>
      </c>
      <c r="K3369" t="s">
        <v>4634</v>
      </c>
    </row>
    <row r="3370" spans="1:11" ht="20" customHeight="1">
      <c r="A3370" t="s">
        <v>26</v>
      </c>
      <c r="B3370" t="s">
        <v>3828</v>
      </c>
      <c r="C3370">
        <v>111718.1484375</v>
      </c>
      <c r="D3370">
        <v>112208.328125</v>
      </c>
      <c r="E3370">
        <v>109347.2265625</v>
      </c>
      <c r="F3370">
        <v>110723.6015625</v>
      </c>
      <c r="G3370">
        <v>110723.6015625</v>
      </c>
      <c r="H3370">
        <v>60131132901</v>
      </c>
      <c r="I3370" t="s">
        <v>7044</v>
      </c>
      <c r="J3370" t="s">
        <v>7045</v>
      </c>
      <c r="K3370" t="s">
        <v>4634</v>
      </c>
    </row>
    <row r="3371" spans="1:11" ht="20" customHeight="1">
      <c r="A3371" t="s">
        <v>26</v>
      </c>
      <c r="B3371" t="s">
        <v>3831</v>
      </c>
      <c r="C3371">
        <v>110723.015625</v>
      </c>
      <c r="D3371">
        <v>113357.4921875</v>
      </c>
      <c r="E3371">
        <v>110233.3984375</v>
      </c>
      <c r="F3371">
        <v>110650.984375</v>
      </c>
      <c r="G3371">
        <v>110650.984375</v>
      </c>
      <c r="H3371">
        <v>60241647677</v>
      </c>
      <c r="I3371" t="s">
        <v>7045</v>
      </c>
      <c r="J3371" t="s">
        <v>7046</v>
      </c>
      <c r="K3371" t="s">
        <v>4634</v>
      </c>
    </row>
    <row r="3372" spans="1:11" ht="20" customHeight="1">
      <c r="A3372" t="s">
        <v>26</v>
      </c>
      <c r="B3372" t="s">
        <v>7047</v>
      </c>
      <c r="C3372">
        <v>110650.5703125</v>
      </c>
      <c r="D3372">
        <v>111275.015625</v>
      </c>
      <c r="E3372">
        <v>110024.0859375</v>
      </c>
      <c r="F3372">
        <v>110224.6953125</v>
      </c>
      <c r="G3372">
        <v>110224.6953125</v>
      </c>
      <c r="H3372">
        <v>21500719036</v>
      </c>
      <c r="I3372" t="s">
        <v>7046</v>
      </c>
      <c r="J3372" t="s">
        <v>7048</v>
      </c>
      <c r="K3372" t="s">
        <v>4634</v>
      </c>
    </row>
    <row r="3373" spans="1:11" ht="20" customHeight="1">
      <c r="A3373" t="s">
        <v>26</v>
      </c>
      <c r="B3373" t="s">
        <v>7049</v>
      </c>
      <c r="C3373">
        <v>110221.328125</v>
      </c>
      <c r="D3373">
        <v>111591.078125</v>
      </c>
      <c r="E3373">
        <v>110211.625</v>
      </c>
      <c r="F3373">
        <v>111167.6171875</v>
      </c>
      <c r="G3373">
        <v>111167.6171875</v>
      </c>
      <c r="H3373">
        <v>24618007520</v>
      </c>
      <c r="I3373" t="s">
        <v>7048</v>
      </c>
      <c r="J3373" t="s">
        <v>7050</v>
      </c>
      <c r="K3373" t="s">
        <v>4634</v>
      </c>
    </row>
    <row r="3374" spans="1:11" ht="20" customHeight="1">
      <c r="A3374" t="s">
        <v>26</v>
      </c>
      <c r="B3374" t="s">
        <v>3834</v>
      </c>
      <c r="C3374">
        <v>111163.015625</v>
      </c>
      <c r="D3374">
        <v>112869.234375</v>
      </c>
      <c r="E3374">
        <v>110630.609375</v>
      </c>
      <c r="F3374">
        <v>112071.4296875</v>
      </c>
      <c r="G3374">
        <v>112071.4296875</v>
      </c>
      <c r="H3374">
        <v>40212813407</v>
      </c>
      <c r="I3374" t="s">
        <v>7050</v>
      </c>
      <c r="J3374" t="s">
        <v>7051</v>
      </c>
      <c r="K3374" t="s">
        <v>4634</v>
      </c>
    </row>
    <row r="3375" spans="1:11" ht="20" customHeight="1">
      <c r="A3375" t="s">
        <v>26</v>
      </c>
      <c r="B3375" t="s">
        <v>3837</v>
      </c>
      <c r="C3375">
        <v>112077.578125</v>
      </c>
      <c r="D3375">
        <v>113225.4375</v>
      </c>
      <c r="E3375">
        <v>110776.703125</v>
      </c>
      <c r="F3375">
        <v>111530.546875</v>
      </c>
      <c r="G3375">
        <v>111530.546875</v>
      </c>
      <c r="H3375">
        <v>45984480722</v>
      </c>
      <c r="I3375" t="s">
        <v>7051</v>
      </c>
      <c r="J3375" t="s">
        <v>7052</v>
      </c>
      <c r="K3375" t="s">
        <v>4634</v>
      </c>
    </row>
    <row r="3376" spans="1:11" ht="20" customHeight="1">
      <c r="A3376" t="s">
        <v>26</v>
      </c>
      <c r="B3376" t="s">
        <v>3840</v>
      </c>
      <c r="C3376">
        <v>111531.25</v>
      </c>
      <c r="D3376">
        <v>114275.25</v>
      </c>
      <c r="E3376">
        <v>110940.078125</v>
      </c>
      <c r="F3376">
        <v>113955.359375</v>
      </c>
      <c r="G3376">
        <v>113955.359375</v>
      </c>
      <c r="H3376">
        <v>56377473784</v>
      </c>
      <c r="I3376" t="s">
        <v>7052</v>
      </c>
      <c r="J3376" t="s">
        <v>7053</v>
      </c>
      <c r="K3376" t="s">
        <v>4634</v>
      </c>
    </row>
    <row r="3377" spans="1:11" ht="20" customHeight="1">
      <c r="A3377" t="s">
        <v>26</v>
      </c>
      <c r="B3377" t="s">
        <v>3843</v>
      </c>
      <c r="C3377">
        <v>113961.4296875</v>
      </c>
      <c r="D3377">
        <v>115522.546875</v>
      </c>
      <c r="E3377">
        <v>113453.8359375</v>
      </c>
      <c r="F3377">
        <v>115507.5390625</v>
      </c>
      <c r="G3377">
        <v>115507.5390625</v>
      </c>
      <c r="H3377">
        <v>45685065332</v>
      </c>
      <c r="I3377" t="s">
        <v>7053</v>
      </c>
      <c r="J3377" t="s">
        <v>7054</v>
      </c>
      <c r="K3377" t="s">
        <v>4634</v>
      </c>
    </row>
    <row r="3378" spans="1:11" ht="20" customHeight="1">
      <c r="A3378" t="s">
        <v>26</v>
      </c>
      <c r="B3378" t="s">
        <v>3846</v>
      </c>
      <c r="C3378">
        <v>115507.7890625</v>
      </c>
      <c r="D3378">
        <v>116769.3828125</v>
      </c>
      <c r="E3378">
        <v>114794.484375</v>
      </c>
      <c r="F3378">
        <v>116101.578125</v>
      </c>
      <c r="G3378">
        <v>116101.578125</v>
      </c>
      <c r="H3378">
        <v>54785725894</v>
      </c>
      <c r="I3378" t="s">
        <v>7054</v>
      </c>
      <c r="J3378" t="s">
        <v>7055</v>
      </c>
      <c r="K3378" t="s">
        <v>4634</v>
      </c>
    </row>
    <row r="3379" spans="1:11" ht="20" customHeight="1">
      <c r="A3379" t="s">
        <v>26</v>
      </c>
      <c r="B3379" t="s">
        <v>7056</v>
      </c>
      <c r="C3379">
        <v>116093.5625</v>
      </c>
      <c r="D3379">
        <v>116334.6328125</v>
      </c>
      <c r="E3379">
        <v>115248.2734375</v>
      </c>
      <c r="F3379">
        <v>115950.5078125</v>
      </c>
      <c r="G3379">
        <v>115950.5078125</v>
      </c>
      <c r="H3379">
        <v>34549454947</v>
      </c>
      <c r="I3379" t="s">
        <v>7055</v>
      </c>
      <c r="J3379" t="s">
        <v>7057</v>
      </c>
      <c r="K3379" t="s">
        <v>4634</v>
      </c>
    </row>
    <row r="3380" spans="1:11" ht="20" customHeight="1">
      <c r="A3380" t="s">
        <v>26</v>
      </c>
      <c r="B3380" t="s">
        <v>7058</v>
      </c>
      <c r="C3380">
        <v>115950.2890625</v>
      </c>
      <c r="D3380">
        <v>116181.5</v>
      </c>
      <c r="E3380">
        <v>115222.3984375</v>
      </c>
      <c r="F3380">
        <v>115407.65625</v>
      </c>
      <c r="G3380">
        <v>115407.65625</v>
      </c>
      <c r="H3380">
        <v>32798036057</v>
      </c>
      <c r="I3380" t="s">
        <v>7057</v>
      </c>
      <c r="J3380" t="s">
        <v>7059</v>
      </c>
      <c r="K3380" t="s">
        <v>4634</v>
      </c>
    </row>
    <row r="3381" spans="1:11" ht="20" customHeight="1">
      <c r="A3381" t="s">
        <v>26</v>
      </c>
      <c r="B3381" t="s">
        <v>3849</v>
      </c>
      <c r="C3381">
        <v>115399.6328125</v>
      </c>
      <c r="D3381">
        <v>116747.8828125</v>
      </c>
      <c r="E3381">
        <v>114461.0625</v>
      </c>
      <c r="F3381">
        <v>115444.875</v>
      </c>
      <c r="G3381">
        <v>115444.875</v>
      </c>
      <c r="H3381">
        <v>52937859416</v>
      </c>
      <c r="I3381" t="s">
        <v>7059</v>
      </c>
      <c r="J3381" t="s">
        <v>7060</v>
      </c>
      <c r="K3381" t="s">
        <v>4634</v>
      </c>
    </row>
    <row r="3382" spans="1:11" ht="20" customHeight="1">
      <c r="A3382" t="s">
        <v>26</v>
      </c>
      <c r="B3382" t="s">
        <v>3852</v>
      </c>
      <c r="C3382">
        <v>115423.7578125</v>
      </c>
      <c r="D3382">
        <v>117005.2734375</v>
      </c>
      <c r="E3382">
        <v>114813.09375</v>
      </c>
      <c r="F3382">
        <v>116843.1875</v>
      </c>
      <c r="G3382">
        <v>116843.1875</v>
      </c>
      <c r="H3382">
        <v>45781744593</v>
      </c>
      <c r="I3382" t="s">
        <v>7060</v>
      </c>
      <c r="J3382" t="s">
        <v>7061</v>
      </c>
      <c r="K3382" t="s">
        <v>4634</v>
      </c>
    </row>
    <row r="3383" spans="1:11" ht="20" customHeight="1">
      <c r="A3383" t="s">
        <v>26</v>
      </c>
      <c r="B3383" t="s">
        <v>3855</v>
      </c>
      <c r="C3383">
        <v>116840.5078125</v>
      </c>
      <c r="D3383">
        <v>117328.609375</v>
      </c>
      <c r="E3383">
        <v>114794.9765625</v>
      </c>
      <c r="F3383">
        <v>116468.5078125</v>
      </c>
      <c r="G3383">
        <v>116468.5078125</v>
      </c>
      <c r="H3383">
        <v>60528025996</v>
      </c>
      <c r="I3383" t="s">
        <v>7061</v>
      </c>
      <c r="J3383" t="s">
        <v>7062</v>
      </c>
      <c r="K3383" t="s">
        <v>4634</v>
      </c>
    </row>
    <row r="3384" spans="1:11" ht="20" customHeight="1">
      <c r="A3384" t="s">
        <v>26</v>
      </c>
      <c r="B3384" t="s">
        <v>3858</v>
      </c>
      <c r="C3384">
        <v>116461.265625</v>
      </c>
      <c r="D3384">
        <v>117911.7890625</v>
      </c>
      <c r="E3384">
        <v>116188.796875</v>
      </c>
      <c r="F3384">
        <v>117137.203125</v>
      </c>
      <c r="G3384">
        <v>117137.203125</v>
      </c>
      <c r="H3384">
        <v>49457272032</v>
      </c>
      <c r="I3384" t="s">
        <v>7062</v>
      </c>
      <c r="J3384" t="s">
        <v>7063</v>
      </c>
      <c r="K3384" t="s">
        <v>4634</v>
      </c>
    </row>
    <row r="3385" spans="1:11" ht="20" customHeight="1">
      <c r="A3385" t="s">
        <v>26</v>
      </c>
      <c r="B3385" t="s">
        <v>3861</v>
      </c>
      <c r="C3385">
        <v>117137.671875</v>
      </c>
      <c r="D3385">
        <v>117479.7578125</v>
      </c>
      <c r="E3385">
        <v>115141.8203125</v>
      </c>
      <c r="F3385">
        <v>115688.859375</v>
      </c>
      <c r="G3385">
        <v>115688.859375</v>
      </c>
      <c r="H3385">
        <v>38828473971</v>
      </c>
      <c r="I3385" t="s">
        <v>7063</v>
      </c>
      <c r="J3385" t="s">
        <v>7064</v>
      </c>
      <c r="K3385" t="s">
        <v>4634</v>
      </c>
    </row>
    <row r="3386" spans="1:11" ht="20" customHeight="1">
      <c r="A3386" t="s">
        <v>26</v>
      </c>
      <c r="B3386" t="s">
        <v>7065</v>
      </c>
      <c r="C3386">
        <v>115691.125</v>
      </c>
      <c r="D3386">
        <v>116191.1484375</v>
      </c>
      <c r="E3386">
        <v>115473.5234375</v>
      </c>
      <c r="F3386">
        <v>115721.9609375</v>
      </c>
      <c r="G3386">
        <v>115721.9609375</v>
      </c>
      <c r="H3386">
        <v>22864449614</v>
      </c>
      <c r="I3386" t="s">
        <v>7064</v>
      </c>
      <c r="J3386" t="s">
        <v>7066</v>
      </c>
      <c r="K3386" t="s">
        <v>4634</v>
      </c>
    </row>
    <row r="3387" spans="1:11" ht="20" customHeight="1">
      <c r="A3387" t="s">
        <v>26</v>
      </c>
      <c r="B3387" t="s">
        <v>7067</v>
      </c>
      <c r="C3387">
        <v>115730.2265625</v>
      </c>
      <c r="D3387">
        <v>115901.0859375</v>
      </c>
      <c r="E3387">
        <v>115252.578125</v>
      </c>
      <c r="F3387">
        <v>115306.09375</v>
      </c>
      <c r="G3387">
        <v>115306.09375</v>
      </c>
      <c r="H3387">
        <v>22495852193</v>
      </c>
      <c r="I3387" t="s">
        <v>7066</v>
      </c>
      <c r="J3387" t="s">
        <v>7068</v>
      </c>
      <c r="K3387" t="s">
        <v>4634</v>
      </c>
    </row>
    <row r="3388" spans="1:11" ht="20" customHeight="1">
      <c r="A3388" t="s">
        <v>26</v>
      </c>
      <c r="B3388" t="s">
        <v>3864</v>
      </c>
      <c r="C3388">
        <v>115309.21875</v>
      </c>
      <c r="D3388">
        <v>115431.3125</v>
      </c>
      <c r="E3388">
        <v>112037.6484375</v>
      </c>
      <c r="F3388">
        <v>112748.5078125</v>
      </c>
      <c r="G3388">
        <v>112748.5078125</v>
      </c>
      <c r="H3388">
        <v>70684158591</v>
      </c>
      <c r="I3388" t="s">
        <v>7068</v>
      </c>
      <c r="J3388" t="s">
        <v>7069</v>
      </c>
      <c r="K3388" t="s">
        <v>4634</v>
      </c>
    </row>
    <row r="3389" spans="1:11" ht="20" customHeight="1">
      <c r="A3389" t="s">
        <v>26</v>
      </c>
      <c r="B3389" t="s">
        <v>3867</v>
      </c>
      <c r="C3389">
        <v>112757.4765625</v>
      </c>
      <c r="D3389">
        <v>113351.9140625</v>
      </c>
      <c r="E3389">
        <v>111535.5703125</v>
      </c>
      <c r="F3389">
        <v>112014.5</v>
      </c>
      <c r="G3389">
        <v>112014.5</v>
      </c>
      <c r="H3389">
        <v>47211853279</v>
      </c>
      <c r="I3389" t="s">
        <v>7069</v>
      </c>
      <c r="J3389" t="s">
        <v>7070</v>
      </c>
      <c r="K3389" t="s">
        <v>4634</v>
      </c>
    </row>
    <row r="3390" spans="1:11" ht="20" customHeight="1">
      <c r="A3390" t="s">
        <v>26</v>
      </c>
      <c r="B3390" t="s">
        <v>3870</v>
      </c>
      <c r="C3390">
        <v>112007.6640625</v>
      </c>
      <c r="D3390">
        <v>113986.2734375</v>
      </c>
      <c r="E3390">
        <v>111229.640625</v>
      </c>
      <c r="F3390">
        <v>113328.6328125</v>
      </c>
      <c r="G3390">
        <v>113328.6328125</v>
      </c>
      <c r="H3390">
        <v>48044595085</v>
      </c>
      <c r="I3390" t="s">
        <v>7070</v>
      </c>
      <c r="J3390" t="s">
        <v>7071</v>
      </c>
      <c r="K3390" t="s">
        <v>4634</v>
      </c>
    </row>
    <row r="3391" spans="1:11" ht="20" customHeight="1">
      <c r="A3391" t="s">
        <v>26</v>
      </c>
      <c r="B3391" t="s">
        <v>3873</v>
      </c>
      <c r="C3391">
        <v>113330.1640625</v>
      </c>
      <c r="D3391">
        <v>113541.0859375</v>
      </c>
      <c r="E3391">
        <v>108713.3984375</v>
      </c>
      <c r="F3391">
        <v>109049.2890625</v>
      </c>
      <c r="G3391">
        <v>109049.2890625</v>
      </c>
      <c r="H3391">
        <v>75528654284</v>
      </c>
      <c r="I3391" t="s">
        <v>7071</v>
      </c>
      <c r="J3391" t="s">
        <v>7072</v>
      </c>
      <c r="K3391" t="s">
        <v>4634</v>
      </c>
    </row>
    <row r="3392" spans="1:11" ht="20" customHeight="1">
      <c r="A3392" t="s">
        <v>26</v>
      </c>
      <c r="B3392" t="s">
        <v>3876</v>
      </c>
      <c r="C3392">
        <v>109041.296875</v>
      </c>
      <c r="D3392">
        <v>110359.1953125</v>
      </c>
      <c r="E3392">
        <v>108728.9765625</v>
      </c>
      <c r="F3392">
        <v>109712.828125</v>
      </c>
      <c r="G3392">
        <v>109712.828125</v>
      </c>
      <c r="H3392">
        <v>57738288949</v>
      </c>
      <c r="I3392" t="s">
        <v>7072</v>
      </c>
      <c r="J3392" t="s">
        <v>7073</v>
      </c>
      <c r="K3392" t="s">
        <v>4634</v>
      </c>
    </row>
    <row r="3393" spans="1:11" ht="20" customHeight="1">
      <c r="A3393" t="s">
        <v>26</v>
      </c>
      <c r="B3393" t="s">
        <v>7074</v>
      </c>
      <c r="C3393">
        <v>109707.140625</v>
      </c>
      <c r="D3393">
        <v>109778.5</v>
      </c>
      <c r="E3393">
        <v>109144.296875</v>
      </c>
      <c r="F3393">
        <v>109681.9453125</v>
      </c>
      <c r="G3393">
        <v>109681.9453125</v>
      </c>
      <c r="H3393">
        <v>26308042910</v>
      </c>
      <c r="I3393" t="s">
        <v>7073</v>
      </c>
      <c r="J3393" t="s">
        <v>7075</v>
      </c>
      <c r="K3393" t="s">
        <v>4634</v>
      </c>
    </row>
    <row r="3394" spans="1:11" ht="20" customHeight="1">
      <c r="A3394" t="s">
        <v>26</v>
      </c>
      <c r="B3394" t="s">
        <v>7076</v>
      </c>
      <c r="C3394">
        <v>109681.9453125</v>
      </c>
      <c r="D3394">
        <v>112375.484375</v>
      </c>
      <c r="E3394">
        <v>109236.9453125</v>
      </c>
      <c r="F3394">
        <v>112122.640625</v>
      </c>
      <c r="G3394">
        <v>112122.640625</v>
      </c>
      <c r="H3394">
        <v>33371048505</v>
      </c>
      <c r="I3394" t="s">
        <v>7075</v>
      </c>
      <c r="J3394" t="s">
        <v>7077</v>
      </c>
      <c r="K3394" t="s">
        <v>4634</v>
      </c>
    </row>
    <row r="3395" spans="1:11" ht="20" customHeight="1">
      <c r="A3395" t="s">
        <v>26</v>
      </c>
      <c r="B3395" t="s">
        <v>3879</v>
      </c>
      <c r="C3395">
        <v>112117.875</v>
      </c>
      <c r="D3395">
        <v>114473.5703125</v>
      </c>
      <c r="E3395">
        <v>111589.953125</v>
      </c>
      <c r="F3395">
        <v>114400.3828125</v>
      </c>
      <c r="G3395">
        <v>114400.3828125</v>
      </c>
      <c r="H3395">
        <v>60000147466</v>
      </c>
      <c r="I3395" t="s">
        <v>7077</v>
      </c>
      <c r="J3395" t="s">
        <v>7078</v>
      </c>
      <c r="K3395" t="s">
        <v>4634</v>
      </c>
    </row>
    <row r="3396" spans="1:11" ht="20" customHeight="1">
      <c r="A3396" t="s">
        <v>26</v>
      </c>
      <c r="B3396" t="s">
        <v>3882</v>
      </c>
      <c r="C3396">
        <v>114396.5234375</v>
      </c>
      <c r="D3396">
        <v>114836.6171875</v>
      </c>
      <c r="E3396">
        <v>112740.5625</v>
      </c>
      <c r="F3396">
        <v>114056.0859375</v>
      </c>
      <c r="G3396">
        <v>114056.0859375</v>
      </c>
      <c r="H3396">
        <v>58986330258</v>
      </c>
      <c r="I3396" t="s">
        <v>7078</v>
      </c>
      <c r="J3396" t="s">
        <v>7079</v>
      </c>
      <c r="K3396" t="s">
        <v>4634</v>
      </c>
    </row>
    <row r="3397" spans="1:11" ht="20" customHeight="1">
      <c r="A3397" t="s">
        <v>26</v>
      </c>
      <c r="B3397" t="s">
        <v>3885</v>
      </c>
      <c r="C3397">
        <v>114057.59375</v>
      </c>
      <c r="D3397">
        <v>118648.9296875</v>
      </c>
      <c r="E3397">
        <v>113981.3984375</v>
      </c>
      <c r="F3397">
        <v>118648.9296875</v>
      </c>
      <c r="G3397">
        <v>118648.9296875</v>
      </c>
      <c r="H3397">
        <v>71328680132</v>
      </c>
      <c r="I3397" t="s">
        <v>7079</v>
      </c>
      <c r="J3397" t="s">
        <v>7080</v>
      </c>
      <c r="K3397" t="s">
        <v>4634</v>
      </c>
    </row>
    <row r="3398" spans="1:11" ht="20" customHeight="1">
      <c r="A3398" t="s">
        <v>26</v>
      </c>
      <c r="B3398" t="s">
        <v>3888</v>
      </c>
      <c r="C3398">
        <v>118652.3828125</v>
      </c>
      <c r="D3398">
        <v>121086.40625</v>
      </c>
      <c r="E3398">
        <v>118383.15625</v>
      </c>
      <c r="F3398">
        <v>120681.2578125</v>
      </c>
      <c r="G3398">
        <v>120681.2578125</v>
      </c>
      <c r="H3398">
        <v>71415163912</v>
      </c>
      <c r="I3398" t="s">
        <v>7080</v>
      </c>
      <c r="J3398" t="s">
        <v>7081</v>
      </c>
      <c r="K3398" t="s">
        <v>4634</v>
      </c>
    </row>
    <row r="3399" spans="1:11" ht="20" customHeight="1">
      <c r="A3399" t="s">
        <v>26</v>
      </c>
      <c r="B3399" t="s">
        <v>3891</v>
      </c>
      <c r="C3399">
        <v>120656.984375</v>
      </c>
      <c r="D3399">
        <v>123944.703125</v>
      </c>
      <c r="E3399">
        <v>119344.3125</v>
      </c>
      <c r="F3399">
        <v>122266.53125</v>
      </c>
      <c r="G3399">
        <v>122266.53125</v>
      </c>
      <c r="H3399">
        <v>83941392228</v>
      </c>
      <c r="I3399" t="s">
        <v>7081</v>
      </c>
      <c r="J3399" t="s">
        <v>7082</v>
      </c>
      <c r="K3399" t="s">
        <v>4634</v>
      </c>
    </row>
    <row r="3400" spans="1:11" ht="20" customHeight="1">
      <c r="A3400" t="s">
        <v>26</v>
      </c>
      <c r="B3400" t="s">
        <v>7083</v>
      </c>
      <c r="C3400">
        <v>122267.46875</v>
      </c>
      <c r="D3400">
        <v>122857.640625</v>
      </c>
      <c r="E3400">
        <v>121577.5703125</v>
      </c>
      <c r="F3400">
        <v>122425.4296875</v>
      </c>
      <c r="G3400">
        <v>122425.4296875</v>
      </c>
      <c r="H3400">
        <v>36769171735</v>
      </c>
      <c r="I3400" t="s">
        <v>7082</v>
      </c>
      <c r="J3400" t="s">
        <v>7084</v>
      </c>
      <c r="K3400" t="s">
        <v>4634</v>
      </c>
    </row>
    <row r="3401" spans="1:11" ht="20" customHeight="1">
      <c r="A3401" t="s">
        <v>26</v>
      </c>
      <c r="B3401" t="s">
        <v>7085</v>
      </c>
      <c r="C3401">
        <v>122419.671875</v>
      </c>
      <c r="D3401">
        <v>125559.2109375</v>
      </c>
      <c r="E3401">
        <v>122191.9609375</v>
      </c>
      <c r="F3401">
        <v>123513.4765625</v>
      </c>
      <c r="G3401">
        <v>123513.4765625</v>
      </c>
      <c r="H3401">
        <v>73689317763</v>
      </c>
      <c r="I3401" t="s">
        <v>7084</v>
      </c>
      <c r="J3401" t="s">
        <v>7086</v>
      </c>
      <c r="K3401" t="s">
        <v>4634</v>
      </c>
    </row>
    <row r="3402" spans="1:11" ht="20" customHeight="1">
      <c r="A3402" t="s">
        <v>26</v>
      </c>
      <c r="B3402" t="s">
        <v>3894</v>
      </c>
      <c r="C3402">
        <v>123510.453125</v>
      </c>
      <c r="D3402">
        <v>126198.0703125</v>
      </c>
      <c r="E3402">
        <v>123196.046875</v>
      </c>
      <c r="F3402">
        <v>124752.53125</v>
      </c>
      <c r="G3402">
        <v>124752.53125</v>
      </c>
      <c r="H3402">
        <v>72568881188</v>
      </c>
      <c r="I3402" t="s">
        <v>7086</v>
      </c>
      <c r="J3402" t="s">
        <v>7087</v>
      </c>
      <c r="K3402" t="s">
        <v>4634</v>
      </c>
    </row>
    <row r="3403" spans="1:11" ht="20" customHeight="1">
      <c r="A3403" t="s">
        <v>26</v>
      </c>
      <c r="B3403" t="s">
        <v>3897</v>
      </c>
      <c r="C3403">
        <v>124752.140625</v>
      </c>
      <c r="D3403">
        <v>125184.0234375</v>
      </c>
      <c r="E3403">
        <v>120681.96875</v>
      </c>
      <c r="F3403">
        <v>121451.3828125</v>
      </c>
      <c r="G3403">
        <v>121451.3828125</v>
      </c>
      <c r="H3403">
        <v>76149412513</v>
      </c>
      <c r="I3403" t="s">
        <v>7087</v>
      </c>
      <c r="J3403" t="s">
        <v>7088</v>
      </c>
      <c r="K3403" t="s">
        <v>4634</v>
      </c>
    </row>
    <row r="3404" spans="1:11" ht="20" customHeight="1">
      <c r="A3404" t="s">
        <v>26</v>
      </c>
      <c r="B3404" t="s">
        <v>3900</v>
      </c>
      <c r="C3404">
        <v>121448.3515625</v>
      </c>
      <c r="D3404">
        <v>124167.09375</v>
      </c>
      <c r="E3404">
        <v>121119.1796875</v>
      </c>
      <c r="F3404">
        <v>123354.8671875</v>
      </c>
      <c r="G3404">
        <v>123354.8671875</v>
      </c>
      <c r="H3404">
        <v>65354305286</v>
      </c>
      <c r="I3404" t="s">
        <v>7088</v>
      </c>
      <c r="J3404" t="s">
        <v>7089</v>
      </c>
      <c r="K3404" t="s">
        <v>4634</v>
      </c>
    </row>
    <row r="3405" spans="1:11" ht="20" customHeight="1">
      <c r="A3405" t="s">
        <v>26</v>
      </c>
      <c r="B3405" t="s">
        <v>3903</v>
      </c>
      <c r="C3405">
        <v>123337.0703125</v>
      </c>
      <c r="D3405">
        <v>123739.34375</v>
      </c>
      <c r="E3405">
        <v>119812.03125</v>
      </c>
      <c r="F3405">
        <v>121705.5859375</v>
      </c>
      <c r="G3405">
        <v>121705.5859375</v>
      </c>
      <c r="H3405">
        <v>74653009425</v>
      </c>
      <c r="I3405" t="s">
        <v>7089</v>
      </c>
      <c r="J3405" t="s">
        <v>7090</v>
      </c>
      <c r="K3405" t="s">
        <v>4634</v>
      </c>
    </row>
    <row r="3406" spans="1:11" ht="20" customHeight="1">
      <c r="A3406" t="s">
        <v>26</v>
      </c>
      <c r="B3406" t="s">
        <v>3906</v>
      </c>
      <c r="C3406">
        <v>121704.7421875</v>
      </c>
      <c r="D3406">
        <v>122509.6640625</v>
      </c>
      <c r="E3406">
        <v>104582.4140625</v>
      </c>
      <c r="F3406">
        <v>113214.3671875</v>
      </c>
      <c r="G3406">
        <v>113214.3671875</v>
      </c>
      <c r="H3406">
        <v>153125018868</v>
      </c>
      <c r="I3406" t="s">
        <v>7090</v>
      </c>
      <c r="J3406" t="s">
        <v>7091</v>
      </c>
      <c r="K3406" t="s">
        <v>4634</v>
      </c>
    </row>
    <row r="3407" spans="1:11" ht="20" customHeight="1">
      <c r="A3407" t="s">
        <v>26</v>
      </c>
      <c r="B3407" t="s">
        <v>7092</v>
      </c>
      <c r="C3407">
        <v>113236.4296875</v>
      </c>
      <c r="D3407">
        <v>113429.7265625</v>
      </c>
      <c r="E3407">
        <v>109760.5625</v>
      </c>
      <c r="F3407">
        <v>110807.8828125</v>
      </c>
      <c r="G3407">
        <v>110807.8828125</v>
      </c>
      <c r="H3407">
        <v>110236934340</v>
      </c>
      <c r="I3407" t="s">
        <v>7091</v>
      </c>
      <c r="J3407" t="s">
        <v>7093</v>
      </c>
      <c r="K3407" t="s">
        <v>4634</v>
      </c>
    </row>
    <row r="3408" spans="1:11" ht="20" customHeight="1">
      <c r="A3408" t="s">
        <v>26</v>
      </c>
      <c r="B3408" t="s">
        <v>7094</v>
      </c>
      <c r="C3408">
        <v>110811.515625</v>
      </c>
      <c r="D3408">
        <v>115805.0625</v>
      </c>
      <c r="E3408">
        <v>109715.5390625</v>
      </c>
      <c r="F3408">
        <v>115169.765625</v>
      </c>
      <c r="G3408">
        <v>115169.765625</v>
      </c>
      <c r="H3408">
        <v>93710414091</v>
      </c>
      <c r="I3408" t="s">
        <v>7093</v>
      </c>
      <c r="J3408" t="s">
        <v>7095</v>
      </c>
      <c r="K3408" t="s">
        <v>4634</v>
      </c>
    </row>
    <row r="3409" spans="1:11" ht="20" customHeight="1">
      <c r="A3409" t="s">
        <v>26</v>
      </c>
      <c r="B3409" t="s">
        <v>3909</v>
      </c>
      <c r="C3409">
        <v>115161.6796875</v>
      </c>
      <c r="D3409">
        <v>116020.484375</v>
      </c>
      <c r="E3409">
        <v>113821.1875</v>
      </c>
      <c r="F3409">
        <v>115271.078125</v>
      </c>
      <c r="G3409">
        <v>115271.078125</v>
      </c>
      <c r="H3409">
        <v>71582026739</v>
      </c>
      <c r="I3409" t="s">
        <v>7095</v>
      </c>
      <c r="J3409" t="s">
        <v>7096</v>
      </c>
      <c r="K3409" t="s">
        <v>4634</v>
      </c>
    </row>
    <row r="3410" spans="1:11" ht="20" customHeight="1">
      <c r="A3410" t="s">
        <v>26</v>
      </c>
      <c r="B3410" t="s">
        <v>3912</v>
      </c>
      <c r="C3410">
        <v>115264.8828125</v>
      </c>
      <c r="D3410">
        <v>115502.8828125</v>
      </c>
      <c r="E3410">
        <v>110029.484375</v>
      </c>
      <c r="F3410">
        <v>113118.6640625</v>
      </c>
      <c r="G3410">
        <v>113118.6640625</v>
      </c>
      <c r="H3410">
        <v>92212917403</v>
      </c>
      <c r="I3410" t="s">
        <v>7096</v>
      </c>
      <c r="J3410" t="s">
        <v>7097</v>
      </c>
      <c r="K3410" t="s">
        <v>4634</v>
      </c>
    </row>
    <row r="3411" spans="1:11" ht="20" customHeight="1">
      <c r="A3411" t="s">
        <v>26</v>
      </c>
      <c r="B3411" t="s">
        <v>3915</v>
      </c>
      <c r="C3411">
        <v>113113.96875</v>
      </c>
      <c r="D3411">
        <v>113622.3828125</v>
      </c>
      <c r="E3411">
        <v>110235.8359375</v>
      </c>
      <c r="F3411">
        <v>110783.1640625</v>
      </c>
      <c r="G3411">
        <v>110783.1640625</v>
      </c>
      <c r="H3411">
        <v>72574132855</v>
      </c>
      <c r="I3411" t="s">
        <v>7097</v>
      </c>
      <c r="J3411" t="s">
        <v>7098</v>
      </c>
      <c r="K3411" t="s">
        <v>4634</v>
      </c>
    </row>
    <row r="3412" spans="1:11" ht="20" customHeight="1">
      <c r="A3412" t="s">
        <v>26</v>
      </c>
      <c r="B3412" t="s">
        <v>3918</v>
      </c>
      <c r="C3412">
        <v>110782.171875</v>
      </c>
      <c r="D3412">
        <v>111990.8125</v>
      </c>
      <c r="E3412">
        <v>107537.03125</v>
      </c>
      <c r="F3412">
        <v>108186.0390625</v>
      </c>
      <c r="G3412">
        <v>108186.0390625</v>
      </c>
      <c r="H3412">
        <v>87306423067</v>
      </c>
      <c r="I3412" t="s">
        <v>7098</v>
      </c>
      <c r="J3412" t="s">
        <v>7099</v>
      </c>
      <c r="K3412" t="s">
        <v>4634</v>
      </c>
    </row>
    <row r="3413" spans="1:11" ht="20" customHeight="1">
      <c r="A3413" t="s">
        <v>26</v>
      </c>
      <c r="B3413" t="s">
        <v>3921</v>
      </c>
      <c r="C3413">
        <v>108179.1328125</v>
      </c>
      <c r="D3413">
        <v>109235.8046875</v>
      </c>
      <c r="E3413">
        <v>103598.4296875</v>
      </c>
      <c r="F3413">
        <v>106467.7890625</v>
      </c>
      <c r="G3413">
        <v>106467.7890625</v>
      </c>
      <c r="H3413">
        <v>99703051669</v>
      </c>
      <c r="I3413" t="s">
        <v>7099</v>
      </c>
      <c r="J3413" t="s">
        <v>7100</v>
      </c>
      <c r="K3413" t="s">
        <v>4634</v>
      </c>
    </row>
    <row r="3414" spans="1:11" ht="20" customHeight="1">
      <c r="A3414" t="s">
        <v>26</v>
      </c>
      <c r="B3414" t="s">
        <v>7101</v>
      </c>
      <c r="C3414">
        <v>106483.734375</v>
      </c>
      <c r="D3414">
        <v>107490.984375</v>
      </c>
      <c r="E3414">
        <v>106387.453125</v>
      </c>
      <c r="F3414">
        <v>107198.265625</v>
      </c>
      <c r="G3414">
        <v>107198.265625</v>
      </c>
      <c r="H3414">
        <v>37779905278</v>
      </c>
      <c r="I3414" t="s">
        <v>7100</v>
      </c>
      <c r="J3414" t="s">
        <v>7102</v>
      </c>
      <c r="K3414" t="s">
        <v>4634</v>
      </c>
    </row>
    <row r="3415" spans="1:11" ht="20" customHeight="1">
      <c r="A3415" t="s">
        <v>26</v>
      </c>
      <c r="B3415" t="s">
        <v>7103</v>
      </c>
      <c r="C3415">
        <v>107204.3125</v>
      </c>
      <c r="D3415">
        <v>109488.9921875</v>
      </c>
      <c r="E3415">
        <v>106157.7890625</v>
      </c>
      <c r="F3415">
        <v>108666.7109375</v>
      </c>
      <c r="G3415">
        <v>108666.7109375</v>
      </c>
      <c r="H3415">
        <v>47657008953</v>
      </c>
      <c r="I3415" t="s">
        <v>7102</v>
      </c>
      <c r="J3415" t="s">
        <v>7104</v>
      </c>
      <c r="K3415" t="s">
        <v>4634</v>
      </c>
    </row>
    <row r="3416" spans="1:11" ht="20" customHeight="1">
      <c r="A3416" t="s">
        <v>26</v>
      </c>
      <c r="B3416" t="s">
        <v>3924</v>
      </c>
      <c r="C3416">
        <v>108667.4453125</v>
      </c>
      <c r="D3416">
        <v>111711.03125</v>
      </c>
      <c r="E3416">
        <v>107485.015625</v>
      </c>
      <c r="F3416">
        <v>110588.9296875</v>
      </c>
      <c r="G3416">
        <v>110588.9296875</v>
      </c>
      <c r="H3416">
        <v>63507793085</v>
      </c>
      <c r="I3416" t="s">
        <v>7104</v>
      </c>
      <c r="J3416" t="s">
        <v>7105</v>
      </c>
      <c r="K3416" t="s">
        <v>4634</v>
      </c>
    </row>
    <row r="3417" spans="1:11" ht="20" customHeight="1">
      <c r="A3417" t="s">
        <v>26</v>
      </c>
      <c r="B3417" t="s">
        <v>3927</v>
      </c>
      <c r="C3417">
        <v>110587.6328125</v>
      </c>
      <c r="D3417">
        <v>113996.34375</v>
      </c>
      <c r="E3417">
        <v>107534.75</v>
      </c>
      <c r="F3417">
        <v>108476.890625</v>
      </c>
      <c r="G3417">
        <v>108476.890625</v>
      </c>
      <c r="H3417">
        <v>101194375480</v>
      </c>
      <c r="I3417" t="s">
        <v>7105</v>
      </c>
      <c r="J3417" t="s">
        <v>7106</v>
      </c>
      <c r="K3417" t="s">
        <v>4634</v>
      </c>
    </row>
    <row r="3418" spans="1:11" ht="20" customHeight="1">
      <c r="A3418" t="s">
        <v>26</v>
      </c>
      <c r="B3418" t="s">
        <v>3930</v>
      </c>
      <c r="C3418">
        <v>108491.53125</v>
      </c>
      <c r="D3418">
        <v>109115.1328125</v>
      </c>
      <c r="E3418">
        <v>106778</v>
      </c>
      <c r="F3418">
        <v>107688.5859375</v>
      </c>
      <c r="G3418">
        <v>107688.5859375</v>
      </c>
      <c r="H3418">
        <v>80807013218</v>
      </c>
      <c r="I3418" t="s">
        <v>7106</v>
      </c>
      <c r="J3418" t="s">
        <v>7107</v>
      </c>
      <c r="K3418" t="s">
        <v>4634</v>
      </c>
    </row>
    <row r="3419" spans="1:11" ht="20" customHeight="1">
      <c r="A3419" t="s">
        <v>26</v>
      </c>
      <c r="B3419" t="s">
        <v>3933</v>
      </c>
      <c r="C3419">
        <v>107679.4375</v>
      </c>
      <c r="D3419">
        <v>111288.59375</v>
      </c>
      <c r="E3419">
        <v>107548.4296875</v>
      </c>
      <c r="F3419">
        <v>110069.7265625</v>
      </c>
      <c r="G3419">
        <v>110069.7265625</v>
      </c>
      <c r="H3419">
        <v>54944076060</v>
      </c>
      <c r="I3419" t="s">
        <v>7107</v>
      </c>
      <c r="J3419" t="s">
        <v>7108</v>
      </c>
      <c r="K3419" t="s">
        <v>4634</v>
      </c>
    </row>
    <row r="3420" spans="1:11" ht="20" customHeight="1">
      <c r="A3420" t="s">
        <v>26</v>
      </c>
      <c r="B3420" t="s">
        <v>3936</v>
      </c>
      <c r="C3420">
        <v>110069.3515625</v>
      </c>
      <c r="D3420">
        <v>111842.53125</v>
      </c>
      <c r="E3420">
        <v>109770.1484375</v>
      </c>
      <c r="F3420">
        <v>111033.921875</v>
      </c>
      <c r="G3420">
        <v>111033.921875</v>
      </c>
      <c r="H3420">
        <v>48160816980</v>
      </c>
      <c r="I3420" t="s">
        <v>7108</v>
      </c>
      <c r="J3420" t="s">
        <v>7109</v>
      </c>
      <c r="K3420" t="s">
        <v>4634</v>
      </c>
    </row>
    <row r="3421" spans="1:11" ht="20" customHeight="1">
      <c r="A3421" t="s">
        <v>26</v>
      </c>
      <c r="B3421" t="s">
        <v>7110</v>
      </c>
      <c r="C3421">
        <v>111032.6171875</v>
      </c>
      <c r="D3421">
        <v>111947.703125</v>
      </c>
      <c r="E3421">
        <v>110704.40625</v>
      </c>
      <c r="F3421">
        <v>111641.7265625</v>
      </c>
      <c r="G3421">
        <v>111641.7265625</v>
      </c>
      <c r="H3421">
        <v>24707667305</v>
      </c>
      <c r="I3421" t="s">
        <v>7109</v>
      </c>
      <c r="J3421" t="s">
        <v>7111</v>
      </c>
      <c r="K3421" t="s">
        <v>4634</v>
      </c>
    </row>
    <row r="3422" spans="1:11" ht="20" customHeight="1">
      <c r="A3422" t="s">
        <v>26</v>
      </c>
      <c r="B3422" t="s">
        <v>7112</v>
      </c>
      <c r="C3422">
        <v>111639.0546875</v>
      </c>
      <c r="D3422">
        <v>115260.90625</v>
      </c>
      <c r="E3422">
        <v>111268.484375</v>
      </c>
      <c r="F3422">
        <v>114472.4453125</v>
      </c>
      <c r="G3422">
        <v>114472.4453125</v>
      </c>
      <c r="H3422">
        <v>41708524143</v>
      </c>
      <c r="I3422" t="s">
        <v>7111</v>
      </c>
      <c r="J3422" t="s">
        <v>7113</v>
      </c>
      <c r="K3422" t="s">
        <v>4634</v>
      </c>
    </row>
    <row r="3423" spans="1:11" ht="20" customHeight="1">
      <c r="A3423" t="s">
        <v>26</v>
      </c>
      <c r="B3423" t="s">
        <v>3939</v>
      </c>
      <c r="C3423">
        <v>114479.8515625</v>
      </c>
      <c r="D3423">
        <v>116273.3125</v>
      </c>
      <c r="E3423">
        <v>113882.2890625</v>
      </c>
      <c r="F3423">
        <v>114119.328125</v>
      </c>
      <c r="G3423">
        <v>114119.328125</v>
      </c>
      <c r="H3423">
        <v>61761358733</v>
      </c>
      <c r="I3423" t="s">
        <v>7113</v>
      </c>
      <c r="J3423" t="s">
        <v>7114</v>
      </c>
      <c r="K3423" t="s">
        <v>4634</v>
      </c>
    </row>
    <row r="3424" spans="1:11" ht="20" customHeight="1">
      <c r="A3424" t="s">
        <v>26</v>
      </c>
      <c r="B3424" t="s">
        <v>3942</v>
      </c>
      <c r="C3424">
        <v>114129.0859375</v>
      </c>
      <c r="D3424">
        <v>116078.984375</v>
      </c>
      <c r="E3424">
        <v>112291.6796875</v>
      </c>
      <c r="F3424">
        <v>112956.1640625</v>
      </c>
      <c r="G3424">
        <v>112956.1640625</v>
      </c>
      <c r="H3424">
        <v>64528066504</v>
      </c>
      <c r="I3424" t="s">
        <v>7114</v>
      </c>
      <c r="J3424" t="s">
        <v>7115</v>
      </c>
      <c r="K3424" t="s">
        <v>4634</v>
      </c>
    </row>
    <row r="3425" spans="1:11" ht="20" customHeight="1">
      <c r="A3425" t="s">
        <v>26</v>
      </c>
      <c r="B3425" t="s">
        <v>3945</v>
      </c>
      <c r="C3425">
        <v>112921.328125</v>
      </c>
      <c r="D3425">
        <v>113642.7265625</v>
      </c>
      <c r="E3425">
        <v>109368.71875</v>
      </c>
      <c r="F3425">
        <v>110055.3046875</v>
      </c>
      <c r="G3425">
        <v>110055.3046875</v>
      </c>
      <c r="H3425">
        <v>62192043469</v>
      </c>
      <c r="I3425" t="s">
        <v>7115</v>
      </c>
      <c r="J3425" t="s">
        <v>7116</v>
      </c>
      <c r="K3425" t="s">
        <v>4634</v>
      </c>
    </row>
    <row r="3426" spans="1:11" ht="20" customHeight="1">
      <c r="A3426" t="s">
        <v>26</v>
      </c>
      <c r="B3426" t="s">
        <v>3948</v>
      </c>
      <c r="C3426">
        <v>110059.1953125</v>
      </c>
      <c r="D3426">
        <v>111612.3515625</v>
      </c>
      <c r="E3426">
        <v>106376.6875</v>
      </c>
      <c r="F3426">
        <v>108305.546875</v>
      </c>
      <c r="G3426">
        <v>108305.546875</v>
      </c>
      <c r="H3426">
        <v>69673964814</v>
      </c>
      <c r="I3426" t="s">
        <v>7116</v>
      </c>
      <c r="J3426" t="s">
        <v>7117</v>
      </c>
      <c r="K3426" t="s">
        <v>4634</v>
      </c>
    </row>
    <row r="3427" spans="1:11" ht="20" customHeight="1">
      <c r="A3427" t="s">
        <v>26</v>
      </c>
      <c r="B3427" t="s">
        <v>3951</v>
      </c>
      <c r="C3427">
        <v>108304.4140625</v>
      </c>
      <c r="D3427">
        <v>111031.8203125</v>
      </c>
      <c r="E3427">
        <v>108288.2734375</v>
      </c>
      <c r="F3427">
        <v>109556.1640625</v>
      </c>
      <c r="G3427">
        <v>109556.1640625</v>
      </c>
      <c r="H3427">
        <v>60090359560</v>
      </c>
      <c r="I3427" t="s">
        <v>7117</v>
      </c>
      <c r="J3427" t="s">
        <v>7118</v>
      </c>
      <c r="K3427" t="s">
        <v>4634</v>
      </c>
    </row>
    <row r="3428" spans="1:11" ht="20" customHeight="1">
      <c r="A3428" t="s">
        <v>26</v>
      </c>
      <c r="B3428" t="s">
        <v>7119</v>
      </c>
      <c r="C3428">
        <v>109558.625</v>
      </c>
      <c r="D3428">
        <v>110574.8984375</v>
      </c>
      <c r="E3428">
        <v>109372.953125</v>
      </c>
      <c r="F3428">
        <v>110064.015625</v>
      </c>
      <c r="G3428">
        <v>110064.015625</v>
      </c>
      <c r="H3428">
        <v>25871668762</v>
      </c>
      <c r="I3428" t="s">
        <v>7118</v>
      </c>
      <c r="J3428" t="s">
        <v>7120</v>
      </c>
      <c r="K3428" t="s">
        <v>4634</v>
      </c>
    </row>
    <row r="3429" spans="1:11" ht="20" customHeight="1">
      <c r="A3429" t="s">
        <v>26</v>
      </c>
      <c r="B3429" t="s">
        <v>7121</v>
      </c>
      <c r="C3429">
        <v>110064.4296875</v>
      </c>
      <c r="D3429">
        <v>111167.3125</v>
      </c>
      <c r="E3429">
        <v>109523.453125</v>
      </c>
      <c r="F3429">
        <v>110639.625</v>
      </c>
      <c r="G3429">
        <v>110639.625</v>
      </c>
      <c r="H3429">
        <v>34284209459</v>
      </c>
      <c r="I3429" t="s">
        <v>7120</v>
      </c>
      <c r="J3429" t="s">
        <v>7122</v>
      </c>
      <c r="K3429" t="s">
        <v>4634</v>
      </c>
    </row>
    <row r="3430" spans="1:11" ht="20" customHeight="1">
      <c r="A3430" t="s">
        <v>26</v>
      </c>
      <c r="B3430" t="s">
        <v>3954</v>
      </c>
      <c r="C3430">
        <v>110646.90625</v>
      </c>
      <c r="D3430">
        <v>110764.9140625</v>
      </c>
      <c r="E3430">
        <v>105336.359375</v>
      </c>
      <c r="F3430">
        <v>106547.5234375</v>
      </c>
      <c r="G3430">
        <v>106547.5234375</v>
      </c>
      <c r="H3430">
        <v>72852006359</v>
      </c>
      <c r="I3430" t="s">
        <v>7122</v>
      </c>
      <c r="J3430" t="s">
        <v>7123</v>
      </c>
      <c r="K3430" t="s">
        <v>4634</v>
      </c>
    </row>
    <row r="3431" spans="1:11" ht="20" customHeight="1">
      <c r="A3431" t="s">
        <v>26</v>
      </c>
      <c r="B3431" t="s">
        <v>3957</v>
      </c>
      <c r="C3431">
        <v>106541.421875</v>
      </c>
      <c r="D3431">
        <v>107264.8828125</v>
      </c>
      <c r="E3431">
        <v>98962.0625</v>
      </c>
      <c r="F3431">
        <v>101590.5234375</v>
      </c>
      <c r="G3431">
        <v>101590.5234375</v>
      </c>
      <c r="H3431">
        <v>110967184773</v>
      </c>
      <c r="I3431" t="s">
        <v>7123</v>
      </c>
      <c r="J3431" t="s">
        <v>7124</v>
      </c>
      <c r="K3431" t="s">
        <v>4634</v>
      </c>
    </row>
    <row r="3432" spans="1:11" ht="20" customHeight="1">
      <c r="A3432" t="s">
        <v>26</v>
      </c>
      <c r="B3432" t="s">
        <v>3960</v>
      </c>
      <c r="C3432">
        <v>101579.234375</v>
      </c>
      <c r="D3432">
        <v>104534.703125</v>
      </c>
      <c r="E3432">
        <v>98989.9140625</v>
      </c>
      <c r="F3432">
        <v>103891.8359375</v>
      </c>
      <c r="G3432">
        <v>103891.8359375</v>
      </c>
      <c r="H3432">
        <v>77584934804</v>
      </c>
      <c r="I3432" t="s">
        <v>7124</v>
      </c>
      <c r="J3432" t="s">
        <v>7125</v>
      </c>
      <c r="K3432" t="s">
        <v>4634</v>
      </c>
    </row>
    <row r="3433" spans="1:11" ht="20" customHeight="1">
      <c r="A3433" t="s">
        <v>26</v>
      </c>
      <c r="B3433" t="s">
        <v>3963</v>
      </c>
      <c r="C3433">
        <v>103893.6640625</v>
      </c>
      <c r="D3433">
        <v>104147.3046875</v>
      </c>
      <c r="E3433">
        <v>100336.8671875</v>
      </c>
      <c r="F3433">
        <v>101301.2890625</v>
      </c>
      <c r="G3433">
        <v>101301.2890625</v>
      </c>
      <c r="H3433">
        <v>63932752861</v>
      </c>
      <c r="I3433" t="s">
        <v>7125</v>
      </c>
      <c r="J3433" t="s">
        <v>7126</v>
      </c>
      <c r="K3433" t="s">
        <v>4634</v>
      </c>
    </row>
    <row r="3434" spans="1:11" ht="20" customHeight="1">
      <c r="A3434" t="s">
        <v>26</v>
      </c>
      <c r="B3434" t="s">
        <v>3966</v>
      </c>
      <c r="C3434">
        <v>101286.2421875</v>
      </c>
      <c r="D3434">
        <v>104052.9140625</v>
      </c>
      <c r="E3434">
        <v>99257.0546875</v>
      </c>
      <c r="F3434">
        <v>103372.40625</v>
      </c>
      <c r="G3434">
        <v>103372.40625</v>
      </c>
      <c r="H3434">
        <v>92168030081</v>
      </c>
      <c r="I3434" t="s">
        <v>7126</v>
      </c>
      <c r="J3434" t="s">
        <v>7127</v>
      </c>
      <c r="K3434" t="s">
        <v>4634</v>
      </c>
    </row>
    <row r="3435" spans="1:11" ht="20" customHeight="1">
      <c r="A3435" t="s">
        <v>26</v>
      </c>
      <c r="B3435" t="s">
        <v>7128</v>
      </c>
      <c r="C3435">
        <v>103371.703125</v>
      </c>
      <c r="D3435">
        <v>103373.5625</v>
      </c>
      <c r="E3435">
        <v>101458.0390625</v>
      </c>
      <c r="F3435">
        <v>102282.1171875</v>
      </c>
      <c r="G3435">
        <v>102282.1171875</v>
      </c>
      <c r="H3435">
        <v>51446691095</v>
      </c>
      <c r="I3435" t="s">
        <v>7127</v>
      </c>
      <c r="J3435" t="s">
        <v>7129</v>
      </c>
      <c r="K3435" t="s">
        <v>4634</v>
      </c>
    </row>
    <row r="3436" spans="1:11" ht="20" customHeight="1">
      <c r="A3436" t="s">
        <v>26</v>
      </c>
      <c r="B3436" t="s">
        <v>7130</v>
      </c>
      <c r="C3436">
        <v>102278.984375</v>
      </c>
      <c r="D3436">
        <v>105418.3671875</v>
      </c>
      <c r="E3436">
        <v>101468.875</v>
      </c>
      <c r="F3436">
        <v>104719.640625</v>
      </c>
      <c r="G3436">
        <v>104719.640625</v>
      </c>
      <c r="H3436">
        <v>59679243013</v>
      </c>
      <c r="I3436" t="s">
        <v>7129</v>
      </c>
      <c r="J3436" t="s">
        <v>7131</v>
      </c>
      <c r="K3436" t="s">
        <v>4634</v>
      </c>
    </row>
    <row r="3437" spans="1:11" ht="20" customHeight="1">
      <c r="A3437" t="s">
        <v>26</v>
      </c>
      <c r="B3437" t="s">
        <v>3969</v>
      </c>
      <c r="C3437">
        <v>104723.7734375</v>
      </c>
      <c r="D3437">
        <v>106564.6953125</v>
      </c>
      <c r="E3437">
        <v>104350.6484375</v>
      </c>
      <c r="F3437">
        <v>105996.59375</v>
      </c>
      <c r="G3437">
        <v>105996.59375</v>
      </c>
      <c r="H3437">
        <v>69585887229</v>
      </c>
      <c r="I3437" t="s">
        <v>7131</v>
      </c>
      <c r="J3437" t="s">
        <v>7132</v>
      </c>
      <c r="K3437" t="s">
        <v>4634</v>
      </c>
    </row>
    <row r="3438" spans="1:11" ht="20" customHeight="1">
      <c r="A3438" t="s">
        <v>26</v>
      </c>
      <c r="B3438" t="s">
        <v>3972</v>
      </c>
      <c r="C3438">
        <v>105996.859375</v>
      </c>
      <c r="D3438">
        <v>107428.2578125</v>
      </c>
      <c r="E3438">
        <v>102457.328125</v>
      </c>
      <c r="F3438">
        <v>102997.46875</v>
      </c>
      <c r="G3438">
        <v>102997.46875</v>
      </c>
      <c r="H3438">
        <v>71130078574</v>
      </c>
      <c r="I3438" t="s">
        <v>7132</v>
      </c>
      <c r="J3438" t="s">
        <v>7133</v>
      </c>
      <c r="K3438" t="s">
        <v>4634</v>
      </c>
    </row>
    <row r="3439" spans="1:11" ht="20" customHeight="1">
      <c r="A3439" t="s">
        <v>26</v>
      </c>
      <c r="B3439" t="s">
        <v>3975</v>
      </c>
      <c r="C3439">
        <v>103011.4375</v>
      </c>
      <c r="D3439">
        <v>105297.234375</v>
      </c>
      <c r="E3439">
        <v>100836.6171875</v>
      </c>
      <c r="F3439">
        <v>101663.1875</v>
      </c>
      <c r="G3439">
        <v>101663.1875</v>
      </c>
      <c r="H3439">
        <v>64347179408</v>
      </c>
      <c r="I3439" t="s">
        <v>7133</v>
      </c>
      <c r="J3439" t="s">
        <v>7134</v>
      </c>
      <c r="K3439" t="s">
        <v>4634</v>
      </c>
    </row>
    <row r="3440" spans="1:11" ht="20" customHeight="1">
      <c r="A3440" t="s">
        <v>26</v>
      </c>
      <c r="B3440" t="s">
        <v>3978</v>
      </c>
      <c r="C3440">
        <v>101674.1484375</v>
      </c>
      <c r="D3440">
        <v>104005.4921875</v>
      </c>
      <c r="E3440">
        <v>97988.71875</v>
      </c>
      <c r="F3440">
        <v>99697.4921875</v>
      </c>
      <c r="G3440">
        <v>99697.4921875</v>
      </c>
      <c r="H3440">
        <v>101546815416</v>
      </c>
      <c r="I3440" t="s">
        <v>7134</v>
      </c>
      <c r="J3440" t="s">
        <v>7135</v>
      </c>
      <c r="K3440" t="s">
        <v>4634</v>
      </c>
    </row>
    <row r="3441" spans="1:11" ht="20" customHeight="1">
      <c r="A3441" t="s">
        <v>26</v>
      </c>
      <c r="B3441" t="s">
        <v>3981</v>
      </c>
      <c r="C3441">
        <v>99694.703125</v>
      </c>
      <c r="D3441">
        <v>99804.4296875</v>
      </c>
      <c r="E3441">
        <v>94000.734375</v>
      </c>
      <c r="F3441">
        <v>94397.7890625</v>
      </c>
      <c r="G3441">
        <v>94397.7890625</v>
      </c>
      <c r="H3441">
        <v>114346441890</v>
      </c>
      <c r="I3441" t="s">
        <v>7135</v>
      </c>
      <c r="J3441" t="s">
        <v>7136</v>
      </c>
      <c r="K3441" t="s">
        <v>4634</v>
      </c>
    </row>
    <row r="3442" spans="1:11" ht="20" customHeight="1">
      <c r="A3442" t="s">
        <v>26</v>
      </c>
      <c r="B3442" t="s">
        <v>7137</v>
      </c>
      <c r="C3442">
        <v>94420.46875</v>
      </c>
      <c r="D3442">
        <v>96728.46875</v>
      </c>
      <c r="E3442">
        <v>94420.46875</v>
      </c>
      <c r="F3442">
        <v>95549.1484375</v>
      </c>
      <c r="G3442">
        <v>95549.1484375</v>
      </c>
      <c r="H3442">
        <v>38500716654</v>
      </c>
      <c r="I3442" t="s">
        <v>7136</v>
      </c>
      <c r="J3442" t="s">
        <v>7138</v>
      </c>
      <c r="K3442" t="s">
        <v>4634</v>
      </c>
    </row>
    <row r="3443" spans="1:11" ht="20" customHeight="1">
      <c r="A3443" t="s">
        <v>26</v>
      </c>
      <c r="B3443" t="s">
        <v>7139</v>
      </c>
      <c r="C3443">
        <v>95556.8671875</v>
      </c>
      <c r="D3443">
        <v>96564.1875</v>
      </c>
      <c r="E3443">
        <v>92971.1640625</v>
      </c>
      <c r="F3443">
        <v>94177.078125</v>
      </c>
      <c r="G3443">
        <v>94177.078125</v>
      </c>
      <c r="H3443">
        <v>71086235862</v>
      </c>
      <c r="I3443" t="s">
        <v>7138</v>
      </c>
      <c r="J3443" t="s">
        <v>7140</v>
      </c>
      <c r="K3443" t="s">
        <v>4634</v>
      </c>
    </row>
    <row r="3444" spans="1:11" ht="20" customHeight="1">
      <c r="A3444" t="s">
        <v>26</v>
      </c>
      <c r="B3444" t="s">
        <v>3984</v>
      </c>
      <c r="C3444">
        <v>94180.875</v>
      </c>
      <c r="D3444">
        <v>95928.3671875</v>
      </c>
      <c r="E3444">
        <v>91214.7578125</v>
      </c>
      <c r="F3444">
        <v>92093.875</v>
      </c>
      <c r="G3444">
        <v>92093.875</v>
      </c>
      <c r="H3444">
        <v>94186165724</v>
      </c>
      <c r="I3444" t="s">
        <v>7140</v>
      </c>
      <c r="J3444" t="s">
        <v>7141</v>
      </c>
      <c r="K3444" t="s">
        <v>4634</v>
      </c>
    </row>
    <row r="3445" spans="1:11" ht="20" customHeight="1">
      <c r="A3445" t="s">
        <v>26</v>
      </c>
      <c r="B3445" t="s">
        <v>3987</v>
      </c>
      <c r="C3445">
        <v>92094.53125</v>
      </c>
      <c r="D3445">
        <v>93745.078125</v>
      </c>
      <c r="E3445">
        <v>89300.4609375</v>
      </c>
      <c r="F3445">
        <v>92948.875</v>
      </c>
      <c r="G3445">
        <v>92948.875</v>
      </c>
      <c r="H3445">
        <v>101333569062</v>
      </c>
      <c r="I3445" t="s">
        <v>7141</v>
      </c>
      <c r="J3445" t="s">
        <v>7142</v>
      </c>
      <c r="K3445" t="s">
        <v>4634</v>
      </c>
    </row>
    <row r="3446" spans="1:11" ht="20" customHeight="1">
      <c r="A3446" t="s">
        <v>26</v>
      </c>
      <c r="B3446" t="s">
        <v>3990</v>
      </c>
      <c r="C3446">
        <v>92946.1640625</v>
      </c>
      <c r="D3446">
        <v>92946.1640625</v>
      </c>
      <c r="E3446">
        <v>88526.828125</v>
      </c>
      <c r="F3446">
        <v>91465.9921875</v>
      </c>
      <c r="G3446">
        <v>91465.9921875</v>
      </c>
      <c r="H3446">
        <v>80350354656</v>
      </c>
      <c r="I3446" t="s">
        <v>7142</v>
      </c>
      <c r="J3446" t="s">
        <v>7143</v>
      </c>
      <c r="K3446" t="s">
        <v>4634</v>
      </c>
    </row>
    <row r="3447" spans="1:11" ht="20" customHeight="1">
      <c r="A3447" t="s">
        <v>26</v>
      </c>
      <c r="B3447" t="s">
        <v>3993</v>
      </c>
      <c r="C3447">
        <v>91459.3515625</v>
      </c>
      <c r="D3447">
        <v>93025.0703125</v>
      </c>
      <c r="E3447">
        <v>86040.796875</v>
      </c>
      <c r="F3447">
        <v>86631.8984375</v>
      </c>
      <c r="G3447">
        <v>86631.8984375</v>
      </c>
      <c r="H3447">
        <v>97970645638</v>
      </c>
      <c r="I3447" t="s">
        <v>7143</v>
      </c>
      <c r="J3447" t="s">
        <v>7144</v>
      </c>
      <c r="K3447" t="s">
        <v>4634</v>
      </c>
    </row>
    <row r="3448" spans="1:11" ht="20" customHeight="1">
      <c r="A3448" t="s">
        <v>26</v>
      </c>
      <c r="B3448" t="s">
        <v>3996</v>
      </c>
      <c r="C3448">
        <v>86528.7734375</v>
      </c>
      <c r="D3448">
        <v>87380.8046875</v>
      </c>
      <c r="E3448">
        <v>80659.8125</v>
      </c>
      <c r="F3448">
        <v>85090.6875</v>
      </c>
      <c r="G3448">
        <v>85090.6875</v>
      </c>
      <c r="H3448">
        <v>129157506112</v>
      </c>
      <c r="I3448" t="s">
        <v>7144</v>
      </c>
      <c r="J3448" t="s">
        <v>7145</v>
      </c>
      <c r="K3448" t="s">
        <v>4634</v>
      </c>
    </row>
    <row r="3449" spans="1:11" ht="20" customHeight="1">
      <c r="A3449" t="s">
        <v>26</v>
      </c>
      <c r="B3449" t="s">
        <v>7146</v>
      </c>
      <c r="C3449">
        <v>85098.5625</v>
      </c>
      <c r="D3449">
        <v>85503.0078125</v>
      </c>
      <c r="E3449">
        <v>83490.8984375</v>
      </c>
      <c r="F3449">
        <v>84648.359375</v>
      </c>
      <c r="G3449">
        <v>84648.359375</v>
      </c>
      <c r="H3449">
        <v>40793099246</v>
      </c>
      <c r="I3449" t="s">
        <v>7145</v>
      </c>
      <c r="J3449" t="s">
        <v>7147</v>
      </c>
      <c r="K3449" t="s">
        <v>4634</v>
      </c>
    </row>
    <row r="3450" spans="1:11" ht="20" customHeight="1">
      <c r="A3450" t="s">
        <v>26</v>
      </c>
      <c r="B3450" t="s">
        <v>7148</v>
      </c>
      <c r="C3450">
        <v>84648.609375</v>
      </c>
      <c r="D3450">
        <v>88038.46875</v>
      </c>
      <c r="E3450">
        <v>84641.7734375</v>
      </c>
      <c r="F3450">
        <v>86805.0078125</v>
      </c>
      <c r="G3450">
        <v>86805.0078125</v>
      </c>
      <c r="H3450">
        <v>58083435576</v>
      </c>
      <c r="I3450" t="s">
        <v>7147</v>
      </c>
      <c r="J3450" t="s">
        <v>7149</v>
      </c>
      <c r="K3450" t="s">
        <v>4634</v>
      </c>
    </row>
    <row r="3451" spans="1:11" ht="20" customHeight="1">
      <c r="A3451" t="s">
        <v>26</v>
      </c>
      <c r="B3451" t="s">
        <v>3999</v>
      </c>
      <c r="C3451">
        <v>86798.7734375</v>
      </c>
      <c r="D3451">
        <v>89206.3359375</v>
      </c>
      <c r="E3451">
        <v>85272.1953125</v>
      </c>
      <c r="F3451">
        <v>88270.5625</v>
      </c>
      <c r="G3451">
        <v>88270.5625</v>
      </c>
      <c r="H3451">
        <v>74433896110</v>
      </c>
      <c r="I3451" t="s">
        <v>7149</v>
      </c>
      <c r="J3451" t="s">
        <v>7150</v>
      </c>
      <c r="K3451" t="s">
        <v>4634</v>
      </c>
    </row>
    <row r="3452" spans="1:11" ht="20" customHeight="1">
      <c r="A3452" t="s">
        <v>26</v>
      </c>
      <c r="B3452" t="s">
        <v>4002</v>
      </c>
      <c r="C3452">
        <v>88269.9609375</v>
      </c>
      <c r="D3452">
        <v>88457.3359375</v>
      </c>
      <c r="E3452">
        <v>86131.4296875</v>
      </c>
      <c r="F3452">
        <v>87341.890625</v>
      </c>
      <c r="G3452">
        <v>87341.890625</v>
      </c>
      <c r="H3452">
        <v>64837343545</v>
      </c>
      <c r="I3452" t="s">
        <v>7150</v>
      </c>
      <c r="J3452" t="s">
        <v>7151</v>
      </c>
      <c r="K3452" t="s">
        <v>4634</v>
      </c>
    </row>
    <row r="3453" spans="1:11" ht="20" customHeight="1">
      <c r="A3453" t="s">
        <v>26</v>
      </c>
      <c r="B3453" t="s">
        <v>4005</v>
      </c>
      <c r="C3453">
        <v>87345.5859375</v>
      </c>
      <c r="D3453">
        <v>90581.15625</v>
      </c>
      <c r="E3453">
        <v>86316.8984375</v>
      </c>
      <c r="F3453">
        <v>90518.3671875</v>
      </c>
      <c r="G3453">
        <v>90518.3671875</v>
      </c>
      <c r="H3453">
        <v>66496301869</v>
      </c>
      <c r="I3453" t="s">
        <v>7151</v>
      </c>
      <c r="J3453" t="s">
        <v>7152</v>
      </c>
      <c r="K3453" t="s">
        <v>4634</v>
      </c>
    </row>
    <row r="3454" spans="1:11" ht="20" customHeight="1">
      <c r="A3454" t="s">
        <v>26</v>
      </c>
      <c r="B3454" t="s">
        <v>7153</v>
      </c>
      <c r="C3454">
        <v>90517.765625</v>
      </c>
      <c r="D3454">
        <v>91897.578125</v>
      </c>
      <c r="E3454">
        <v>90089.515625</v>
      </c>
      <c r="F3454">
        <v>91285.375</v>
      </c>
      <c r="G3454">
        <v>91285.375</v>
      </c>
      <c r="H3454">
        <v>57040622845</v>
      </c>
      <c r="I3454" t="s">
        <v>7152</v>
      </c>
      <c r="J3454" t="s">
        <v>7154</v>
      </c>
      <c r="K3454" t="s">
        <v>4634</v>
      </c>
    </row>
    <row r="3455" spans="1:11" ht="20" customHeight="1">
      <c r="A3455" t="s">
        <v>26</v>
      </c>
      <c r="B3455" t="s">
        <v>4008</v>
      </c>
      <c r="C3455">
        <v>91285.3828125</v>
      </c>
      <c r="D3455">
        <v>92969.0859375</v>
      </c>
      <c r="E3455">
        <v>90257.1171875</v>
      </c>
      <c r="F3455">
        <v>90919.265625</v>
      </c>
      <c r="G3455">
        <v>90919.265625</v>
      </c>
      <c r="H3455">
        <v>60895830289</v>
      </c>
      <c r="I3455" t="s">
        <v>7154</v>
      </c>
      <c r="J3455" t="s">
        <v>7155</v>
      </c>
      <c r="K3455" t="s">
        <v>4634</v>
      </c>
    </row>
    <row r="3456" spans="1:11" ht="20" customHeight="1">
      <c r="A3456" t="s">
        <v>26</v>
      </c>
      <c r="B3456" t="s">
        <v>7156</v>
      </c>
      <c r="C3456">
        <v>90918.7421875</v>
      </c>
      <c r="D3456">
        <v>91187.6171875</v>
      </c>
      <c r="E3456">
        <v>90260.1875</v>
      </c>
      <c r="F3456">
        <v>90851.7578125</v>
      </c>
      <c r="G3456">
        <v>90851.7578125</v>
      </c>
      <c r="H3456">
        <v>37921773455</v>
      </c>
      <c r="I3456" t="s">
        <v>7155</v>
      </c>
      <c r="J3456" t="s">
        <v>7157</v>
      </c>
      <c r="K3456" t="s">
        <v>4634</v>
      </c>
    </row>
    <row r="3457" spans="1:11" ht="20" customHeight="1">
      <c r="A3457" t="s">
        <v>26</v>
      </c>
      <c r="B3457" t="s">
        <v>7158</v>
      </c>
      <c r="C3457">
        <v>90838.2109375</v>
      </c>
      <c r="D3457">
        <v>91965.046875</v>
      </c>
      <c r="E3457">
        <v>90394.3125</v>
      </c>
      <c r="F3457">
        <v>90394.3125</v>
      </c>
      <c r="G3457">
        <v>90394.3125</v>
      </c>
      <c r="H3457">
        <v>38497902869</v>
      </c>
      <c r="I3457" t="s">
        <v>7157</v>
      </c>
      <c r="J3457" t="s">
        <v>7159</v>
      </c>
      <c r="K3457" t="s">
        <v>4634</v>
      </c>
    </row>
    <row r="3458" spans="1:11" ht="20" customHeight="1">
      <c r="A3458" t="s">
        <v>26</v>
      </c>
      <c r="B3458" t="s">
        <v>4011</v>
      </c>
      <c r="C3458">
        <v>90389.109375</v>
      </c>
      <c r="D3458">
        <v>90398.15625</v>
      </c>
      <c r="E3458">
        <v>83862.25</v>
      </c>
      <c r="F3458">
        <v>86321.5703125</v>
      </c>
      <c r="G3458">
        <v>86321.5703125</v>
      </c>
      <c r="H3458">
        <v>87962894424</v>
      </c>
      <c r="I3458" t="s">
        <v>7159</v>
      </c>
      <c r="J3458" t="s">
        <v>7160</v>
      </c>
      <c r="K3458" t="s">
        <v>4634</v>
      </c>
    </row>
    <row r="3459" spans="1:11" ht="20" customHeight="1">
      <c r="A3459" t="s">
        <v>26</v>
      </c>
      <c r="B3459" t="s">
        <v>4014</v>
      </c>
      <c r="C3459">
        <v>86322.5390625</v>
      </c>
      <c r="D3459">
        <v>92316.6328125</v>
      </c>
      <c r="E3459">
        <v>86202.1953125</v>
      </c>
      <c r="F3459">
        <v>91350.203125</v>
      </c>
      <c r="G3459">
        <v>91350.203125</v>
      </c>
      <c r="H3459">
        <v>78546798211</v>
      </c>
      <c r="I3459" t="s">
        <v>7160</v>
      </c>
      <c r="J3459" t="s">
        <v>7161</v>
      </c>
      <c r="K3459" t="s">
        <v>4634</v>
      </c>
    </row>
    <row r="3460" spans="1:11" ht="20" customHeight="1">
      <c r="A3460" t="s">
        <v>26</v>
      </c>
      <c r="B3460" t="s">
        <v>4017</v>
      </c>
      <c r="C3460">
        <v>91345.09375</v>
      </c>
      <c r="D3460">
        <v>94060.7734375</v>
      </c>
      <c r="E3460">
        <v>91056.390625</v>
      </c>
      <c r="F3460">
        <v>93527.8046875</v>
      </c>
      <c r="G3460">
        <v>93527.8046875</v>
      </c>
      <c r="H3460">
        <v>77650204986</v>
      </c>
      <c r="I3460" t="s">
        <v>7161</v>
      </c>
      <c r="J3460" t="s">
        <v>7162</v>
      </c>
      <c r="K3460" t="s">
        <v>4634</v>
      </c>
    </row>
    <row r="3461" spans="1:11" ht="20" customHeight="1">
      <c r="A3461" t="s">
        <v>26</v>
      </c>
      <c r="B3461" t="s">
        <v>4020</v>
      </c>
      <c r="C3461">
        <v>93454.2578125</v>
      </c>
      <c r="D3461">
        <v>94038.2421875</v>
      </c>
      <c r="E3461">
        <v>90976.1015625</v>
      </c>
      <c r="F3461">
        <v>92141.625</v>
      </c>
      <c r="G3461">
        <v>92141.625</v>
      </c>
      <c r="H3461">
        <v>64538402681</v>
      </c>
      <c r="I3461" t="s">
        <v>7162</v>
      </c>
      <c r="J3461" t="s">
        <v>7163</v>
      </c>
      <c r="K3461" t="s">
        <v>4634</v>
      </c>
    </row>
    <row r="3462" spans="1:11" ht="20" customHeight="1">
      <c r="A3462" t="s">
        <v>26</v>
      </c>
      <c r="B3462" t="s">
        <v>4023</v>
      </c>
      <c r="C3462">
        <v>92133.6484375</v>
      </c>
      <c r="D3462">
        <v>92702.640625</v>
      </c>
      <c r="E3462">
        <v>88152.140625</v>
      </c>
      <c r="F3462">
        <v>89387.7578125</v>
      </c>
      <c r="G3462">
        <v>89387.7578125</v>
      </c>
      <c r="H3462">
        <v>63256398633</v>
      </c>
      <c r="I3462" t="s">
        <v>7163</v>
      </c>
      <c r="J3462" t="s">
        <v>7164</v>
      </c>
      <c r="K3462" t="s">
        <v>4634</v>
      </c>
    </row>
    <row r="3463" spans="1:11" ht="20" customHeight="1">
      <c r="A3463" t="s">
        <v>26</v>
      </c>
      <c r="B3463" t="s">
        <v>7165</v>
      </c>
      <c r="C3463">
        <v>89389.359375</v>
      </c>
      <c r="D3463">
        <v>90267.4609375</v>
      </c>
      <c r="E3463">
        <v>88951.6640625</v>
      </c>
      <c r="F3463">
        <v>89272.375</v>
      </c>
      <c r="G3463">
        <v>89272.375</v>
      </c>
      <c r="H3463">
        <v>37994042405</v>
      </c>
      <c r="I3463" t="s">
        <v>7164</v>
      </c>
      <c r="J3463" t="s">
        <v>7166</v>
      </c>
      <c r="K3463" t="s">
        <v>4634</v>
      </c>
    </row>
    <row r="3464" spans="1:11" ht="20" customHeight="1">
      <c r="A3464" t="s">
        <v>26</v>
      </c>
      <c r="B3464" t="s">
        <v>7167</v>
      </c>
      <c r="C3464">
        <v>89277.8125</v>
      </c>
      <c r="D3464">
        <v>91740.84375</v>
      </c>
      <c r="E3464">
        <v>87799.5625</v>
      </c>
      <c r="F3464">
        <v>90405.640625</v>
      </c>
      <c r="G3464">
        <v>90405.640625</v>
      </c>
      <c r="H3464">
        <v>47394898960</v>
      </c>
      <c r="I3464" t="s">
        <v>7166</v>
      </c>
      <c r="J3464" t="s">
        <v>7168</v>
      </c>
      <c r="K3464" t="s">
        <v>4634</v>
      </c>
    </row>
    <row r="3465" spans="1:11" ht="20" customHeight="1">
      <c r="A3465" t="s">
        <v>26</v>
      </c>
      <c r="B3465" t="s">
        <v>4026</v>
      </c>
      <c r="C3465">
        <v>90424.5859375</v>
      </c>
      <c r="D3465">
        <v>92267.1171875</v>
      </c>
      <c r="E3465">
        <v>89644.890625</v>
      </c>
      <c r="F3465">
        <v>90640.203125</v>
      </c>
      <c r="G3465">
        <v>90640.203125</v>
      </c>
      <c r="H3465">
        <v>57394099056</v>
      </c>
      <c r="I3465" t="s">
        <v>7168</v>
      </c>
      <c r="J3465" t="s">
        <v>7169</v>
      </c>
      <c r="K3465" t="s">
        <v>4634</v>
      </c>
    </row>
    <row r="3466" spans="1:11" ht="20" customHeight="1">
      <c r="A3466" t="s">
        <v>26</v>
      </c>
      <c r="B3466" t="s">
        <v>4029</v>
      </c>
      <c r="C3466">
        <v>90639.703125</v>
      </c>
      <c r="D3466">
        <v>94601.5703125</v>
      </c>
      <c r="E3466">
        <v>89586.9765625</v>
      </c>
      <c r="F3466">
        <v>92691.7109375</v>
      </c>
      <c r="G3466">
        <v>92691.7109375</v>
      </c>
      <c r="H3466">
        <v>66861721440</v>
      </c>
      <c r="I3466" t="s">
        <v>7169</v>
      </c>
      <c r="J3466" t="s">
        <v>7170</v>
      </c>
      <c r="K3466" t="s">
        <v>4634</v>
      </c>
    </row>
    <row r="3467" spans="1:11" ht="20" customHeight="1">
      <c r="A3467" t="s">
        <v>26</v>
      </c>
      <c r="B3467" t="s">
        <v>4032</v>
      </c>
      <c r="C3467">
        <v>92695.234375</v>
      </c>
      <c r="D3467">
        <v>94477.15625</v>
      </c>
      <c r="E3467">
        <v>91640.1328125</v>
      </c>
      <c r="F3467">
        <v>92020.9453125</v>
      </c>
      <c r="G3467">
        <v>92020.9453125</v>
      </c>
      <c r="H3467">
        <v>65420694513</v>
      </c>
      <c r="I3467" t="s">
        <v>7170</v>
      </c>
      <c r="J3467" t="s">
        <v>7171</v>
      </c>
      <c r="K3467" t="s">
        <v>4634</v>
      </c>
    </row>
    <row r="3468" spans="1:11" ht="20" customHeight="1">
      <c r="A3468" t="s">
        <v>26</v>
      </c>
      <c r="B3468" t="s">
        <v>4035</v>
      </c>
      <c r="C3468">
        <v>92011.3046875</v>
      </c>
      <c r="D3468">
        <v>93554.265625</v>
      </c>
      <c r="E3468">
        <v>89335.296875</v>
      </c>
      <c r="F3468">
        <v>92511.3359375</v>
      </c>
      <c r="G3468">
        <v>92511.3359375</v>
      </c>
      <c r="H3468">
        <v>64532834621</v>
      </c>
      <c r="I3468" t="s">
        <v>7171</v>
      </c>
      <c r="J3468" t="s">
        <v>7172</v>
      </c>
      <c r="K3468" t="s">
        <v>4634</v>
      </c>
    </row>
    <row r="3469" spans="1:11" ht="20" customHeight="1">
      <c r="A3469" t="s">
        <v>26</v>
      </c>
      <c r="B3469" t="s">
        <v>4038</v>
      </c>
      <c r="C3469">
        <v>92513.6640625</v>
      </c>
      <c r="D3469">
        <v>92747.9296875</v>
      </c>
      <c r="E3469">
        <v>89532.6015625</v>
      </c>
      <c r="F3469">
        <v>90270.4140625</v>
      </c>
      <c r="G3469">
        <v>90270.4140625</v>
      </c>
      <c r="H3469">
        <v>80275884583</v>
      </c>
      <c r="I3469" t="s">
        <v>7172</v>
      </c>
      <c r="J3469" t="s">
        <v>7173</v>
      </c>
      <c r="K3469" t="s">
        <v>4634</v>
      </c>
    </row>
    <row r="3470" spans="1:11" ht="20" customHeight="1">
      <c r="A3470" t="s">
        <v>26</v>
      </c>
      <c r="B3470" t="s">
        <v>7174</v>
      </c>
      <c r="C3470">
        <v>90257.796875</v>
      </c>
      <c r="D3470">
        <v>90647.5703125</v>
      </c>
      <c r="E3470">
        <v>89800.9921875</v>
      </c>
      <c r="F3470">
        <v>90298.7109375</v>
      </c>
      <c r="G3470">
        <v>90298.7109375</v>
      </c>
      <c r="H3470">
        <v>64237748110</v>
      </c>
      <c r="I3470" t="s">
        <v>7173</v>
      </c>
      <c r="J3470" t="s">
        <v>7175</v>
      </c>
      <c r="K3470" t="s">
        <v>4634</v>
      </c>
    </row>
    <row r="3471" spans="1:11" ht="20" customHeight="1">
      <c r="A3471" t="s">
        <v>26</v>
      </c>
      <c r="B3471" t="s">
        <v>7176</v>
      </c>
      <c r="C3471">
        <v>90296.4375</v>
      </c>
      <c r="D3471">
        <v>90498.109375</v>
      </c>
      <c r="E3471">
        <v>87634.9375</v>
      </c>
      <c r="F3471">
        <v>88175.1796875</v>
      </c>
      <c r="G3471">
        <v>88175.1796875</v>
      </c>
      <c r="H3471">
        <v>50465972205</v>
      </c>
      <c r="I3471" t="s">
        <v>7175</v>
      </c>
      <c r="J3471" t="s">
        <v>7177</v>
      </c>
      <c r="K3471" t="s">
        <v>4634</v>
      </c>
    </row>
    <row r="3472" spans="1:11" ht="20" customHeight="1">
      <c r="A3472" t="s">
        <v>26</v>
      </c>
      <c r="B3472" t="s">
        <v>4041</v>
      </c>
      <c r="C3472">
        <v>88171.078125</v>
      </c>
      <c r="D3472">
        <v>89983.921875</v>
      </c>
      <c r="E3472">
        <v>85304.078125</v>
      </c>
      <c r="F3472">
        <v>86419.78125</v>
      </c>
      <c r="G3472">
        <v>86419.78125</v>
      </c>
      <c r="H3472">
        <v>45559514323</v>
      </c>
      <c r="I3472" t="s">
        <v>7177</v>
      </c>
      <c r="J3472" t="s">
        <v>7178</v>
      </c>
      <c r="K3472" t="s">
        <v>4634</v>
      </c>
    </row>
    <row r="3473" spans="1:11" ht="20" customHeight="1">
      <c r="A3473" t="s">
        <v>26</v>
      </c>
      <c r="B3473" t="s">
        <v>4044</v>
      </c>
      <c r="C3473">
        <v>86424.40625</v>
      </c>
      <c r="D3473">
        <v>88170.09375</v>
      </c>
      <c r="E3473">
        <v>85381.6875</v>
      </c>
      <c r="F3473">
        <v>87843.984375</v>
      </c>
      <c r="G3473">
        <v>87843.984375</v>
      </c>
      <c r="H3473">
        <v>41262178223</v>
      </c>
      <c r="I3473" t="s">
        <v>7178</v>
      </c>
      <c r="J3473" t="s">
        <v>7179</v>
      </c>
      <c r="K3473" t="s">
        <v>4634</v>
      </c>
    </row>
    <row r="3474" spans="1:11" ht="20" customHeight="1">
      <c r="A3474" t="s">
        <v>26</v>
      </c>
      <c r="B3474" t="s">
        <v>4047</v>
      </c>
      <c r="C3474">
        <v>87847.6171875</v>
      </c>
      <c r="D3474">
        <v>90264.5703125</v>
      </c>
      <c r="E3474">
        <v>85316.265625</v>
      </c>
      <c r="F3474">
        <v>86143.7578125</v>
      </c>
      <c r="G3474">
        <v>86143.7578125</v>
      </c>
      <c r="H3474">
        <v>44243392914</v>
      </c>
      <c r="I3474" t="s">
        <v>7179</v>
      </c>
      <c r="J3474" t="s">
        <v>7180</v>
      </c>
      <c r="K3474" t="s">
        <v>4634</v>
      </c>
    </row>
    <row r="3475" spans="1:11" ht="20" customHeight="1">
      <c r="A3475" t="s">
        <v>26</v>
      </c>
      <c r="B3475" t="s">
        <v>4050</v>
      </c>
      <c r="C3475">
        <v>86144.3671875</v>
      </c>
      <c r="D3475">
        <v>89412.6640625</v>
      </c>
      <c r="E3475">
        <v>84436.3125</v>
      </c>
      <c r="F3475">
        <v>85462.5078125</v>
      </c>
      <c r="G3475">
        <v>85462.5078125</v>
      </c>
      <c r="H3475">
        <v>52667115348</v>
      </c>
      <c r="I3475" t="s">
        <v>7180</v>
      </c>
      <c r="J3475" t="s">
        <v>7181</v>
      </c>
      <c r="K3475" t="s">
        <v>4634</v>
      </c>
    </row>
    <row r="3476" spans="1:11" ht="20" customHeight="1">
      <c r="A3476" t="s">
        <v>26</v>
      </c>
      <c r="B3476" t="s">
        <v>4053</v>
      </c>
      <c r="C3476">
        <v>85476.1328125</v>
      </c>
      <c r="D3476">
        <v>89339.1171875</v>
      </c>
      <c r="E3476">
        <v>85107.6640625</v>
      </c>
      <c r="F3476">
        <v>88103.3828125</v>
      </c>
      <c r="G3476">
        <v>88103.3828125</v>
      </c>
      <c r="H3476">
        <v>46733310561</v>
      </c>
      <c r="I3476" t="s">
        <v>7181</v>
      </c>
      <c r="J3476" t="s">
        <v>7182</v>
      </c>
      <c r="K3476" t="s">
        <v>4634</v>
      </c>
    </row>
    <row r="3477" spans="1:11" ht="20" customHeight="1">
      <c r="A3477" t="s">
        <v>26</v>
      </c>
      <c r="B3477" t="s">
        <v>7183</v>
      </c>
      <c r="C3477">
        <v>88101.671875</v>
      </c>
      <c r="D3477">
        <v>88497.203125</v>
      </c>
      <c r="E3477">
        <v>87924.875</v>
      </c>
      <c r="F3477">
        <v>88344</v>
      </c>
      <c r="G3477">
        <v>88344</v>
      </c>
      <c r="H3477">
        <v>14688196659</v>
      </c>
      <c r="I3477" t="s">
        <v>7182</v>
      </c>
      <c r="J3477" t="s">
        <v>7184</v>
      </c>
      <c r="K3477" t="s">
        <v>4634</v>
      </c>
    </row>
    <row r="3478" spans="1:11" ht="20" customHeight="1">
      <c r="A3478" t="s">
        <v>26</v>
      </c>
      <c r="B3478" t="s">
        <v>7185</v>
      </c>
      <c r="C3478">
        <v>88344.703125</v>
      </c>
      <c r="D3478">
        <v>89027.953125</v>
      </c>
      <c r="E3478">
        <v>87613.203125</v>
      </c>
      <c r="F3478">
        <v>88621.75</v>
      </c>
      <c r="G3478">
        <v>88621.75</v>
      </c>
      <c r="H3478">
        <v>19845522660</v>
      </c>
      <c r="I3478" t="s">
        <v>7184</v>
      </c>
      <c r="J3478" t="s">
        <v>7186</v>
      </c>
      <c r="K3478" t="s">
        <v>4634</v>
      </c>
    </row>
    <row r="3479" spans="1:11" ht="20" customHeight="1">
      <c r="A3479" t="s">
        <v>26</v>
      </c>
      <c r="B3479" t="s">
        <v>4056</v>
      </c>
      <c r="C3479">
        <v>88621.3984375</v>
      </c>
      <c r="D3479">
        <v>90501.9296875</v>
      </c>
      <c r="E3479">
        <v>87908.0703125</v>
      </c>
      <c r="F3479">
        <v>88490.015625</v>
      </c>
      <c r="G3479">
        <v>88490.015625</v>
      </c>
      <c r="H3479">
        <v>38047472118</v>
      </c>
      <c r="I3479" t="s">
        <v>7186</v>
      </c>
      <c r="J3479" t="s">
        <v>7187</v>
      </c>
      <c r="K3479" t="s">
        <v>4634</v>
      </c>
    </row>
    <row r="3480" spans="1:11" ht="20" customHeight="1">
      <c r="A3480" t="s">
        <v>26</v>
      </c>
      <c r="B3480" t="s">
        <v>4059</v>
      </c>
      <c r="C3480">
        <v>88490.03125</v>
      </c>
      <c r="D3480">
        <v>88898.3828125</v>
      </c>
      <c r="E3480">
        <v>86606.9765625</v>
      </c>
      <c r="F3480">
        <v>87414</v>
      </c>
      <c r="G3480">
        <v>87414</v>
      </c>
      <c r="H3480">
        <v>43683011533</v>
      </c>
      <c r="I3480" t="s">
        <v>7187</v>
      </c>
      <c r="J3480" t="s">
        <v>7188</v>
      </c>
      <c r="K3480" t="s">
        <v>4634</v>
      </c>
    </row>
    <row r="3481" spans="1:11" ht="20" customHeight="1">
      <c r="A3481" t="s">
        <v>26</v>
      </c>
      <c r="B3481" t="s">
        <v>4062</v>
      </c>
      <c r="C3481">
        <v>87404.3203125</v>
      </c>
      <c r="D3481">
        <v>87956.8828125</v>
      </c>
      <c r="E3481">
        <v>86411.796875</v>
      </c>
      <c r="F3481">
        <v>87611.9609375</v>
      </c>
      <c r="G3481">
        <v>87611.9609375</v>
      </c>
      <c r="H3481">
        <v>25550297986</v>
      </c>
      <c r="I3481" t="s">
        <v>7188</v>
      </c>
      <c r="J3481" t="s">
        <v>7189</v>
      </c>
      <c r="K3481" t="s">
        <v>4634</v>
      </c>
    </row>
    <row r="3482" spans="1:11" ht="20" customHeight="1">
      <c r="A3482" t="s">
        <v>26</v>
      </c>
      <c r="B3482" t="s">
        <v>7190</v>
      </c>
      <c r="C3482">
        <v>87608.3203125</v>
      </c>
      <c r="D3482">
        <v>88501.7890625</v>
      </c>
      <c r="E3482">
        <v>86949.2578125</v>
      </c>
      <c r="F3482">
        <v>87234.7421875</v>
      </c>
      <c r="G3482">
        <v>87234.7421875</v>
      </c>
      <c r="H3482">
        <v>19953216347</v>
      </c>
      <c r="I3482" t="s">
        <v>7189</v>
      </c>
      <c r="J3482" t="s">
        <v>7191</v>
      </c>
      <c r="K3482" t="s">
        <v>4634</v>
      </c>
    </row>
    <row r="3483" spans="1:11" ht="20" customHeight="1">
      <c r="A3483" t="s">
        <v>26</v>
      </c>
      <c r="B3483" t="s">
        <v>4065</v>
      </c>
      <c r="C3483">
        <v>87235.5078125</v>
      </c>
      <c r="D3483">
        <v>89459.4296875</v>
      </c>
      <c r="E3483">
        <v>86628.140625</v>
      </c>
      <c r="F3483">
        <v>87301.4296875</v>
      </c>
      <c r="G3483">
        <v>87301.4296875</v>
      </c>
      <c r="H3483">
        <v>42455674908</v>
      </c>
      <c r="I3483" t="s">
        <v>7191</v>
      </c>
      <c r="J3483" t="s">
        <v>7192</v>
      </c>
      <c r="K3483" t="s">
        <v>4634</v>
      </c>
    </row>
    <row r="3484" spans="1:11" ht="20" customHeight="1">
      <c r="A3484" t="s">
        <v>26</v>
      </c>
      <c r="B3484" t="s">
        <v>7193</v>
      </c>
      <c r="C3484">
        <v>87301.4296875</v>
      </c>
      <c r="D3484">
        <v>87874.78125</v>
      </c>
      <c r="E3484">
        <v>87182.9765625</v>
      </c>
      <c r="F3484">
        <v>87802.15625</v>
      </c>
      <c r="G3484">
        <v>87802.15625</v>
      </c>
      <c r="H3484">
        <v>13741199310</v>
      </c>
      <c r="I3484" t="s">
        <v>7192</v>
      </c>
      <c r="J3484" t="s">
        <v>7194</v>
      </c>
      <c r="K3484" t="s">
        <v>4634</v>
      </c>
    </row>
    <row r="3485" spans="1:11" ht="20" customHeight="1">
      <c r="A3485" t="s">
        <v>26</v>
      </c>
      <c r="B3485" t="s">
        <v>7195</v>
      </c>
      <c r="C3485">
        <v>87799.34375</v>
      </c>
      <c r="D3485">
        <v>87986.890625</v>
      </c>
      <c r="E3485">
        <v>87394.953125</v>
      </c>
      <c r="F3485">
        <v>87835.8359375</v>
      </c>
      <c r="G3485">
        <v>87835.8359375</v>
      </c>
      <c r="H3485">
        <v>15156557929</v>
      </c>
      <c r="I3485" t="s">
        <v>7194</v>
      </c>
      <c r="J3485" t="s">
        <v>7196</v>
      </c>
      <c r="K3485" t="s">
        <v>4634</v>
      </c>
    </row>
    <row r="3486" spans="1:11" ht="20" customHeight="1">
      <c r="A3486" t="s">
        <v>26</v>
      </c>
      <c r="B3486" t="s">
        <v>4068</v>
      </c>
      <c r="C3486">
        <v>87835.7890625</v>
      </c>
      <c r="D3486">
        <v>90299.15625</v>
      </c>
      <c r="E3486">
        <v>86717.9140625</v>
      </c>
      <c r="F3486">
        <v>87138.140625</v>
      </c>
      <c r="G3486">
        <v>87138.140625</v>
      </c>
      <c r="H3486">
        <v>48411625849</v>
      </c>
      <c r="I3486" t="s">
        <v>7196</v>
      </c>
      <c r="J3486" t="s">
        <v>7197</v>
      </c>
      <c r="K3486" t="s">
        <v>4634</v>
      </c>
    </row>
    <row r="3487" spans="1:11" ht="20" customHeight="1">
      <c r="A3487" t="s">
        <v>26</v>
      </c>
      <c r="B3487" t="s">
        <v>4071</v>
      </c>
      <c r="C3487">
        <v>87134.3515625</v>
      </c>
      <c r="D3487">
        <v>89297.9375</v>
      </c>
      <c r="E3487">
        <v>86735.546875</v>
      </c>
      <c r="F3487">
        <v>88430.1328125</v>
      </c>
      <c r="G3487">
        <v>88430.1328125</v>
      </c>
      <c r="H3487">
        <v>35586356225</v>
      </c>
      <c r="I3487" t="s">
        <v>7197</v>
      </c>
      <c r="J3487" t="s">
        <v>7198</v>
      </c>
      <c r="K3487" t="s">
        <v>4634</v>
      </c>
    </row>
    <row r="3488" spans="1:11" ht="20" customHeight="1">
      <c r="A3488" t="s">
        <v>26</v>
      </c>
      <c r="B3488" t="s">
        <v>4074</v>
      </c>
      <c r="C3488">
        <v>88429.5859375</v>
      </c>
      <c r="D3488">
        <v>89080.2890625</v>
      </c>
      <c r="E3488">
        <v>87130.5625</v>
      </c>
      <c r="F3488">
        <v>87508.828125</v>
      </c>
      <c r="G3488">
        <v>87508.828125</v>
      </c>
      <c r="H3488">
        <v>33830210616</v>
      </c>
      <c r="I3488" t="s">
        <v>7198</v>
      </c>
      <c r="J3488" t="s">
        <v>7199</v>
      </c>
      <c r="K3488" t="s">
        <v>4634</v>
      </c>
    </row>
    <row r="3489" spans="1:11" ht="20" customHeight="1">
      <c r="A3489" t="s">
        <v>26</v>
      </c>
      <c r="B3489" t="s">
        <v>7200</v>
      </c>
      <c r="C3489">
        <v>87508.046875</v>
      </c>
      <c r="D3489">
        <v>88803.2265625</v>
      </c>
      <c r="E3489">
        <v>87399.40625</v>
      </c>
      <c r="F3489">
        <v>88731.984375</v>
      </c>
      <c r="G3489">
        <v>88731.984375</v>
      </c>
      <c r="H3489">
        <v>18849043990</v>
      </c>
      <c r="I3489" t="s">
        <v>7199</v>
      </c>
      <c r="J3489" t="s">
        <v>7201</v>
      </c>
      <c r="K3489" t="s">
        <v>4634</v>
      </c>
    </row>
    <row r="3490" spans="1:11" ht="20" customHeight="1">
      <c r="A3490" t="s">
        <v>26</v>
      </c>
      <c r="B3490" t="s">
        <v>4077</v>
      </c>
      <c r="C3490">
        <v>88733.0625</v>
      </c>
      <c r="D3490">
        <v>90884.4609375</v>
      </c>
      <c r="E3490">
        <v>88298.6171875</v>
      </c>
      <c r="F3490">
        <v>89944.6953125</v>
      </c>
      <c r="G3490">
        <v>89944.6953125</v>
      </c>
      <c r="H3490">
        <v>46398906171</v>
      </c>
      <c r="I3490" t="s">
        <v>7201</v>
      </c>
      <c r="J3490" t="s">
        <v>7202</v>
      </c>
      <c r="K3490" t="s">
        <v>4634</v>
      </c>
    </row>
    <row r="3491" spans="1:11" ht="20" customHeight="1">
      <c r="A3491" t="s">
        <v>26</v>
      </c>
      <c r="B3491" t="s">
        <v>7203</v>
      </c>
      <c r="C3491">
        <v>89945.0546875</v>
      </c>
      <c r="D3491">
        <v>90679.5703125</v>
      </c>
      <c r="E3491">
        <v>89328.0703125</v>
      </c>
      <c r="F3491">
        <v>90603.1875</v>
      </c>
      <c r="G3491">
        <v>90603.1875</v>
      </c>
      <c r="H3491">
        <v>20774828592</v>
      </c>
      <c r="I3491" t="s">
        <v>7202</v>
      </c>
      <c r="J3491" t="s">
        <v>7204</v>
      </c>
      <c r="K3491" t="s">
        <v>4634</v>
      </c>
    </row>
    <row r="3492" spans="1:11" ht="20" customHeight="1">
      <c r="A3492" t="s">
        <v>26</v>
      </c>
      <c r="B3492" t="s">
        <v>7205</v>
      </c>
      <c r="C3492">
        <v>90603</v>
      </c>
      <c r="D3492">
        <v>91712.5859375</v>
      </c>
      <c r="E3492">
        <v>90595.1015625</v>
      </c>
      <c r="F3492">
        <v>91413.4921875</v>
      </c>
      <c r="G3492">
        <v>91413.4921875</v>
      </c>
      <c r="H3492">
        <v>26770491368</v>
      </c>
      <c r="I3492" t="s">
        <v>7204</v>
      </c>
      <c r="J3492" t="s">
        <v>7206</v>
      </c>
      <c r="K3492" t="s">
        <v>4634</v>
      </c>
    </row>
    <row r="3493" spans="1:11" ht="20" customHeight="1">
      <c r="A3493" t="s">
        <v>26</v>
      </c>
      <c r="B3493" t="s">
        <v>4080</v>
      </c>
      <c r="C3493">
        <v>91414.625</v>
      </c>
      <c r="D3493">
        <v>94762.0703125</v>
      </c>
      <c r="E3493">
        <v>91414.625</v>
      </c>
      <c r="F3493">
        <v>93882.5546875</v>
      </c>
      <c r="G3493">
        <v>93882.5546875</v>
      </c>
      <c r="H3493">
        <v>53376407252</v>
      </c>
      <c r="I3493" t="s">
        <v>7206</v>
      </c>
      <c r="J3493" t="s">
        <v>7207</v>
      </c>
      <c r="K3493" t="s">
        <v>4634</v>
      </c>
    </row>
    <row r="3494" spans="1:11" ht="20" customHeight="1">
      <c r="A3494" t="s">
        <v>26</v>
      </c>
      <c r="B3494" t="s">
        <v>4083</v>
      </c>
      <c r="C3494">
        <v>93876.9453125</v>
      </c>
      <c r="D3494">
        <v>94395.296875</v>
      </c>
      <c r="E3494">
        <v>91286.546875</v>
      </c>
      <c r="F3494">
        <v>93729.03125</v>
      </c>
      <c r="G3494">
        <v>93729.03125</v>
      </c>
      <c r="H3494">
        <v>52430605257</v>
      </c>
      <c r="I3494" t="s">
        <v>7207</v>
      </c>
      <c r="J3494" t="s">
        <v>7208</v>
      </c>
      <c r="K3494" t="s">
        <v>4634</v>
      </c>
    </row>
    <row r="3495" spans="1:11" ht="20" customHeight="1">
      <c r="A3495" t="s">
        <v>26</v>
      </c>
      <c r="B3495" t="s">
        <v>4086</v>
      </c>
      <c r="C3495">
        <v>93727.46875</v>
      </c>
      <c r="D3495">
        <v>93738.7890625</v>
      </c>
      <c r="E3495">
        <v>90601.8046875</v>
      </c>
      <c r="F3495">
        <v>91308.0546875</v>
      </c>
      <c r="G3495">
        <v>91308.0546875</v>
      </c>
      <c r="H3495">
        <v>43461295053</v>
      </c>
      <c r="I3495" t="s">
        <v>7208</v>
      </c>
      <c r="J3495" t="s">
        <v>7209</v>
      </c>
      <c r="K3495" t="s">
        <v>4634</v>
      </c>
    </row>
    <row r="3496" spans="1:11" ht="20" customHeight="1">
      <c r="A3496" t="s">
        <v>26</v>
      </c>
      <c r="B3496" t="s">
        <v>4089</v>
      </c>
      <c r="C3496">
        <v>91309.640625</v>
      </c>
      <c r="D3496">
        <v>91485.8515625</v>
      </c>
      <c r="E3496">
        <v>89233.875</v>
      </c>
      <c r="F3496">
        <v>91027.125</v>
      </c>
      <c r="G3496">
        <v>91027.125</v>
      </c>
      <c r="H3496">
        <v>42386697030</v>
      </c>
      <c r="I3496" t="s">
        <v>7209</v>
      </c>
      <c r="J3496" t="s">
        <v>7210</v>
      </c>
      <c r="K3496" t="s">
        <v>4634</v>
      </c>
    </row>
    <row r="3497" spans="1:11" ht="20" customHeight="1">
      <c r="A3497" t="s">
        <v>26</v>
      </c>
      <c r="B3497" t="s">
        <v>4092</v>
      </c>
      <c r="C3497">
        <v>91026.2734375</v>
      </c>
      <c r="D3497">
        <v>91910.671875</v>
      </c>
      <c r="E3497">
        <v>89625.3828125</v>
      </c>
      <c r="F3497">
        <v>90513.1015625</v>
      </c>
      <c r="G3497">
        <v>90513.1015625</v>
      </c>
      <c r="H3497">
        <v>38305906684</v>
      </c>
      <c r="I3497" t="s">
        <v>7210</v>
      </c>
      <c r="J3497" t="s">
        <v>7211</v>
      </c>
      <c r="K3497" t="s">
        <v>4634</v>
      </c>
    </row>
    <row r="3498" spans="1:11" ht="20" customHeight="1">
      <c r="A3498" t="s">
        <v>26</v>
      </c>
      <c r="B3498" t="s">
        <v>7212</v>
      </c>
      <c r="C3498">
        <v>90510.1015625</v>
      </c>
      <c r="D3498">
        <v>90713.03125</v>
      </c>
      <c r="E3498">
        <v>90283.3984375</v>
      </c>
      <c r="F3498">
        <v>90386.6484375</v>
      </c>
      <c r="G3498">
        <v>90386.6484375</v>
      </c>
      <c r="H3498">
        <v>12385895282</v>
      </c>
      <c r="I3498" t="s">
        <v>7211</v>
      </c>
      <c r="J3498" t="s">
        <v>7213</v>
      </c>
      <c r="K3498" t="s">
        <v>4634</v>
      </c>
    </row>
    <row r="3499" spans="1:11" ht="20" customHeight="1">
      <c r="A3499" t="s">
        <v>26</v>
      </c>
      <c r="B3499" t="s">
        <v>7214</v>
      </c>
      <c r="C3499">
        <v>90385.359375</v>
      </c>
      <c r="D3499">
        <v>91155.2265625</v>
      </c>
      <c r="E3499">
        <v>90212.0234375</v>
      </c>
      <c r="F3499">
        <v>90827.4609375</v>
      </c>
      <c r="G3499">
        <v>90827.4609375</v>
      </c>
      <c r="H3499">
        <v>17165568977</v>
      </c>
      <c r="I3499" t="s">
        <v>7213</v>
      </c>
      <c r="J3499" t="s">
        <v>7215</v>
      </c>
      <c r="K3499" t="s">
        <v>4634</v>
      </c>
    </row>
    <row r="3500" spans="1:11" ht="20" customHeight="1">
      <c r="A3500" t="s">
        <v>26</v>
      </c>
      <c r="B3500" t="s">
        <v>4095</v>
      </c>
      <c r="C3500">
        <v>90825.859375</v>
      </c>
      <c r="D3500">
        <v>92395.5234375</v>
      </c>
      <c r="E3500">
        <v>90055.0234375</v>
      </c>
      <c r="F3500">
        <v>91192.9921875</v>
      </c>
      <c r="G3500">
        <v>91192.9921875</v>
      </c>
      <c r="H3500">
        <v>41346275358</v>
      </c>
      <c r="I3500" t="s">
        <v>7215</v>
      </c>
      <c r="J3500" t="s">
        <v>7216</v>
      </c>
      <c r="K3500" t="s">
        <v>4634</v>
      </c>
    </row>
    <row r="3501" spans="1:11" ht="20" customHeight="1">
      <c r="A3501" t="s">
        <v>26</v>
      </c>
      <c r="B3501" t="s">
        <v>4098</v>
      </c>
      <c r="C3501">
        <v>91185.3359375</v>
      </c>
      <c r="D3501">
        <v>96011.625</v>
      </c>
      <c r="E3501">
        <v>90941.9296875</v>
      </c>
      <c r="F3501">
        <v>95321.78125</v>
      </c>
      <c r="G3501">
        <v>95321.78125</v>
      </c>
      <c r="H3501">
        <v>54980674354</v>
      </c>
      <c r="I3501" t="s">
        <v>7216</v>
      </c>
      <c r="J3501" t="s">
        <v>7217</v>
      </c>
      <c r="K3501" t="s">
        <v>4634</v>
      </c>
    </row>
    <row r="3502" spans="1:11" ht="20" customHeight="1">
      <c r="A3502" t="s">
        <v>26</v>
      </c>
      <c r="B3502" t="s">
        <v>4101</v>
      </c>
      <c r="C3502">
        <v>95322.90625</v>
      </c>
      <c r="D3502">
        <v>97860.6015625</v>
      </c>
      <c r="E3502">
        <v>94583.046875</v>
      </c>
      <c r="F3502">
        <v>96929.328125</v>
      </c>
      <c r="G3502">
        <v>96929.328125</v>
      </c>
      <c r="H3502">
        <v>60592490863</v>
      </c>
      <c r="I3502" t="s">
        <v>7217</v>
      </c>
      <c r="J3502" t="s">
        <v>7218</v>
      </c>
      <c r="K3502" t="s">
        <v>4634</v>
      </c>
    </row>
    <row r="3503" spans="1:11" ht="20" customHeight="1">
      <c r="A3503" t="s">
        <v>26</v>
      </c>
      <c r="B3503" t="s">
        <v>4104</v>
      </c>
      <c r="C3503">
        <v>96931.2890625</v>
      </c>
      <c r="D3503">
        <v>97150.171875</v>
      </c>
      <c r="E3503">
        <v>95103.2421875</v>
      </c>
      <c r="F3503">
        <v>95551.1875</v>
      </c>
      <c r="G3503">
        <v>95551.1875</v>
      </c>
      <c r="H3503">
        <v>53086363027</v>
      </c>
      <c r="I3503" t="s">
        <v>7218</v>
      </c>
      <c r="J3503" t="s">
        <v>7219</v>
      </c>
      <c r="K3503" t="s">
        <v>4634</v>
      </c>
    </row>
    <row r="3504" spans="1:11" ht="20" customHeight="1">
      <c r="A3504" t="s">
        <v>26</v>
      </c>
      <c r="B3504" t="s">
        <v>4107</v>
      </c>
      <c r="C3504">
        <v>95554.1015625</v>
      </c>
      <c r="D3504">
        <v>95801.890625</v>
      </c>
      <c r="E3504">
        <v>94259.2734375</v>
      </c>
      <c r="F3504">
        <v>95525.1171875</v>
      </c>
      <c r="G3504">
        <v>95525.1171875</v>
      </c>
      <c r="H3504">
        <v>33248170537</v>
      </c>
      <c r="I3504" t="s">
        <v>7219</v>
      </c>
      <c r="J3504" t="s">
        <v>7220</v>
      </c>
      <c r="K3504" t="s">
        <v>4634</v>
      </c>
    </row>
    <row r="3505" spans="1:11" ht="20" customHeight="1">
      <c r="A3505" t="s">
        <v>26</v>
      </c>
      <c r="B3505" t="s">
        <v>7221</v>
      </c>
      <c r="C3505">
        <v>95525.15625</v>
      </c>
      <c r="D3505">
        <v>95598.4765625</v>
      </c>
      <c r="E3505">
        <v>95005.6171875</v>
      </c>
      <c r="F3505">
        <v>95099.921875</v>
      </c>
      <c r="G3505">
        <v>95099.921875</v>
      </c>
      <c r="H3505">
        <v>16021715122</v>
      </c>
      <c r="I3505" t="s">
        <v>7220</v>
      </c>
      <c r="J3505" t="s">
        <v>7222</v>
      </c>
      <c r="K3505" t="s">
        <v>4634</v>
      </c>
    </row>
    <row r="3506" spans="1:11" ht="20" customHeight="1">
      <c r="A3506" t="s">
        <v>26</v>
      </c>
      <c r="B3506" t="s">
        <v>7223</v>
      </c>
      <c r="C3506">
        <v>95101.1796875</v>
      </c>
      <c r="D3506">
        <v>95491.5078125</v>
      </c>
      <c r="E3506">
        <v>93588.8671875</v>
      </c>
      <c r="F3506">
        <v>93634.4296875</v>
      </c>
      <c r="G3506">
        <v>93634.4296875</v>
      </c>
      <c r="H3506">
        <v>20809781232</v>
      </c>
      <c r="I3506" t="s">
        <v>7222</v>
      </c>
      <c r="J3506" t="s">
        <v>7224</v>
      </c>
      <c r="K3506" t="s">
        <v>4634</v>
      </c>
    </row>
    <row r="3507" spans="1:11" ht="20" customHeight="1">
      <c r="A3507" t="s">
        <v>26</v>
      </c>
      <c r="B3507" t="s">
        <v>7225</v>
      </c>
      <c r="C3507">
        <v>93655.671875</v>
      </c>
      <c r="D3507">
        <v>93660.828125</v>
      </c>
      <c r="E3507">
        <v>92089.25</v>
      </c>
      <c r="F3507">
        <v>92553.59375</v>
      </c>
      <c r="G3507">
        <v>92553.59375</v>
      </c>
      <c r="H3507">
        <v>39195241508</v>
      </c>
      <c r="I3507" t="s">
        <v>7224</v>
      </c>
      <c r="J3507" t="s">
        <v>7226</v>
      </c>
      <c r="K3507" t="s">
        <v>4634</v>
      </c>
    </row>
    <row r="3508" spans="1:11" ht="20" customHeight="1">
      <c r="A3508" t="s">
        <v>26</v>
      </c>
      <c r="B3508" t="s">
        <v>4110</v>
      </c>
      <c r="C3508">
        <v>92553.6015625</v>
      </c>
      <c r="D3508">
        <v>92798.4296875</v>
      </c>
      <c r="E3508">
        <v>87814.9296875</v>
      </c>
      <c r="F3508">
        <v>88310.90625</v>
      </c>
      <c r="G3508">
        <v>88310.90625</v>
      </c>
      <c r="H3508">
        <v>53072968031</v>
      </c>
      <c r="I3508" t="s">
        <v>7226</v>
      </c>
      <c r="J3508" t="s">
        <v>7227</v>
      </c>
      <c r="K3508" t="s">
        <v>4634</v>
      </c>
    </row>
    <row r="3509" spans="1:11" ht="20" customHeight="1">
      <c r="A3509" t="s">
        <v>26</v>
      </c>
      <c r="B3509" t="s">
        <v>4113</v>
      </c>
      <c r="C3509">
        <v>88326.5078125</v>
      </c>
      <c r="D3509">
        <v>90430.40625</v>
      </c>
      <c r="E3509">
        <v>87231.5703125</v>
      </c>
      <c r="F3509">
        <v>89376.9609375</v>
      </c>
      <c r="G3509">
        <v>89376.9609375</v>
      </c>
      <c r="H3509">
        <v>56330422434</v>
      </c>
      <c r="I3509" t="s">
        <v>7227</v>
      </c>
      <c r="J3509" t="s">
        <v>7228</v>
      </c>
      <c r="K3509" t="s">
        <v>4634</v>
      </c>
    </row>
    <row r="3510" spans="1:11" ht="20" customHeight="1">
      <c r="A3510" t="s">
        <v>26</v>
      </c>
      <c r="B3510" t="s">
        <v>4116</v>
      </c>
      <c r="C3510">
        <v>89378.5234375</v>
      </c>
      <c r="D3510">
        <v>90258.9609375</v>
      </c>
      <c r="E3510">
        <v>88438.4453125</v>
      </c>
      <c r="F3510">
        <v>89462.453125</v>
      </c>
      <c r="G3510">
        <v>89462.453125</v>
      </c>
      <c r="H3510">
        <v>35549685694</v>
      </c>
      <c r="I3510" t="s">
        <v>7228</v>
      </c>
      <c r="J3510" t="s">
        <v>7229</v>
      </c>
      <c r="K3510" t="s">
        <v>4634</v>
      </c>
    </row>
    <row r="3511" spans="1:11" ht="20" customHeight="1">
      <c r="A3511" t="s">
        <v>26</v>
      </c>
      <c r="B3511" t="s">
        <v>4119</v>
      </c>
      <c r="C3511">
        <v>89462.046875</v>
      </c>
      <c r="D3511">
        <v>91100.25</v>
      </c>
      <c r="E3511">
        <v>88486.359375</v>
      </c>
      <c r="F3511">
        <v>89503.875</v>
      </c>
      <c r="G3511">
        <v>89503.875</v>
      </c>
      <c r="H3511">
        <v>38997586037</v>
      </c>
      <c r="I3511" t="s">
        <v>7229</v>
      </c>
      <c r="J3511" t="s">
        <v>7230</v>
      </c>
      <c r="K3511" t="s">
        <v>4634</v>
      </c>
    </row>
    <row r="3512" spans="1:11" ht="20" customHeight="1">
      <c r="A3512" t="s">
        <v>26</v>
      </c>
      <c r="B3512" t="s">
        <v>7231</v>
      </c>
      <c r="C3512">
        <v>89506.1484375</v>
      </c>
      <c r="D3512">
        <v>89811.609375</v>
      </c>
      <c r="E3512">
        <v>89044.2890625</v>
      </c>
      <c r="F3512">
        <v>89110.734375</v>
      </c>
      <c r="G3512">
        <v>89110.734375</v>
      </c>
      <c r="H3512">
        <v>14558687712</v>
      </c>
      <c r="I3512" t="s">
        <v>7230</v>
      </c>
      <c r="J3512" t="s">
        <v>7232</v>
      </c>
      <c r="K3512" t="s">
        <v>4634</v>
      </c>
    </row>
    <row r="3513" spans="1:11" ht="20" customHeight="1">
      <c r="A3513" t="s">
        <v>26</v>
      </c>
      <c r="B3513" t="s">
        <v>7233</v>
      </c>
      <c r="C3513">
        <v>89104.765625</v>
      </c>
      <c r="D3513">
        <v>89193.1484375</v>
      </c>
      <c r="E3513">
        <v>86003.7109375</v>
      </c>
      <c r="F3513">
        <v>86572.21875</v>
      </c>
      <c r="G3513">
        <v>86572.21875</v>
      </c>
      <c r="H3513">
        <v>36124986722</v>
      </c>
      <c r="I3513" t="s">
        <v>7232</v>
      </c>
      <c r="J3513" t="s">
        <v>7234</v>
      </c>
      <c r="K3513" t="s">
        <v>4634</v>
      </c>
    </row>
    <row r="3514" spans="1:11" ht="20" customHeight="1">
      <c r="A3514" t="s">
        <v>26</v>
      </c>
      <c r="B3514" t="s">
        <v>4122</v>
      </c>
      <c r="C3514">
        <v>86566.5234375</v>
      </c>
      <c r="D3514">
        <v>88743.0703125</v>
      </c>
      <c r="E3514">
        <v>86429.2890625</v>
      </c>
      <c r="F3514">
        <v>88267.140625</v>
      </c>
      <c r="G3514">
        <v>88267.140625</v>
      </c>
      <c r="H3514">
        <v>45329286974</v>
      </c>
      <c r="I3514" t="s">
        <v>7234</v>
      </c>
      <c r="J3514" t="s">
        <v>7235</v>
      </c>
      <c r="K3514" t="s">
        <v>4634</v>
      </c>
    </row>
    <row r="3515" spans="1:11" ht="20" customHeight="1">
      <c r="A3515" t="s">
        <v>26</v>
      </c>
      <c r="B3515" t="s">
        <v>4125</v>
      </c>
      <c r="C3515">
        <v>88257.4765625</v>
      </c>
      <c r="D3515">
        <v>89427.125</v>
      </c>
      <c r="E3515">
        <v>87228.921875</v>
      </c>
      <c r="F3515">
        <v>89102.5703125</v>
      </c>
      <c r="G3515">
        <v>89102.5703125</v>
      </c>
      <c r="H3515">
        <v>38744942267</v>
      </c>
      <c r="I3515" t="s">
        <v>7235</v>
      </c>
      <c r="J3515" t="s">
        <v>7236</v>
      </c>
      <c r="K3515" t="s">
        <v>4634</v>
      </c>
    </row>
    <row r="3516" spans="1:11" ht="20" customHeight="1">
      <c r="A3516" t="s">
        <v>26</v>
      </c>
      <c r="B3516" t="s">
        <v>4128</v>
      </c>
      <c r="C3516">
        <v>89104.046875</v>
      </c>
      <c r="D3516">
        <v>90439.2890625</v>
      </c>
      <c r="E3516">
        <v>88721.4609375</v>
      </c>
      <c r="F3516">
        <v>89184.5703125</v>
      </c>
      <c r="G3516">
        <v>89184.5703125</v>
      </c>
      <c r="H3516">
        <v>39807419296</v>
      </c>
      <c r="I3516" t="s">
        <v>7236</v>
      </c>
      <c r="J3516" t="s">
        <v>7237</v>
      </c>
      <c r="K3516" t="s">
        <v>4634</v>
      </c>
    </row>
    <row r="3517" spans="1:11" ht="20" customHeight="1">
      <c r="A3517" t="s">
        <v>26</v>
      </c>
      <c r="B3517" t="s">
        <v>4131</v>
      </c>
      <c r="C3517">
        <v>89169.8515625</v>
      </c>
      <c r="D3517">
        <v>89200.78125</v>
      </c>
      <c r="E3517">
        <v>83250.6015625</v>
      </c>
      <c r="F3517">
        <v>84561.5859375</v>
      </c>
      <c r="G3517">
        <v>84561.5859375</v>
      </c>
      <c r="H3517">
        <v>64653083162</v>
      </c>
      <c r="I3517" t="s">
        <v>7237</v>
      </c>
      <c r="J3517" t="s">
        <v>7238</v>
      </c>
      <c r="K3517" t="s">
        <v>4634</v>
      </c>
    </row>
    <row r="3518" spans="1:11" ht="20" customHeight="1">
      <c r="A3518" t="s">
        <v>26</v>
      </c>
      <c r="B3518" t="s">
        <v>4134</v>
      </c>
      <c r="C3518">
        <v>84562.7265625</v>
      </c>
      <c r="D3518">
        <v>84602.1640625</v>
      </c>
      <c r="E3518">
        <v>81071.4765625</v>
      </c>
      <c r="F3518">
        <v>84128.65625</v>
      </c>
      <c r="G3518">
        <v>84128.65625</v>
      </c>
      <c r="H3518">
        <v>72083816087</v>
      </c>
      <c r="I3518" t="s">
        <v>7238</v>
      </c>
      <c r="J3518" t="s">
        <v>7239</v>
      </c>
      <c r="K3518" t="s">
        <v>4634</v>
      </c>
    </row>
    <row r="3519" spans="1:11" ht="20" customHeight="1">
      <c r="A3519" t="s">
        <v>26</v>
      </c>
      <c r="B3519" t="s">
        <v>7240</v>
      </c>
      <c r="C3519">
        <v>84126.5</v>
      </c>
      <c r="D3519">
        <v>84136.921875</v>
      </c>
      <c r="E3519">
        <v>75815.8828125</v>
      </c>
      <c r="F3519">
        <v>78621.1171875</v>
      </c>
      <c r="G3519">
        <v>78621.1171875</v>
      </c>
      <c r="H3519">
        <v>70479259159</v>
      </c>
      <c r="I3519" t="s">
        <v>7239</v>
      </c>
      <c r="J3519" t="s">
        <v>7241</v>
      </c>
      <c r="K3519" t="s">
        <v>4634</v>
      </c>
    </row>
    <row r="3520" spans="1:11" ht="20" customHeight="1">
      <c r="A3520" t="s">
        <v>26</v>
      </c>
      <c r="B3520" t="s">
        <v>7242</v>
      </c>
      <c r="C3520">
        <v>78626.125</v>
      </c>
      <c r="D3520">
        <v>79322.609375</v>
      </c>
      <c r="E3520">
        <v>75698.8984375</v>
      </c>
      <c r="F3520">
        <v>76974.4453125</v>
      </c>
      <c r="G3520">
        <v>76974.4453125</v>
      </c>
      <c r="H3520">
        <v>53372509744</v>
      </c>
      <c r="I3520" t="s">
        <v>7241</v>
      </c>
      <c r="J3520" t="s">
        <v>7243</v>
      </c>
      <c r="K3520" t="s">
        <v>4634</v>
      </c>
    </row>
    <row r="3521" spans="1:11" ht="20" customHeight="1">
      <c r="A3521" t="s">
        <v>26</v>
      </c>
      <c r="B3521" t="s">
        <v>4137</v>
      </c>
      <c r="C3521">
        <v>76968.875</v>
      </c>
      <c r="D3521">
        <v>79258.609375</v>
      </c>
      <c r="E3521">
        <v>74551.3359375</v>
      </c>
      <c r="F3521">
        <v>78688.765625</v>
      </c>
      <c r="G3521">
        <v>78688.765625</v>
      </c>
      <c r="H3521">
        <v>75140589684</v>
      </c>
      <c r="I3521" t="s">
        <v>7243</v>
      </c>
      <c r="J3521" t="s">
        <v>7244</v>
      </c>
      <c r="K3521" t="s">
        <v>4634</v>
      </c>
    </row>
    <row r="3522" spans="1:11" ht="20" customHeight="1">
      <c r="A3522" t="s">
        <v>26</v>
      </c>
      <c r="B3522" t="s">
        <v>4140</v>
      </c>
      <c r="C3522">
        <v>78693.5078125</v>
      </c>
      <c r="D3522">
        <v>79118.8515625</v>
      </c>
      <c r="E3522">
        <v>72897.140625</v>
      </c>
      <c r="F3522">
        <v>75633.546875</v>
      </c>
      <c r="G3522">
        <v>75633.546875</v>
      </c>
      <c r="H3522">
        <v>68249110822</v>
      </c>
      <c r="I3522" t="s">
        <v>7244</v>
      </c>
      <c r="J3522" t="s">
        <v>7245</v>
      </c>
      <c r="K3522" t="s">
        <v>4634</v>
      </c>
    </row>
    <row r="3523" spans="1:11" ht="20" customHeight="1">
      <c r="A3523" t="s">
        <v>26</v>
      </c>
      <c r="B3523" t="s">
        <v>4143</v>
      </c>
      <c r="C3523">
        <v>75640.09375</v>
      </c>
      <c r="D3523">
        <v>76864.65625</v>
      </c>
      <c r="E3523">
        <v>71779.9296875</v>
      </c>
      <c r="F3523">
        <v>73019.703125</v>
      </c>
      <c r="G3523">
        <v>73019.703125</v>
      </c>
      <c r="H3523">
        <v>67215363944</v>
      </c>
      <c r="I3523" t="s">
        <v>7245</v>
      </c>
      <c r="J3523" t="s">
        <v>7246</v>
      </c>
      <c r="K3523" t="s">
        <v>4634</v>
      </c>
    </row>
    <row r="3524" spans="1:11" ht="20" customHeight="1">
      <c r="A3524" t="s">
        <v>26</v>
      </c>
      <c r="B3524" t="s">
        <v>4146</v>
      </c>
      <c r="C3524">
        <v>73016.375</v>
      </c>
      <c r="D3524">
        <v>73161.5546875</v>
      </c>
      <c r="E3524">
        <v>62353.53515625</v>
      </c>
      <c r="F3524">
        <v>62702.09765625</v>
      </c>
      <c r="G3524">
        <v>62702.09765625</v>
      </c>
      <c r="H3524">
        <v>125509410908</v>
      </c>
      <c r="I3524" t="s">
        <v>7246</v>
      </c>
      <c r="J3524" t="s">
        <v>7247</v>
      </c>
      <c r="K3524" t="s">
        <v>4634</v>
      </c>
    </row>
    <row r="3525" spans="1:11" ht="20" customHeight="1">
      <c r="A3525" t="s">
        <v>26</v>
      </c>
      <c r="B3525" t="s">
        <v>4149</v>
      </c>
      <c r="C3525">
        <v>62704.453125</v>
      </c>
      <c r="D3525">
        <v>71681.3046875</v>
      </c>
      <c r="E3525">
        <v>60074.203125</v>
      </c>
      <c r="F3525">
        <v>70555.390625</v>
      </c>
      <c r="G3525">
        <v>70555.390625</v>
      </c>
      <c r="H3525">
        <v>114674259489</v>
      </c>
      <c r="I3525" t="s">
        <v>7247</v>
      </c>
      <c r="J3525" t="s">
        <v>7248</v>
      </c>
      <c r="K3525" t="s">
        <v>4634</v>
      </c>
    </row>
    <row r="3526" spans="1:11" ht="20" customHeight="1">
      <c r="A3526" t="s">
        <v>26</v>
      </c>
      <c r="B3526" t="s">
        <v>7249</v>
      </c>
      <c r="C3526">
        <v>70553.796875</v>
      </c>
      <c r="D3526">
        <v>71611.1484375</v>
      </c>
      <c r="E3526">
        <v>67364.4453125</v>
      </c>
      <c r="F3526">
        <v>69281.96875</v>
      </c>
      <c r="G3526">
        <v>69281.96875</v>
      </c>
      <c r="H3526">
        <v>62347107663</v>
      </c>
      <c r="I3526" t="s">
        <v>7248</v>
      </c>
      <c r="J3526" t="s">
        <v>7250</v>
      </c>
      <c r="K3526" t="s">
        <v>4634</v>
      </c>
    </row>
    <row r="3527" spans="1:11" ht="20" customHeight="1">
      <c r="A3527" t="s">
        <v>26</v>
      </c>
      <c r="B3527" t="s">
        <v>7251</v>
      </c>
      <c r="C3527">
        <v>69283.7265625</v>
      </c>
      <c r="D3527">
        <v>72206.90625</v>
      </c>
      <c r="E3527">
        <v>68852.8984375</v>
      </c>
      <c r="F3527">
        <v>70264.7265625</v>
      </c>
      <c r="G3527">
        <v>70264.7265625</v>
      </c>
      <c r="H3527">
        <v>39721722619</v>
      </c>
      <c r="I3527" t="s">
        <v>7250</v>
      </c>
      <c r="J3527" t="s">
        <v>7252</v>
      </c>
      <c r="K3527" t="s">
        <v>4634</v>
      </c>
    </row>
    <row r="3528" spans="1:11" ht="20" customHeight="1">
      <c r="A3528" t="s">
        <v>26</v>
      </c>
      <c r="B3528" t="s">
        <v>4152</v>
      </c>
      <c r="C3528">
        <v>70243.328125</v>
      </c>
      <c r="D3528">
        <v>71369.96875</v>
      </c>
      <c r="E3528">
        <v>68291.03125</v>
      </c>
      <c r="F3528">
        <v>70120.78125</v>
      </c>
      <c r="G3528">
        <v>70120.78125</v>
      </c>
      <c r="H3528">
        <v>52081598792</v>
      </c>
      <c r="I3528" t="s">
        <v>7252</v>
      </c>
      <c r="J3528" t="s">
        <v>7253</v>
      </c>
      <c r="K3528" t="s">
        <v>4634</v>
      </c>
    </row>
    <row r="3529" spans="1:11" ht="20" customHeight="1">
      <c r="A3529" t="s">
        <v>26</v>
      </c>
      <c r="B3529" t="s">
        <v>4155</v>
      </c>
      <c r="C3529">
        <v>70137.390625</v>
      </c>
      <c r="D3529">
        <v>70464.265625</v>
      </c>
      <c r="E3529">
        <v>67913.09375</v>
      </c>
      <c r="F3529">
        <v>68793.9609375</v>
      </c>
      <c r="G3529">
        <v>68793.9609375</v>
      </c>
      <c r="H3529">
        <v>40593063077</v>
      </c>
      <c r="I3529" t="s">
        <v>7253</v>
      </c>
      <c r="J3529" t="s">
        <v>7254</v>
      </c>
      <c r="K3529" t="s">
        <v>4634</v>
      </c>
    </row>
    <row r="3530" spans="1:11" ht="20" customHeight="1">
      <c r="A3530" t="s">
        <v>26</v>
      </c>
      <c r="B3530" t="s">
        <v>4158</v>
      </c>
      <c r="C3530">
        <v>68791.859375</v>
      </c>
      <c r="D3530">
        <v>69242.6796875</v>
      </c>
      <c r="E3530">
        <v>65757.3046875</v>
      </c>
      <c r="F3530">
        <v>66991.96875</v>
      </c>
      <c r="G3530">
        <v>66991.96875</v>
      </c>
      <c r="H3530">
        <v>49671946030</v>
      </c>
      <c r="I3530" t="s">
        <v>7254</v>
      </c>
      <c r="J3530" t="s">
        <v>7255</v>
      </c>
      <c r="K3530" t="s">
        <v>4634</v>
      </c>
    </row>
    <row r="3531" spans="1:11" ht="20" customHeight="1">
      <c r="A3531" t="s">
        <v>26</v>
      </c>
      <c r="B3531" t="s">
        <v>4161</v>
      </c>
      <c r="C3531">
        <v>66992.1953125</v>
      </c>
      <c r="D3531">
        <v>68339.4921875</v>
      </c>
      <c r="E3531">
        <v>65092.109375</v>
      </c>
      <c r="F3531">
        <v>66221.84375</v>
      </c>
      <c r="G3531">
        <v>66221.84375</v>
      </c>
      <c r="H3531">
        <v>44651071271</v>
      </c>
      <c r="I3531" t="s">
        <v>7255</v>
      </c>
      <c r="J3531" t="s">
        <v>7256</v>
      </c>
      <c r="K3531" t="s">
        <v>4634</v>
      </c>
    </row>
    <row r="3532" spans="1:11" ht="20" customHeight="1">
      <c r="A3532" t="s">
        <v>26</v>
      </c>
      <c r="B3532" t="s">
        <v>4164</v>
      </c>
      <c r="C3532">
        <v>66213.375</v>
      </c>
      <c r="D3532">
        <v>69382.8359375</v>
      </c>
      <c r="E3532">
        <v>65835.78125</v>
      </c>
      <c r="F3532">
        <v>68857.84375</v>
      </c>
      <c r="G3532">
        <v>68857.84375</v>
      </c>
      <c r="H3532">
        <v>40820775886</v>
      </c>
      <c r="I3532" t="s">
        <v>7256</v>
      </c>
      <c r="J3532" t="s">
        <v>7257</v>
      </c>
      <c r="K3532" t="s">
        <v>4634</v>
      </c>
    </row>
    <row r="3533" spans="1:11" ht="20" customHeight="1">
      <c r="A3533" t="s">
        <v>26</v>
      </c>
      <c r="B3533" t="s">
        <v>7258</v>
      </c>
      <c r="C3533">
        <v>68856.984375</v>
      </c>
      <c r="D3533">
        <v>70481.1640625</v>
      </c>
      <c r="E3533">
        <v>68706.6171875</v>
      </c>
      <c r="F3533">
        <v>69767.625</v>
      </c>
      <c r="G3533">
        <v>69767.625</v>
      </c>
      <c r="H3533">
        <v>36012397645</v>
      </c>
      <c r="I3533" t="s">
        <v>7257</v>
      </c>
      <c r="J3533" t="s">
        <v>7259</v>
      </c>
      <c r="K3533" t="s">
        <v>4634</v>
      </c>
    </row>
    <row r="3534" spans="1:11" ht="20" customHeight="1">
      <c r="A3534" t="s">
        <v>26</v>
      </c>
      <c r="B3534" t="s">
        <v>7260</v>
      </c>
      <c r="C3534">
        <v>69764.953125</v>
      </c>
      <c r="D3534">
        <v>70939.2890625</v>
      </c>
      <c r="E3534">
        <v>68052.546875</v>
      </c>
      <c r="F3534">
        <v>68788.1875</v>
      </c>
      <c r="G3534">
        <v>68788.1875</v>
      </c>
      <c r="H3534">
        <v>40191152750</v>
      </c>
      <c r="I3534" t="s">
        <v>7259</v>
      </c>
      <c r="J3534" t="s">
        <v>7261</v>
      </c>
      <c r="K3534" t="s">
        <v>4634</v>
      </c>
    </row>
    <row r="3535" spans="1:11" ht="20" customHeight="1">
      <c r="A3535" t="s">
        <v>26</v>
      </c>
      <c r="B3535" t="s">
        <v>7262</v>
      </c>
      <c r="C3535">
        <v>68782.3984375</v>
      </c>
      <c r="D3535">
        <v>70067.234375</v>
      </c>
      <c r="E3535">
        <v>67301.5859375</v>
      </c>
      <c r="F3535">
        <v>68843.15625</v>
      </c>
      <c r="G3535">
        <v>68843.15625</v>
      </c>
      <c r="H3535">
        <v>33618145426</v>
      </c>
      <c r="I3535" t="s">
        <v>7261</v>
      </c>
      <c r="J3535" t="s">
        <v>7263</v>
      </c>
      <c r="K3535" t="s">
        <v>4634</v>
      </c>
    </row>
    <row r="3536" spans="1:11" ht="20" customHeight="1">
      <c r="A3536" t="s">
        <v>26</v>
      </c>
      <c r="B3536" t="s">
        <v>4167</v>
      </c>
      <c r="C3536">
        <v>68843.09375</v>
      </c>
      <c r="D3536">
        <v>69201.8671875</v>
      </c>
      <c r="E3536">
        <v>66615.28125</v>
      </c>
      <c r="F3536">
        <v>67494.21875</v>
      </c>
      <c r="G3536">
        <v>67494.21875</v>
      </c>
      <c r="H3536">
        <v>34866936040</v>
      </c>
      <c r="I3536" t="s">
        <v>7263</v>
      </c>
      <c r="J3536" t="s">
        <v>7264</v>
      </c>
      <c r="K3536" t="s">
        <v>4634</v>
      </c>
    </row>
    <row r="3537" spans="1:11" ht="20" customHeight="1">
      <c r="A3537" t="s">
        <v>26</v>
      </c>
      <c r="B3537" t="s">
        <v>4170</v>
      </c>
      <c r="C3537">
        <v>67488.0234375</v>
      </c>
      <c r="D3537">
        <v>68434.4296875</v>
      </c>
      <c r="E3537">
        <v>65845.8984375</v>
      </c>
      <c r="F3537">
        <v>66425.3203125</v>
      </c>
      <c r="G3537">
        <v>66425.3203125</v>
      </c>
      <c r="H3537">
        <v>33094301643</v>
      </c>
      <c r="I3537" t="s">
        <v>7264</v>
      </c>
      <c r="J3537" t="s">
        <v>7265</v>
      </c>
      <c r="K3537" t="s">
        <v>4634</v>
      </c>
    </row>
    <row r="3538" spans="1:11" ht="20" customHeight="1">
      <c r="A3538" t="s">
        <v>26</v>
      </c>
      <c r="B3538" t="s">
        <v>4173</v>
      </c>
      <c r="C3538">
        <v>66425.625</v>
      </c>
      <c r="D3538">
        <v>67277.125</v>
      </c>
      <c r="E3538">
        <v>65637.4296875</v>
      </c>
      <c r="F3538">
        <v>66957.5234375</v>
      </c>
      <c r="G3538">
        <v>66957.5234375</v>
      </c>
      <c r="H3538">
        <v>31492987019</v>
      </c>
      <c r="I3538" t="s">
        <v>7265</v>
      </c>
      <c r="J3538" t="s">
        <v>7266</v>
      </c>
      <c r="K3538" t="s">
        <v>4634</v>
      </c>
    </row>
    <row r="3539" spans="1:11" ht="20" customHeight="1">
      <c r="A3539" t="s">
        <v>26</v>
      </c>
      <c r="B3539" t="s">
        <v>4176</v>
      </c>
      <c r="C3539">
        <v>66958.578125</v>
      </c>
      <c r="D3539">
        <v>68269.03125</v>
      </c>
      <c r="E3539">
        <v>66452.484375</v>
      </c>
      <c r="F3539">
        <v>68005.421875</v>
      </c>
      <c r="G3539">
        <v>68005.421875</v>
      </c>
      <c r="H3539">
        <v>47507867304</v>
      </c>
      <c r="I3539" t="s">
        <v>7266</v>
      </c>
      <c r="J3539" t="s">
        <v>7267</v>
      </c>
      <c r="K3539" t="s">
        <v>4634</v>
      </c>
    </row>
    <row r="3540" spans="1:11" ht="20" customHeight="1">
      <c r="A3540" t="s">
        <v>26</v>
      </c>
      <c r="B3540" t="s">
        <v>7268</v>
      </c>
      <c r="C3540">
        <v>68000.25</v>
      </c>
      <c r="D3540">
        <v>68657.703125</v>
      </c>
      <c r="E3540">
        <v>67533.0703125</v>
      </c>
      <c r="F3540">
        <v>68003.765625</v>
      </c>
      <c r="G3540">
        <v>68003.765625</v>
      </c>
      <c r="H3540">
        <v>18357635642</v>
      </c>
      <c r="I3540" t="s">
        <v>7267</v>
      </c>
      <c r="J3540" t="s">
        <v>7269</v>
      </c>
      <c r="K3540" t="s">
        <v>4634</v>
      </c>
    </row>
    <row r="3541" spans="1:11" ht="20" customHeight="1">
      <c r="A3541" t="s">
        <v>26</v>
      </c>
      <c r="B3541" t="s">
        <v>7270</v>
      </c>
      <c r="C3541">
        <v>67998.828125</v>
      </c>
      <c r="D3541">
        <v>68235.2265625</v>
      </c>
      <c r="E3541">
        <v>67185.6015625</v>
      </c>
      <c r="F3541">
        <v>67659.390625</v>
      </c>
      <c r="G3541">
        <v>67659.390625</v>
      </c>
      <c r="H3541">
        <v>17893536012</v>
      </c>
      <c r="I3541" t="s">
        <v>7269</v>
      </c>
      <c r="J3541" t="s">
        <v>7271</v>
      </c>
      <c r="K3541" t="s">
        <v>4634</v>
      </c>
    </row>
    <row r="3542" spans="1:11" ht="20" customHeight="1">
      <c r="A3542" t="s">
        <v>26</v>
      </c>
      <c r="B3542" t="s">
        <v>4179</v>
      </c>
      <c r="C3542">
        <v>67668.4296875</v>
      </c>
      <c r="D3542">
        <v>67668.4296875</v>
      </c>
      <c r="E3542">
        <v>63924.4375</v>
      </c>
      <c r="F3542">
        <v>64616.73828125</v>
      </c>
      <c r="G3542">
        <v>64616.73828125</v>
      </c>
      <c r="H3542">
        <v>50953457309</v>
      </c>
      <c r="I3542" t="s">
        <v>7271</v>
      </c>
      <c r="J3542" t="s">
        <v>7272</v>
      </c>
      <c r="K3542" t="s">
        <v>4634</v>
      </c>
    </row>
    <row r="3543" spans="1:11" ht="20" customHeight="1">
      <c r="A3543" t="s">
        <v>26</v>
      </c>
      <c r="B3543" t="s">
        <v>4182</v>
      </c>
      <c r="C3543">
        <v>64616.015625</v>
      </c>
      <c r="D3543">
        <v>64992.15625</v>
      </c>
      <c r="E3543">
        <v>62553.1875</v>
      </c>
      <c r="F3543">
        <v>64080.04296875</v>
      </c>
      <c r="G3543">
        <v>64080.04296875</v>
      </c>
      <c r="H3543">
        <v>40849331086</v>
      </c>
      <c r="I3543" t="s">
        <v>7272</v>
      </c>
      <c r="J3543" t="s">
        <v>7273</v>
      </c>
      <c r="K3543" t="s">
        <v>4634</v>
      </c>
    </row>
    <row r="3544" spans="1:11" ht="20" customHeight="1">
      <c r="A3544" t="s">
        <v>26</v>
      </c>
      <c r="B3544" t="s">
        <v>4185</v>
      </c>
      <c r="C3544">
        <v>64077.76953125</v>
      </c>
      <c r="D3544">
        <v>69953.53125</v>
      </c>
      <c r="E3544">
        <v>63942.484375</v>
      </c>
      <c r="F3544">
        <v>67960.125</v>
      </c>
      <c r="G3544">
        <v>67960.125</v>
      </c>
      <c r="H3544">
        <v>53629234355</v>
      </c>
      <c r="I3544" t="s">
        <v>7273</v>
      </c>
      <c r="J3544" t="s">
        <v>7274</v>
      </c>
      <c r="K3544" t="s">
        <v>4634</v>
      </c>
    </row>
    <row r="3545" spans="1:11" ht="20" customHeight="1">
      <c r="A3545" t="s">
        <v>26</v>
      </c>
      <c r="B3545" t="s">
        <v>4188</v>
      </c>
      <c r="C3545">
        <v>67954.8671875</v>
      </c>
      <c r="D3545">
        <v>68843.3515625</v>
      </c>
      <c r="E3545">
        <v>66523.734375</v>
      </c>
      <c r="F3545">
        <v>67453.7734375</v>
      </c>
      <c r="G3545">
        <v>67453.7734375</v>
      </c>
      <c r="H3545">
        <v>42988597523</v>
      </c>
      <c r="I3545" t="s">
        <v>7274</v>
      </c>
      <c r="J3545" t="s">
        <v>7275</v>
      </c>
      <c r="K3545" t="s">
        <v>4634</v>
      </c>
    </row>
    <row r="3546" spans="1:11" ht="20" customHeight="1">
      <c r="A3546" t="s">
        <v>26</v>
      </c>
      <c r="B3546" t="s">
        <v>4191</v>
      </c>
      <c r="C3546">
        <v>67456.515625</v>
      </c>
      <c r="D3546">
        <v>68220.40625</v>
      </c>
      <c r="E3546">
        <v>64946.03515625</v>
      </c>
      <c r="F3546">
        <v>65881.796875</v>
      </c>
      <c r="G3546">
        <v>65881.796875</v>
      </c>
      <c r="H3546">
        <v>40283655942</v>
      </c>
      <c r="I3546" t="s">
        <v>7275</v>
      </c>
      <c r="J3546" t="s">
        <v>7276</v>
      </c>
      <c r="K3546" t="s">
        <v>4634</v>
      </c>
    </row>
    <row r="3547" spans="1:11" ht="20" customHeight="1">
      <c r="A3547" t="s">
        <v>26</v>
      </c>
      <c r="B3547" t="s">
        <v>7277</v>
      </c>
      <c r="C3547">
        <v>65878.9296875</v>
      </c>
      <c r="D3547">
        <v>67714.5234375</v>
      </c>
      <c r="E3547">
        <v>63062.21875</v>
      </c>
      <c r="F3547">
        <v>66995.859375</v>
      </c>
      <c r="G3547">
        <v>66995.859375</v>
      </c>
      <c r="H3547">
        <v>42041497112</v>
      </c>
      <c r="I3547" t="s">
        <v>7276</v>
      </c>
      <c r="J3547" t="s">
        <v>7278</v>
      </c>
      <c r="K3547" t="s">
        <v>4634</v>
      </c>
    </row>
    <row r="3548" spans="1:11" ht="20" customHeight="1">
      <c r="A3548" t="s">
        <v>26</v>
      </c>
      <c r="B3548" t="s">
        <v>7279</v>
      </c>
      <c r="C3548">
        <v>67005.8828125</v>
      </c>
      <c r="D3548">
        <v>68162.8203125</v>
      </c>
      <c r="E3548">
        <v>65076.73046875</v>
      </c>
      <c r="F3548">
        <v>65738.1015625</v>
      </c>
      <c r="G3548">
        <v>65738.1015625</v>
      </c>
      <c r="H3548">
        <v>40733141929</v>
      </c>
      <c r="I3548" t="s">
        <v>7278</v>
      </c>
      <c r="J3548" t="s">
        <v>7280</v>
      </c>
      <c r="K3548" t="s">
        <v>4634</v>
      </c>
    </row>
    <row r="3549" spans="1:11" ht="20" customHeight="1">
      <c r="A3549" t="s">
        <v>26</v>
      </c>
      <c r="B3549" t="s">
        <v>4194</v>
      </c>
      <c r="C3549">
        <v>65734.078125</v>
      </c>
      <c r="D3549">
        <v>70044</v>
      </c>
      <c r="E3549">
        <v>65303.13671875</v>
      </c>
      <c r="F3549">
        <v>68775.8515625</v>
      </c>
      <c r="G3549">
        <v>68775.8515625</v>
      </c>
      <c r="H3549">
        <v>56698092052</v>
      </c>
      <c r="I3549" t="s">
        <v>7280</v>
      </c>
      <c r="J3549" t="s">
        <v>7281</v>
      </c>
      <c r="K3549" t="s">
        <v>4634</v>
      </c>
    </row>
    <row r="3550" spans="1:11" ht="20" customHeight="1">
      <c r="A3550" t="s">
        <v>26</v>
      </c>
      <c r="B3550" t="s">
        <v>4197</v>
      </c>
      <c r="C3550">
        <v>68785.078125</v>
      </c>
      <c r="D3550">
        <v>69232.890625</v>
      </c>
      <c r="E3550">
        <v>66237.6171875</v>
      </c>
      <c r="F3550">
        <v>68293.6484375</v>
      </c>
      <c r="G3550">
        <v>68293.6484375</v>
      </c>
      <c r="H3550">
        <v>47947999049</v>
      </c>
      <c r="I3550" t="s">
        <v>7281</v>
      </c>
      <c r="J3550" t="s">
        <v>7282</v>
      </c>
      <c r="K3550" t="s">
        <v>4634</v>
      </c>
    </row>
    <row r="3551" spans="1:11" ht="20" customHeight="1">
      <c r="A3551" t="s">
        <v>26</v>
      </c>
      <c r="B3551" t="s">
        <v>4200</v>
      </c>
      <c r="C3551">
        <v>68290.5625</v>
      </c>
      <c r="D3551">
        <v>74051.8046875</v>
      </c>
      <c r="E3551">
        <v>67437.40625</v>
      </c>
      <c r="F3551">
        <v>72710.578125</v>
      </c>
      <c r="G3551">
        <v>72710.578125</v>
      </c>
      <c r="H3551">
        <v>75073101274</v>
      </c>
      <c r="I3551" t="s">
        <v>7282</v>
      </c>
      <c r="J3551" t="s">
        <v>7283</v>
      </c>
      <c r="K3551" t="s">
        <v>4634</v>
      </c>
    </row>
    <row r="3552" spans="1:11" ht="20" customHeight="1">
      <c r="A3552" t="s">
        <v>26</v>
      </c>
      <c r="B3552" t="s">
        <v>4203</v>
      </c>
      <c r="C3552">
        <v>72712.65625</v>
      </c>
      <c r="D3552">
        <v>73555.7890625</v>
      </c>
      <c r="E3552">
        <v>70654.8828125</v>
      </c>
      <c r="F3552">
        <v>70841.125</v>
      </c>
      <c r="G3552">
        <v>70841.125</v>
      </c>
      <c r="H3552">
        <v>51172841727</v>
      </c>
      <c r="I3552" t="s">
        <v>7283</v>
      </c>
      <c r="J3552" t="s">
        <v>7284</v>
      </c>
      <c r="K3552" t="s">
        <v>4634</v>
      </c>
    </row>
    <row r="3553" spans="1:11" ht="20" customHeight="1">
      <c r="A3553" t="s">
        <v>26</v>
      </c>
      <c r="B3553" t="s">
        <v>4206</v>
      </c>
      <c r="C3553">
        <v>70842.15625</v>
      </c>
      <c r="D3553">
        <v>71378.5703125</v>
      </c>
      <c r="E3553">
        <v>67757.8203125</v>
      </c>
      <c r="F3553">
        <v>68136.4921875</v>
      </c>
      <c r="G3553">
        <v>68136.4921875</v>
      </c>
      <c r="H3553">
        <v>43776962871</v>
      </c>
      <c r="I3553" t="s">
        <v>7284</v>
      </c>
      <c r="J3553" t="s">
        <v>7285</v>
      </c>
      <c r="K3553" t="s">
        <v>4634</v>
      </c>
    </row>
    <row r="3554" spans="1:11" ht="20" customHeight="1">
      <c r="A3554" t="s">
        <v>26</v>
      </c>
      <c r="B3554" t="s">
        <v>7286</v>
      </c>
      <c r="C3554">
        <v>68136.6875</v>
      </c>
      <c r="D3554">
        <v>68515.1640625</v>
      </c>
      <c r="E3554">
        <v>66969.2578125</v>
      </c>
      <c r="F3554">
        <v>67272.59375</v>
      </c>
      <c r="G3554">
        <v>67272.59375</v>
      </c>
      <c r="H3554">
        <v>23258701211</v>
      </c>
      <c r="I3554" t="s">
        <v>7285</v>
      </c>
      <c r="J3554" t="s">
        <v>7287</v>
      </c>
      <c r="K3554" t="s">
        <v>4634</v>
      </c>
    </row>
    <row r="3555" spans="1:11" ht="20" customHeight="1">
      <c r="A3555" t="s">
        <v>26</v>
      </c>
      <c r="B3555" t="s">
        <v>7288</v>
      </c>
      <c r="C3555">
        <v>67272.5</v>
      </c>
      <c r="D3555">
        <v>68177.7890625</v>
      </c>
      <c r="E3555">
        <v>65639.1953125</v>
      </c>
      <c r="F3555">
        <v>65969.78125</v>
      </c>
      <c r="G3555">
        <v>65969.78125</v>
      </c>
      <c r="H3555">
        <v>33195080116</v>
      </c>
      <c r="I3555" t="s">
        <v>7287</v>
      </c>
      <c r="J3555" t="s">
        <v>7289</v>
      </c>
      <c r="K3555" t="s">
        <v>4634</v>
      </c>
    </row>
    <row r="3556" spans="1:11" ht="20" customHeight="1">
      <c r="A3556" t="s">
        <v>26</v>
      </c>
      <c r="B3556" t="s">
        <v>4209</v>
      </c>
      <c r="C3556">
        <v>65969.5859375</v>
      </c>
      <c r="D3556">
        <v>69474.9453125</v>
      </c>
      <c r="E3556">
        <v>65858.0078125</v>
      </c>
      <c r="F3556">
        <v>68402.3828125</v>
      </c>
      <c r="G3556">
        <v>68402.3828125</v>
      </c>
      <c r="H3556">
        <v>49499875378</v>
      </c>
      <c r="I3556" t="s">
        <v>7289</v>
      </c>
      <c r="J3556" t="s">
        <v>7290</v>
      </c>
      <c r="K3556" t="s">
        <v>4634</v>
      </c>
    </row>
    <row r="3557" spans="1:11" ht="20" customHeight="1">
      <c r="A3557" t="s">
        <v>26</v>
      </c>
      <c r="B3557" t="s">
        <v>4212</v>
      </c>
      <c r="C3557">
        <v>68402.71875</v>
      </c>
      <c r="D3557">
        <v>71770.8984375</v>
      </c>
      <c r="E3557">
        <v>68402.71875</v>
      </c>
      <c r="F3557">
        <v>69926.921875</v>
      </c>
      <c r="G3557">
        <v>69926.921875</v>
      </c>
      <c r="H3557">
        <v>54003996096</v>
      </c>
      <c r="I3557" t="s">
        <v>7290</v>
      </c>
      <c r="J3557" t="s">
        <v>7291</v>
      </c>
      <c r="K3557" t="s">
        <v>4634</v>
      </c>
    </row>
    <row r="3558" spans="1:11" ht="20" customHeight="1">
      <c r="A3558" t="s">
        <v>26</v>
      </c>
      <c r="B3558" t="s">
        <v>4215</v>
      </c>
      <c r="C3558">
        <v>69931.25</v>
      </c>
      <c r="D3558">
        <v>71337.6640625</v>
      </c>
      <c r="E3558">
        <v>68998.8671875</v>
      </c>
      <c r="F3558">
        <v>70204.8828125</v>
      </c>
      <c r="G3558">
        <v>70204.8828125</v>
      </c>
      <c r="H3558">
        <v>45236859848</v>
      </c>
      <c r="I3558" t="s">
        <v>7291</v>
      </c>
      <c r="J3558" t="s">
        <v>7292</v>
      </c>
      <c r="K3558" t="s">
        <v>4634</v>
      </c>
    </row>
    <row r="3559" spans="1:11" ht="20" customHeight="1">
      <c r="A3559" t="s">
        <v>26</v>
      </c>
      <c r="B3559" t="s">
        <v>4218</v>
      </c>
      <c r="C3559">
        <v>70209.765625</v>
      </c>
      <c r="D3559">
        <v>70775.828125</v>
      </c>
      <c r="E3559">
        <v>69230.15625</v>
      </c>
      <c r="F3559">
        <v>70493.4609375</v>
      </c>
      <c r="G3559">
        <v>70493.4609375</v>
      </c>
      <c r="H3559">
        <v>40871848129</v>
      </c>
      <c r="I3559" t="s">
        <v>7292</v>
      </c>
      <c r="J3559" t="s">
        <v>7293</v>
      </c>
      <c r="K3559" t="s">
        <v>4634</v>
      </c>
    </row>
    <row r="3560" spans="1:11" ht="20" customHeight="1">
      <c r="A3560" t="s">
        <v>26</v>
      </c>
      <c r="B3560" t="s">
        <v>4221</v>
      </c>
      <c r="C3560">
        <v>70497.046875</v>
      </c>
      <c r="D3560">
        <v>73927.328125</v>
      </c>
      <c r="E3560">
        <v>70410.7265625</v>
      </c>
      <c r="F3560">
        <v>70968.265625</v>
      </c>
      <c r="G3560">
        <v>70968.265625</v>
      </c>
      <c r="H3560">
        <v>61167226505</v>
      </c>
      <c r="I3560" t="s">
        <v>7293</v>
      </c>
      <c r="J3560" t="s">
        <v>7294</v>
      </c>
      <c r="K3560" t="s">
        <v>4634</v>
      </c>
    </row>
    <row r="3561" spans="1:11" ht="20" customHeight="1">
      <c r="A3561" t="s">
        <v>26</v>
      </c>
      <c r="B3561" t="s">
        <v>7295</v>
      </c>
      <c r="C3561">
        <v>70965.3828125</v>
      </c>
      <c r="D3561">
        <v>71291.203125</v>
      </c>
      <c r="E3561">
        <v>70339.5859375</v>
      </c>
      <c r="F3561">
        <v>71214.625</v>
      </c>
      <c r="G3561">
        <v>71214.625</v>
      </c>
      <c r="H3561">
        <v>22283546496</v>
      </c>
      <c r="I3561" t="s">
        <v>7294</v>
      </c>
      <c r="J3561" t="s">
        <v>7296</v>
      </c>
      <c r="K3561" t="s">
        <v>4634</v>
      </c>
    </row>
    <row r="3562" spans="1:11" ht="20" customHeight="1">
      <c r="A3562" t="s">
        <v>26</v>
      </c>
      <c r="B3562" t="s">
        <v>7297</v>
      </c>
      <c r="C3562">
        <v>71213.6796875</v>
      </c>
      <c r="D3562">
        <v>73173.0078125</v>
      </c>
      <c r="E3562">
        <v>70882.421875</v>
      </c>
      <c r="F3562">
        <v>72789.9140625</v>
      </c>
      <c r="G3562">
        <v>72789.9140625</v>
      </c>
      <c r="H3562">
        <v>27991268669</v>
      </c>
      <c r="I3562" t="s">
        <v>7296</v>
      </c>
      <c r="J3562" t="s">
        <v>7298</v>
      </c>
      <c r="K3562" t="s">
        <v>4634</v>
      </c>
    </row>
    <row r="3563" spans="1:11" ht="20" customHeight="1">
      <c r="A3563" t="s">
        <v>26</v>
      </c>
      <c r="B3563" t="s">
        <v>4224</v>
      </c>
      <c r="C3563">
        <v>72798.171875</v>
      </c>
      <c r="D3563">
        <v>74901.859375</v>
      </c>
      <c r="E3563">
        <v>72300.6328125</v>
      </c>
      <c r="F3563">
        <v>74861.0859375</v>
      </c>
      <c r="G3563">
        <v>74861.0859375</v>
      </c>
      <c r="H3563">
        <v>55572438409</v>
      </c>
      <c r="I3563" t="s">
        <v>7298</v>
      </c>
      <c r="J3563" t="s">
        <v>7299</v>
      </c>
      <c r="K3563" t="s">
        <v>4634</v>
      </c>
    </row>
    <row r="3564" spans="1:11" ht="20" customHeight="1">
      <c r="A3564" t="s">
        <v>26</v>
      </c>
      <c r="B3564" t="s">
        <v>4227</v>
      </c>
      <c r="C3564">
        <v>74855.296875</v>
      </c>
      <c r="D3564">
        <v>75988.3984375</v>
      </c>
      <c r="E3564">
        <v>73444.2265625</v>
      </c>
      <c r="F3564">
        <v>73922.4765625</v>
      </c>
      <c r="G3564">
        <v>73922.4765625</v>
      </c>
      <c r="H3564">
        <v>49500721728</v>
      </c>
      <c r="I3564" t="s">
        <v>7299</v>
      </c>
      <c r="J3564" t="s">
        <v>7300</v>
      </c>
      <c r="K3564" t="s">
        <v>4634</v>
      </c>
    </row>
    <row r="3565" spans="1:11" ht="20" customHeight="1">
      <c r="A3565" t="s">
        <v>26</v>
      </c>
      <c r="B3565" t="s">
        <v>4230</v>
      </c>
      <c r="C3565">
        <v>73936.8515625</v>
      </c>
      <c r="D3565">
        <v>74658.9765625</v>
      </c>
      <c r="E3565">
        <v>70503.859375</v>
      </c>
      <c r="F3565">
        <v>71245.578125</v>
      </c>
      <c r="G3565">
        <v>71245.578125</v>
      </c>
      <c r="H3565">
        <v>46229011155</v>
      </c>
      <c r="I3565" t="s">
        <v>7300</v>
      </c>
      <c r="J3565" t="s">
        <v>7301</v>
      </c>
      <c r="K3565" t="s">
        <v>4634</v>
      </c>
    </row>
    <row r="3566" spans="1:11" ht="20" customHeight="1">
      <c r="A3566" t="s">
        <v>26</v>
      </c>
      <c r="B3566" t="s">
        <v>4233</v>
      </c>
      <c r="C3566">
        <v>71250.3515625</v>
      </c>
      <c r="D3566">
        <v>71598.84375</v>
      </c>
      <c r="E3566">
        <v>68805.5234375</v>
      </c>
      <c r="F3566">
        <v>69912.7890625</v>
      </c>
      <c r="G3566">
        <v>69912.7890625</v>
      </c>
      <c r="H3566">
        <v>44631433398</v>
      </c>
      <c r="I3566" t="s">
        <v>7301</v>
      </c>
      <c r="J3566" t="s">
        <v>7302</v>
      </c>
      <c r="K3566" t="s">
        <v>4634</v>
      </c>
    </row>
    <row r="3567" spans="1:11" ht="20" customHeight="1">
      <c r="A3567" t="s">
        <v>26</v>
      </c>
      <c r="B3567" t="s">
        <v>4236</v>
      </c>
      <c r="C3567">
        <v>69911.53125</v>
      </c>
      <c r="D3567">
        <v>71346.796875</v>
      </c>
      <c r="E3567">
        <v>69398.8828125</v>
      </c>
      <c r="F3567">
        <v>70522.5859375</v>
      </c>
      <c r="G3567">
        <v>70522.5859375</v>
      </c>
      <c r="H3567">
        <v>38299078407</v>
      </c>
      <c r="I3567" t="s">
        <v>7302</v>
      </c>
      <c r="J3567" t="s">
        <v>7303</v>
      </c>
      <c r="K3567" t="s">
        <v>4634</v>
      </c>
    </row>
    <row r="3568" spans="1:11" ht="20" customHeight="1">
      <c r="A3568" t="s">
        <v>26</v>
      </c>
      <c r="B3568" t="s">
        <v>7304</v>
      </c>
      <c r="C3568">
        <v>70522.46875</v>
      </c>
      <c r="D3568">
        <v>71051.2734375</v>
      </c>
      <c r="E3568">
        <v>68602.9140625</v>
      </c>
      <c r="F3568">
        <v>68711.5234375</v>
      </c>
      <c r="G3568">
        <v>68711.5234375</v>
      </c>
      <c r="H3568">
        <v>21109354718</v>
      </c>
      <c r="I3568" t="s">
        <v>7303</v>
      </c>
      <c r="J3568" t="s">
        <v>7305</v>
      </c>
      <c r="K3568" t="s">
        <v>4634</v>
      </c>
    </row>
    <row r="3569" spans="1:11" ht="20" customHeight="1">
      <c r="A3569" t="s">
        <v>26</v>
      </c>
      <c r="B3569" t="s">
        <v>7306</v>
      </c>
      <c r="C3569">
        <v>68737.4453125</v>
      </c>
      <c r="D3569">
        <v>69561.7734375</v>
      </c>
      <c r="E3569">
        <v>67372.875</v>
      </c>
      <c r="F3569">
        <v>67845.2109375</v>
      </c>
      <c r="G3569">
        <v>67845.2109375</v>
      </c>
      <c r="H3569">
        <v>30108051508</v>
      </c>
      <c r="I3569" t="s">
        <v>7305</v>
      </c>
      <c r="J3569" t="s">
        <v>7307</v>
      </c>
      <c r="K3569" t="s">
        <v>4634</v>
      </c>
    </row>
    <row r="3570" spans="1:11" ht="20" customHeight="1">
      <c r="A3570" t="s">
        <v>26</v>
      </c>
      <c r="B3570" t="s">
        <v>4239</v>
      </c>
      <c r="C3570">
        <v>67843</v>
      </c>
      <c r="D3570">
        <v>71782.2578125</v>
      </c>
      <c r="E3570">
        <v>67458.84375</v>
      </c>
      <c r="F3570">
        <v>70914.859375</v>
      </c>
      <c r="G3570">
        <v>70914.859375</v>
      </c>
      <c r="H3570">
        <v>51508669357</v>
      </c>
      <c r="I3570" t="s">
        <v>7307</v>
      </c>
      <c r="J3570" t="s">
        <v>7308</v>
      </c>
      <c r="K3570" t="s">
        <v>4634</v>
      </c>
    </row>
    <row r="3571" spans="1:11" ht="20" customHeight="1">
      <c r="A3571" t="s">
        <v>26</v>
      </c>
      <c r="B3571" t="s">
        <v>4242</v>
      </c>
      <c r="C3571">
        <v>70912.671875</v>
      </c>
      <c r="D3571">
        <v>71371.3046875</v>
      </c>
      <c r="E3571">
        <v>68920.6953125</v>
      </c>
      <c r="F3571">
        <v>70517.859375</v>
      </c>
      <c r="G3571">
        <v>70517.859375</v>
      </c>
      <c r="H3571">
        <v>40181522399</v>
      </c>
      <c r="I3571" t="s">
        <v>7308</v>
      </c>
      <c r="J3571" t="s">
        <v>7309</v>
      </c>
      <c r="K3571" t="s">
        <v>4634</v>
      </c>
    </row>
    <row r="3572" spans="1:11" ht="20" customHeight="1">
      <c r="A3572" t="s">
        <v>26</v>
      </c>
      <c r="B3572" t="s">
        <v>4245</v>
      </c>
      <c r="C3572">
        <v>70520.046875</v>
      </c>
      <c r="D3572">
        <v>71985.7421875</v>
      </c>
      <c r="E3572">
        <v>70383.59375</v>
      </c>
      <c r="F3572">
        <v>71309.8828125</v>
      </c>
      <c r="G3572">
        <v>71309.8828125</v>
      </c>
      <c r="H3572">
        <v>35409791747</v>
      </c>
      <c r="I3572" t="s">
        <v>7309</v>
      </c>
      <c r="J3572" t="s">
        <v>7310</v>
      </c>
      <c r="K3572" t="s">
        <v>4634</v>
      </c>
    </row>
    <row r="3573" spans="1:11" ht="20" customHeight="1">
      <c r="A3573" t="s">
        <v>26</v>
      </c>
      <c r="B3573" t="s">
        <v>4248</v>
      </c>
      <c r="C3573">
        <v>71310.1171875</v>
      </c>
      <c r="D3573">
        <v>71410.390625</v>
      </c>
      <c r="E3573">
        <v>68118.3515625</v>
      </c>
      <c r="F3573">
        <v>68791.625</v>
      </c>
      <c r="G3573">
        <v>68791.625</v>
      </c>
      <c r="H3573">
        <v>38962070215</v>
      </c>
      <c r="I3573" t="s">
        <v>7310</v>
      </c>
      <c r="J3573" t="s">
        <v>7311</v>
      </c>
      <c r="K3573" t="s">
        <v>4634</v>
      </c>
    </row>
    <row r="3574" spans="1:11" ht="20" customHeight="1">
      <c r="A3574" t="s">
        <v>26</v>
      </c>
      <c r="B3574" t="s">
        <v>4251</v>
      </c>
      <c r="C3574">
        <v>68790.8359375</v>
      </c>
      <c r="D3574">
        <v>69117.53125</v>
      </c>
      <c r="E3574">
        <v>65532.5703125</v>
      </c>
      <c r="F3574">
        <v>66338.375</v>
      </c>
      <c r="G3574">
        <v>66338.375</v>
      </c>
      <c r="H3574">
        <v>46483453594</v>
      </c>
      <c r="I3574" t="s">
        <v>7311</v>
      </c>
      <c r="J3574" t="s">
        <v>7312</v>
      </c>
      <c r="K3574" t="s">
        <v>4634</v>
      </c>
    </row>
    <row r="3575" spans="1:11" ht="20" customHeight="1">
      <c r="A3575" t="s">
        <v>26</v>
      </c>
      <c r="B3575" t="s">
        <v>7313</v>
      </c>
      <c r="C3575">
        <v>66338.5</v>
      </c>
      <c r="D3575">
        <v>67232.859375</v>
      </c>
      <c r="E3575">
        <v>65906.7421875</v>
      </c>
      <c r="F3575">
        <v>66319.6953125</v>
      </c>
      <c r="G3575">
        <v>66319.6953125</v>
      </c>
      <c r="H3575">
        <v>20924883455</v>
      </c>
      <c r="I3575" t="s">
        <v>7312</v>
      </c>
      <c r="J3575" t="s">
        <v>7314</v>
      </c>
      <c r="K3575" t="s">
        <v>4634</v>
      </c>
    </row>
    <row r="3576" spans="1:11" ht="20" customHeight="1">
      <c r="A3576" t="s">
        <v>26</v>
      </c>
      <c r="B3576" t="s">
        <v>7315</v>
      </c>
      <c r="C3576">
        <v>66319.6953125</v>
      </c>
      <c r="D3576">
        <v>67052.953125</v>
      </c>
      <c r="E3576">
        <v>64971.70703125</v>
      </c>
      <c r="F3576">
        <v>65954.921875</v>
      </c>
      <c r="G3576">
        <v>65954.921875</v>
      </c>
      <c r="H3576">
        <v>21645889785</v>
      </c>
      <c r="I3576" t="s">
        <v>7314</v>
      </c>
      <c r="J3576" t="s">
        <v>7316</v>
      </c>
      <c r="K3576" t="s">
        <v>4634</v>
      </c>
    </row>
    <row r="3577" spans="1:11" ht="20" customHeight="1">
      <c r="A3577" t="s">
        <v>26</v>
      </c>
      <c r="B3577" t="s">
        <v>4254</v>
      </c>
      <c r="C3577">
        <v>65958.3515625</v>
      </c>
      <c r="D3577">
        <v>68087.2890625</v>
      </c>
      <c r="E3577">
        <v>65759.8046875</v>
      </c>
      <c r="F3577">
        <v>66691.4453125</v>
      </c>
      <c r="G3577">
        <v>66691.4453125</v>
      </c>
      <c r="H3577">
        <v>37694994180</v>
      </c>
      <c r="I3577" t="s">
        <v>7316</v>
      </c>
      <c r="J3577" t="s">
        <v>7317</v>
      </c>
      <c r="K3577" t="s">
        <v>4634</v>
      </c>
    </row>
    <row r="3578" spans="1:11" ht="20" customHeight="1">
      <c r="A3578" t="s">
        <v>26</v>
      </c>
      <c r="B3578" t="s">
        <v>4257</v>
      </c>
      <c r="C3578">
        <v>66694.5859375</v>
      </c>
      <c r="D3578">
        <v>68495.2734375</v>
      </c>
      <c r="E3578">
        <v>65950.4375</v>
      </c>
      <c r="F3578">
        <v>68233.3125</v>
      </c>
      <c r="G3578">
        <v>68233.3125</v>
      </c>
      <c r="H3578">
        <v>42997691338</v>
      </c>
      <c r="I3578" t="s">
        <v>7317</v>
      </c>
      <c r="J3578" t="s">
        <v>7318</v>
      </c>
      <c r="K3578" t="s">
        <v>4634</v>
      </c>
    </row>
    <row r="3579" spans="1:11" ht="20" customHeight="1">
      <c r="A3579" t="s">
        <v>26</v>
      </c>
      <c r="B3579" t="s">
        <v>4260</v>
      </c>
      <c r="C3579">
        <v>68232.890625</v>
      </c>
      <c r="D3579">
        <v>69230.359375</v>
      </c>
      <c r="E3579">
        <v>67555.359375</v>
      </c>
      <c r="F3579">
        <v>68078.5546875</v>
      </c>
      <c r="G3579">
        <v>68078.5546875</v>
      </c>
      <c r="H3579">
        <v>36465393617</v>
      </c>
      <c r="I3579" t="s">
        <v>7318</v>
      </c>
      <c r="J3579" t="s">
        <v>7319</v>
      </c>
      <c r="K3579" t="s">
        <v>4634</v>
      </c>
    </row>
    <row r="3580" spans="1:11" ht="20" customHeight="1">
      <c r="A3580" t="s">
        <v>26</v>
      </c>
      <c r="B3580" t="s">
        <v>4263</v>
      </c>
      <c r="C3580">
        <v>68077.8984375</v>
      </c>
      <c r="D3580">
        <v>68633.1484375</v>
      </c>
      <c r="E3580">
        <v>65725.2578125</v>
      </c>
      <c r="F3580">
        <v>66888.5703125</v>
      </c>
      <c r="G3580">
        <v>66888.5703125</v>
      </c>
      <c r="H3580">
        <v>39323384518</v>
      </c>
      <c r="I3580" t="s">
        <v>7319</v>
      </c>
      <c r="J3580" t="s">
        <v>7320</v>
      </c>
      <c r="K3580" t="s">
        <v>4634</v>
      </c>
    </row>
    <row r="3581" spans="1:11" ht="20" customHeight="1">
      <c r="A3581" t="s">
        <v>26</v>
      </c>
      <c r="B3581" t="s">
        <v>7321</v>
      </c>
      <c r="C3581">
        <v>66889.015625</v>
      </c>
      <c r="D3581">
        <v>67296.234375</v>
      </c>
      <c r="E3581">
        <v>66281.5390625</v>
      </c>
      <c r="F3581">
        <v>66931.1015625</v>
      </c>
      <c r="G3581">
        <v>66931.1015625</v>
      </c>
      <c r="H3581">
        <v>22815543346</v>
      </c>
      <c r="I3581" t="s">
        <v>7320</v>
      </c>
      <c r="J3581" t="s">
        <v>7322</v>
      </c>
      <c r="K3581" t="s">
        <v>4634</v>
      </c>
    </row>
    <row r="3582" spans="1:11" ht="20" customHeight="1">
      <c r="A3582" t="s">
        <v>26</v>
      </c>
      <c r="B3582" t="s">
        <v>7323</v>
      </c>
      <c r="C3582">
        <v>66938.6484375</v>
      </c>
      <c r="D3582">
        <v>67515.015625</v>
      </c>
      <c r="E3582">
        <v>66769.640625</v>
      </c>
      <c r="F3582">
        <v>67290.515625</v>
      </c>
      <c r="G3582">
        <v>67290.515625</v>
      </c>
      <c r="H3582">
        <v>15878814963</v>
      </c>
      <c r="I3582" t="s">
        <v>7322</v>
      </c>
      <c r="J3582" t="s">
        <v>7324</v>
      </c>
      <c r="K3582" t="s">
        <v>4634</v>
      </c>
    </row>
    <row r="3583" spans="1:11" ht="20" customHeight="1">
      <c r="A3583" t="s">
        <v>26</v>
      </c>
      <c r="B3583" t="s">
        <v>7325</v>
      </c>
      <c r="C3583">
        <v>67291.1953125</v>
      </c>
      <c r="D3583">
        <v>69087.65625</v>
      </c>
      <c r="E3583">
        <v>66610.6328125</v>
      </c>
      <c r="F3583">
        <v>68981.8984375</v>
      </c>
      <c r="G3583">
        <v>68981.8984375</v>
      </c>
      <c r="H3583">
        <v>22972648674</v>
      </c>
      <c r="I3583" t="s">
        <v>7324</v>
      </c>
      <c r="J3583" t="s">
        <v>7326</v>
      </c>
      <c r="K3583" t="s">
        <v>4634</v>
      </c>
    </row>
    <row r="3584" spans="1:11" ht="20" customHeight="1">
      <c r="A3584" t="s">
        <v>26</v>
      </c>
      <c r="B3584" t="s">
        <v>4266</v>
      </c>
      <c r="C3584">
        <v>68982.9140625</v>
      </c>
      <c r="D3584">
        <v>70305.421875</v>
      </c>
      <c r="E3584">
        <v>68347.078125</v>
      </c>
      <c r="F3584">
        <v>68859.828125</v>
      </c>
      <c r="G3584">
        <v>68859.828125</v>
      </c>
      <c r="H3584">
        <v>39542143229</v>
      </c>
      <c r="I3584" t="s">
        <v>7326</v>
      </c>
      <c r="J3584" t="s">
        <v>7327</v>
      </c>
      <c r="K3584" t="s">
        <v>4634</v>
      </c>
    </row>
    <row r="3585" spans="1:11" ht="20" customHeight="1">
      <c r="A3585" t="s">
        <v>26</v>
      </c>
      <c r="B3585" t="s">
        <v>4269</v>
      </c>
      <c r="C3585">
        <v>68859.375</v>
      </c>
      <c r="D3585">
        <v>72732.4296875</v>
      </c>
      <c r="E3585">
        <v>67740.5078125</v>
      </c>
      <c r="F3585">
        <v>71940.703125</v>
      </c>
      <c r="G3585">
        <v>71940.703125</v>
      </c>
      <c r="H3585">
        <v>44650511480</v>
      </c>
      <c r="I3585" t="s">
        <v>7327</v>
      </c>
      <c r="J3585" t="s">
        <v>7328</v>
      </c>
      <c r="K3585" t="s">
        <v>4634</v>
      </c>
    </row>
    <row r="3586" spans="1:11" ht="20" customHeight="1">
      <c r="A3586" t="s">
        <v>26</v>
      </c>
      <c r="B3586" t="s">
        <v>4272</v>
      </c>
      <c r="C3586">
        <v>71950.1484375</v>
      </c>
      <c r="D3586">
        <v>72825.1875</v>
      </c>
      <c r="E3586">
        <v>70707.46875</v>
      </c>
      <c r="F3586">
        <v>71123.359375</v>
      </c>
      <c r="G3586">
        <v>71123.359375</v>
      </c>
      <c r="H3586">
        <v>42444631703</v>
      </c>
      <c r="I3586" t="s">
        <v>7328</v>
      </c>
      <c r="J3586" t="s">
        <v>7329</v>
      </c>
      <c r="K3586" t="s">
        <v>4634</v>
      </c>
    </row>
    <row r="3587" spans="1:11" ht="20" customHeight="1">
      <c r="A3587" t="s">
        <v>26</v>
      </c>
      <c r="B3587" t="s">
        <v>4275</v>
      </c>
      <c r="C3587">
        <v>71120.5703125</v>
      </c>
      <c r="D3587">
        <v>73107.265625</v>
      </c>
      <c r="E3587">
        <v>70486.359375</v>
      </c>
      <c r="F3587">
        <v>71767.828125</v>
      </c>
      <c r="G3587">
        <v>71767.828125</v>
      </c>
      <c r="H3587">
        <v>38799581473</v>
      </c>
      <c r="I3587" t="s">
        <v>7329</v>
      </c>
      <c r="J3587" t="s">
        <v>7330</v>
      </c>
      <c r="K3587" t="s">
        <v>4634</v>
      </c>
    </row>
    <row r="3588" spans="1:11" ht="20" customHeight="1">
      <c r="A3588" t="s">
        <v>26</v>
      </c>
      <c r="B3588" t="s">
        <v>4278</v>
      </c>
      <c r="C3588">
        <v>71774.3671875</v>
      </c>
      <c r="D3588">
        <v>73440.1171875</v>
      </c>
      <c r="E3588">
        <v>71434.828125</v>
      </c>
      <c r="F3588">
        <v>72979.046875</v>
      </c>
      <c r="G3588">
        <v>72979.046875</v>
      </c>
      <c r="H3588">
        <v>37722595732</v>
      </c>
      <c r="I3588" t="s">
        <v>7330</v>
      </c>
      <c r="J3588" t="s">
        <v>7331</v>
      </c>
      <c r="K3588" t="s">
        <v>4634</v>
      </c>
    </row>
    <row r="3589" spans="1:11" ht="20" customHeight="1">
      <c r="A3589" t="s">
        <v>26</v>
      </c>
      <c r="B3589" t="s">
        <v>7332</v>
      </c>
      <c r="C3589">
        <v>72976.125</v>
      </c>
      <c r="D3589">
        <v>73784.234375</v>
      </c>
      <c r="E3589">
        <v>72556.3359375</v>
      </c>
      <c r="F3589">
        <v>73054.2734375</v>
      </c>
      <c r="G3589">
        <v>73054.2734375</v>
      </c>
      <c r="H3589">
        <v>23287073965</v>
      </c>
      <c r="I3589" t="s">
        <v>7331</v>
      </c>
      <c r="J3589" t="s">
        <v>7333</v>
      </c>
      <c r="K3589" t="s">
        <v>4634</v>
      </c>
    </row>
    <row r="3590" spans="1:11" ht="20" customHeight="1">
      <c r="A3590" t="s">
        <v>26</v>
      </c>
      <c r="B3590" t="s">
        <v>7334</v>
      </c>
      <c r="C3590">
        <v>73056.046875</v>
      </c>
      <c r="D3590">
        <v>73154.03125</v>
      </c>
      <c r="E3590">
        <v>70540.5703125</v>
      </c>
      <c r="F3590">
        <v>70753.40625</v>
      </c>
      <c r="G3590">
        <v>70753.40625</v>
      </c>
      <c r="H3590">
        <v>29882740487</v>
      </c>
      <c r="I3590" t="s">
        <v>7333</v>
      </c>
      <c r="J3590" t="s">
        <v>7335</v>
      </c>
      <c r="K3590" t="s">
        <v>4634</v>
      </c>
    </row>
    <row r="3591" spans="1:11" ht="20" customHeight="1">
      <c r="A3591" t="s">
        <v>26</v>
      </c>
      <c r="B3591" t="s">
        <v>4281</v>
      </c>
      <c r="C3591">
        <v>70757.6171875</v>
      </c>
      <c r="D3591">
        <v>74896.3125</v>
      </c>
      <c r="E3591">
        <v>70588.5234375</v>
      </c>
      <c r="F3591">
        <v>74484.640625</v>
      </c>
      <c r="G3591">
        <v>74484.640625</v>
      </c>
      <c r="H3591">
        <v>52278211554</v>
      </c>
      <c r="I3591" t="s">
        <v>7335</v>
      </c>
      <c r="J3591" t="s">
        <v>7336</v>
      </c>
      <c r="K3591" t="s">
        <v>4634</v>
      </c>
    </row>
    <row r="3592" spans="1:11" ht="20" customHeight="1">
      <c r="A3592" t="s">
        <v>26</v>
      </c>
      <c r="B3592" t="s">
        <v>4284</v>
      </c>
      <c r="C3592">
        <v>74478.3984375</v>
      </c>
      <c r="D3592">
        <v>76061.7578125</v>
      </c>
      <c r="E3592">
        <v>73877.203125</v>
      </c>
      <c r="F3592">
        <v>74181.609375</v>
      </c>
      <c r="G3592">
        <v>74181.609375</v>
      </c>
      <c r="H3592">
        <v>53540826530</v>
      </c>
      <c r="I3592" t="s">
        <v>7336</v>
      </c>
      <c r="J3592" t="s">
        <v>7337</v>
      </c>
      <c r="K3592" t="s">
        <v>4634</v>
      </c>
    </row>
    <row r="3593" spans="1:11" ht="20" customHeight="1">
      <c r="A3593" t="s">
        <v>26</v>
      </c>
      <c r="B3593" t="s">
        <v>4287</v>
      </c>
      <c r="C3593">
        <v>74182.0234375</v>
      </c>
      <c r="D3593">
        <v>75409.2734375</v>
      </c>
      <c r="E3593">
        <v>73549.203125</v>
      </c>
      <c r="F3593">
        <v>74805.078125</v>
      </c>
      <c r="G3593">
        <v>74805.078125</v>
      </c>
      <c r="H3593">
        <v>38090174312</v>
      </c>
      <c r="I3593" t="s">
        <v>7337</v>
      </c>
      <c r="J3593" t="s">
        <v>7338</v>
      </c>
      <c r="K3593" t="s">
        <v>4634</v>
      </c>
    </row>
    <row r="3594" spans="1:11" ht="20" customHeight="1">
      <c r="A3594" t="s">
        <v>26</v>
      </c>
      <c r="B3594" t="s">
        <v>4290</v>
      </c>
      <c r="C3594">
        <v>74810.875</v>
      </c>
      <c r="D3594">
        <v>75506.5703125</v>
      </c>
      <c r="E3594">
        <v>73346.265625</v>
      </c>
      <c r="F3594">
        <v>75152.1328125</v>
      </c>
      <c r="G3594">
        <v>75152.1328125</v>
      </c>
      <c r="H3594">
        <v>41312783855</v>
      </c>
      <c r="I3594" t="s">
        <v>7338</v>
      </c>
      <c r="J3594" t="s">
        <v>7339</v>
      </c>
      <c r="K3594" t="s">
        <v>4634</v>
      </c>
    </row>
    <row r="3595" spans="1:11" ht="20" customHeight="1">
      <c r="A3595" t="s">
        <v>26</v>
      </c>
      <c r="B3595" t="s">
        <v>4293</v>
      </c>
      <c r="C3595">
        <v>75164.0390625</v>
      </c>
      <c r="D3595">
        <v>78320.6796875</v>
      </c>
      <c r="E3595">
        <v>74558.6015625</v>
      </c>
      <c r="F3595">
        <v>77126.875</v>
      </c>
      <c r="G3595">
        <v>77126.875</v>
      </c>
      <c r="H3595">
        <v>54137194839</v>
      </c>
      <c r="I3595" t="s">
        <v>7339</v>
      </c>
      <c r="J3595" t="s">
        <v>7340</v>
      </c>
      <c r="K3595" t="s">
        <v>4634</v>
      </c>
    </row>
    <row r="3596" spans="1:11" ht="20" customHeight="1">
      <c r="A3596" t="s">
        <v>26</v>
      </c>
      <c r="B3596" t="s">
        <v>7341</v>
      </c>
      <c r="C3596">
        <v>77136.046875</v>
      </c>
      <c r="D3596">
        <v>77416.703125</v>
      </c>
      <c r="E3596">
        <v>75504.9453125</v>
      </c>
      <c r="F3596">
        <v>75726.2109375</v>
      </c>
      <c r="G3596">
        <v>75726.2109375</v>
      </c>
      <c r="H3596">
        <v>26014416776</v>
      </c>
      <c r="I3596" t="s">
        <v>7340</v>
      </c>
      <c r="J3596" t="s">
        <v>7342</v>
      </c>
      <c r="K3596" t="s">
        <v>4634</v>
      </c>
    </row>
    <row r="3597" spans="1:11" ht="20" customHeight="1">
      <c r="A3597" t="s">
        <v>26</v>
      </c>
      <c r="B3597" t="s">
        <v>7343</v>
      </c>
      <c r="C3597">
        <v>75723.6953125</v>
      </c>
      <c r="D3597">
        <v>76243.09375</v>
      </c>
      <c r="E3597">
        <v>73802.3828125</v>
      </c>
      <c r="F3597">
        <v>73856.3515625</v>
      </c>
      <c r="G3597">
        <v>73856.3515625</v>
      </c>
      <c r="H3597">
        <v>30931515195</v>
      </c>
      <c r="I3597" t="s">
        <v>7342</v>
      </c>
      <c r="J3597" t="s">
        <v>7344</v>
      </c>
      <c r="K3597" t="s">
        <v>4634</v>
      </c>
    </row>
    <row r="3598" spans="1:11" ht="20" customHeight="1">
      <c r="A3598" t="s">
        <v>26</v>
      </c>
      <c r="B3598" t="s">
        <v>4296</v>
      </c>
      <c r="C3598">
        <v>73854.25</v>
      </c>
      <c r="D3598">
        <v>76575.359375</v>
      </c>
      <c r="E3598">
        <v>73775.5703125</v>
      </c>
      <c r="F3598">
        <v>75872.5234375</v>
      </c>
      <c r="G3598">
        <v>75872.5234375</v>
      </c>
      <c r="H3598">
        <v>39674447916</v>
      </c>
      <c r="I3598" t="s">
        <v>7344</v>
      </c>
      <c r="J3598" t="s">
        <v>7345</v>
      </c>
      <c r="K3598" t="s">
        <v>4634</v>
      </c>
    </row>
    <row r="3599" spans="1:11" ht="20" customHeight="1">
      <c r="A3599" t="s">
        <v>26</v>
      </c>
      <c r="B3599" t="s">
        <v>4299</v>
      </c>
      <c r="C3599">
        <v>75872.828125</v>
      </c>
      <c r="D3599">
        <v>76881.4765625</v>
      </c>
      <c r="E3599">
        <v>74852.671875</v>
      </c>
      <c r="F3599">
        <v>76352.7734375</v>
      </c>
      <c r="G3599">
        <v>76352.7734375</v>
      </c>
      <c r="H3599">
        <v>36453522626</v>
      </c>
      <c r="I3599" t="s">
        <v>7345</v>
      </c>
      <c r="J3599" t="s">
        <v>7346</v>
      </c>
      <c r="K3599" t="s">
        <v>4634</v>
      </c>
    </row>
    <row r="3600" spans="1:11" ht="20" customHeight="1">
      <c r="A3600" t="s">
        <v>26</v>
      </c>
      <c r="B3600" t="s">
        <v>4302</v>
      </c>
      <c r="C3600">
        <v>76354.21875</v>
      </c>
      <c r="D3600">
        <v>79468</v>
      </c>
      <c r="E3600">
        <v>76159.578125</v>
      </c>
      <c r="F3600">
        <v>78203.1015625</v>
      </c>
      <c r="G3600">
        <v>78203.1015625</v>
      </c>
      <c r="H3600">
        <v>48336654537</v>
      </c>
      <c r="I3600" t="s">
        <v>7346</v>
      </c>
      <c r="J3600" t="s">
        <v>7347</v>
      </c>
      <c r="K3600" t="s">
        <v>4634</v>
      </c>
    </row>
    <row r="3601" spans="1:11" ht="20" customHeight="1">
      <c r="A3601" t="s">
        <v>26</v>
      </c>
      <c r="B3601" t="s">
        <v>4305</v>
      </c>
      <c r="C3601">
        <v>78203.875</v>
      </c>
      <c r="D3601">
        <v>78676.9375</v>
      </c>
      <c r="E3601">
        <v>77014.453125</v>
      </c>
      <c r="F3601">
        <v>78268.953125</v>
      </c>
      <c r="G3601">
        <v>78268.953125</v>
      </c>
      <c r="H3601">
        <v>40354900916</v>
      </c>
      <c r="I3601" t="s">
        <v>7347</v>
      </c>
      <c r="J3601" t="s">
        <v>7348</v>
      </c>
      <c r="K3601" t="s">
        <v>4634</v>
      </c>
    </row>
    <row r="3602" spans="1:11" ht="20" customHeight="1">
      <c r="A3602" t="s">
        <v>26</v>
      </c>
      <c r="B3602" t="s">
        <v>4308</v>
      </c>
      <c r="C3602">
        <v>78263.8203125</v>
      </c>
      <c r="D3602">
        <v>78554.09375</v>
      </c>
      <c r="E3602">
        <v>77318.4453125</v>
      </c>
      <c r="F3602">
        <v>77455.3125</v>
      </c>
      <c r="G3602">
        <v>77455.3125</v>
      </c>
      <c r="H3602">
        <v>32784213526</v>
      </c>
      <c r="I3602" t="s">
        <v>7348</v>
      </c>
      <c r="J3602" t="s">
        <v>7349</v>
      </c>
      <c r="K3602" t="s">
        <v>4634</v>
      </c>
    </row>
    <row r="3603" spans="1:11" ht="20" customHeight="1">
      <c r="A3603" t="s">
        <v>26</v>
      </c>
      <c r="B3603" t="s">
        <v>7350</v>
      </c>
      <c r="C3603">
        <v>77457.2109375</v>
      </c>
      <c r="D3603">
        <v>77882.640625</v>
      </c>
      <c r="E3603">
        <v>77184.6640625</v>
      </c>
      <c r="F3603">
        <v>77612.015625</v>
      </c>
      <c r="G3603">
        <v>77612.015625</v>
      </c>
      <c r="H3603">
        <v>16702933134</v>
      </c>
      <c r="I3603" t="s">
        <v>7349</v>
      </c>
      <c r="J3603" t="s">
        <v>7351</v>
      </c>
      <c r="K3603" t="s">
        <v>4634</v>
      </c>
    </row>
    <row r="3604" spans="1:11" ht="20" customHeight="1">
      <c r="A3604" t="s">
        <v>26</v>
      </c>
      <c r="B3604" t="s">
        <v>7352</v>
      </c>
      <c r="C3604">
        <v>77613.1171875</v>
      </c>
      <c r="D3604">
        <v>78923.5625</v>
      </c>
      <c r="E3604">
        <v>77334.890625</v>
      </c>
      <c r="F3604">
        <v>78657.5390625</v>
      </c>
      <c r="G3604">
        <v>78657.5390625</v>
      </c>
      <c r="H3604">
        <v>21482934750</v>
      </c>
      <c r="I3604" t="s">
        <v>7351</v>
      </c>
      <c r="J3604" t="s">
        <v>7353</v>
      </c>
      <c r="K3604" t="s">
        <v>4634</v>
      </c>
    </row>
    <row r="3605" spans="1:11" ht="20" customHeight="1">
      <c r="A3605" t="s">
        <v>26</v>
      </c>
      <c r="B3605" t="s">
        <v>4311</v>
      </c>
      <c r="C3605">
        <v>78661.015625</v>
      </c>
      <c r="D3605">
        <v>79488.171875</v>
      </c>
      <c r="E3605">
        <v>76481.34375</v>
      </c>
      <c r="F3605">
        <v>77366.625</v>
      </c>
      <c r="G3605">
        <v>77366.625</v>
      </c>
      <c r="H3605">
        <v>38135631927</v>
      </c>
      <c r="I3605" t="s">
        <v>7353</v>
      </c>
      <c r="J3605" t="s">
        <v>7354</v>
      </c>
      <c r="K3605" t="s">
        <v>4634</v>
      </c>
    </row>
    <row r="3606" spans="1:11" ht="20" customHeight="1">
      <c r="A3606" t="s">
        <v>26</v>
      </c>
      <c r="B3606" t="s">
        <v>4314</v>
      </c>
      <c r="C3606">
        <v>77368.1171875</v>
      </c>
      <c r="D3606">
        <v>77483.8671875</v>
      </c>
      <c r="E3606">
        <v>75673.6015625</v>
      </c>
      <c r="F3606">
        <v>76350.671875</v>
      </c>
      <c r="G3606">
        <v>76350.671875</v>
      </c>
      <c r="H3606">
        <v>32056900880</v>
      </c>
      <c r="I3606" t="s">
        <v>7354</v>
      </c>
      <c r="J3606" t="s">
        <v>7355</v>
      </c>
      <c r="K3606" t="s">
        <v>4634</v>
      </c>
    </row>
    <row r="3607" spans="1:11" ht="20" customHeight="1">
      <c r="A3607" t="s">
        <v>26</v>
      </c>
      <c r="B3607" t="s">
        <v>4317</v>
      </c>
      <c r="C3607">
        <v>76350.6875</v>
      </c>
      <c r="D3607">
        <v>77884.96875</v>
      </c>
      <c r="E3607">
        <v>74958.5703125</v>
      </c>
      <c r="F3607">
        <v>75776.1328125</v>
      </c>
      <c r="G3607">
        <v>75776.1328125</v>
      </c>
      <c r="H3607">
        <v>41460907886</v>
      </c>
      <c r="I3607" t="s">
        <v>7355</v>
      </c>
      <c r="J3607" t="s">
        <v>7356</v>
      </c>
      <c r="K3607" t="s">
        <v>4634</v>
      </c>
    </row>
    <row r="3608" spans="1:11" ht="20" customHeight="1">
      <c r="A3608" t="s">
        <v>26</v>
      </c>
      <c r="B3608" t="s">
        <v>4320</v>
      </c>
      <c r="C3608">
        <v>75778.6328125</v>
      </c>
      <c r="D3608">
        <v>76611.484375</v>
      </c>
      <c r="E3608">
        <v>75318.984375</v>
      </c>
      <c r="F3608">
        <v>76304.3203125</v>
      </c>
      <c r="G3608">
        <v>76304.3203125</v>
      </c>
      <c r="H3608">
        <v>29497862305</v>
      </c>
      <c r="I3608" t="s">
        <v>7356</v>
      </c>
      <c r="J3608" t="s">
        <v>7357</v>
      </c>
      <c r="K3608" t="s">
        <v>4634</v>
      </c>
    </row>
    <row r="3609" spans="1:11" ht="20" customHeight="1">
      <c r="A3609" t="s">
        <v>26</v>
      </c>
      <c r="B3609" t="s">
        <v>4323</v>
      </c>
      <c r="C3609">
        <v>76305.0546875</v>
      </c>
      <c r="D3609">
        <v>78894.9765625</v>
      </c>
      <c r="E3609">
        <v>76294.6953125</v>
      </c>
      <c r="F3609">
        <v>78179</v>
      </c>
      <c r="G3609">
        <v>78179</v>
      </c>
      <c r="H3609">
        <v>39164328894</v>
      </c>
      <c r="I3609" t="s">
        <v>7357</v>
      </c>
      <c r="J3609" t="s">
        <v>7358</v>
      </c>
      <c r="K3609" t="s">
        <v>4634</v>
      </c>
    </row>
    <row r="3610" spans="1:11" ht="20" customHeight="1">
      <c r="A3610" t="s">
        <v>26</v>
      </c>
      <c r="B3610" t="s">
        <v>7359</v>
      </c>
      <c r="C3610">
        <v>78177.75</v>
      </c>
      <c r="D3610">
        <v>79119.7890625</v>
      </c>
      <c r="E3610">
        <v>78031.9609375</v>
      </c>
      <c r="F3610">
        <v>78657.25</v>
      </c>
      <c r="G3610">
        <v>78657.25</v>
      </c>
      <c r="H3610">
        <v>16761531851</v>
      </c>
      <c r="I3610" t="s">
        <v>7358</v>
      </c>
      <c r="J3610" t="s">
        <v>7360</v>
      </c>
      <c r="K3610" t="s">
        <v>4634</v>
      </c>
    </row>
    <row r="3611" spans="1:11" ht="20" customHeight="1">
      <c r="A3611" t="s">
        <v>26</v>
      </c>
      <c r="B3611" t="s">
        <v>7361</v>
      </c>
      <c r="C3611">
        <v>78656.7265625</v>
      </c>
      <c r="D3611">
        <v>79402.359375</v>
      </c>
      <c r="E3611">
        <v>78073.078125</v>
      </c>
      <c r="F3611">
        <v>78538.2265625</v>
      </c>
      <c r="G3611">
        <v>78538.2265625</v>
      </c>
      <c r="H3611">
        <v>20544392639</v>
      </c>
      <c r="I3611" t="s">
        <v>7360</v>
      </c>
      <c r="J3611" t="s">
        <v>7362</v>
      </c>
      <c r="K3611" t="s">
        <v>4634</v>
      </c>
    </row>
    <row r="3612" spans="1:11" ht="20" customHeight="1">
      <c r="A3612" t="s">
        <v>26</v>
      </c>
      <c r="B3612" t="s">
        <v>4326</v>
      </c>
      <c r="C3612">
        <v>78540.2890625</v>
      </c>
      <c r="D3612">
        <v>80742.359375</v>
      </c>
      <c r="E3612">
        <v>78217.9609375</v>
      </c>
      <c r="F3612">
        <v>79827.90625</v>
      </c>
      <c r="G3612">
        <v>79827.90625</v>
      </c>
      <c r="H3612">
        <v>54325085296</v>
      </c>
      <c r="I3612" t="s">
        <v>7362</v>
      </c>
      <c r="J3612" t="s">
        <v>7363</v>
      </c>
      <c r="K3612" t="s">
        <v>4634</v>
      </c>
    </row>
    <row r="3613" spans="1:11" ht="20" customHeight="1">
      <c r="A3613" t="s">
        <v>26</v>
      </c>
      <c r="B3613" t="s">
        <v>4329</v>
      </c>
      <c r="C3613">
        <v>79823.53125</v>
      </c>
      <c r="D3613">
        <v>81751.453125</v>
      </c>
      <c r="E3613">
        <v>79787.578125</v>
      </c>
      <c r="F3613">
        <v>80927.0546875</v>
      </c>
      <c r="G3613">
        <v>80927.0546875</v>
      </c>
      <c r="H3613">
        <v>39700107376</v>
      </c>
      <c r="I3613" t="s">
        <v>7363</v>
      </c>
      <c r="J3613" t="s">
        <v>7364</v>
      </c>
      <c r="K3613" t="s">
        <v>4634</v>
      </c>
    </row>
    <row r="3614" spans="1:11" ht="20" customHeight="1">
      <c r="A3614" t="s">
        <v>26</v>
      </c>
      <c r="B3614" t="s">
        <v>4332</v>
      </c>
      <c r="C3614">
        <v>80930.734375</v>
      </c>
      <c r="D3614">
        <v>82792.2109375</v>
      </c>
      <c r="E3614">
        <v>80751.0234375</v>
      </c>
      <c r="F3614">
        <v>81427.53125</v>
      </c>
      <c r="G3614">
        <v>81427.53125</v>
      </c>
      <c r="H3614">
        <v>41751540000</v>
      </c>
      <c r="I3614" t="s">
        <v>7364</v>
      </c>
      <c r="J3614" t="s">
        <v>7365</v>
      </c>
      <c r="K3614" t="s">
        <v>4634</v>
      </c>
    </row>
    <row r="3615" spans="1:11" ht="20" customHeight="1">
      <c r="A3615" t="s">
        <v>26</v>
      </c>
      <c r="B3615" t="s">
        <v>4335</v>
      </c>
      <c r="C3615">
        <v>81428.8515625</v>
      </c>
      <c r="D3615">
        <v>81684.953125</v>
      </c>
      <c r="E3615">
        <v>79522.65625</v>
      </c>
      <c r="F3615">
        <v>80009.9921875</v>
      </c>
      <c r="G3615">
        <v>80009.9921875</v>
      </c>
      <c r="H3615">
        <v>36931193154</v>
      </c>
      <c r="I3615" t="s">
        <v>7365</v>
      </c>
      <c r="J3615" t="s">
        <v>7366</v>
      </c>
      <c r="K3615" t="s">
        <v>4634</v>
      </c>
    </row>
    <row r="3616" spans="1:11" ht="20" customHeight="1">
      <c r="A3616" t="s">
        <v>26</v>
      </c>
      <c r="B3616" t="s">
        <v>4338</v>
      </c>
      <c r="C3616">
        <v>80009.625</v>
      </c>
      <c r="D3616">
        <v>80447.265625</v>
      </c>
      <c r="E3616">
        <v>79205.515625</v>
      </c>
      <c r="F3616">
        <v>80186.765625</v>
      </c>
      <c r="G3616">
        <v>80186.765625</v>
      </c>
      <c r="H3616">
        <v>33789351540</v>
      </c>
      <c r="I3616" t="s">
        <v>7366</v>
      </c>
      <c r="J3616" t="s">
        <v>7367</v>
      </c>
      <c r="K3616" t="s">
        <v>4634</v>
      </c>
    </row>
    <row r="3617" spans="1:11" ht="20" customHeight="1">
      <c r="A3617" t="s">
        <v>26</v>
      </c>
      <c r="B3617" t="s">
        <v>7368</v>
      </c>
      <c r="C3617">
        <v>80187.7421875</v>
      </c>
      <c r="D3617">
        <v>81030.0625</v>
      </c>
      <c r="E3617">
        <v>80119.9296875</v>
      </c>
      <c r="F3617">
        <v>80664.3671875</v>
      </c>
      <c r="G3617">
        <v>80664.3671875</v>
      </c>
      <c r="H3617">
        <v>18102086996</v>
      </c>
      <c r="I3617" t="s">
        <v>7367</v>
      </c>
      <c r="J3617" t="s">
        <v>7369</v>
      </c>
      <c r="K3617" t="s">
        <v>4634</v>
      </c>
    </row>
    <row r="3618" spans="1:11" ht="20" customHeight="1">
      <c r="A3618" t="s">
        <v>26</v>
      </c>
      <c r="B3618" t="s">
        <v>7370</v>
      </c>
      <c r="C3618">
        <v>80665.609375</v>
      </c>
      <c r="D3618">
        <v>82430.171875</v>
      </c>
      <c r="E3618">
        <v>80274.1328125</v>
      </c>
      <c r="F3618">
        <v>82138.9296875</v>
      </c>
      <c r="G3618">
        <v>82138.9296875</v>
      </c>
      <c r="H3618">
        <v>26965971077</v>
      </c>
      <c r="I3618" t="s">
        <v>7369</v>
      </c>
      <c r="J3618" t="s">
        <v>7371</v>
      </c>
      <c r="K3618" t="s">
        <v>4634</v>
      </c>
    </row>
    <row r="3619" spans="1:11" ht="20" customHeight="1">
      <c r="A3619" t="s">
        <v>26</v>
      </c>
      <c r="B3619" t="s">
        <v>4341</v>
      </c>
      <c r="C3619">
        <v>82139.046875</v>
      </c>
      <c r="D3619">
        <v>82326.234375</v>
      </c>
      <c r="E3619">
        <v>80451.421875</v>
      </c>
      <c r="F3619">
        <v>81728.296875</v>
      </c>
      <c r="G3619">
        <v>81728.296875</v>
      </c>
      <c r="H3619">
        <v>32409774919</v>
      </c>
      <c r="I3619" t="s">
        <v>7371</v>
      </c>
      <c r="J3619" t="s">
        <v>7372</v>
      </c>
      <c r="K3619" t="s">
        <v>4634</v>
      </c>
    </row>
    <row r="3620" spans="1:11" ht="20" customHeight="1">
      <c r="A3620" t="s">
        <v>26</v>
      </c>
      <c r="B3620" t="s">
        <v>4344</v>
      </c>
      <c r="C3620">
        <v>81725.3515625</v>
      </c>
      <c r="D3620">
        <v>81753.03125</v>
      </c>
      <c r="E3620">
        <v>79832.1015625</v>
      </c>
      <c r="F3620">
        <v>80477.4921875</v>
      </c>
      <c r="G3620">
        <v>80477.4921875</v>
      </c>
      <c r="H3620">
        <v>32186688600</v>
      </c>
      <c r="I3620" t="s">
        <v>7372</v>
      </c>
      <c r="J3620" t="s">
        <v>7373</v>
      </c>
      <c r="K3620" t="s">
        <v>4634</v>
      </c>
    </row>
    <row r="3621" spans="1:11" ht="20" customHeight="1">
      <c r="A3621" t="s">
        <v>26</v>
      </c>
      <c r="B3621" t="s">
        <v>4347</v>
      </c>
      <c r="C3621">
        <v>80476.7890625</v>
      </c>
      <c r="D3621">
        <v>81276.671875</v>
      </c>
      <c r="E3621">
        <v>78725.5078125</v>
      </c>
      <c r="F3621">
        <v>79277.1171875</v>
      </c>
      <c r="G3621">
        <v>79277.1171875</v>
      </c>
      <c r="H3621">
        <v>34075428359</v>
      </c>
      <c r="I3621" t="s">
        <v>7373</v>
      </c>
      <c r="J3621" t="s">
        <v>7374</v>
      </c>
      <c r="K3621" t="s">
        <v>4634</v>
      </c>
    </row>
    <row r="3622" spans="1:11" ht="20" customHeight="1">
      <c r="A3622" t="s">
        <v>26</v>
      </c>
      <c r="B3622" t="s">
        <v>4350</v>
      </c>
      <c r="C3622">
        <v>79276.9453125</v>
      </c>
      <c r="D3622">
        <v>82005.9609375</v>
      </c>
      <c r="E3622">
        <v>78909.6796875</v>
      </c>
      <c r="F3622">
        <v>81051.25</v>
      </c>
      <c r="G3622">
        <v>81051.25</v>
      </c>
      <c r="H3622">
        <v>43731663431</v>
      </c>
      <c r="I3622" t="s">
        <v>7374</v>
      </c>
      <c r="J3622" t="s">
        <v>7375</v>
      </c>
      <c r="K3622" t="s">
        <v>4634</v>
      </c>
    </row>
    <row r="3623" spans="1:11" ht="20" customHeight="1">
      <c r="A3623" t="s">
        <v>26</v>
      </c>
      <c r="B3623" t="s">
        <v>4353</v>
      </c>
      <c r="C3623">
        <v>81046.8671875</v>
      </c>
      <c r="D3623">
        <v>81634.84375</v>
      </c>
      <c r="E3623">
        <v>78635.3671875</v>
      </c>
      <c r="F3623">
        <v>79065.6796875</v>
      </c>
      <c r="G3623">
        <v>79065.6796875</v>
      </c>
      <c r="H3623">
        <v>38183347368</v>
      </c>
      <c r="I3623" t="s">
        <v>7375</v>
      </c>
      <c r="J3623" t="s">
        <v>7376</v>
      </c>
      <c r="K3623" t="s">
        <v>4634</v>
      </c>
    </row>
    <row r="3624" spans="1:11" ht="20" customHeight="1">
      <c r="A3624" t="s">
        <v>26</v>
      </c>
      <c r="B3624" t="s">
        <v>7377</v>
      </c>
      <c r="C3624">
        <v>79066</v>
      </c>
      <c r="D3624">
        <v>79173.5</v>
      </c>
      <c r="E3624">
        <v>77630.734375</v>
      </c>
      <c r="F3624">
        <v>78131.4375</v>
      </c>
      <c r="G3624">
        <v>78131.4375</v>
      </c>
      <c r="H3624">
        <v>25895799905</v>
      </c>
      <c r="I3624" t="s">
        <v>7376</v>
      </c>
      <c r="J3624" t="s">
        <v>7378</v>
      </c>
      <c r="K3624" t="s">
        <v>4634</v>
      </c>
    </row>
    <row r="3625" spans="1:11" ht="20" customHeight="1">
      <c r="A3625" t="s">
        <v>26</v>
      </c>
      <c r="B3625" t="s">
        <v>7379</v>
      </c>
      <c r="C3625">
        <v>78133.5859375</v>
      </c>
      <c r="D3625">
        <v>78539.3984375</v>
      </c>
      <c r="E3625">
        <v>76783.4140625</v>
      </c>
      <c r="F3625">
        <v>77429.3515625</v>
      </c>
      <c r="G3625">
        <v>77429.3515625</v>
      </c>
      <c r="H3625">
        <v>20900166465</v>
      </c>
      <c r="I3625" t="s">
        <v>7378</v>
      </c>
      <c r="J3625" t="s">
        <v>7380</v>
      </c>
      <c r="K3625" t="s">
        <v>4634</v>
      </c>
    </row>
    <row r="3626" spans="1:11" ht="20" customHeight="1">
      <c r="A3626" t="s">
        <v>26</v>
      </c>
      <c r="B3626" t="s">
        <v>4356</v>
      </c>
      <c r="C3626">
        <v>77426.34375</v>
      </c>
      <c r="D3626">
        <v>77749.3203125</v>
      </c>
      <c r="E3626">
        <v>76029.2265625</v>
      </c>
      <c r="F3626">
        <v>76954.171875</v>
      </c>
      <c r="G3626">
        <v>76954.171875</v>
      </c>
      <c r="H3626">
        <v>41520471808</v>
      </c>
      <c r="I3626" t="s">
        <v>7380</v>
      </c>
      <c r="J3626" t="s">
        <v>7381</v>
      </c>
      <c r="K3626" t="s">
        <v>4634</v>
      </c>
    </row>
    <row r="3627" spans="1:11" ht="20" customHeight="1">
      <c r="A3627" t="s">
        <v>26</v>
      </c>
      <c r="B3627" t="s">
        <v>4359</v>
      </c>
      <c r="C3627">
        <v>76954.75</v>
      </c>
      <c r="D3627">
        <v>77346.8671875</v>
      </c>
      <c r="E3627">
        <v>76082.3671875</v>
      </c>
      <c r="F3627">
        <v>76750.90625</v>
      </c>
      <c r="G3627">
        <v>76750.90625</v>
      </c>
      <c r="H3627">
        <v>26031898332</v>
      </c>
      <c r="I3627" t="s">
        <v>7381</v>
      </c>
      <c r="J3627" t="s">
        <v>7382</v>
      </c>
      <c r="K3627" t="s">
        <v>4634</v>
      </c>
    </row>
    <row r="3628" spans="1:11" ht="20" customHeight="1">
      <c r="A3628" t="s">
        <v>26</v>
      </c>
      <c r="B3628" t="s">
        <v>4362</v>
      </c>
      <c r="C3628">
        <v>76749.453125</v>
      </c>
      <c r="D3628">
        <v>77775.5703125</v>
      </c>
      <c r="E3628">
        <v>76463.6484375</v>
      </c>
      <c r="F3628">
        <v>77457.7734375</v>
      </c>
      <c r="G3628">
        <v>77457.7734375</v>
      </c>
      <c r="H3628">
        <v>26668360936</v>
      </c>
      <c r="I3628" t="s">
        <v>7382</v>
      </c>
      <c r="J3628" t="s">
        <v>7383</v>
      </c>
      <c r="K3628" t="s">
        <v>4634</v>
      </c>
    </row>
    <row r="3629" spans="1:11" ht="20" customHeight="1">
      <c r="A3629" t="s">
        <v>26</v>
      </c>
      <c r="B3629" t="s">
        <v>4365</v>
      </c>
      <c r="C3629">
        <v>77462.5078125</v>
      </c>
      <c r="D3629">
        <v>78100.5625</v>
      </c>
      <c r="E3629">
        <v>76655.4375</v>
      </c>
      <c r="F3629">
        <v>77539.171875</v>
      </c>
      <c r="G3629">
        <v>77539.171875</v>
      </c>
      <c r="H3629">
        <v>27141485404</v>
      </c>
      <c r="I3629" t="s">
        <v>7383</v>
      </c>
      <c r="J3629" t="s">
        <v>7384</v>
      </c>
      <c r="K3629" t="s">
        <v>4634</v>
      </c>
    </row>
    <row r="3630" spans="1:11" ht="20" customHeight="1">
      <c r="A3630" t="s">
        <v>26</v>
      </c>
      <c r="B3630" t="s">
        <v>4368</v>
      </c>
      <c r="C3630">
        <v>77538.1171875</v>
      </c>
      <c r="D3630">
        <v>77819.453125</v>
      </c>
      <c r="E3630">
        <v>75323.875</v>
      </c>
      <c r="F3630">
        <v>75488.2421875</v>
      </c>
      <c r="G3630">
        <v>75488.2421875</v>
      </c>
      <c r="H3630">
        <v>27859040109</v>
      </c>
      <c r="I3630" t="s">
        <v>7384</v>
      </c>
      <c r="J3630" t="s">
        <v>7385</v>
      </c>
      <c r="K3630" t="s">
        <v>4634</v>
      </c>
    </row>
    <row r="3631" spans="1:11" ht="20" customHeight="1">
      <c r="A3631" t="s">
        <v>26</v>
      </c>
      <c r="B3631" t="s">
        <v>7386</v>
      </c>
      <c r="C3631">
        <v>75488.3125</v>
      </c>
      <c r="D3631">
        <v>77288.1171875</v>
      </c>
      <c r="E3631">
        <v>74255.234375</v>
      </c>
      <c r="F3631">
        <v>76673.3671875</v>
      </c>
      <c r="G3631">
        <v>76673.3671875</v>
      </c>
      <c r="H3631">
        <v>29973220002</v>
      </c>
      <c r="I3631" t="s">
        <v>7385</v>
      </c>
      <c r="J3631" t="s">
        <v>7387</v>
      </c>
      <c r="K3631" t="s">
        <v>4634</v>
      </c>
    </row>
    <row r="3632" spans="1:11" ht="20" customHeight="1">
      <c r="A3632" t="s">
        <v>26</v>
      </c>
      <c r="B3632" t="s">
        <v>7388</v>
      </c>
      <c r="C3632">
        <v>76670.65625</v>
      </c>
      <c r="D3632">
        <v>77372.5390625</v>
      </c>
      <c r="E3632">
        <v>76019.890625</v>
      </c>
      <c r="F3632">
        <v>76981.125</v>
      </c>
      <c r="G3632">
        <v>76981.125</v>
      </c>
      <c r="H3632">
        <v>20572738918</v>
      </c>
      <c r="I3632" t="s">
        <v>7387</v>
      </c>
      <c r="J3632" t="s">
        <v>7389</v>
      </c>
      <c r="K3632" t="s">
        <v>4634</v>
      </c>
    </row>
    <row r="3633" spans="1:11" ht="20" customHeight="1">
      <c r="A3633" t="s">
        <v>26</v>
      </c>
      <c r="B3633" t="s">
        <v>7390</v>
      </c>
      <c r="C3633">
        <v>76981.125</v>
      </c>
      <c r="D3633">
        <v>77804.921875</v>
      </c>
      <c r="E3633">
        <v>76833.0390625</v>
      </c>
      <c r="F3633">
        <v>77279.9296875</v>
      </c>
      <c r="G3633">
        <v>77279.9296875</v>
      </c>
      <c r="H3633">
        <v>19808387601</v>
      </c>
      <c r="I3633" t="s">
        <v>7389</v>
      </c>
      <c r="J3633" t="s">
        <v>7391</v>
      </c>
      <c r="K3633" t="s">
        <v>4634</v>
      </c>
    </row>
    <row r="3634" spans="1:11" ht="20" customHeight="1">
      <c r="A3634" t="s">
        <v>26</v>
      </c>
      <c r="B3634" t="s">
        <v>4371</v>
      </c>
      <c r="C3634">
        <v>77280.125</v>
      </c>
      <c r="D3634">
        <v>77990.8671875</v>
      </c>
      <c r="E3634">
        <v>75569.46875</v>
      </c>
      <c r="F3634">
        <v>75825.734375</v>
      </c>
      <c r="G3634">
        <v>75825.734375</v>
      </c>
      <c r="H3634">
        <v>35999475458</v>
      </c>
      <c r="I3634" t="s">
        <v>7391</v>
      </c>
      <c r="J3634" t="s">
        <v>7392</v>
      </c>
      <c r="K3634" t="s">
        <v>4634</v>
      </c>
    </row>
    <row r="3635" spans="1:11" ht="20" customHeight="1">
      <c r="A3635" t="s">
        <v>26</v>
      </c>
      <c r="B3635" t="s">
        <v>4374</v>
      </c>
      <c r="C3635">
        <v>75825.3046875</v>
      </c>
      <c r="D3635">
        <v>76014.296875</v>
      </c>
      <c r="E3635">
        <v>74136.5</v>
      </c>
      <c r="F3635">
        <v>74344.703125</v>
      </c>
      <c r="G3635">
        <v>74344.703125</v>
      </c>
      <c r="H3635">
        <v>33802172927</v>
      </c>
      <c r="I3635" t="s">
        <v>7392</v>
      </c>
      <c r="J3635" t="s">
        <v>7393</v>
      </c>
      <c r="K3635" t="s">
        <v>4634</v>
      </c>
    </row>
    <row r="3636" spans="1:11" ht="20" customHeight="1">
      <c r="A3636" t="s">
        <v>26</v>
      </c>
      <c r="B3636" t="s">
        <v>4377</v>
      </c>
      <c r="C3636">
        <v>74339.5703125</v>
      </c>
      <c r="D3636">
        <v>74460.125</v>
      </c>
      <c r="E3636">
        <v>72493.4140625</v>
      </c>
      <c r="F3636">
        <v>73536.5546875</v>
      </c>
      <c r="G3636">
        <v>73536.5546875</v>
      </c>
      <c r="H3636">
        <v>40148145327</v>
      </c>
      <c r="I3636" t="s">
        <v>7393</v>
      </c>
      <c r="J3636" t="s">
        <v>7394</v>
      </c>
      <c r="K3636" t="s">
        <v>4634</v>
      </c>
    </row>
    <row r="3637" spans="1:11" ht="20" customHeight="1">
      <c r="A3637" t="s">
        <v>26</v>
      </c>
      <c r="B3637" t="s">
        <v>4380</v>
      </c>
      <c r="C3637">
        <v>73537.03125</v>
      </c>
      <c r="D3637">
        <v>74218.5625</v>
      </c>
      <c r="E3637">
        <v>72435.625</v>
      </c>
      <c r="F3637">
        <v>73372.5234375</v>
      </c>
      <c r="G3637">
        <v>73372.5234375</v>
      </c>
      <c r="H3637">
        <v>34457929250</v>
      </c>
      <c r="I3637" t="s">
        <v>7394</v>
      </c>
      <c r="J3637" t="s">
        <v>7395</v>
      </c>
      <c r="K3637" t="s">
        <v>4634</v>
      </c>
    </row>
    <row r="3638" spans="1:11" ht="20" customHeight="1">
      <c r="A3638" t="s">
        <v>26</v>
      </c>
      <c r="B3638" t="s">
        <v>7396</v>
      </c>
      <c r="C3638">
        <v>73370.8515625</v>
      </c>
      <c r="D3638">
        <v>74020.7578125</v>
      </c>
      <c r="E3638">
        <v>73125.234375</v>
      </c>
      <c r="F3638">
        <v>73754.8359375</v>
      </c>
      <c r="G3638">
        <v>73754.8359375</v>
      </c>
      <c r="H3638">
        <v>19563589191</v>
      </c>
      <c r="I3638" t="s">
        <v>7395</v>
      </c>
      <c r="J3638" t="s">
        <v>7397</v>
      </c>
      <c r="K3638" t="s">
        <v>4634</v>
      </c>
    </row>
    <row r="3639" spans="1:11" ht="20" customHeight="1">
      <c r="A3639" t="s">
        <v>26</v>
      </c>
      <c r="B3639" t="s">
        <v>7398</v>
      </c>
      <c r="C3639">
        <v>73753.75</v>
      </c>
      <c r="D3639">
        <v>74153.5</v>
      </c>
      <c r="E3639">
        <v>73315.015625</v>
      </c>
      <c r="F3639">
        <v>73579.6875</v>
      </c>
      <c r="G3639">
        <v>73579.6875</v>
      </c>
      <c r="H3639">
        <v>17445435650</v>
      </c>
      <c r="I3639" t="s">
        <v>7397</v>
      </c>
      <c r="J3639" t="s">
        <v>7399</v>
      </c>
      <c r="K3639" t="s">
        <v>4634</v>
      </c>
    </row>
    <row r="3640" spans="1:11" ht="20" customHeight="1">
      <c r="A3640" t="s">
        <v>26</v>
      </c>
      <c r="B3640" t="s">
        <v>4383</v>
      </c>
      <c r="C3640">
        <v>73580.2109375</v>
      </c>
      <c r="D3640">
        <v>73969.5703125</v>
      </c>
      <c r="E3640">
        <v>70599.5078125</v>
      </c>
      <c r="F3640">
        <v>71319.7734375</v>
      </c>
      <c r="G3640">
        <v>71319.7734375</v>
      </c>
      <c r="H3640">
        <v>43378836121</v>
      </c>
      <c r="I3640" t="s">
        <v>7399</v>
      </c>
      <c r="J3640" t="s">
        <v>7400</v>
      </c>
      <c r="K3640" t="s">
        <v>4634</v>
      </c>
    </row>
    <row r="3641" spans="1:11" ht="20" customHeight="1">
      <c r="A3641" t="s">
        <v>26</v>
      </c>
      <c r="B3641" t="s">
        <v>4386</v>
      </c>
      <c r="C3641">
        <v>71321.03125</v>
      </c>
      <c r="D3641">
        <v>71334.953125</v>
      </c>
      <c r="E3641">
        <v>66127.265625</v>
      </c>
      <c r="F3641">
        <v>66703.65625</v>
      </c>
      <c r="G3641">
        <v>66703.65625</v>
      </c>
      <c r="H3641">
        <v>54990073882</v>
      </c>
      <c r="I3641" t="s">
        <v>7400</v>
      </c>
      <c r="J3641" t="s">
        <v>7401</v>
      </c>
      <c r="K3641" t="s">
        <v>4634</v>
      </c>
    </row>
    <row r="3642" spans="1:11" ht="20" customHeight="1">
      <c r="A3642" t="s">
        <v>26</v>
      </c>
      <c r="B3642" t="s">
        <v>4389</v>
      </c>
      <c r="C3642">
        <v>66694.0078125</v>
      </c>
      <c r="D3642">
        <v>67402.9296875</v>
      </c>
      <c r="E3642">
        <v>64009.67578125</v>
      </c>
      <c r="F3642">
        <v>64014.3671875</v>
      </c>
      <c r="G3642">
        <v>64014.3671875</v>
      </c>
      <c r="H3642">
        <v>47411556213</v>
      </c>
      <c r="I3642" t="s">
        <v>7401</v>
      </c>
      <c r="J3642" t="s">
        <v>7402</v>
      </c>
      <c r="K3642" t="s">
        <v>4634</v>
      </c>
    </row>
    <row r="3643" spans="1:11" ht="20" customHeight="1">
      <c r="A3643" t="s">
        <v>26</v>
      </c>
      <c r="B3643" t="s">
        <v>4392</v>
      </c>
      <c r="C3643">
        <v>64020.0703125</v>
      </c>
      <c r="D3643">
        <v>64664.4453125</v>
      </c>
      <c r="E3643">
        <v>61335.75</v>
      </c>
      <c r="F3643">
        <v>63801.57421875</v>
      </c>
      <c r="G3643">
        <v>63801.57421875</v>
      </c>
      <c r="H3643">
        <v>63800151780</v>
      </c>
      <c r="I3643" t="s">
        <v>7402</v>
      </c>
      <c r="J3643" t="s">
        <v>7403</v>
      </c>
      <c r="K3643" t="s">
        <v>4634</v>
      </c>
    </row>
    <row r="3644" spans="1:11" ht="20" customHeight="1">
      <c r="A3644" t="s">
        <v>26</v>
      </c>
      <c r="B3644" t="s">
        <v>4395</v>
      </c>
      <c r="C3644">
        <v>63807.69140625</v>
      </c>
      <c r="D3644">
        <v>63901.515625</v>
      </c>
      <c r="E3644">
        <v>59108.91796875</v>
      </c>
      <c r="F3644">
        <v>60922.66796875</v>
      </c>
      <c r="G3644">
        <v>60922.66796875</v>
      </c>
      <c r="H3644">
        <v>71465606706</v>
      </c>
      <c r="I3644" t="s">
        <v>7403</v>
      </c>
      <c r="J3644" t="s">
        <v>7404</v>
      </c>
      <c r="K3644" t="s">
        <v>4634</v>
      </c>
    </row>
    <row r="3645" spans="1:11" ht="20" customHeight="1">
      <c r="A3645" t="s">
        <v>26</v>
      </c>
      <c r="B3645" t="s">
        <v>7405</v>
      </c>
      <c r="C3645">
        <v>60924.4765625</v>
      </c>
      <c r="D3645">
        <v>61491.703125</v>
      </c>
      <c r="E3645">
        <v>59496.625</v>
      </c>
      <c r="F3645">
        <v>60867.4140625</v>
      </c>
      <c r="G3645">
        <v>60867.4140625</v>
      </c>
      <c r="H3645">
        <v>30898464957</v>
      </c>
      <c r="I3645" t="s">
        <v>7404</v>
      </c>
      <c r="J3645" t="s">
        <v>7406</v>
      </c>
      <c r="K3645" t="s">
        <v>4634</v>
      </c>
    </row>
    <row r="3646" spans="1:11" ht="20" customHeight="1">
      <c r="A3646" t="s">
        <v>26</v>
      </c>
      <c r="B3646" t="s">
        <v>7407</v>
      </c>
      <c r="C3646">
        <v>60866.94140625</v>
      </c>
      <c r="D3646">
        <v>64128.04296875</v>
      </c>
      <c r="E3646">
        <v>60724.06640625</v>
      </c>
      <c r="F3646">
        <v>63239.51953125</v>
      </c>
      <c r="G3646">
        <v>63239.51953125</v>
      </c>
      <c r="H3646">
        <v>36006496194</v>
      </c>
      <c r="I3646" t="s">
        <v>7406</v>
      </c>
      <c r="J3646" t="s">
        <v>7408</v>
      </c>
      <c r="K3646" t="s">
        <v>4634</v>
      </c>
    </row>
    <row r="3647" spans="1:11" ht="20" customHeight="1">
      <c r="A3647" t="s">
        <v>26</v>
      </c>
      <c r="B3647" t="s">
        <v>4398</v>
      </c>
      <c r="C3647">
        <v>63244.0859375</v>
      </c>
      <c r="D3647">
        <v>64185.765625</v>
      </c>
      <c r="E3647">
        <v>62384.66796875</v>
      </c>
      <c r="F3647">
        <v>63090.58984375</v>
      </c>
      <c r="G3647">
        <v>63090.58984375</v>
      </c>
      <c r="H3647">
        <v>34133252457</v>
      </c>
      <c r="I3647" t="s">
        <v>7408</v>
      </c>
      <c r="J3647" t="s">
        <v>7409</v>
      </c>
      <c r="K3647" t="s">
        <v>4634</v>
      </c>
    </row>
    <row r="3648" spans="1:11" ht="20" customHeight="1">
      <c r="A3648" t="s">
        <v>26</v>
      </c>
      <c r="B3648" t="s">
        <v>4401</v>
      </c>
      <c r="C3648">
        <v>63092.890625</v>
      </c>
      <c r="D3648">
        <v>63486.08984375</v>
      </c>
      <c r="E3648">
        <v>60756.6875</v>
      </c>
      <c r="F3648">
        <v>61643.78125</v>
      </c>
      <c r="G3648">
        <v>61643.78125</v>
      </c>
      <c r="H3648">
        <v>40144449754</v>
      </c>
      <c r="I3648" t="s">
        <v>7409</v>
      </c>
      <c r="J3648" t="s">
        <v>7410</v>
      </c>
      <c r="K3648" t="s">
        <v>4634</v>
      </c>
    </row>
    <row r="3649" spans="1:11" ht="20" customHeight="1">
      <c r="A3649" t="s">
        <v>26</v>
      </c>
      <c r="B3649" t="s">
        <v>4404</v>
      </c>
      <c r="C3649">
        <v>61643.20703125</v>
      </c>
      <c r="D3649">
        <v>62788.27734375</v>
      </c>
      <c r="E3649">
        <v>60788.0234375</v>
      </c>
      <c r="F3649">
        <v>61449.2890625</v>
      </c>
      <c r="G3649">
        <v>61449.2890625</v>
      </c>
      <c r="H3649">
        <v>27493506779</v>
      </c>
      <c r="I3649" t="s">
        <v>7410</v>
      </c>
      <c r="J3649" t="s">
        <v>7411</v>
      </c>
      <c r="K3649" t="s">
        <v>4634</v>
      </c>
    </row>
    <row r="3650" spans="1:11" ht="20" customHeight="1">
      <c r="A3650" t="s">
        <v>26</v>
      </c>
      <c r="B3650" t="s">
        <v>4407</v>
      </c>
      <c r="C3650">
        <v>61448.87890625</v>
      </c>
      <c r="D3650">
        <v>63851.94921875</v>
      </c>
      <c r="E3650">
        <v>61447.96875</v>
      </c>
      <c r="F3650">
        <v>63561.0546875</v>
      </c>
      <c r="G3650">
        <v>63561.0546875</v>
      </c>
      <c r="H3650">
        <v>29316677897</v>
      </c>
      <c r="I3650" t="s">
        <v>7411</v>
      </c>
      <c r="J3650" t="s">
        <v>7412</v>
      </c>
      <c r="K3650" t="s">
        <v>4634</v>
      </c>
    </row>
    <row r="3651" spans="1:11" ht="20" customHeight="1">
      <c r="A3651" t="s">
        <v>26</v>
      </c>
      <c r="B3651" t="s">
        <v>4410</v>
      </c>
      <c r="C3651">
        <v>63547.44140625</v>
      </c>
      <c r="D3651">
        <v>64334.015625</v>
      </c>
      <c r="E3651">
        <v>62778.79296875</v>
      </c>
      <c r="F3651">
        <v>63543.19921875</v>
      </c>
      <c r="G3651">
        <v>63543.19921875</v>
      </c>
      <c r="H3651">
        <v>26881868307</v>
      </c>
      <c r="I3651" t="s">
        <v>7412</v>
      </c>
      <c r="J3651" t="s">
        <v>7413</v>
      </c>
      <c r="K3651" t="s">
        <v>4634</v>
      </c>
    </row>
    <row r="3652" spans="1:11" ht="20" customHeight="1">
      <c r="A3652" t="s">
        <v>26</v>
      </c>
      <c r="B3652" t="s">
        <v>7414</v>
      </c>
      <c r="C3652">
        <v>63541.515625</v>
      </c>
      <c r="D3652">
        <v>64700.87890625</v>
      </c>
      <c r="E3652">
        <v>63431.3203125</v>
      </c>
      <c r="F3652">
        <v>64421.32421875</v>
      </c>
      <c r="G3652">
        <v>64421.32421875</v>
      </c>
      <c r="H3652">
        <v>16956245530</v>
      </c>
      <c r="I3652" t="s">
        <v>7413</v>
      </c>
      <c r="J3652" t="s">
        <v>7415</v>
      </c>
      <c r="K3652" t="s">
        <v>4634</v>
      </c>
    </row>
    <row r="3653" spans="1:11" ht="20" customHeight="1">
      <c r="A3653" t="s">
        <v>26</v>
      </c>
      <c r="B3653" t="s">
        <v>7416</v>
      </c>
      <c r="C3653">
        <v>64420.16796875</v>
      </c>
      <c r="D3653">
        <v>65749.78125</v>
      </c>
      <c r="E3653">
        <v>63634.0234375</v>
      </c>
      <c r="F3653">
        <v>65710.3984375</v>
      </c>
      <c r="G3653">
        <v>65710.3984375</v>
      </c>
      <c r="H3653">
        <v>21572226975</v>
      </c>
      <c r="I3653" t="s">
        <v>7415</v>
      </c>
      <c r="J3653" t="s">
        <v>7417</v>
      </c>
      <c r="K3653" t="s">
        <v>4634</v>
      </c>
    </row>
    <row r="3654" spans="1:11" ht="20" customHeight="1">
      <c r="A3654" t="s">
        <v>26</v>
      </c>
      <c r="B3654" t="s">
        <v>4413</v>
      </c>
      <c r="C3654">
        <v>65711.109375</v>
      </c>
      <c r="D3654">
        <v>67248.1328125</v>
      </c>
      <c r="E3654">
        <v>65315.8359375</v>
      </c>
      <c r="F3654">
        <v>66289.5</v>
      </c>
      <c r="G3654">
        <v>66289.5</v>
      </c>
      <c r="H3654">
        <v>32927321950</v>
      </c>
      <c r="I3654" t="s">
        <v>7417</v>
      </c>
      <c r="J3654" t="s">
        <v>7418</v>
      </c>
      <c r="K3654" t="s">
        <v>4634</v>
      </c>
    </row>
    <row r="3655" spans="1:11" ht="20" customHeight="1">
      <c r="A3655" t="s">
        <v>26</v>
      </c>
      <c r="B3655" t="s">
        <v>4416</v>
      </c>
      <c r="C3655">
        <v>66289.4609375</v>
      </c>
      <c r="D3655">
        <v>66928.609375</v>
      </c>
      <c r="E3655">
        <v>65315.0703125</v>
      </c>
      <c r="F3655">
        <v>65600.640625</v>
      </c>
      <c r="G3655">
        <v>65600.640625</v>
      </c>
      <c r="H3655">
        <v>25063963967</v>
      </c>
      <c r="I3655" t="s">
        <v>7418</v>
      </c>
      <c r="J3655" t="s">
        <v>7419</v>
      </c>
      <c r="K3655" t="s">
        <v>4634</v>
      </c>
    </row>
    <row r="3656" spans="1:11" ht="20" customHeight="1">
      <c r="A3656" t="s">
        <v>26</v>
      </c>
      <c r="B3656" t="s">
        <v>4419</v>
      </c>
      <c r="C3656">
        <v>65600.4296875</v>
      </c>
      <c r="D3656">
        <v>66354.625</v>
      </c>
      <c r="E3656">
        <v>63870.9296875</v>
      </c>
      <c r="F3656">
        <v>64418.4453125</v>
      </c>
      <c r="G3656">
        <v>64418.4453125</v>
      </c>
      <c r="H3656">
        <v>31288885189</v>
      </c>
      <c r="I3656" t="s">
        <v>7419</v>
      </c>
      <c r="J3656" t="s">
        <v>7420</v>
      </c>
      <c r="K3656" t="s">
        <v>4634</v>
      </c>
    </row>
    <row r="3657" spans="1:11" ht="20" customHeight="1">
      <c r="A3657" t="s">
        <v>26</v>
      </c>
      <c r="B3657" t="s">
        <v>4422</v>
      </c>
      <c r="C3657">
        <v>64419.64453125</v>
      </c>
      <c r="D3657">
        <v>64736.921875</v>
      </c>
      <c r="E3657">
        <v>62201.14453125</v>
      </c>
      <c r="F3657">
        <v>62896.47265625</v>
      </c>
      <c r="G3657">
        <v>62896.47265625</v>
      </c>
      <c r="H3657">
        <v>30432454936</v>
      </c>
      <c r="I3657" t="s">
        <v>7420</v>
      </c>
      <c r="J3657" t="s">
        <v>7421</v>
      </c>
      <c r="K3657" t="s">
        <v>4634</v>
      </c>
    </row>
    <row r="3658" spans="1:11" ht="20" customHeight="1">
      <c r="A3658" t="s">
        <v>26</v>
      </c>
      <c r="B3658" t="s">
        <v>7422</v>
      </c>
      <c r="C3658">
        <v>62897.515625</v>
      </c>
      <c r="D3658">
        <v>63568.22265625</v>
      </c>
      <c r="E3658">
        <v>62275.58203125</v>
      </c>
      <c r="F3658">
        <v>63540.8359375</v>
      </c>
      <c r="G3658">
        <v>63540.8359375</v>
      </c>
      <c r="H3658">
        <v>22361931660</v>
      </c>
      <c r="I3658" t="s">
        <v>7421</v>
      </c>
      <c r="J3658" t="s">
        <v>7423</v>
      </c>
      <c r="K3658" t="s">
        <v>4634</v>
      </c>
    </row>
    <row r="3659" spans="1:11" ht="20" customHeight="1">
      <c r="A3659" t="s">
        <v>26</v>
      </c>
      <c r="B3659" t="s">
        <v>7424</v>
      </c>
      <c r="C3659">
        <v>63535.80859375</v>
      </c>
      <c r="D3659">
        <v>64307.13671875</v>
      </c>
      <c r="E3659">
        <v>63149.66015625</v>
      </c>
      <c r="F3659">
        <v>64239.67578125</v>
      </c>
      <c r="G3659">
        <v>64239.67578125</v>
      </c>
      <c r="H3659">
        <v>17486384117</v>
      </c>
      <c r="I3659" t="s">
        <v>7423</v>
      </c>
      <c r="J3659" t="s">
        <v>7425</v>
      </c>
      <c r="K3659" t="s">
        <v>4634</v>
      </c>
    </row>
    <row r="3660" spans="1:11" ht="20" customHeight="1">
      <c r="A3660" t="s">
        <v>26</v>
      </c>
      <c r="B3660" t="s">
        <v>7426</v>
      </c>
      <c r="C3660">
        <v>64242.32421875</v>
      </c>
      <c r="D3660">
        <v>64506.578125</v>
      </c>
      <c r="E3660">
        <v>63221</v>
      </c>
      <c r="F3660">
        <v>63237.5390625</v>
      </c>
      <c r="G3660">
        <v>63237.5390625</v>
      </c>
      <c r="H3660">
        <v>15739619591</v>
      </c>
      <c r="I3660" t="s">
        <v>7425</v>
      </c>
      <c r="J3660" t="s">
        <v>7427</v>
      </c>
      <c r="K3660" t="s">
        <v>4634</v>
      </c>
    </row>
    <row r="3661" spans="1:11" ht="20" customHeight="1">
      <c r="A3661" t="s">
        <v>26</v>
      </c>
      <c r="B3661" t="s">
        <v>4425</v>
      </c>
      <c r="C3661">
        <v>63240.7890625</v>
      </c>
      <c r="D3661">
        <v>65544</v>
      </c>
      <c r="E3661">
        <v>63233.53125</v>
      </c>
      <c r="F3661">
        <v>63952.10546875</v>
      </c>
      <c r="G3661">
        <v>63952.10546875</v>
      </c>
      <c r="H3661">
        <v>26561496819</v>
      </c>
      <c r="I3661" t="s">
        <v>7427</v>
      </c>
      <c r="J3661" t="s">
        <v>7428</v>
      </c>
      <c r="K3661" t="s">
        <v>4634</v>
      </c>
    </row>
    <row r="3662" spans="1:11" ht="20" customHeight="1">
      <c r="A3662" t="s">
        <v>26</v>
      </c>
      <c r="B3662" t="s">
        <v>4428</v>
      </c>
      <c r="C3662">
        <v>63952.79296875</v>
      </c>
      <c r="D3662">
        <v>64196.5625</v>
      </c>
      <c r="E3662">
        <v>61893.20703125</v>
      </c>
      <c r="F3662">
        <v>62668.01953125</v>
      </c>
      <c r="G3662">
        <v>62668.01953125</v>
      </c>
      <c r="H3662">
        <v>29608942370</v>
      </c>
      <c r="I3662" t="s">
        <v>7428</v>
      </c>
      <c r="J3662" t="s">
        <v>7429</v>
      </c>
      <c r="K3662" t="s">
        <v>4634</v>
      </c>
    </row>
    <row r="3663" spans="1:11" ht="20" customHeight="1">
      <c r="A3663" t="s">
        <v>26</v>
      </c>
      <c r="B3663" t="s">
        <v>4431</v>
      </c>
      <c r="C3663">
        <v>62663.03125</v>
      </c>
      <c r="D3663">
        <v>63097.7578125</v>
      </c>
      <c r="E3663">
        <v>59029.85546875</v>
      </c>
      <c r="F3663">
        <v>60995.1328125</v>
      </c>
      <c r="G3663">
        <v>60995.1328125</v>
      </c>
      <c r="H3663">
        <v>42644106535</v>
      </c>
      <c r="I3663" t="s">
        <v>7429</v>
      </c>
      <c r="J3663" t="s">
        <v>7430</v>
      </c>
      <c r="K3663" t="s">
        <v>4634</v>
      </c>
    </row>
    <row r="3664" spans="1:11" ht="20" customHeight="1">
      <c r="A3664" t="s">
        <v>26</v>
      </c>
      <c r="B3664" t="s">
        <v>4434</v>
      </c>
      <c r="C3664">
        <v>60992.0703125</v>
      </c>
      <c r="D3664">
        <v>61868.90625</v>
      </c>
      <c r="E3664">
        <v>58075.921875</v>
      </c>
      <c r="F3664">
        <v>59721.67578125</v>
      </c>
      <c r="G3664">
        <v>59721.67578125</v>
      </c>
      <c r="H3664">
        <v>40625024718</v>
      </c>
      <c r="I3664" t="s">
        <v>7430</v>
      </c>
      <c r="J3664" t="s">
        <v>7431</v>
      </c>
      <c r="K3664" t="s">
        <v>4634</v>
      </c>
    </row>
    <row r="3665" spans="1:11" ht="20" customHeight="1">
      <c r="A3665" t="s">
        <v>26</v>
      </c>
      <c r="B3665" t="s">
        <v>4437</v>
      </c>
      <c r="C3665">
        <v>59712.0546875</v>
      </c>
      <c r="D3665">
        <v>60647.1875</v>
      </c>
      <c r="E3665">
        <v>58269.125</v>
      </c>
      <c r="F3665">
        <v>60016.4296875</v>
      </c>
      <c r="G3665">
        <v>60016.4296875</v>
      </c>
      <c r="H3665">
        <v>41502864671</v>
      </c>
      <c r="I3665" t="s">
        <v>7431</v>
      </c>
      <c r="J3665" t="s">
        <v>7432</v>
      </c>
      <c r="K3665" t="s">
        <v>4634</v>
      </c>
    </row>
    <row r="3666" spans="1:11" ht="20" customHeight="1">
      <c r="A3666" t="s">
        <v>26</v>
      </c>
      <c r="B3666" t="s">
        <v>7433</v>
      </c>
      <c r="C3666">
        <v>60016.3125</v>
      </c>
      <c r="D3666">
        <v>60835.046875</v>
      </c>
      <c r="E3666">
        <v>59794.62109375</v>
      </c>
      <c r="F3666">
        <v>59940.09765625</v>
      </c>
      <c r="G3666">
        <v>59940.09765625</v>
      </c>
      <c r="H3666">
        <v>15099836554</v>
      </c>
      <c r="I3666" t="s">
        <v>7432</v>
      </c>
      <c r="J3666" t="s">
        <v>7434</v>
      </c>
      <c r="K3666" t="s">
        <v>4634</v>
      </c>
    </row>
    <row r="3667" spans="1:11" ht="20" customHeight="1">
      <c r="A3667" t="s">
        <v>26</v>
      </c>
      <c r="B3667" t="s">
        <v>7435</v>
      </c>
      <c r="C3667">
        <v>59940.3515625</v>
      </c>
      <c r="D3667">
        <v>60432.70703125</v>
      </c>
      <c r="E3667">
        <v>58879.6328125</v>
      </c>
      <c r="F3667">
        <v>59532.33984375</v>
      </c>
      <c r="G3667">
        <v>59532.33984375</v>
      </c>
      <c r="H3667">
        <v>16282230874</v>
      </c>
      <c r="I3667" t="s">
        <v>7434</v>
      </c>
      <c r="J3667" t="s">
        <v>7436</v>
      </c>
      <c r="K3667" t="s">
        <v>4634</v>
      </c>
    </row>
    <row r="3668" spans="1:11" ht="20" customHeight="1">
      <c r="A3668" t="s">
        <v>26</v>
      </c>
      <c r="B3668" t="s">
        <v>4440</v>
      </c>
      <c r="C3668">
        <v>59522.7890625</v>
      </c>
      <c r="D3668">
        <v>60682.33984375</v>
      </c>
      <c r="E3668">
        <v>58856.1875</v>
      </c>
      <c r="F3668">
        <v>60138.37890625</v>
      </c>
      <c r="G3668">
        <v>60138.37890625</v>
      </c>
      <c r="H3668">
        <v>30829983083</v>
      </c>
      <c r="I3668" t="s">
        <v>7436</v>
      </c>
      <c r="J3668" t="s">
        <v>7437</v>
      </c>
      <c r="K3668" t="s">
        <v>4634</v>
      </c>
    </row>
    <row r="3669" spans="1:11" ht="20" customHeight="1">
      <c r="A3669" t="s">
        <v>26</v>
      </c>
      <c r="B3669" t="s">
        <v>4443</v>
      </c>
      <c r="C3669">
        <v>60136.453125</v>
      </c>
      <c r="D3669">
        <v>60173.21875</v>
      </c>
      <c r="E3669">
        <v>58111.671875</v>
      </c>
      <c r="F3669">
        <v>58558.859375</v>
      </c>
      <c r="G3669">
        <v>58558.859375</v>
      </c>
      <c r="H3669">
        <v>32747419391</v>
      </c>
      <c r="I3669" t="s">
        <v>7437</v>
      </c>
      <c r="J3669" t="s">
        <v>7438</v>
      </c>
      <c r="K3669" t="s">
        <v>4634</v>
      </c>
    </row>
    <row r="3670" spans="1:11" ht="20" customHeight="1">
      <c r="A3670" t="s">
        <v>26</v>
      </c>
      <c r="B3670" t="s">
        <v>4446</v>
      </c>
      <c r="C3670">
        <v>58562.4453125</v>
      </c>
      <c r="D3670">
        <v>61223.76953125</v>
      </c>
      <c r="E3670">
        <v>57747.765625</v>
      </c>
      <c r="F3670">
        <v>60003.7578125</v>
      </c>
      <c r="G3670">
        <v>60003.7578125</v>
      </c>
      <c r="H3670">
        <v>37904450118</v>
      </c>
      <c r="I3670" t="s">
        <v>7438</v>
      </c>
      <c r="J3670" t="s">
        <v>7439</v>
      </c>
      <c r="K3670" t="s">
        <v>4634</v>
      </c>
    </row>
    <row r="3671" spans="1:11" ht="20" customHeight="1">
      <c r="A3671" t="s">
        <v>26</v>
      </c>
      <c r="B3671" t="s">
        <v>4449</v>
      </c>
      <c r="C3671">
        <v>60004.76953125</v>
      </c>
      <c r="D3671">
        <v>62117.875</v>
      </c>
      <c r="E3671">
        <v>59532.32421875</v>
      </c>
      <c r="F3671">
        <v>61485.30078125</v>
      </c>
      <c r="G3671">
        <v>61485.30078125</v>
      </c>
      <c r="H3671">
        <v>40109297349</v>
      </c>
      <c r="I3671" t="s">
        <v>7439</v>
      </c>
      <c r="J3671" t="s">
        <v>7440</v>
      </c>
      <c r="K3671" t="s">
        <v>4634</v>
      </c>
    </row>
    <row r="3672" spans="1:11" ht="20" customHeight="1">
      <c r="A3672" t="s">
        <v>26</v>
      </c>
      <c r="B3672" t="s">
        <v>7441</v>
      </c>
      <c r="C3672">
        <v>61492.06640625</v>
      </c>
      <c r="D3672">
        <v>62879.0078125</v>
      </c>
      <c r="E3672">
        <v>61176.72265625</v>
      </c>
      <c r="F3672">
        <v>62544.19921875</v>
      </c>
      <c r="G3672">
        <v>62544.19921875</v>
      </c>
      <c r="H3672">
        <v>26131813598</v>
      </c>
      <c r="I3672" t="s">
        <v>7440</v>
      </c>
      <c r="J3672" t="s">
        <v>7442</v>
      </c>
      <c r="K3672" t="s">
        <v>4634</v>
      </c>
    </row>
    <row r="3673" spans="1:11" ht="20" customHeight="1">
      <c r="A3673" t="s">
        <v>26</v>
      </c>
      <c r="B3673" t="s">
        <v>7443</v>
      </c>
      <c r="C3673">
        <v>62545.12890625</v>
      </c>
      <c r="D3673">
        <v>63398.41015625</v>
      </c>
      <c r="E3673">
        <v>62287.5859375</v>
      </c>
      <c r="F3673">
        <v>63088.3046875</v>
      </c>
      <c r="G3673">
        <v>63088.3046875</v>
      </c>
      <c r="H3673">
        <v>18608397613</v>
      </c>
      <c r="I3673" t="s">
        <v>7442</v>
      </c>
      <c r="J3673" t="s">
        <v>7444</v>
      </c>
      <c r="K3673" t="s">
        <v>4634</v>
      </c>
    </row>
    <row r="3674" spans="1:11" ht="20" customHeight="1">
      <c r="A3674" t="s">
        <v>26</v>
      </c>
      <c r="B3674" t="s">
        <v>7445</v>
      </c>
      <c r="C3674">
        <v>63089.05859375</v>
      </c>
      <c r="D3674">
        <v>63935.84765625</v>
      </c>
      <c r="E3674">
        <v>62413.9921875</v>
      </c>
      <c r="F3674">
        <v>63547.8828125</v>
      </c>
      <c r="G3674">
        <v>63547.8828125</v>
      </c>
      <c r="H3674">
        <v>18267466154</v>
      </c>
      <c r="I3674" t="s">
        <v>7444</v>
      </c>
      <c r="J3674" t="s">
        <v>7446</v>
      </c>
      <c r="K3674" t="s">
        <v>4634</v>
      </c>
    </row>
    <row r="3675" spans="1:11" ht="20" customHeight="1">
      <c r="A3675" t="s">
        <v>26</v>
      </c>
      <c r="B3675" t="s">
        <v>4452</v>
      </c>
      <c r="C3675">
        <v>63551.015625</v>
      </c>
      <c r="D3675">
        <v>64597.5703125</v>
      </c>
      <c r="E3675">
        <v>61275.828125</v>
      </c>
      <c r="F3675">
        <v>63995.015625</v>
      </c>
      <c r="G3675">
        <v>63995.015625</v>
      </c>
      <c r="H3675">
        <v>36552222303</v>
      </c>
      <c r="I3675" t="s">
        <v>7446</v>
      </c>
      <c r="J3675" t="s">
        <v>7447</v>
      </c>
      <c r="K3675" t="s">
        <v>4634</v>
      </c>
    </row>
    <row r="3676" spans="1:11" ht="20" customHeight="1">
      <c r="A3676" t="s">
        <v>26</v>
      </c>
      <c r="B3676" t="s">
        <v>4455</v>
      </c>
      <c r="C3676">
        <v>63994.59765625</v>
      </c>
      <c r="D3676">
        <v>64257.6328125</v>
      </c>
      <c r="E3676">
        <v>62623.93359375</v>
      </c>
      <c r="F3676">
        <v>63297.39453125</v>
      </c>
      <c r="G3676">
        <v>63297.39453125</v>
      </c>
      <c r="H3676">
        <v>31026493556</v>
      </c>
      <c r="I3676" t="s">
        <v>7447</v>
      </c>
      <c r="J3676" t="s">
        <v>7448</v>
      </c>
      <c r="K3676" t="s">
        <v>4634</v>
      </c>
    </row>
    <row r="3677" spans="1:11" ht="20" customHeight="1">
      <c r="A3677" t="s">
        <v>26</v>
      </c>
      <c r="B3677" t="s">
        <v>4458</v>
      </c>
      <c r="C3677">
        <v>63293.51953125</v>
      </c>
      <c r="D3677">
        <v>63706.88671875</v>
      </c>
      <c r="E3677">
        <v>61492.6484375</v>
      </c>
      <c r="F3677">
        <v>62257.57421875</v>
      </c>
      <c r="G3677">
        <v>62257.57421875</v>
      </c>
      <c r="H3677">
        <v>27349235354</v>
      </c>
      <c r="I3677" t="s">
        <v>7448</v>
      </c>
      <c r="J3677" t="s">
        <v>7449</v>
      </c>
      <c r="K3677" t="s">
        <v>4634</v>
      </c>
    </row>
    <row r="3678" spans="1:11" ht="20" customHeight="1">
      <c r="A3678" t="s">
        <v>26</v>
      </c>
      <c r="B3678" t="s">
        <v>4461</v>
      </c>
      <c r="C3678">
        <v>62257.31640625</v>
      </c>
      <c r="D3678">
        <v>63422.94140625</v>
      </c>
      <c r="E3678">
        <v>61645.75390625</v>
      </c>
      <c r="F3678">
        <v>63193.1484375</v>
      </c>
      <c r="G3678">
        <v>63193.1484375</v>
      </c>
      <c r="H3678">
        <v>26546256117</v>
      </c>
      <c r="I3678" t="s">
        <v>7449</v>
      </c>
      <c r="J3678" t="s">
        <v>7450</v>
      </c>
      <c r="K3678" t="s">
        <v>4634</v>
      </c>
    </row>
    <row r="3679" spans="1:11" ht="20" customHeight="1">
      <c r="A3679" t="s">
        <v>26</v>
      </c>
      <c r="B3679" t="s">
        <v>4464</v>
      </c>
      <c r="C3679">
        <v>63194.359375</v>
      </c>
      <c r="D3679">
        <v>64658.96875</v>
      </c>
      <c r="E3679">
        <v>62902.0625</v>
      </c>
      <c r="F3679">
        <v>64127.140625</v>
      </c>
      <c r="G3679">
        <v>64127.140625</v>
      </c>
      <c r="H3679">
        <v>27450201269</v>
      </c>
      <c r="I3679" t="s">
        <v>7450</v>
      </c>
      <c r="J3679" t="s">
        <v>7451</v>
      </c>
      <c r="K3679" t="s">
        <v>4634</v>
      </c>
    </row>
    <row r="3680" spans="1:11" ht="20" customHeight="1">
      <c r="A3680" t="s">
        <v>26</v>
      </c>
      <c r="B3680" t="s">
        <v>7452</v>
      </c>
      <c r="C3680">
        <v>64127.96875</v>
      </c>
      <c r="D3680">
        <v>64445.4609375</v>
      </c>
      <c r="E3680">
        <v>63785.62109375</v>
      </c>
      <c r="F3680">
        <v>63802.02734375</v>
      </c>
      <c r="G3680">
        <v>63802.02734375</v>
      </c>
      <c r="H3680">
        <v>13954689047</v>
      </c>
      <c r="I3680" t="s">
        <v>7451</v>
      </c>
      <c r="J3680" t="s">
        <v>7453</v>
      </c>
      <c r="K3680" t="s">
        <v>4634</v>
      </c>
    </row>
    <row r="3681" spans="1:11" ht="20" customHeight="1">
      <c r="A3681" t="s">
        <v>26</v>
      </c>
      <c r="B3681" t="s">
        <v>7454</v>
      </c>
      <c r="C3681">
        <v>63791.40234375</v>
      </c>
      <c r="D3681">
        <v>64243.1328125</v>
      </c>
      <c r="E3681">
        <v>63606.82421875</v>
      </c>
      <c r="F3681">
        <v>63758.21875</v>
      </c>
      <c r="G3681">
        <v>63758.21875</v>
      </c>
      <c r="H3681">
        <v>19043437787</v>
      </c>
      <c r="I3681" t="s">
        <v>7453</v>
      </c>
      <c r="J3681" t="s">
        <v>7455</v>
      </c>
      <c r="K3681" t="s">
        <v>4634</v>
      </c>
    </row>
    <row r="3682" spans="1:11" ht="20" customHeight="1">
      <c r="A3682" t="s">
        <v>26</v>
      </c>
      <c r="B3682" t="s">
        <v>4467</v>
      </c>
      <c r="C3682">
        <v>63757.171875</v>
      </c>
      <c r="D3682">
        <v>64340.8828125</v>
      </c>
      <c r="E3682">
        <v>61769</v>
      </c>
      <c r="F3682">
        <v>62239.12109375</v>
      </c>
      <c r="G3682">
        <v>62239.12109375</v>
      </c>
      <c r="H3682">
        <v>37650044790</v>
      </c>
      <c r="I3682" t="s">
        <v>7455</v>
      </c>
      <c r="J3682" t="s">
        <v>7456</v>
      </c>
      <c r="K3682" t="s">
        <v>4634</v>
      </c>
    </row>
    <row r="3683" spans="1:11" ht="20" customHeight="1">
      <c r="A3683" t="s">
        <v>26</v>
      </c>
      <c r="B3683" t="s">
        <v>4470</v>
      </c>
      <c r="C3683">
        <v>62238.5859375</v>
      </c>
      <c r="D3683">
        <v>65046.1328125</v>
      </c>
      <c r="E3683">
        <v>62207.5234375</v>
      </c>
      <c r="F3683">
        <v>64956.11328125</v>
      </c>
      <c r="G3683">
        <v>64956.11328125</v>
      </c>
      <c r="H3683">
        <v>29841287318</v>
      </c>
      <c r="I3683" t="s">
        <v>7456</v>
      </c>
      <c r="J3683" t="s">
        <v>7457</v>
      </c>
      <c r="K3683" t="s">
        <v>4634</v>
      </c>
    </row>
    <row r="3684" spans="1:11" ht="20" customHeight="1">
      <c r="A3684" t="s">
        <v>26</v>
      </c>
      <c r="B3684" t="s">
        <v>4473</v>
      </c>
      <c r="C3684">
        <v>64959.80859375</v>
      </c>
      <c r="D3684">
        <v>65507.59375</v>
      </c>
      <c r="E3684">
        <v>64442.8203125</v>
      </c>
      <c r="F3684">
        <v>64712.375</v>
      </c>
      <c r="G3684">
        <v>64712.375</v>
      </c>
      <c r="H3684">
        <v>27029791676</v>
      </c>
      <c r="I3684" t="s">
        <v>7457</v>
      </c>
      <c r="J3684" t="s">
        <v>7458</v>
      </c>
      <c r="K3684" t="s">
        <v>4634</v>
      </c>
    </row>
    <row r="3685" spans="1:11" ht="20" customHeight="1">
      <c r="A3685" t="s">
        <v>26</v>
      </c>
      <c r="B3685" t="s">
        <v>4476</v>
      </c>
      <c r="C3685">
        <v>64713.296875</v>
      </c>
      <c r="D3685">
        <v>64931.85546875</v>
      </c>
      <c r="E3685">
        <v>63701.8046875</v>
      </c>
      <c r="F3685">
        <v>63789.28125</v>
      </c>
      <c r="G3685">
        <v>63789.28125</v>
      </c>
      <c r="H3685">
        <v>27232426674</v>
      </c>
      <c r="I3685" t="s">
        <v>7458</v>
      </c>
      <c r="J3685" t="s">
        <v>7459</v>
      </c>
      <c r="K3685" t="s">
        <v>4634</v>
      </c>
    </row>
    <row r="3686" spans="1:11" ht="20" customHeight="1">
      <c r="A3686" t="s">
        <v>26</v>
      </c>
      <c r="B3686" t="s">
        <v>4479</v>
      </c>
      <c r="C3686">
        <v>63789.91015625</v>
      </c>
      <c r="D3686">
        <v>64332.01953125</v>
      </c>
      <c r="E3686">
        <v>62489.453125</v>
      </c>
      <c r="F3686">
        <v>63899.4609375</v>
      </c>
      <c r="G3686">
        <v>63899.4609375</v>
      </c>
      <c r="H3686">
        <v>27280236800</v>
      </c>
      <c r="I3686" t="s">
        <v>7459</v>
      </c>
      <c r="J3686" t="s">
        <v>7460</v>
      </c>
      <c r="K3686" t="s">
        <v>4634</v>
      </c>
    </row>
    <row r="3687" spans="1:11" ht="20" customHeight="1">
      <c r="A3687" t="s">
        <v>26</v>
      </c>
      <c r="B3687" t="s">
        <v>7461</v>
      </c>
      <c r="C3687">
        <v>63899.1796875</v>
      </c>
      <c r="D3687">
        <v>64816.50390625</v>
      </c>
      <c r="E3687">
        <v>63845.015625</v>
      </c>
      <c r="F3687">
        <v>64796.6015625</v>
      </c>
      <c r="G3687">
        <v>64796.6015625</v>
      </c>
      <c r="H3687">
        <v>14162542470</v>
      </c>
      <c r="I3687" t="s">
        <v>7460</v>
      </c>
      <c r="J3687" t="s">
        <v>7462</v>
      </c>
      <c r="K3687" t="s">
        <v>4634</v>
      </c>
    </row>
    <row r="3688" spans="1:11" ht="20" customHeight="1">
      <c r="A3688" t="s">
        <v>26</v>
      </c>
      <c r="B3688" t="s">
        <v>7463</v>
      </c>
      <c r="C3688">
        <v>64799.27734375</v>
      </c>
      <c r="D3688">
        <v>64909.88671875</v>
      </c>
      <c r="E3688">
        <v>64250.9140625</v>
      </c>
      <c r="F3688">
        <v>64690.8046875</v>
      </c>
      <c r="G3688">
        <v>64690.8046875</v>
      </c>
      <c r="H3688">
        <v>15000653941</v>
      </c>
      <c r="I3688" t="s">
        <v>7462</v>
      </c>
      <c r="J3688" t="s">
        <v>7464</v>
      </c>
      <c r="K3688" t="s">
        <v>4634</v>
      </c>
    </row>
    <row r="3689" spans="1:11" ht="20" customHeight="1">
      <c r="A3689" t="s">
        <v>26</v>
      </c>
      <c r="B3689" t="s">
        <v>4482</v>
      </c>
      <c r="C3689">
        <v>64684.41796875</v>
      </c>
      <c r="D3689">
        <v>65735.71875</v>
      </c>
      <c r="E3689">
        <v>63720.390625</v>
      </c>
      <c r="F3689">
        <v>65230.02734375</v>
      </c>
      <c r="G3689">
        <v>65230.02734375</v>
      </c>
      <c r="H3689">
        <v>30988932408</v>
      </c>
      <c r="I3689" t="s">
        <v>7464</v>
      </c>
      <c r="J3689" t="s">
        <v>7465</v>
      </c>
      <c r="K3689" t="s">
        <v>4634</v>
      </c>
    </row>
    <row r="3690" spans="1:11" ht="20" customHeight="1">
      <c r="A3690" t="s">
        <v>26</v>
      </c>
      <c r="B3690" t="s">
        <v>4485</v>
      </c>
      <c r="C3690">
        <v>65228.87109375</v>
      </c>
      <c r="D3690">
        <v>66910.0625</v>
      </c>
      <c r="E3690">
        <v>65113.65625</v>
      </c>
      <c r="F3690">
        <v>66505.125</v>
      </c>
      <c r="G3690">
        <v>66505.125</v>
      </c>
      <c r="H3690">
        <v>29554470321</v>
      </c>
      <c r="I3690" t="s">
        <v>7465</v>
      </c>
      <c r="J3690" t="s">
        <v>7466</v>
      </c>
      <c r="K3690" t="s">
        <v>4634</v>
      </c>
    </row>
    <row r="3691" spans="1:11" ht="20" customHeight="1">
      <c r="A3691" t="s">
        <v>26</v>
      </c>
      <c r="B3691" t="s">
        <v>4488</v>
      </c>
      <c r="C3691">
        <v>66506.7890625</v>
      </c>
      <c r="D3691">
        <v>66694.6484375</v>
      </c>
      <c r="E3691">
        <v>65514.17578125</v>
      </c>
      <c r="F3691">
        <v>66100.796875</v>
      </c>
      <c r="G3691">
        <v>66100.796875</v>
      </c>
      <c r="H3691">
        <v>28142272410</v>
      </c>
      <c r="I3691" t="s">
        <v>7466</v>
      </c>
      <c r="J3691" t="s">
        <v>7467</v>
      </c>
      <c r="K3691" t="s">
        <v>4634</v>
      </c>
    </row>
    <row r="3692" spans="1:11" ht="20" customHeight="1">
      <c r="A3692" t="s">
        <v>26</v>
      </c>
      <c r="B3692" t="s">
        <v>4491</v>
      </c>
      <c r="C3692">
        <v>66100.1328125</v>
      </c>
      <c r="D3692">
        <v>66282.3828125</v>
      </c>
      <c r="E3692">
        <v>64610.609375</v>
      </c>
      <c r="F3692">
        <v>65044.8125</v>
      </c>
      <c r="G3692">
        <v>65044.8125</v>
      </c>
      <c r="H3692">
        <v>24364433538</v>
      </c>
      <c r="I3692" t="s">
        <v>7467</v>
      </c>
      <c r="J3692" t="s">
        <v>7468</v>
      </c>
      <c r="K3692" t="s">
        <v>4634</v>
      </c>
    </row>
    <row r="3693" spans="1:11" ht="20" customHeight="1">
      <c r="A3693" t="s">
        <v>26</v>
      </c>
      <c r="B3693" t="s">
        <v>4494</v>
      </c>
      <c r="C3693">
        <v>65044.95703125</v>
      </c>
      <c r="D3693">
        <v>65760.484375</v>
      </c>
      <c r="E3693">
        <v>63686.03515625</v>
      </c>
      <c r="F3693">
        <v>64098.49609375</v>
      </c>
      <c r="G3693">
        <v>64098.49609375</v>
      </c>
      <c r="H3693">
        <v>25917559237</v>
      </c>
      <c r="I3693" t="s">
        <v>7468</v>
      </c>
      <c r="J3693" t="s">
        <v>7469</v>
      </c>
      <c r="K3693" t="s">
        <v>4634</v>
      </c>
    </row>
    <row r="3694" spans="1:11" ht="20" customHeight="1">
      <c r="A3694" t="s">
        <v>26</v>
      </c>
      <c r="B3694" t="s">
        <v>7470</v>
      </c>
      <c r="C3694">
        <v>64098.4921875</v>
      </c>
      <c r="D3694">
        <v>64386.0625</v>
      </c>
      <c r="E3694">
        <v>63753.02734375</v>
      </c>
      <c r="F3694">
        <v>64311.8125</v>
      </c>
      <c r="G3694">
        <v>64311.8125</v>
      </c>
      <c r="H3694">
        <v>13817493398</v>
      </c>
      <c r="I3694" t="s">
        <v>7469</v>
      </c>
      <c r="J3694" t="s">
        <v>7471</v>
      </c>
      <c r="K3694" t="s">
        <v>4634</v>
      </c>
    </row>
    <row r="3695" spans="1:11" ht="20" customHeight="1">
      <c r="A3695" t="s">
        <v>26</v>
      </c>
      <c r="B3695" t="s">
        <v>7472</v>
      </c>
      <c r="C3695">
        <v>64311.78515625</v>
      </c>
      <c r="D3695">
        <v>65503.76953125</v>
      </c>
      <c r="E3695">
        <v>64233.453125</v>
      </c>
      <c r="F3695">
        <v>65340.30078125</v>
      </c>
      <c r="G3695">
        <v>65340.30078125</v>
      </c>
      <c r="H3695">
        <v>14301494281</v>
      </c>
      <c r="I3695" t="s">
        <v>7471</v>
      </c>
      <c r="J3695" t="s">
        <v>7473</v>
      </c>
      <c r="K3695" t="s">
        <v>4634</v>
      </c>
    </row>
    <row r="3696" spans="1:11" ht="20" customHeight="1">
      <c r="A3696" t="s">
        <v>26</v>
      </c>
      <c r="B3696" t="s">
        <v>4497</v>
      </c>
      <c r="C3696">
        <v>65340.58984375</v>
      </c>
      <c r="D3696">
        <v>65658.3359375</v>
      </c>
      <c r="E3696">
        <v>63562.484375</v>
      </c>
      <c r="F3696">
        <v>63724.8984375</v>
      </c>
      <c r="G3696">
        <v>63724.8984375</v>
      </c>
      <c r="H3696">
        <v>26183821002</v>
      </c>
      <c r="I3696" t="s">
        <v>7473</v>
      </c>
      <c r="J3696" t="s">
        <v>7474</v>
      </c>
      <c r="K3696" t="s">
        <v>4634</v>
      </c>
    </row>
    <row r="3697" spans="1:11" ht="20" customHeight="1">
      <c r="A3697" t="s">
        <v>26</v>
      </c>
      <c r="B3697" t="s">
        <v>4500</v>
      </c>
      <c r="C3697">
        <v>63723.48828125</v>
      </c>
      <c r="D3697">
        <v>64026.921875</v>
      </c>
      <c r="E3697">
        <v>62714.8046875</v>
      </c>
      <c r="F3697">
        <v>63871.36328125</v>
      </c>
      <c r="G3697">
        <v>63871.36328125</v>
      </c>
      <c r="H3697">
        <v>24128738898</v>
      </c>
      <c r="I3697" t="s">
        <v>7474</v>
      </c>
      <c r="J3697" t="s">
        <v>7475</v>
      </c>
      <c r="K3697" t="s">
        <v>4634</v>
      </c>
    </row>
    <row r="3698" spans="1:11" ht="20" customHeight="1">
      <c r="A3698" t="s">
        <v>26</v>
      </c>
      <c r="B3698" t="s">
        <v>4503</v>
      </c>
      <c r="C3698">
        <v>63871.39453125</v>
      </c>
      <c r="D3698">
        <v>64638.6953125</v>
      </c>
      <c r="E3698">
        <v>63206.2109375</v>
      </c>
      <c r="F3698">
        <v>63908.16796875</v>
      </c>
      <c r="G3698">
        <v>63908.16796875</v>
      </c>
      <c r="H3698">
        <v>28611167472</v>
      </c>
      <c r="I3698" t="s">
        <v>7475</v>
      </c>
      <c r="J3698" t="s">
        <v>7476</v>
      </c>
      <c r="K3698" t="s">
        <v>4634</v>
      </c>
    </row>
    <row r="3699" spans="1:11" ht="20" customHeight="1">
      <c r="A3699" t="s">
        <v>26</v>
      </c>
      <c r="B3699" t="s">
        <v>4506</v>
      </c>
      <c r="C3699">
        <v>63908.625</v>
      </c>
      <c r="D3699">
        <v>65071.4453125</v>
      </c>
      <c r="E3699">
        <v>63533.90625</v>
      </c>
      <c r="F3699">
        <v>64725.30859375</v>
      </c>
      <c r="G3699">
        <v>64725.30859375</v>
      </c>
      <c r="H3699">
        <v>26250039650</v>
      </c>
      <c r="I3699" t="s">
        <v>7476</v>
      </c>
      <c r="J3699" t="s">
        <v>7477</v>
      </c>
      <c r="K3699" t="s">
        <v>4634</v>
      </c>
    </row>
    <row r="3700" spans="1:11" ht="20" customHeight="1">
      <c r="A3700" t="s">
        <v>26</v>
      </c>
      <c r="B3700" t="s">
        <v>4509</v>
      </c>
      <c r="C3700">
        <v>64723.96875</v>
      </c>
      <c r="D3700">
        <v>65328.18359375</v>
      </c>
      <c r="E3700">
        <v>62410.8671875</v>
      </c>
      <c r="F3700">
        <v>62813.74609375</v>
      </c>
      <c r="G3700">
        <v>62813.74609375</v>
      </c>
      <c r="H3700">
        <v>30439749629</v>
      </c>
      <c r="I3700" t="s">
        <v>7477</v>
      </c>
      <c r="J3700" t="s">
        <v>7478</v>
      </c>
      <c r="K3700" t="s">
        <v>4634</v>
      </c>
    </row>
    <row r="3701" spans="1:11" ht="20" customHeight="1">
      <c r="A3701" t="s">
        <v>26</v>
      </c>
      <c r="B3701" t="s">
        <v>7479</v>
      </c>
      <c r="C3701">
        <v>62813.6640625</v>
      </c>
      <c r="D3701">
        <v>63091.59765625</v>
      </c>
      <c r="E3701">
        <v>62233.01171875</v>
      </c>
      <c r="F3701">
        <v>62763.3203125</v>
      </c>
      <c r="G3701">
        <v>62763.3203125</v>
      </c>
      <c r="H3701">
        <v>13553286543</v>
      </c>
      <c r="I3701" t="s">
        <v>7478</v>
      </c>
      <c r="J3701" t="s">
        <v>7480</v>
      </c>
      <c r="K3701" t="s">
        <v>4634</v>
      </c>
    </row>
    <row r="3702" spans="1:11" ht="20" customHeight="1">
      <c r="A3702" t="s">
        <v>26</v>
      </c>
      <c r="B3702" t="s">
        <v>7481</v>
      </c>
      <c r="C3702">
        <v>62763.4453125</v>
      </c>
      <c r="D3702">
        <v>63714.61328125</v>
      </c>
      <c r="E3702">
        <v>62745.25390625</v>
      </c>
      <c r="F3702">
        <v>63482</v>
      </c>
      <c r="G3702">
        <v>63482</v>
      </c>
      <c r="H3702">
        <v>15901776708</v>
      </c>
      <c r="I3702" t="s">
        <v>7480</v>
      </c>
      <c r="J3702" t="s">
        <v>7482</v>
      </c>
      <c r="K3702" t="s">
        <v>4634</v>
      </c>
    </row>
    <row r="3703" spans="1:11" ht="20" customHeight="1">
      <c r="A3703" t="s">
        <v>26</v>
      </c>
      <c r="B3703" t="s">
        <v>4512</v>
      </c>
      <c r="C3703">
        <v>63485.44140625</v>
      </c>
      <c r="D3703">
        <v>64020.32421875</v>
      </c>
      <c r="E3703">
        <v>62226.578125</v>
      </c>
      <c r="F3703">
        <v>63460.8984375</v>
      </c>
      <c r="G3703">
        <v>63460.8984375</v>
      </c>
      <c r="H3703">
        <v>26038889824</v>
      </c>
      <c r="I3703" t="s">
        <v>7482</v>
      </c>
      <c r="J3703" t="s">
        <v>7483</v>
      </c>
      <c r="K3703" t="s">
        <v>4634</v>
      </c>
    </row>
    <row r="3704" spans="1:11" ht="20" customHeight="1">
      <c r="A3704" t="s">
        <v>26</v>
      </c>
      <c r="B3704" t="s">
        <v>4515</v>
      </c>
      <c r="C3704">
        <v>63458.41015625</v>
      </c>
      <c r="D3704">
        <v>64466.9375</v>
      </c>
      <c r="E3704">
        <v>63277.68359375</v>
      </c>
      <c r="F3704">
        <v>64055.953125</v>
      </c>
      <c r="G3704">
        <v>64055.953125</v>
      </c>
      <c r="H3704">
        <v>23662357784</v>
      </c>
      <c r="I3704" t="s">
        <v>7483</v>
      </c>
      <c r="J3704" t="s">
        <v>7484</v>
      </c>
      <c r="K3704" t="s">
        <v>4634</v>
      </c>
    </row>
    <row r="3705" spans="1:11" ht="20" customHeight="1">
      <c r="A3705" t="s">
        <v>26</v>
      </c>
      <c r="B3705" t="s">
        <v>4518</v>
      </c>
      <c r="C3705">
        <v>64054.87890625</v>
      </c>
      <c r="D3705">
        <v>64954.34765625</v>
      </c>
      <c r="E3705">
        <v>63829.71875</v>
      </c>
      <c r="F3705">
        <v>64597.5</v>
      </c>
      <c r="G3705">
        <v>64597.5</v>
      </c>
      <c r="H3705">
        <v>23568584891</v>
      </c>
      <c r="I3705" t="s">
        <v>7484</v>
      </c>
      <c r="J3705" t="s">
        <v>7485</v>
      </c>
      <c r="K3705" t="s">
        <v>4634</v>
      </c>
    </row>
    <row r="3706" spans="1:11" ht="20" customHeight="1">
      <c r="A3706" t="s">
        <v>26</v>
      </c>
      <c r="B3706" t="s">
        <v>4521</v>
      </c>
      <c r="C3706">
        <v>64595.44921875</v>
      </c>
      <c r="D3706">
        <v>64934.4921875</v>
      </c>
      <c r="E3706">
        <v>64098.4765625</v>
      </c>
      <c r="F3706">
        <v>64262.11328125</v>
      </c>
      <c r="G3706">
        <v>64262.11328125</v>
      </c>
      <c r="H3706">
        <v>18529402711</v>
      </c>
      <c r="I3706" t="s">
        <v>7485</v>
      </c>
      <c r="J3706" t="s">
        <v>7486</v>
      </c>
      <c r="K3706" t="s">
        <v>4634</v>
      </c>
    </row>
    <row r="3707" spans="1:11" ht="20" customHeight="1">
      <c r="A3707" t="s">
        <v>26</v>
      </c>
      <c r="B3707" t="s">
        <v>4524</v>
      </c>
      <c r="C3707">
        <v>64257.48828125</v>
      </c>
      <c r="D3707">
        <v>65330.609375</v>
      </c>
      <c r="E3707">
        <v>64113.2734375</v>
      </c>
      <c r="F3707">
        <v>64880.19140625</v>
      </c>
      <c r="G3707">
        <v>64880.19140625</v>
      </c>
      <c r="H3707">
        <v>22165720102</v>
      </c>
      <c r="I3707" t="s">
        <v>7486</v>
      </c>
      <c r="J3707" t="s">
        <v>7487</v>
      </c>
      <c r="K3707" t="s">
        <v>4634</v>
      </c>
    </row>
    <row r="3708" spans="1:11" ht="20" customHeight="1">
      <c r="A3708" t="s">
        <v>26</v>
      </c>
      <c r="B3708" t="s">
        <v>7488</v>
      </c>
      <c r="C3708">
        <v>64882.546875</v>
      </c>
      <c r="D3708">
        <v>65140.48046875</v>
      </c>
      <c r="E3708">
        <v>64797.11328125</v>
      </c>
      <c r="F3708">
        <v>64904.6875</v>
      </c>
      <c r="G3708">
        <v>64904.6875</v>
      </c>
      <c r="H3708">
        <v>12350094271</v>
      </c>
      <c r="I3708" t="s">
        <v>7487</v>
      </c>
      <c r="J3708" t="s">
        <v>7489</v>
      </c>
      <c r="K3708" t="s">
        <v>4634</v>
      </c>
    </row>
    <row r="3709" spans="1:11" ht="20" customHeight="1">
      <c r="A3709" t="s">
        <v>26</v>
      </c>
      <c r="B3709" t="s">
        <v>7490</v>
      </c>
      <c r="C3709">
        <v>64906.55078125</v>
      </c>
      <c r="D3709">
        <v>65401.69140625</v>
      </c>
      <c r="E3709">
        <v>64677.6015625</v>
      </c>
      <c r="F3709">
        <v>64844.88671875</v>
      </c>
      <c r="G3709">
        <v>64844.88671875</v>
      </c>
      <c r="H3709">
        <v>13234538380</v>
      </c>
      <c r="I3709" t="s">
        <v>7489</v>
      </c>
      <c r="J3709" t="s">
        <v>7491</v>
      </c>
      <c r="K3709" t="s">
        <v>4634</v>
      </c>
    </row>
    <row r="3710" spans="1:11" ht="20" customHeight="1">
      <c r="A3710" t="s">
        <v>26</v>
      </c>
      <c r="B3710" t="s">
        <v>4527</v>
      </c>
      <c r="C3710">
        <v>64845.3828125</v>
      </c>
      <c r="D3710">
        <v>65321.83984375</v>
      </c>
      <c r="E3710">
        <v>63752.56640625</v>
      </c>
      <c r="F3710">
        <v>63910.5859375</v>
      </c>
      <c r="G3710">
        <v>63910.5859375</v>
      </c>
      <c r="H3710">
        <v>22384770392</v>
      </c>
      <c r="I3710" t="s">
        <v>7491</v>
      </c>
      <c r="J3710" t="s">
        <v>7492</v>
      </c>
      <c r="K3710" t="s">
        <v>4634</v>
      </c>
    </row>
    <row r="3711" spans="1:11" ht="20" customHeight="1">
      <c r="A3711" t="s">
        <v>26</v>
      </c>
      <c r="B3711" t="s">
        <v>4530</v>
      </c>
      <c r="C3711">
        <v>63910.17578125</v>
      </c>
      <c r="D3711">
        <v>64433.6796875</v>
      </c>
      <c r="E3711">
        <v>63185.47265625</v>
      </c>
      <c r="F3711">
        <v>63551.875</v>
      </c>
      <c r="G3711">
        <v>63551.875</v>
      </c>
      <c r="H3711">
        <v>20824820662</v>
      </c>
      <c r="I3711" t="s">
        <v>7492</v>
      </c>
      <c r="J3711" t="s">
        <v>7493</v>
      </c>
      <c r="K3711" t="s">
        <v>4634</v>
      </c>
    </row>
    <row r="3712" spans="1:11" ht="20" customHeight="1">
      <c r="A3712" t="s">
        <v>26</v>
      </c>
      <c r="B3712" t="s">
        <v>4533</v>
      </c>
      <c r="C3712">
        <v>63551.87109375</v>
      </c>
      <c r="D3712">
        <v>64381.078125</v>
      </c>
      <c r="E3712">
        <v>63251.11328125</v>
      </c>
      <c r="F3712">
        <v>63402.43359375</v>
      </c>
      <c r="G3712">
        <v>63402.43359375</v>
      </c>
      <c r="H3712">
        <v>23063864553</v>
      </c>
      <c r="I3712" t="s">
        <v>7493</v>
      </c>
      <c r="J3712" t="s">
        <v>7494</v>
      </c>
      <c r="K3712" t="s">
        <v>4634</v>
      </c>
    </row>
    <row r="3713" spans="1:11" ht="20" customHeight="1">
      <c r="A3713" t="s">
        <v>26</v>
      </c>
      <c r="B3713" t="s">
        <v>4536</v>
      </c>
      <c r="C3713">
        <v>63404.42578125</v>
      </c>
      <c r="D3713">
        <v>63926.33203125</v>
      </c>
      <c r="E3713">
        <v>62799.2890625</v>
      </c>
      <c r="F3713">
        <v>63402.171875</v>
      </c>
      <c r="G3713">
        <v>63402.171875</v>
      </c>
      <c r="H3713">
        <v>18765583756</v>
      </c>
      <c r="I3713" t="s">
        <v>7494</v>
      </c>
      <c r="J3713" t="s">
        <v>7495</v>
      </c>
      <c r="K3713" t="s">
        <v>4634</v>
      </c>
    </row>
    <row r="3714" spans="1:11" ht="20" customHeight="1">
      <c r="A3714" t="s">
        <v>26</v>
      </c>
      <c r="B3714" t="s">
        <v>4539</v>
      </c>
      <c r="C3714">
        <v>63402.08984375</v>
      </c>
      <c r="D3714">
        <v>63551.5625</v>
      </c>
      <c r="E3714">
        <v>62487.69921875</v>
      </c>
      <c r="F3714">
        <v>62975.59375</v>
      </c>
      <c r="G3714">
        <v>62975.59375</v>
      </c>
      <c r="H3714">
        <v>20280053024</v>
      </c>
      <c r="I3714" t="s">
        <v>7495</v>
      </c>
      <c r="J3714" t="s">
        <v>7496</v>
      </c>
      <c r="K3714" t="s">
        <v>4634</v>
      </c>
    </row>
    <row r="3715" spans="1:11" ht="20" customHeight="1">
      <c r="A3715" t="s">
        <v>26</v>
      </c>
      <c r="B3715" t="s">
        <v>7497</v>
      </c>
      <c r="C3715">
        <v>62974.3359375</v>
      </c>
      <c r="D3715">
        <v>63119.1328125</v>
      </c>
      <c r="E3715">
        <v>62850.9609375</v>
      </c>
      <c r="F3715">
        <v>63024.3203125</v>
      </c>
      <c r="G3715">
        <v>63024.3203125</v>
      </c>
      <c r="H3715">
        <v>10033057106</v>
      </c>
      <c r="I3715" t="s">
        <v>7496</v>
      </c>
      <c r="J3715" t="s">
        <v>7498</v>
      </c>
      <c r="K3715" t="s">
        <v>4634</v>
      </c>
    </row>
    <row r="3716" spans="1:11" ht="20" customHeight="1">
      <c r="A3716" t="s">
        <v>26</v>
      </c>
      <c r="B3716" t="s">
        <v>7499</v>
      </c>
      <c r="C3716">
        <v>63023.421875</v>
      </c>
      <c r="D3716">
        <v>63310.77734375</v>
      </c>
      <c r="E3716">
        <v>62648.57421875</v>
      </c>
      <c r="F3716">
        <v>62818.65234375</v>
      </c>
      <c r="G3716">
        <v>62818.65234375</v>
      </c>
      <c r="H3716">
        <v>9078986635</v>
      </c>
      <c r="I3716" t="s">
        <v>7498</v>
      </c>
      <c r="J3716" t="s">
        <v>7500</v>
      </c>
      <c r="K3716" t="s">
        <v>4634</v>
      </c>
    </row>
    <row r="3717" spans="1:11" ht="20" customHeight="1">
      <c r="A3717" t="s">
        <v>26</v>
      </c>
      <c r="B3717" t="s">
        <v>4542</v>
      </c>
      <c r="C3717">
        <v>62819.37890625</v>
      </c>
      <c r="D3717">
        <v>64547.84765625</v>
      </c>
      <c r="E3717">
        <v>62687.1015625</v>
      </c>
      <c r="F3717">
        <v>64506.25390625</v>
      </c>
      <c r="G3717">
        <v>64506.25390625</v>
      </c>
      <c r="H3717">
        <v>21555405073</v>
      </c>
      <c r="I3717" t="s">
        <v>7500</v>
      </c>
      <c r="J3717" t="s">
        <v>7501</v>
      </c>
      <c r="K3717" t="s">
        <v>4634</v>
      </c>
    </row>
    <row r="3718" spans="1:11" ht="20" customHeight="1">
      <c r="A3718" t="s">
        <v>26</v>
      </c>
      <c r="B3718" t="s">
        <v>4545</v>
      </c>
      <c r="C3718">
        <v>64506.5234375</v>
      </c>
      <c r="D3718">
        <v>64987.7109375</v>
      </c>
      <c r="E3718">
        <v>63980.32421875</v>
      </c>
      <c r="F3718">
        <v>64680.7109375</v>
      </c>
      <c r="G3718">
        <v>64680.7109375</v>
      </c>
      <c r="H3718">
        <v>18728001793</v>
      </c>
      <c r="I3718" t="s">
        <v>7501</v>
      </c>
      <c r="J3718" t="s">
        <v>7502</v>
      </c>
      <c r="K3718" t="s">
        <v>4634</v>
      </c>
    </row>
    <row r="3719" spans="1:11" ht="20" customHeight="1">
      <c r="A3719" t="s">
        <v>26</v>
      </c>
      <c r="B3719" t="s">
        <v>4548</v>
      </c>
      <c r="C3719">
        <v>64680.046875</v>
      </c>
      <c r="D3719">
        <v>69996.953125</v>
      </c>
      <c r="E3719">
        <v>64111.0703125</v>
      </c>
      <c r="F3719">
        <v>69266.1875</v>
      </c>
      <c r="G3719">
        <v>69266.1875</v>
      </c>
      <c r="H3719">
        <v>46228098443</v>
      </c>
      <c r="I3719" t="s">
        <v>7502</v>
      </c>
      <c r="J3719" t="s">
        <v>7503</v>
      </c>
      <c r="K3719" t="s">
        <v>4634</v>
      </c>
    </row>
    <row r="3720" spans="1:11" ht="20" customHeight="1">
      <c r="A3720" t="s">
        <v>26</v>
      </c>
      <c r="B3720" t="s">
        <v>4551</v>
      </c>
      <c r="C3720">
        <v>69268.25</v>
      </c>
      <c r="D3720">
        <v>73369.8046875</v>
      </c>
      <c r="E3720">
        <v>68867.53125</v>
      </c>
      <c r="F3720">
        <v>73032.7578125</v>
      </c>
      <c r="G3720">
        <v>73032.7578125</v>
      </c>
      <c r="H3720">
        <v>55444322363</v>
      </c>
      <c r="I3720" t="s">
        <v>7503</v>
      </c>
      <c r="J3720" t="s">
        <v>7504</v>
      </c>
      <c r="K3720" t="s">
        <v>4634</v>
      </c>
    </row>
    <row r="3721" spans="1:11" ht="20" customHeight="1">
      <c r="A3721" t="s">
        <v>26</v>
      </c>
      <c r="B3721" t="s">
        <v>4554</v>
      </c>
      <c r="C3721">
        <v>73031.0859375</v>
      </c>
      <c r="D3721">
        <v>79463.7109375</v>
      </c>
      <c r="E3721">
        <v>73011.4140625</v>
      </c>
      <c r="F3721">
        <v>78335.1875</v>
      </c>
      <c r="G3721">
        <v>78335.1875</v>
      </c>
      <c r="H3721">
        <v>74478039014</v>
      </c>
      <c r="I3721" t="s">
        <v>7504</v>
      </c>
      <c r="J3721" t="s">
        <v>7505</v>
      </c>
      <c r="K3721" t="s">
        <v>4634</v>
      </c>
    </row>
    <row r="3722" spans="1:11" ht="20" customHeight="1">
      <c r="A3722" t="s">
        <v>26</v>
      </c>
      <c r="B3722" t="s">
        <v>7506</v>
      </c>
      <c r="C3722">
        <v>78332.5546875</v>
      </c>
      <c r="D3722">
        <v>78801.1484375</v>
      </c>
      <c r="E3722">
        <v>76526.7109375</v>
      </c>
      <c r="F3722">
        <v>77083.4140625</v>
      </c>
      <c r="G3722">
        <v>77083.4140625</v>
      </c>
      <c r="H3722">
        <v>42131959963</v>
      </c>
      <c r="I3722" t="s">
        <v>7505</v>
      </c>
      <c r="J3722" t="s">
        <v>7507</v>
      </c>
      <c r="K3722" t="s">
        <v>4634</v>
      </c>
    </row>
    <row r="3723" spans="1:11" ht="20" customHeight="1">
      <c r="A3723" t="s">
        <v>26</v>
      </c>
      <c r="B3723" t="s">
        <v>7508</v>
      </c>
      <c r="C3723">
        <v>77082.84375</v>
      </c>
      <c r="D3723">
        <v>78036.8671875</v>
      </c>
      <c r="E3723">
        <v>75624.9453125</v>
      </c>
      <c r="F3723">
        <v>77755.265625</v>
      </c>
      <c r="G3723">
        <v>77755.265625</v>
      </c>
      <c r="H3723">
        <v>31158396908</v>
      </c>
      <c r="I3723" t="s">
        <v>7507</v>
      </c>
      <c r="J3723" t="s">
        <v>7509</v>
      </c>
      <c r="K3723" t="s">
        <v>4634</v>
      </c>
    </row>
    <row r="3724" spans="1:11" ht="20" customHeight="1">
      <c r="A3724" t="s">
        <v>26</v>
      </c>
      <c r="B3724" t="s">
        <v>4557</v>
      </c>
      <c r="C3724">
        <v>77748.875</v>
      </c>
      <c r="D3724">
        <v>79970.109375</v>
      </c>
      <c r="E3724">
        <v>76688.828125</v>
      </c>
      <c r="F3724">
        <v>78964.484375</v>
      </c>
      <c r="G3724">
        <v>78964.484375</v>
      </c>
      <c r="H3724">
        <v>55502180329</v>
      </c>
      <c r="I3724" t="s">
        <v>7509</v>
      </c>
      <c r="J3724" t="s">
        <v>7510</v>
      </c>
      <c r="K3724" t="s">
        <v>4634</v>
      </c>
    </row>
    <row r="3725" spans="1:11" ht="20" customHeight="1">
      <c r="A3725" t="s">
        <v>26</v>
      </c>
      <c r="B3725" t="s">
        <v>4560</v>
      </c>
      <c r="C3725">
        <v>78960.09375</v>
      </c>
      <c r="D3725">
        <v>81235.03125</v>
      </c>
      <c r="E3725">
        <v>77870.625</v>
      </c>
      <c r="F3725">
        <v>78564.9765625</v>
      </c>
      <c r="G3725">
        <v>78564.9765625</v>
      </c>
      <c r="H3725">
        <v>46728068401</v>
      </c>
      <c r="I3725" t="s">
        <v>7510</v>
      </c>
      <c r="J3725" t="s">
        <v>7511</v>
      </c>
      <c r="K3725" t="s">
        <v>4634</v>
      </c>
    </row>
    <row r="3726" spans="1:11" ht="20" customHeight="1">
      <c r="A3726" t="s">
        <v>26</v>
      </c>
      <c r="B3726" t="s">
        <v>4563</v>
      </c>
      <c r="C3726">
        <v>78538.5859375</v>
      </c>
      <c r="D3726">
        <v>79240.5</v>
      </c>
      <c r="E3726">
        <v>77639.8359375</v>
      </c>
      <c r="F3726">
        <v>79027.421875</v>
      </c>
      <c r="G3726">
        <v>79027.421875</v>
      </c>
      <c r="H3726">
        <v>29329039002</v>
      </c>
      <c r="I3726" t="s">
        <v>7511</v>
      </c>
      <c r="J3726" t="s">
        <v>7512</v>
      </c>
      <c r="K3726" t="s">
        <v>4634</v>
      </c>
    </row>
    <row r="3727" spans="1:11" ht="20" customHeight="1">
      <c r="A3727" t="s">
        <v>26</v>
      </c>
      <c r="B3727" t="s">
        <v>4566</v>
      </c>
      <c r="C3727">
        <v>79037.921875</v>
      </c>
      <c r="D3727">
        <v>80806.5625</v>
      </c>
      <c r="E3727">
        <v>78591.1015625</v>
      </c>
      <c r="F3727">
        <v>80257.5390625</v>
      </c>
      <c r="G3727">
        <v>80257.5390625</v>
      </c>
      <c r="H3727">
        <v>34033075972</v>
      </c>
      <c r="I3727" t="s">
        <v>7512</v>
      </c>
      <c r="J3727" t="s">
        <v>7513</v>
      </c>
      <c r="K3727" t="s">
        <v>4634</v>
      </c>
    </row>
    <row r="3728" spans="1:11" ht="20" customHeight="1">
      <c r="A3728" t="s">
        <v>26</v>
      </c>
      <c r="B3728" t="s">
        <v>4569</v>
      </c>
      <c r="C3728">
        <v>80264.6484375</v>
      </c>
      <c r="D3728">
        <v>81346.953125</v>
      </c>
      <c r="E3728">
        <v>76909.3515625</v>
      </c>
      <c r="F3728">
        <v>77830.2890625</v>
      </c>
      <c r="G3728">
        <v>77830.2890625</v>
      </c>
      <c r="H3728">
        <v>39362871737</v>
      </c>
      <c r="I3728" t="s">
        <v>7513</v>
      </c>
      <c r="J3728" t="s">
        <v>7514</v>
      </c>
      <c r="K3728" t="s">
        <v>4634</v>
      </c>
    </row>
    <row r="3729" spans="1:11" ht="20" customHeight="1">
      <c r="A3729" t="s">
        <v>26</v>
      </c>
      <c r="B3729" t="s">
        <v>7515</v>
      </c>
      <c r="C3729">
        <v>77830.890625</v>
      </c>
      <c r="D3729">
        <v>78327.9453125</v>
      </c>
      <c r="E3729">
        <v>77381.8984375</v>
      </c>
      <c r="F3729">
        <v>78245.8125</v>
      </c>
      <c r="G3729">
        <v>78245.8125</v>
      </c>
      <c r="H3729">
        <v>14053131399</v>
      </c>
      <c r="I3729" t="s">
        <v>7514</v>
      </c>
      <c r="J3729" t="s">
        <v>7516</v>
      </c>
      <c r="K3729" t="s">
        <v>4634</v>
      </c>
    </row>
    <row r="3730" spans="1:11" ht="20" customHeight="1">
      <c r="A3730" t="s">
        <v>26</v>
      </c>
      <c r="B3730" t="s">
        <v>7517</v>
      </c>
      <c r="C3730">
        <v>78246.171875</v>
      </c>
      <c r="D3730">
        <v>79373.1796875</v>
      </c>
      <c r="E3730">
        <v>77056.1484375</v>
      </c>
      <c r="F3730">
        <v>77667.5703125</v>
      </c>
      <c r="G3730">
        <v>77667.5703125</v>
      </c>
      <c r="H3730">
        <v>19314839672</v>
      </c>
      <c r="I3730" t="s">
        <v>7516</v>
      </c>
      <c r="J3730" t="s">
        <v>7518</v>
      </c>
      <c r="K3730" t="s">
        <v>4634</v>
      </c>
    </row>
    <row r="3731" spans="1:11" ht="20" customHeight="1">
      <c r="A3731" t="s">
        <v>26</v>
      </c>
      <c r="B3731" t="s">
        <v>4572</v>
      </c>
      <c r="C3731">
        <v>77673.703125</v>
      </c>
      <c r="D3731">
        <v>79247.34375</v>
      </c>
      <c r="E3731">
        <v>77378.4375</v>
      </c>
      <c r="F3731">
        <v>78548.6328125</v>
      </c>
      <c r="G3731">
        <v>78548.6328125</v>
      </c>
      <c r="H3731">
        <v>30608386987</v>
      </c>
      <c r="I3731" t="s">
        <v>7518</v>
      </c>
      <c r="J3731" t="s">
        <v>7519</v>
      </c>
      <c r="K3731" t="s">
        <v>4634</v>
      </c>
    </row>
    <row r="3732" spans="1:11" ht="20" customHeight="1">
      <c r="A3732" t="s">
        <v>26</v>
      </c>
      <c r="B3732" t="s">
        <v>4575</v>
      </c>
      <c r="C3732">
        <v>78539.859375</v>
      </c>
      <c r="D3732">
        <v>79196.515625</v>
      </c>
      <c r="E3732">
        <v>76399.0625</v>
      </c>
      <c r="F3732">
        <v>77403.625</v>
      </c>
      <c r="G3732">
        <v>77403.625</v>
      </c>
      <c r="H3732">
        <v>30608796575</v>
      </c>
      <c r="I3732" t="s">
        <v>7519</v>
      </c>
      <c r="J3732" t="s">
        <v>7520</v>
      </c>
      <c r="K3732" t="s">
        <v>4634</v>
      </c>
    </row>
    <row r="3733" spans="1:11" ht="20" customHeight="1">
      <c r="A3733" t="s">
        <v>26</v>
      </c>
      <c r="B3733" t="s">
        <v>4578</v>
      </c>
      <c r="C3733">
        <v>77402.140625</v>
      </c>
      <c r="D3733">
        <v>77737.546875</v>
      </c>
      <c r="E3733">
        <v>76248.3046875</v>
      </c>
      <c r="F3733">
        <v>77300.4765625</v>
      </c>
      <c r="G3733">
        <v>77300.4765625</v>
      </c>
      <c r="H3733">
        <v>26525296646</v>
      </c>
      <c r="I3733" t="s">
        <v>7520</v>
      </c>
      <c r="J3733" t="s">
        <v>7521</v>
      </c>
      <c r="K3733" t="s">
        <v>4634</v>
      </c>
    </row>
    <row r="3734" spans="1:11" ht="20" customHeight="1">
      <c r="A3734" t="s">
        <v>26</v>
      </c>
      <c r="B3734" t="s">
        <v>4581</v>
      </c>
      <c r="C3734">
        <v>77300.1640625</v>
      </c>
      <c r="D3734">
        <v>82262.2109375</v>
      </c>
      <c r="E3734">
        <v>76940.8828125</v>
      </c>
      <c r="F3734">
        <v>81271.7421875</v>
      </c>
      <c r="G3734">
        <v>81271.7421875</v>
      </c>
      <c r="H3734">
        <v>40504199354</v>
      </c>
      <c r="I3734" t="s">
        <v>7521</v>
      </c>
      <c r="J3734" t="s">
        <v>7522</v>
      </c>
      <c r="K3734" t="s">
        <v>4634</v>
      </c>
    </row>
    <row r="3735" spans="1:11" ht="20" customHeight="1">
      <c r="A3735" t="s">
        <v>26</v>
      </c>
      <c r="B3735" t="s">
        <v>4584</v>
      </c>
      <c r="C3735">
        <v>81271.5390625</v>
      </c>
      <c r="D3735">
        <v>81433.1484375</v>
      </c>
      <c r="E3735">
        <v>78641.625</v>
      </c>
      <c r="F3735">
        <v>79671.96875</v>
      </c>
      <c r="G3735">
        <v>79671.96875</v>
      </c>
      <c r="H3735">
        <v>37501874897</v>
      </c>
      <c r="I3735" t="s">
        <v>7522</v>
      </c>
      <c r="J3735" t="s">
        <v>7523</v>
      </c>
      <c r="K3735" t="s">
        <v>4634</v>
      </c>
    </row>
    <row r="3736" spans="1:11" ht="20" customHeight="1">
      <c r="A3736" t="s">
        <v>26</v>
      </c>
      <c r="B3736" t="s">
        <v>7524</v>
      </c>
      <c r="C3736">
        <v>79671.703125</v>
      </c>
      <c r="D3736">
        <v>80194.5078125</v>
      </c>
      <c r="E3736">
        <v>79465.0625</v>
      </c>
      <c r="F3736">
        <v>79823.8671875</v>
      </c>
      <c r="G3736">
        <v>79823.8671875</v>
      </c>
      <c r="H3736">
        <v>18559708494</v>
      </c>
      <c r="I3736" t="s">
        <v>7523</v>
      </c>
      <c r="J3736" t="s">
        <v>7525</v>
      </c>
      <c r="K3736" t="s">
        <v>4634</v>
      </c>
    </row>
    <row r="3737" spans="1:11" ht="20" customHeight="1">
      <c r="A3737" t="s">
        <v>26</v>
      </c>
      <c r="B3737" t="s">
        <v>7526</v>
      </c>
      <c r="C3737">
        <v>79824.6015625</v>
      </c>
      <c r="D3737">
        <v>80530.6484375</v>
      </c>
      <c r="E3737">
        <v>79327.5</v>
      </c>
      <c r="F3737">
        <v>80350.046875</v>
      </c>
      <c r="G3737">
        <v>80350.046875</v>
      </c>
      <c r="H3737">
        <v>19391863269</v>
      </c>
      <c r="I3737" t="s">
        <v>7525</v>
      </c>
      <c r="J3737" t="s">
        <v>7527</v>
      </c>
      <c r="K3737" t="s">
        <v>4634</v>
      </c>
    </row>
    <row r="3738" spans="1:11" ht="20" customHeight="1">
      <c r="A3738" t="s">
        <v>26</v>
      </c>
      <c r="B3738" t="s">
        <v>7528</v>
      </c>
      <c r="C3738">
        <v>80349.1953125</v>
      </c>
      <c r="D3738">
        <v>80432.3125</v>
      </c>
      <c r="E3738">
        <v>78684.9296875</v>
      </c>
      <c r="F3738">
        <v>79115.8515625</v>
      </c>
      <c r="G3738">
        <v>79115.8515625</v>
      </c>
      <c r="H3738">
        <v>23414434445</v>
      </c>
      <c r="I3738" t="s">
        <v>7527</v>
      </c>
      <c r="J3738" t="s">
        <v>7529</v>
      </c>
      <c r="K3738" t="s">
        <v>4634</v>
      </c>
    </row>
    <row r="3739" spans="1:11" ht="20" customHeight="1">
      <c r="A3739" t="s">
        <v>26</v>
      </c>
      <c r="B3739" t="s">
        <v>4587</v>
      </c>
      <c r="C3739">
        <v>79114.90625</v>
      </c>
      <c r="D3739">
        <v>79463.2734375</v>
      </c>
      <c r="E3739">
        <v>77635.6875</v>
      </c>
      <c r="F3739">
        <v>78438.578125</v>
      </c>
      <c r="G3739">
        <v>78438.578125</v>
      </c>
      <c r="H3739">
        <v>34680168667</v>
      </c>
      <c r="I3739" t="s">
        <v>7529</v>
      </c>
      <c r="J3739" t="s">
        <v>7530</v>
      </c>
      <c r="K3739" t="s">
        <v>4634</v>
      </c>
    </row>
    <row r="3740" spans="1:11" ht="20" customHeight="1">
      <c r="A3740" t="s">
        <v>26</v>
      </c>
      <c r="B3740" t="s">
        <v>4590</v>
      </c>
      <c r="C3740">
        <v>78440.6015625</v>
      </c>
      <c r="D3740">
        <v>79737.296875</v>
      </c>
      <c r="E3740">
        <v>77768.1484375</v>
      </c>
      <c r="F3740">
        <v>78259.5234375</v>
      </c>
      <c r="G3740">
        <v>78259.5234375</v>
      </c>
      <c r="H3740">
        <v>29192409298</v>
      </c>
      <c r="I3740" t="s">
        <v>7530</v>
      </c>
      <c r="J3740" t="s">
        <v>7531</v>
      </c>
      <c r="K3740" t="s">
        <v>4634</v>
      </c>
    </row>
    <row r="3741" spans="1:11" ht="20" customHeight="1">
      <c r="A3741" t="s">
        <v>26</v>
      </c>
      <c r="B3741" t="s">
        <v>4593</v>
      </c>
      <c r="C3741">
        <v>78260.3828125</v>
      </c>
      <c r="D3741">
        <v>78520.96875</v>
      </c>
      <c r="E3741">
        <v>76470.640625</v>
      </c>
      <c r="F3741">
        <v>76568.125</v>
      </c>
      <c r="G3741">
        <v>76568.125</v>
      </c>
      <c r="H3741">
        <v>30120111719</v>
      </c>
      <c r="I3741" t="s">
        <v>7531</v>
      </c>
      <c r="J3741" t="s">
        <v>7532</v>
      </c>
      <c r="K3741" t="s">
        <v>4634</v>
      </c>
    </row>
    <row r="3742" spans="1:11" ht="20" customHeight="1">
      <c r="A3742" t="s">
        <v>26</v>
      </c>
      <c r="B3742" t="s">
        <v>4596</v>
      </c>
      <c r="C3742">
        <v>76559.125</v>
      </c>
      <c r="D3742">
        <v>79818.3359375</v>
      </c>
      <c r="E3742">
        <v>76162.9140625</v>
      </c>
      <c r="F3742">
        <v>77173.796875</v>
      </c>
      <c r="G3742">
        <v>77173.796875</v>
      </c>
      <c r="H3742">
        <v>37410998193</v>
      </c>
      <c r="I3742" t="s">
        <v>7532</v>
      </c>
      <c r="J3742" t="s">
        <v>7533</v>
      </c>
      <c r="K3742" t="s">
        <v>4634</v>
      </c>
    </row>
    <row r="3743" spans="1:11" ht="20" customHeight="1">
      <c r="A3743" t="s">
        <v>26</v>
      </c>
      <c r="B3743" t="s">
        <v>7534</v>
      </c>
      <c r="C3743">
        <v>77175.0703125</v>
      </c>
      <c r="D3743">
        <v>77479.65625</v>
      </c>
      <c r="E3743">
        <v>77045</v>
      </c>
      <c r="F3743">
        <v>77270.46875</v>
      </c>
      <c r="G3743">
        <v>77270.46875</v>
      </c>
      <c r="H3743">
        <v>12664765797</v>
      </c>
      <c r="I3743" t="s">
        <v>7533</v>
      </c>
      <c r="J3743" t="s">
        <v>7535</v>
      </c>
      <c r="K3743" t="s">
        <v>4634</v>
      </c>
    </row>
    <row r="3744" spans="1:11" ht="20" customHeight="1">
      <c r="A3744" t="s">
        <v>26</v>
      </c>
      <c r="B3744" t="s">
        <v>7536</v>
      </c>
      <c r="C3744">
        <v>77270.1796875</v>
      </c>
      <c r="D3744">
        <v>77415.65625</v>
      </c>
      <c r="E3744">
        <v>76498.3828125</v>
      </c>
      <c r="F3744">
        <v>76838.15625</v>
      </c>
      <c r="G3744">
        <v>76838.15625</v>
      </c>
      <c r="H3744">
        <v>13607872549</v>
      </c>
      <c r="I3744" t="s">
        <v>7535</v>
      </c>
      <c r="J3744" t="s">
        <v>7537</v>
      </c>
      <c r="K3744" t="s">
        <v>4634</v>
      </c>
    </row>
    <row r="3745" spans="1:11" ht="20" customHeight="1">
      <c r="A3745" t="s">
        <v>26</v>
      </c>
      <c r="B3745" t="s">
        <v>4599</v>
      </c>
      <c r="C3745">
        <v>76830.28125</v>
      </c>
      <c r="D3745">
        <v>79568.953125</v>
      </c>
      <c r="E3745">
        <v>76367.375</v>
      </c>
      <c r="F3745">
        <v>78163.3828125</v>
      </c>
      <c r="G3745">
        <v>78163.3828125</v>
      </c>
      <c r="H3745">
        <v>29909358382</v>
      </c>
      <c r="I3745" t="s">
        <v>7537</v>
      </c>
      <c r="J3745" t="s">
        <v>7538</v>
      </c>
      <c r="K3745" t="s">
        <v>4634</v>
      </c>
    </row>
    <row r="3746" spans="1:11" ht="20" customHeight="1">
      <c r="A3746" t="s">
        <v>26</v>
      </c>
      <c r="B3746" t="s">
        <v>4602</v>
      </c>
      <c r="C3746">
        <v>78162.484375</v>
      </c>
      <c r="D3746">
        <v>78242.546875</v>
      </c>
      <c r="E3746">
        <v>74944.59375</v>
      </c>
      <c r="F3746">
        <v>75612.5078125</v>
      </c>
      <c r="G3746">
        <v>75612.5078125</v>
      </c>
      <c r="H3746">
        <v>39694675220</v>
      </c>
      <c r="I3746" t="s">
        <v>7538</v>
      </c>
      <c r="J3746" t="s">
        <v>7539</v>
      </c>
      <c r="K3746" t="s">
        <v>4634</v>
      </c>
    </row>
    <row r="3747" spans="1:11" ht="20" customHeight="1">
      <c r="A3747" t="s">
        <v>26</v>
      </c>
      <c r="B3747" t="s">
        <v>4605</v>
      </c>
      <c r="C3747">
        <v>75611.796875</v>
      </c>
      <c r="D3747">
        <v>76474.078125</v>
      </c>
      <c r="E3747">
        <v>74995.5234375</v>
      </c>
      <c r="F3747">
        <v>76150.3203125</v>
      </c>
      <c r="G3747">
        <v>76150.3203125</v>
      </c>
      <c r="H3747">
        <v>30053315577</v>
      </c>
      <c r="I3747" t="s">
        <v>7539</v>
      </c>
      <c r="J3747" t="s">
        <v>7540</v>
      </c>
      <c r="K3747" t="s">
        <v>4634</v>
      </c>
    </row>
    <row r="3748" spans="1:11" ht="20" customHeight="1">
      <c r="A3748" t="s">
        <v>26</v>
      </c>
      <c r="B3748" t="s">
        <v>4608</v>
      </c>
      <c r="C3748">
        <v>76152.0546875</v>
      </c>
      <c r="D3748">
        <v>77079.1640625</v>
      </c>
      <c r="E3748">
        <v>75945.5546875</v>
      </c>
      <c r="F3748">
        <v>76403.7734375</v>
      </c>
      <c r="G3748">
        <v>76403.7734375</v>
      </c>
      <c r="H3748">
        <v>21917458567</v>
      </c>
      <c r="I3748" t="s">
        <v>7540</v>
      </c>
      <c r="J3748" t="s">
        <v>7541</v>
      </c>
      <c r="K3748" t="s">
        <v>4634</v>
      </c>
    </row>
    <row r="3749" spans="1:11" ht="20" customHeight="1">
      <c r="A3749" t="s">
        <v>26</v>
      </c>
      <c r="B3749" t="s">
        <v>4611</v>
      </c>
      <c r="C3749">
        <v>76405.015625</v>
      </c>
      <c r="D3749">
        <v>81331.765625</v>
      </c>
      <c r="E3749">
        <v>76228.328125</v>
      </c>
      <c r="F3749">
        <v>80901.4609375</v>
      </c>
      <c r="G3749">
        <v>80901.4609375</v>
      </c>
      <c r="H3749">
        <v>40378562386</v>
      </c>
      <c r="I3749" t="s">
        <v>7541</v>
      </c>
      <c r="J3749" t="s">
        <v>7542</v>
      </c>
      <c r="K3749" t="s">
        <v>4634</v>
      </c>
    </row>
    <row r="3750" spans="1:11" ht="20" customHeight="1">
      <c r="A3750" t="s">
        <v>26</v>
      </c>
      <c r="B3750" t="s">
        <v>7543</v>
      </c>
      <c r="C3750">
        <v>80900.2890625</v>
      </c>
      <c r="D3750">
        <v>81911.140625</v>
      </c>
      <c r="E3750">
        <v>80814.9375</v>
      </c>
      <c r="F3750">
        <v>81233.6796875</v>
      </c>
      <c r="G3750">
        <v>81233.6796875</v>
      </c>
      <c r="H3750">
        <v>20505634866</v>
      </c>
      <c r="I3750" t="s">
        <v>7542</v>
      </c>
      <c r="J3750" t="s">
        <v>7544</v>
      </c>
      <c r="K3750" t="s">
        <v>4634</v>
      </c>
    </row>
    <row r="3751" spans="1:11" ht="20" customHeight="1">
      <c r="A3751" t="s">
        <v>26</v>
      </c>
      <c r="B3751" t="s">
        <v>7545</v>
      </c>
      <c r="C3751">
        <v>81234.3046875</v>
      </c>
      <c r="D3751">
        <v>81455.203125</v>
      </c>
      <c r="E3751">
        <v>80098.7734375</v>
      </c>
      <c r="F3751">
        <v>81142.609375</v>
      </c>
      <c r="G3751">
        <v>81142.609375</v>
      </c>
      <c r="H3751">
        <v>21259753701</v>
      </c>
      <c r="I3751" t="s">
        <v>7544</v>
      </c>
      <c r="J3751" t="s">
        <v>7546</v>
      </c>
      <c r="K3751" t="s">
        <v>4634</v>
      </c>
    </row>
    <row r="3752" spans="1:11" ht="20" customHeight="1">
      <c r="A3752" t="s">
        <v>26</v>
      </c>
      <c r="B3752" t="s">
        <v>4614</v>
      </c>
      <c r="C3752">
        <v>81143.625</v>
      </c>
      <c r="D3752">
        <v>87363.7578125</v>
      </c>
      <c r="E3752">
        <v>80867.0859375</v>
      </c>
      <c r="F3752">
        <v>86602.9140625</v>
      </c>
      <c r="G3752">
        <v>86602.9140625</v>
      </c>
      <c r="H3752">
        <v>57676223471</v>
      </c>
      <c r="I3752" t="s">
        <v>7546</v>
      </c>
      <c r="J3752" t="s">
        <v>7547</v>
      </c>
      <c r="K3752" t="s">
        <v>4634</v>
      </c>
    </row>
    <row r="3753" spans="1:11" ht="20" customHeight="1">
      <c r="A3753" t="s">
        <v>26</v>
      </c>
      <c r="B3753" t="s">
        <v>4617</v>
      </c>
      <c r="C3753">
        <v>86604.375</v>
      </c>
      <c r="D3753">
        <v>86700</v>
      </c>
      <c r="E3753">
        <v>85098.0078125</v>
      </c>
      <c r="F3753">
        <v>86172.28125</v>
      </c>
      <c r="G3753">
        <v>86172.28125</v>
      </c>
      <c r="H3753">
        <v>40800687783</v>
      </c>
      <c r="I3753" t="s">
        <v>7547</v>
      </c>
      <c r="J3753" t="s">
        <v>7548</v>
      </c>
      <c r="K3753" t="s">
        <v>4634</v>
      </c>
    </row>
    <row r="3754" spans="1:11" ht="20" customHeight="1">
      <c r="A3754" t="s">
        <v>26</v>
      </c>
      <c r="B3754" t="s">
        <v>4620</v>
      </c>
      <c r="C3754">
        <v>86176.765625</v>
      </c>
      <c r="D3754">
        <v>87265.4921875</v>
      </c>
      <c r="E3754">
        <v>83519.734375</v>
      </c>
      <c r="F3754">
        <v>84383.0078125</v>
      </c>
      <c r="G3754">
        <v>84383.0078125</v>
      </c>
      <c r="H3754">
        <v>46088463341</v>
      </c>
      <c r="I3754" t="s">
        <v>7548</v>
      </c>
      <c r="J3754" t="s">
        <v>7549</v>
      </c>
      <c r="K3754" t="s">
        <v>4634</v>
      </c>
    </row>
    <row r="3755" spans="1:11" ht="20" customHeight="1">
      <c r="A3755" t="s">
        <v>26</v>
      </c>
      <c r="B3755" t="s">
        <v>4623</v>
      </c>
      <c r="C3755">
        <v>84381.59375</v>
      </c>
      <c r="D3755">
        <v>84876.2265625</v>
      </c>
      <c r="E3755">
        <v>82906.6171875</v>
      </c>
      <c r="F3755">
        <v>84379.0625</v>
      </c>
      <c r="G3755">
        <v>84379.0625</v>
      </c>
      <c r="H3755">
        <v>37106744985</v>
      </c>
      <c r="I3755" t="s">
        <v>7549</v>
      </c>
      <c r="J3755" t="s">
        <v>7550</v>
      </c>
      <c r="K3755" t="s">
        <v>4634</v>
      </c>
    </row>
    <row r="3756" spans="1:11" ht="20" customHeight="1">
      <c r="A3756" t="s">
        <v>26</v>
      </c>
      <c r="B3756" t="s">
        <v>4626</v>
      </c>
      <c r="C3756">
        <v>84379.515625</v>
      </c>
      <c r="D3756">
        <v>85230.0546875</v>
      </c>
      <c r="E3756">
        <v>83165.53125</v>
      </c>
      <c r="F3756">
        <v>84034.921875</v>
      </c>
      <c r="G3756">
        <v>84034.921875</v>
      </c>
      <c r="H3756">
        <v>34118533914</v>
      </c>
      <c r="I3756" t="s">
        <v>7550</v>
      </c>
      <c r="J3756" t="s">
        <v>7551</v>
      </c>
      <c r="K3756" t="s">
        <v>4634</v>
      </c>
    </row>
    <row r="3757" spans="1:11" ht="20" customHeight="1">
      <c r="A3757" t="s">
        <v>26</v>
      </c>
      <c r="B3757" t="s">
        <v>7552</v>
      </c>
      <c r="C3757">
        <v>84035.8203125</v>
      </c>
      <c r="D3757">
        <v>84423.1796875</v>
      </c>
      <c r="E3757">
        <v>83781.109375</v>
      </c>
      <c r="F3757">
        <v>84406.453125</v>
      </c>
      <c r="G3757">
        <v>84406.453125</v>
      </c>
      <c r="H3757">
        <v>15169336375</v>
      </c>
      <c r="I3757" t="s">
        <v>7551</v>
      </c>
      <c r="J3757" t="s">
        <v>7553</v>
      </c>
      <c r="K3757" t="s">
        <v>4634</v>
      </c>
    </row>
    <row r="3758" spans="1:11" ht="20" customHeight="1">
      <c r="A3758" t="s">
        <v>26</v>
      </c>
      <c r="B3758" t="s">
        <v>7554</v>
      </c>
      <c r="C3758">
        <v>84412.71875</v>
      </c>
      <c r="D3758">
        <v>85126.109375</v>
      </c>
      <c r="E3758">
        <v>84121.328125</v>
      </c>
      <c r="F3758">
        <v>84458.0859375</v>
      </c>
      <c r="G3758">
        <v>84458.0859375</v>
      </c>
      <c r="H3758">
        <v>19386591468</v>
      </c>
      <c r="I3758" t="s">
        <v>7553</v>
      </c>
      <c r="J3758" t="s">
        <v>7555</v>
      </c>
      <c r="K3758" t="s">
        <v>4634</v>
      </c>
    </row>
    <row r="3759" spans="1:11" ht="20" customHeight="1">
      <c r="A3759" t="s">
        <v>7556</v>
      </c>
      <c r="B3759" t="s">
        <v>38</v>
      </c>
      <c r="C3759">
        <v>342.1199951171875</v>
      </c>
      <c r="D3759">
        <v>343</v>
      </c>
      <c r="E3759">
        <v>339.4500122070312</v>
      </c>
      <c r="F3759">
        <v>342.9200134277344</v>
      </c>
      <c r="G3759">
        <v>315.0177001953125</v>
      </c>
      <c r="H3759">
        <v>48588700</v>
      </c>
      <c r="I3759" t="s">
        <v>39</v>
      </c>
      <c r="J3759" t="s">
        <v>40</v>
      </c>
      <c r="K3759" t="s">
        <v>7557</v>
      </c>
    </row>
    <row r="3760" spans="1:11" ht="20" customHeight="1">
      <c r="A3760" t="s">
        <v>7556</v>
      </c>
      <c r="B3760" t="s">
        <v>42</v>
      </c>
      <c r="C3760">
        <v>343.5299987792969</v>
      </c>
      <c r="D3760">
        <v>344.2099914550781</v>
      </c>
      <c r="E3760">
        <v>342.2699890136719</v>
      </c>
      <c r="F3760">
        <v>344.1199951171875</v>
      </c>
      <c r="G3760">
        <v>316.1199340820312</v>
      </c>
      <c r="H3760">
        <v>38463400</v>
      </c>
      <c r="I3760" t="s">
        <v>43</v>
      </c>
      <c r="J3760" t="s">
        <v>44</v>
      </c>
      <c r="K3760" t="s">
        <v>7557</v>
      </c>
    </row>
    <row r="3761" spans="1:11" ht="20" customHeight="1">
      <c r="A3761" t="s">
        <v>7556</v>
      </c>
      <c r="B3761" t="s">
        <v>45</v>
      </c>
      <c r="C3761">
        <v>344.760009765625</v>
      </c>
      <c r="D3761">
        <v>347.8599853515625</v>
      </c>
      <c r="E3761">
        <v>344.1700134277344</v>
      </c>
      <c r="F3761">
        <v>347.5700073242188</v>
      </c>
      <c r="G3761">
        <v>319.2892150878906</v>
      </c>
      <c r="H3761">
        <v>50790200</v>
      </c>
      <c r="I3761" t="s">
        <v>46</v>
      </c>
      <c r="J3761" t="s">
        <v>47</v>
      </c>
      <c r="K3761" t="s">
        <v>7557</v>
      </c>
    </row>
    <row r="3762" spans="1:11" ht="20" customHeight="1">
      <c r="A3762" t="s">
        <v>7556</v>
      </c>
      <c r="B3762" t="s">
        <v>48</v>
      </c>
      <c r="C3762">
        <v>348.510009765625</v>
      </c>
      <c r="D3762">
        <v>349.8999938964844</v>
      </c>
      <c r="E3762">
        <v>346.5299987792969</v>
      </c>
      <c r="F3762">
        <v>348.3299865722656</v>
      </c>
      <c r="G3762">
        <v>319.9873962402344</v>
      </c>
      <c r="H3762">
        <v>58034100</v>
      </c>
      <c r="I3762" t="s">
        <v>49</v>
      </c>
      <c r="J3762" t="s">
        <v>50</v>
      </c>
      <c r="K3762" t="s">
        <v>7557</v>
      </c>
    </row>
    <row r="3763" spans="1:11" ht="20" customHeight="1">
      <c r="A3763" t="s">
        <v>7556</v>
      </c>
      <c r="B3763" t="s">
        <v>51</v>
      </c>
      <c r="C3763">
        <v>349.4400024414062</v>
      </c>
      <c r="D3763">
        <v>350.7200012207031</v>
      </c>
      <c r="E3763">
        <v>348.1499938964844</v>
      </c>
      <c r="F3763">
        <v>350.5799865722656</v>
      </c>
      <c r="G3763">
        <v>322.0542907714844</v>
      </c>
      <c r="H3763">
        <v>48588900</v>
      </c>
      <c r="I3763" t="s">
        <v>52</v>
      </c>
      <c r="J3763" t="s">
        <v>53</v>
      </c>
      <c r="K3763" t="s">
        <v>7557</v>
      </c>
    </row>
    <row r="3764" spans="1:11" ht="20" customHeight="1">
      <c r="A3764" t="s">
        <v>7556</v>
      </c>
      <c r="B3764" t="s">
        <v>54</v>
      </c>
      <c r="C3764">
        <v>350.3500061035156</v>
      </c>
      <c r="D3764">
        <v>351.2999877929688</v>
      </c>
      <c r="E3764">
        <v>349.0599975585938</v>
      </c>
      <c r="F3764">
        <v>349.3099975585938</v>
      </c>
      <c r="G3764">
        <v>320.8876953125</v>
      </c>
      <c r="H3764">
        <v>66099200</v>
      </c>
      <c r="I3764" t="s">
        <v>55</v>
      </c>
      <c r="J3764" t="s">
        <v>56</v>
      </c>
      <c r="K3764" t="s">
        <v>7557</v>
      </c>
    </row>
    <row r="3765" spans="1:11" ht="20" customHeight="1">
      <c r="A3765" t="s">
        <v>7556</v>
      </c>
      <c r="B3765" t="s">
        <v>57</v>
      </c>
      <c r="C3765">
        <v>350.2099914550781</v>
      </c>
      <c r="D3765">
        <v>352.7099914550781</v>
      </c>
      <c r="E3765">
        <v>349.239990234375</v>
      </c>
      <c r="F3765">
        <v>352.6000061035156</v>
      </c>
      <c r="G3765">
        <v>323.9099731445312</v>
      </c>
      <c r="H3765">
        <v>54908700</v>
      </c>
      <c r="I3765" t="s">
        <v>58</v>
      </c>
      <c r="J3765" t="s">
        <v>59</v>
      </c>
      <c r="K3765" t="s">
        <v>7557</v>
      </c>
    </row>
    <row r="3766" spans="1:11" ht="20" customHeight="1">
      <c r="A3766" t="s">
        <v>7556</v>
      </c>
      <c r="B3766" t="s">
        <v>60</v>
      </c>
      <c r="C3766">
        <v>354.6700134277344</v>
      </c>
      <c r="D3766">
        <v>358.75</v>
      </c>
      <c r="E3766">
        <v>353.4299926757812</v>
      </c>
      <c r="F3766">
        <v>357.7000122070312</v>
      </c>
      <c r="G3766">
        <v>328.5950317382812</v>
      </c>
      <c r="H3766">
        <v>69540000</v>
      </c>
      <c r="I3766" t="s">
        <v>61</v>
      </c>
      <c r="J3766" t="s">
        <v>62</v>
      </c>
      <c r="K3766" t="s">
        <v>7557</v>
      </c>
    </row>
    <row r="3767" spans="1:11" ht="20" customHeight="1">
      <c r="A3767" t="s">
        <v>7556</v>
      </c>
      <c r="B3767" t="s">
        <v>63</v>
      </c>
      <c r="C3767">
        <v>355.8699951171875</v>
      </c>
      <c r="D3767">
        <v>356.3800048828125</v>
      </c>
      <c r="E3767">
        <v>342.5899963378906</v>
      </c>
      <c r="F3767">
        <v>345.3900146484375</v>
      </c>
      <c r="G3767">
        <v>317.2867126464844</v>
      </c>
      <c r="H3767">
        <v>148011100</v>
      </c>
      <c r="I3767" t="s">
        <v>64</v>
      </c>
      <c r="J3767" t="s">
        <v>65</v>
      </c>
      <c r="K3767" t="s">
        <v>7557</v>
      </c>
    </row>
    <row r="3768" spans="1:11" ht="20" customHeight="1">
      <c r="A3768" t="s">
        <v>7556</v>
      </c>
      <c r="B3768" t="s">
        <v>66</v>
      </c>
      <c r="C3768">
        <v>346.1300048828125</v>
      </c>
      <c r="D3768">
        <v>347.8299865722656</v>
      </c>
      <c r="E3768">
        <v>334.8699951171875</v>
      </c>
      <c r="F3768">
        <v>342.5700073242188</v>
      </c>
      <c r="G3768">
        <v>314.6961364746094</v>
      </c>
      <c r="H3768">
        <v>139156300</v>
      </c>
      <c r="I3768" t="s">
        <v>67</v>
      </c>
      <c r="J3768" t="s">
        <v>68</v>
      </c>
      <c r="K3768" t="s">
        <v>7557</v>
      </c>
    </row>
    <row r="3769" spans="1:11" ht="20" customHeight="1">
      <c r="A3769" t="s">
        <v>7556</v>
      </c>
      <c r="B3769" t="s">
        <v>69</v>
      </c>
      <c r="C3769">
        <v>336.7099914550781</v>
      </c>
      <c r="D3769">
        <v>342.6400146484375</v>
      </c>
      <c r="E3769">
        <v>332.8800048828125</v>
      </c>
      <c r="F3769">
        <v>333.2099914550781</v>
      </c>
      <c r="G3769">
        <v>306.09765625</v>
      </c>
      <c r="H3769">
        <v>114465300</v>
      </c>
      <c r="I3769" t="s">
        <v>70</v>
      </c>
      <c r="J3769" t="s">
        <v>71</v>
      </c>
      <c r="K3769" t="s">
        <v>7557</v>
      </c>
    </row>
    <row r="3770" spans="1:11" ht="20" customHeight="1">
      <c r="A3770" t="s">
        <v>7556</v>
      </c>
      <c r="B3770" t="s">
        <v>72</v>
      </c>
      <c r="C3770">
        <v>337.5499877929688</v>
      </c>
      <c r="D3770">
        <v>342.4599914550781</v>
      </c>
      <c r="E3770">
        <v>336.6099853515625</v>
      </c>
      <c r="F3770">
        <v>339.7900085449219</v>
      </c>
      <c r="G3770">
        <v>312.1423645019531</v>
      </c>
      <c r="H3770">
        <v>91462300</v>
      </c>
      <c r="I3770" t="s">
        <v>73</v>
      </c>
      <c r="J3770" t="s">
        <v>74</v>
      </c>
      <c r="K3770" t="s">
        <v>7557</v>
      </c>
    </row>
    <row r="3771" spans="1:11" ht="20" customHeight="1">
      <c r="A3771" t="s">
        <v>7556</v>
      </c>
      <c r="B3771" t="s">
        <v>75</v>
      </c>
      <c r="C3771">
        <v>341.8200073242188</v>
      </c>
      <c r="D3771">
        <v>342.5299987792969</v>
      </c>
      <c r="E3771">
        <v>332.8500061035156</v>
      </c>
      <c r="F3771">
        <v>333.8900146484375</v>
      </c>
      <c r="G3771">
        <v>306.7223205566406</v>
      </c>
      <c r="H3771">
        <v>90569500</v>
      </c>
      <c r="I3771" t="s">
        <v>76</v>
      </c>
      <c r="J3771" t="s">
        <v>77</v>
      </c>
      <c r="K3771" t="s">
        <v>7557</v>
      </c>
    </row>
    <row r="3772" spans="1:11" ht="20" customHeight="1">
      <c r="A3772" t="s">
        <v>7556</v>
      </c>
      <c r="B3772" t="s">
        <v>78</v>
      </c>
      <c r="C3772">
        <v>335.8200073242188</v>
      </c>
      <c r="D3772">
        <v>336.9700012207031</v>
      </c>
      <c r="E3772">
        <v>331</v>
      </c>
      <c r="F3772">
        <v>334.0599975585938</v>
      </c>
      <c r="G3772">
        <v>306.8785400390625</v>
      </c>
      <c r="H3772">
        <v>84680200</v>
      </c>
      <c r="I3772" t="s">
        <v>79</v>
      </c>
      <c r="J3772" t="s">
        <v>80</v>
      </c>
      <c r="K3772" t="s">
        <v>7557</v>
      </c>
    </row>
    <row r="3773" spans="1:11" ht="20" customHeight="1">
      <c r="A3773" t="s">
        <v>7556</v>
      </c>
      <c r="B3773" t="s">
        <v>81</v>
      </c>
      <c r="C3773">
        <v>337.489990234375</v>
      </c>
      <c r="D3773">
        <v>340.3800048828125</v>
      </c>
      <c r="E3773">
        <v>334.2200012207031</v>
      </c>
      <c r="F3773">
        <v>338.4599914550781</v>
      </c>
      <c r="G3773">
        <v>310.92041015625</v>
      </c>
      <c r="H3773">
        <v>65605700</v>
      </c>
      <c r="I3773" t="s">
        <v>82</v>
      </c>
      <c r="J3773" t="s">
        <v>83</v>
      </c>
      <c r="K3773" t="s">
        <v>7557</v>
      </c>
    </row>
    <row r="3774" spans="1:11" ht="20" customHeight="1">
      <c r="A3774" t="s">
        <v>7556</v>
      </c>
      <c r="B3774" t="s">
        <v>84</v>
      </c>
      <c r="C3774">
        <v>341.1199951171875</v>
      </c>
      <c r="D3774">
        <v>342.0199890136719</v>
      </c>
      <c r="E3774">
        <v>338.4700012207031</v>
      </c>
      <c r="F3774">
        <v>340.1700134277344</v>
      </c>
      <c r="G3774">
        <v>312.4913635253906</v>
      </c>
      <c r="H3774">
        <v>52920900</v>
      </c>
      <c r="I3774" t="s">
        <v>85</v>
      </c>
      <c r="J3774" t="s">
        <v>86</v>
      </c>
      <c r="K3774" t="s">
        <v>7557</v>
      </c>
    </row>
    <row r="3775" spans="1:11" ht="20" customHeight="1">
      <c r="A3775" t="s">
        <v>7556</v>
      </c>
      <c r="B3775" t="s">
        <v>87</v>
      </c>
      <c r="C3775">
        <v>341.510009765625</v>
      </c>
      <c r="D3775">
        <v>343.0599975585938</v>
      </c>
      <c r="E3775">
        <v>338.5199890136719</v>
      </c>
      <c r="F3775">
        <v>338.8200073242188</v>
      </c>
      <c r="G3775">
        <v>311.2511596679688</v>
      </c>
      <c r="H3775">
        <v>82096000</v>
      </c>
      <c r="I3775" t="s">
        <v>88</v>
      </c>
      <c r="J3775" t="s">
        <v>89</v>
      </c>
      <c r="K3775" t="s">
        <v>7557</v>
      </c>
    </row>
    <row r="3776" spans="1:11" ht="20" customHeight="1">
      <c r="A3776" t="s">
        <v>7556</v>
      </c>
      <c r="B3776" t="s">
        <v>90</v>
      </c>
      <c r="C3776">
        <v>333.5599975585938</v>
      </c>
      <c r="D3776">
        <v>337.7000122070312</v>
      </c>
      <c r="E3776">
        <v>332.989990234375</v>
      </c>
      <c r="F3776">
        <v>335.8399963378906</v>
      </c>
      <c r="G3776">
        <v>308.5137329101562</v>
      </c>
      <c r="H3776">
        <v>91523300</v>
      </c>
      <c r="I3776" t="s">
        <v>91</v>
      </c>
      <c r="J3776" t="s">
        <v>92</v>
      </c>
      <c r="K3776" t="s">
        <v>7557</v>
      </c>
    </row>
    <row r="3777" spans="1:11" ht="20" customHeight="1">
      <c r="A3777" t="s">
        <v>7556</v>
      </c>
      <c r="B3777" t="s">
        <v>93</v>
      </c>
      <c r="C3777">
        <v>335.3699951171875</v>
      </c>
      <c r="D3777">
        <v>335.489990234375</v>
      </c>
      <c r="E3777">
        <v>327.9700012207031</v>
      </c>
      <c r="F3777">
        <v>330.6499938964844</v>
      </c>
      <c r="G3777">
        <v>304.9619140625</v>
      </c>
      <c r="H3777">
        <v>105877900</v>
      </c>
      <c r="I3777" t="s">
        <v>94</v>
      </c>
      <c r="J3777" t="s">
        <v>95</v>
      </c>
      <c r="K3777" t="s">
        <v>7557</v>
      </c>
    </row>
    <row r="3778" spans="1:11" ht="20" customHeight="1">
      <c r="A3778" t="s">
        <v>7556</v>
      </c>
      <c r="B3778" t="s">
        <v>96</v>
      </c>
      <c r="C3778">
        <v>325.7000122070312</v>
      </c>
      <c r="D3778">
        <v>327.1300048828125</v>
      </c>
      <c r="E3778">
        <v>321.7300109863281</v>
      </c>
      <c r="F3778">
        <v>326.9700012207031</v>
      </c>
      <c r="G3778">
        <v>301.5677795410156</v>
      </c>
      <c r="H3778">
        <v>99450800</v>
      </c>
      <c r="I3778" t="s">
        <v>97</v>
      </c>
      <c r="J3778" t="s">
        <v>98</v>
      </c>
      <c r="K3778" t="s">
        <v>7557</v>
      </c>
    </row>
    <row r="3779" spans="1:11" ht="20" customHeight="1">
      <c r="A3779" t="s">
        <v>7556</v>
      </c>
      <c r="B3779" t="s">
        <v>99</v>
      </c>
      <c r="C3779">
        <v>328.5700073242188</v>
      </c>
      <c r="D3779">
        <v>330.8999938964844</v>
      </c>
      <c r="E3779">
        <v>325.8599853515625</v>
      </c>
      <c r="F3779">
        <v>330.2999877929688</v>
      </c>
      <c r="G3779">
        <v>304.6390991210938</v>
      </c>
      <c r="H3779">
        <v>63612100</v>
      </c>
      <c r="I3779" t="s">
        <v>100</v>
      </c>
      <c r="J3779" t="s">
        <v>101</v>
      </c>
      <c r="K3779" t="s">
        <v>7557</v>
      </c>
    </row>
    <row r="3780" spans="1:11" ht="20" customHeight="1">
      <c r="A3780" t="s">
        <v>7556</v>
      </c>
      <c r="B3780" t="s">
        <v>102</v>
      </c>
      <c r="C3780">
        <v>330.8999938964844</v>
      </c>
      <c r="D3780">
        <v>331.2000122070312</v>
      </c>
      <c r="E3780">
        <v>322.1000061035156</v>
      </c>
      <c r="F3780">
        <v>322.6400146484375</v>
      </c>
      <c r="G3780">
        <v>297.57421875</v>
      </c>
      <c r="H3780">
        <v>93112200</v>
      </c>
      <c r="I3780" t="s">
        <v>103</v>
      </c>
      <c r="J3780" t="s">
        <v>104</v>
      </c>
      <c r="K3780" t="s">
        <v>7557</v>
      </c>
    </row>
    <row r="3781" spans="1:11" ht="20" customHeight="1">
      <c r="A3781" t="s">
        <v>7556</v>
      </c>
      <c r="B3781" t="s">
        <v>105</v>
      </c>
      <c r="C3781">
        <v>321.2200012207031</v>
      </c>
      <c r="D3781">
        <v>326.7999877929688</v>
      </c>
      <c r="E3781">
        <v>319.7999877929688</v>
      </c>
      <c r="F3781">
        <v>323.5</v>
      </c>
      <c r="G3781">
        <v>298.367431640625</v>
      </c>
      <c r="H3781">
        <v>76681300</v>
      </c>
      <c r="I3781" t="s">
        <v>106</v>
      </c>
      <c r="J3781" t="s">
        <v>107</v>
      </c>
      <c r="K3781" t="s">
        <v>7557</v>
      </c>
    </row>
    <row r="3782" spans="1:11" ht="20" customHeight="1">
      <c r="A3782" t="s">
        <v>7556</v>
      </c>
      <c r="B3782" t="s">
        <v>108</v>
      </c>
      <c r="C3782">
        <v>322.5799865722656</v>
      </c>
      <c r="D3782">
        <v>329.5799865722656</v>
      </c>
      <c r="E3782">
        <v>321.6400146484375</v>
      </c>
      <c r="F3782">
        <v>328.7300109863281</v>
      </c>
      <c r="G3782">
        <v>303.1910095214844</v>
      </c>
      <c r="H3782">
        <v>71069400</v>
      </c>
      <c r="I3782" t="s">
        <v>109</v>
      </c>
      <c r="J3782" t="s">
        <v>110</v>
      </c>
      <c r="K3782" t="s">
        <v>7557</v>
      </c>
    </row>
    <row r="3783" spans="1:11" ht="20" customHeight="1">
      <c r="A3783" t="s">
        <v>7556</v>
      </c>
      <c r="B3783" t="s">
        <v>111</v>
      </c>
      <c r="C3783">
        <v>333.2200012207031</v>
      </c>
      <c r="D3783">
        <v>334.9599914550781</v>
      </c>
      <c r="E3783">
        <v>332.1499938964844</v>
      </c>
      <c r="F3783">
        <v>334.1900024414062</v>
      </c>
      <c r="G3783">
        <v>308.2268371582031</v>
      </c>
      <c r="H3783">
        <v>64584600</v>
      </c>
      <c r="I3783" t="s">
        <v>112</v>
      </c>
      <c r="J3783" t="s">
        <v>113</v>
      </c>
      <c r="K3783" t="s">
        <v>7557</v>
      </c>
    </row>
    <row r="3784" spans="1:11" ht="20" customHeight="1">
      <c r="A3784" t="s">
        <v>7556</v>
      </c>
      <c r="B3784" t="s">
        <v>114</v>
      </c>
      <c r="C3784">
        <v>333.9700012207031</v>
      </c>
      <c r="D3784">
        <v>334.7699890136719</v>
      </c>
      <c r="E3784">
        <v>331.6199951171875</v>
      </c>
      <c r="F3784">
        <v>332.3699951171875</v>
      </c>
      <c r="G3784">
        <v>306.5482788085938</v>
      </c>
      <c r="H3784">
        <v>51304000</v>
      </c>
      <c r="I3784" t="s">
        <v>115</v>
      </c>
      <c r="J3784" t="s">
        <v>116</v>
      </c>
      <c r="K3784" t="s">
        <v>7557</v>
      </c>
    </row>
    <row r="3785" spans="1:11" ht="20" customHeight="1">
      <c r="A3785" t="s">
        <v>7556</v>
      </c>
      <c r="B3785" t="s">
        <v>117</v>
      </c>
      <c r="C3785">
        <v>333.0899963378906</v>
      </c>
      <c r="D3785">
        <v>338.2900085449219</v>
      </c>
      <c r="E3785">
        <v>332.8800048828125</v>
      </c>
      <c r="F3785">
        <v>334.8900146484375</v>
      </c>
      <c r="G3785">
        <v>308.8724975585938</v>
      </c>
      <c r="H3785">
        <v>104081100</v>
      </c>
      <c r="I3785" t="s">
        <v>118</v>
      </c>
      <c r="J3785" t="s">
        <v>119</v>
      </c>
      <c r="K3785" t="s">
        <v>7557</v>
      </c>
    </row>
    <row r="3786" spans="1:11" ht="20" customHeight="1">
      <c r="A3786" t="s">
        <v>7556</v>
      </c>
      <c r="B3786" t="s">
        <v>120</v>
      </c>
      <c r="C3786">
        <v>337.6900024414062</v>
      </c>
      <c r="D3786">
        <v>338.739990234375</v>
      </c>
      <c r="E3786">
        <v>335.010009765625</v>
      </c>
      <c r="F3786">
        <v>337.0400085449219</v>
      </c>
      <c r="G3786">
        <v>310.85546875</v>
      </c>
      <c r="H3786">
        <v>88698700</v>
      </c>
      <c r="I3786" t="s">
        <v>121</v>
      </c>
      <c r="J3786" t="s">
        <v>122</v>
      </c>
      <c r="K3786" t="s">
        <v>7557</v>
      </c>
    </row>
    <row r="3787" spans="1:11" ht="20" customHeight="1">
      <c r="A3787" t="s">
        <v>7556</v>
      </c>
      <c r="B3787" t="s">
        <v>123</v>
      </c>
      <c r="C3787">
        <v>331.7000122070312</v>
      </c>
      <c r="D3787">
        <v>337.010009765625</v>
      </c>
      <c r="E3787">
        <v>331.1900024414062</v>
      </c>
      <c r="F3787">
        <v>333.8399963378906</v>
      </c>
      <c r="G3787">
        <v>307.904052734375</v>
      </c>
      <c r="H3787">
        <v>89431100</v>
      </c>
      <c r="I3787" t="s">
        <v>124</v>
      </c>
      <c r="J3787" t="s">
        <v>125</v>
      </c>
      <c r="K3787" t="s">
        <v>7557</v>
      </c>
    </row>
    <row r="3788" spans="1:11" ht="20" customHeight="1">
      <c r="A3788" t="s">
        <v>7556</v>
      </c>
      <c r="B3788" t="s">
        <v>126</v>
      </c>
      <c r="C3788">
        <v>336.0599975585938</v>
      </c>
      <c r="D3788">
        <v>339.9599914550781</v>
      </c>
      <c r="E3788">
        <v>336.010009765625</v>
      </c>
      <c r="F3788">
        <v>339.760009765625</v>
      </c>
      <c r="G3788">
        <v>313.3641357421875</v>
      </c>
      <c r="H3788">
        <v>45713100</v>
      </c>
      <c r="I3788" t="s">
        <v>127</v>
      </c>
      <c r="J3788" t="s">
        <v>128</v>
      </c>
      <c r="K3788" t="s">
        <v>7557</v>
      </c>
    </row>
    <row r="3789" spans="1:11" ht="20" customHeight="1">
      <c r="A3789" t="s">
        <v>7556</v>
      </c>
      <c r="B3789" t="s">
        <v>129</v>
      </c>
      <c r="C3789">
        <v>339.9100036621094</v>
      </c>
      <c r="D3789">
        <v>342.1700134277344</v>
      </c>
      <c r="E3789">
        <v>334.3800048828125</v>
      </c>
      <c r="F3789">
        <v>334.9299926757812</v>
      </c>
      <c r="G3789">
        <v>308.9093933105469</v>
      </c>
      <c r="H3789">
        <v>90128900</v>
      </c>
      <c r="I3789" t="s">
        <v>130</v>
      </c>
      <c r="J3789" t="s">
        <v>131</v>
      </c>
      <c r="K3789" t="s">
        <v>7557</v>
      </c>
    </row>
    <row r="3790" spans="1:11" ht="20" customHeight="1">
      <c r="A3790" t="s">
        <v>7556</v>
      </c>
      <c r="B3790" t="s">
        <v>132</v>
      </c>
      <c r="C3790">
        <v>338.1199951171875</v>
      </c>
      <c r="D3790">
        <v>341.6300048828125</v>
      </c>
      <c r="E3790">
        <v>338.0899963378906</v>
      </c>
      <c r="F3790">
        <v>340.760009765625</v>
      </c>
      <c r="G3790">
        <v>314.2864685058594</v>
      </c>
      <c r="H3790">
        <v>56999600</v>
      </c>
      <c r="I3790" t="s">
        <v>133</v>
      </c>
      <c r="J3790" t="s">
        <v>134</v>
      </c>
      <c r="K3790" t="s">
        <v>7557</v>
      </c>
    </row>
    <row r="3791" spans="1:11" ht="20" customHeight="1">
      <c r="A3791" t="s">
        <v>7556</v>
      </c>
      <c r="B3791" t="s">
        <v>135</v>
      </c>
      <c r="C3791">
        <v>342.8500061035156</v>
      </c>
      <c r="D3791">
        <v>343.8500061035156</v>
      </c>
      <c r="E3791">
        <v>341.8599853515625</v>
      </c>
      <c r="F3791">
        <v>343.7799987792969</v>
      </c>
      <c r="G3791">
        <v>317.07177734375</v>
      </c>
      <c r="H3791">
        <v>45242500</v>
      </c>
      <c r="I3791" t="s">
        <v>136</v>
      </c>
      <c r="J3791" t="s">
        <v>137</v>
      </c>
      <c r="K3791" t="s">
        <v>7557</v>
      </c>
    </row>
    <row r="3792" spans="1:11" ht="20" customHeight="1">
      <c r="A3792" t="s">
        <v>7556</v>
      </c>
      <c r="B3792" t="s">
        <v>138</v>
      </c>
      <c r="C3792">
        <v>345.5599975585938</v>
      </c>
      <c r="D3792">
        <v>347.3500061035156</v>
      </c>
      <c r="E3792">
        <v>344.8900146484375</v>
      </c>
      <c r="F3792">
        <v>346.8500061035156</v>
      </c>
      <c r="G3792">
        <v>319.9033203125</v>
      </c>
      <c r="H3792">
        <v>59528600</v>
      </c>
      <c r="I3792" t="s">
        <v>139</v>
      </c>
      <c r="J3792" t="s">
        <v>140</v>
      </c>
      <c r="K3792" t="s">
        <v>7557</v>
      </c>
    </row>
    <row r="3793" spans="1:11" ht="20" customHeight="1">
      <c r="A3793" t="s">
        <v>7556</v>
      </c>
      <c r="B3793" t="s">
        <v>141</v>
      </c>
      <c r="C3793">
        <v>349.5899963378906</v>
      </c>
      <c r="D3793">
        <v>354.0199890136719</v>
      </c>
      <c r="E3793">
        <v>349.0599975585938</v>
      </c>
      <c r="F3793">
        <v>352.4299926757812</v>
      </c>
      <c r="G3793">
        <v>325.0498657226562</v>
      </c>
      <c r="H3793">
        <v>80388500</v>
      </c>
      <c r="I3793" t="s">
        <v>142</v>
      </c>
      <c r="J3793" t="s">
        <v>143</v>
      </c>
      <c r="K3793" t="s">
        <v>7557</v>
      </c>
    </row>
    <row r="3794" spans="1:11" ht="20" customHeight="1">
      <c r="A3794" t="s">
        <v>7556</v>
      </c>
      <c r="B3794" t="s">
        <v>144</v>
      </c>
      <c r="C3794">
        <v>352.2799987792969</v>
      </c>
      <c r="D3794">
        <v>352.4700012207031</v>
      </c>
      <c r="E3794">
        <v>349.0899963378906</v>
      </c>
      <c r="F3794">
        <v>350.1300048828125</v>
      </c>
      <c r="G3794">
        <v>322.928466796875</v>
      </c>
      <c r="H3794">
        <v>73255500</v>
      </c>
      <c r="I3794" t="s">
        <v>145</v>
      </c>
      <c r="J3794" t="s">
        <v>146</v>
      </c>
      <c r="K3794" t="s">
        <v>7557</v>
      </c>
    </row>
    <row r="3795" spans="1:11" ht="20" customHeight="1">
      <c r="A3795" t="s">
        <v>7556</v>
      </c>
      <c r="B3795" t="s">
        <v>147</v>
      </c>
      <c r="C3795">
        <v>350.75</v>
      </c>
      <c r="D3795">
        <v>351.9299926757812</v>
      </c>
      <c r="E3795">
        <v>347.1400146484375</v>
      </c>
      <c r="F3795">
        <v>347.9299926757812</v>
      </c>
      <c r="G3795">
        <v>320.8994445800781</v>
      </c>
      <c r="H3795">
        <v>57727900</v>
      </c>
      <c r="I3795" t="s">
        <v>148</v>
      </c>
      <c r="J3795" t="s">
        <v>149</v>
      </c>
      <c r="K3795" t="s">
        <v>7557</v>
      </c>
    </row>
    <row r="3796" spans="1:11" ht="20" customHeight="1">
      <c r="A3796" t="s">
        <v>7556</v>
      </c>
      <c r="B3796" t="s">
        <v>150</v>
      </c>
      <c r="C3796">
        <v>343.7099914550781</v>
      </c>
      <c r="D3796">
        <v>348.0199890136719</v>
      </c>
      <c r="E3796">
        <v>343.1300048828125</v>
      </c>
      <c r="F3796">
        <v>347.5</v>
      </c>
      <c r="G3796">
        <v>320.5028076171875</v>
      </c>
      <c r="H3796">
        <v>60357700</v>
      </c>
      <c r="I3796" t="s">
        <v>151</v>
      </c>
      <c r="J3796" t="s">
        <v>152</v>
      </c>
      <c r="K3796" t="s">
        <v>7557</v>
      </c>
    </row>
    <row r="3797" spans="1:11" ht="20" customHeight="1">
      <c r="A3797" t="s">
        <v>7556</v>
      </c>
      <c r="B3797" t="s">
        <v>153</v>
      </c>
      <c r="C3797">
        <v>348.9599914550781</v>
      </c>
      <c r="D3797">
        <v>350.75</v>
      </c>
      <c r="E3797">
        <v>347.1000061035156</v>
      </c>
      <c r="F3797">
        <v>347.2900085449219</v>
      </c>
      <c r="G3797">
        <v>320.3092041015625</v>
      </c>
      <c r="H3797">
        <v>89501900</v>
      </c>
      <c r="I3797" t="s">
        <v>154</v>
      </c>
      <c r="J3797" t="s">
        <v>155</v>
      </c>
      <c r="K3797" t="s">
        <v>7557</v>
      </c>
    </row>
    <row r="3798" spans="1:11" ht="20" customHeight="1">
      <c r="A3798" t="s">
        <v>7556</v>
      </c>
      <c r="B3798" t="s">
        <v>156</v>
      </c>
      <c r="C3798">
        <v>348.6499938964844</v>
      </c>
      <c r="D3798">
        <v>349.3299865722656</v>
      </c>
      <c r="E3798">
        <v>341.0400085449219</v>
      </c>
      <c r="F3798">
        <v>342.010009765625</v>
      </c>
      <c r="G3798">
        <v>315.4393005371094</v>
      </c>
      <c r="H3798">
        <v>68425600</v>
      </c>
      <c r="I3798" t="s">
        <v>157</v>
      </c>
      <c r="J3798" t="s">
        <v>158</v>
      </c>
      <c r="K3798" t="s">
        <v>7557</v>
      </c>
    </row>
    <row r="3799" spans="1:11" ht="20" customHeight="1">
      <c r="A3799" t="s">
        <v>7556</v>
      </c>
      <c r="B3799" t="s">
        <v>159</v>
      </c>
      <c r="C3799">
        <v>343.4599914550781</v>
      </c>
      <c r="D3799">
        <v>346.8800048828125</v>
      </c>
      <c r="E3799">
        <v>342.6400146484375</v>
      </c>
      <c r="F3799">
        <v>343.3800048828125</v>
      </c>
      <c r="G3799">
        <v>316.7029418945312</v>
      </c>
      <c r="H3799">
        <v>60051900</v>
      </c>
      <c r="I3799" t="s">
        <v>160</v>
      </c>
      <c r="J3799" t="s">
        <v>161</v>
      </c>
      <c r="K3799" t="s">
        <v>7557</v>
      </c>
    </row>
    <row r="3800" spans="1:11" ht="20" customHeight="1">
      <c r="A3800" t="s">
        <v>7556</v>
      </c>
      <c r="B3800" t="s">
        <v>162</v>
      </c>
      <c r="C3800">
        <v>343.3299865722656</v>
      </c>
      <c r="D3800">
        <v>345.6700134277344</v>
      </c>
      <c r="E3800">
        <v>342.3999938964844</v>
      </c>
      <c r="F3800">
        <v>342.7300109863281</v>
      </c>
      <c r="G3800">
        <v>316.1033935546875</v>
      </c>
      <c r="H3800">
        <v>63575000</v>
      </c>
      <c r="I3800" t="s">
        <v>163</v>
      </c>
      <c r="J3800" t="s">
        <v>164</v>
      </c>
      <c r="K3800" t="s">
        <v>7557</v>
      </c>
    </row>
    <row r="3801" spans="1:11" ht="20" customHeight="1">
      <c r="A3801" t="s">
        <v>7556</v>
      </c>
      <c r="B3801" t="s">
        <v>165</v>
      </c>
      <c r="C3801">
        <v>342.9599914550781</v>
      </c>
      <c r="D3801">
        <v>345.239990234375</v>
      </c>
      <c r="E3801">
        <v>340.6499938964844</v>
      </c>
      <c r="F3801">
        <v>344.6099853515625</v>
      </c>
      <c r="G3801">
        <v>317.8373718261719</v>
      </c>
      <c r="H3801">
        <v>55399300</v>
      </c>
      <c r="I3801" t="s">
        <v>166</v>
      </c>
      <c r="J3801" t="s">
        <v>167</v>
      </c>
      <c r="K3801" t="s">
        <v>7557</v>
      </c>
    </row>
    <row r="3802" spans="1:11" ht="20" customHeight="1">
      <c r="A3802" t="s">
        <v>7556</v>
      </c>
      <c r="B3802" t="s">
        <v>168</v>
      </c>
      <c r="C3802">
        <v>345.9299926757812</v>
      </c>
      <c r="D3802">
        <v>345.989990234375</v>
      </c>
      <c r="E3802">
        <v>343.1300048828125</v>
      </c>
      <c r="F3802">
        <v>345.7799987792969</v>
      </c>
      <c r="G3802">
        <v>318.9164123535156</v>
      </c>
      <c r="H3802">
        <v>49143900</v>
      </c>
      <c r="I3802" t="s">
        <v>169</v>
      </c>
      <c r="J3802" t="s">
        <v>170</v>
      </c>
      <c r="K3802" t="s">
        <v>7557</v>
      </c>
    </row>
    <row r="3803" spans="1:11" ht="20" customHeight="1">
      <c r="A3803" t="s">
        <v>7556</v>
      </c>
      <c r="B3803" t="s">
        <v>171</v>
      </c>
      <c r="C3803">
        <v>342.1300048828125</v>
      </c>
      <c r="D3803">
        <v>342.9800109863281</v>
      </c>
      <c r="E3803">
        <v>335.6199951171875</v>
      </c>
      <c r="F3803">
        <v>339.3900146484375</v>
      </c>
      <c r="G3803">
        <v>313.0228576660156</v>
      </c>
      <c r="H3803">
        <v>91473000</v>
      </c>
      <c r="I3803" t="s">
        <v>172</v>
      </c>
      <c r="J3803" t="s">
        <v>173</v>
      </c>
      <c r="K3803" t="s">
        <v>7557</v>
      </c>
    </row>
    <row r="3804" spans="1:11" ht="20" customHeight="1">
      <c r="A3804" t="s">
        <v>7556</v>
      </c>
      <c r="B3804" t="s">
        <v>174</v>
      </c>
      <c r="C3804">
        <v>339.760009765625</v>
      </c>
      <c r="D3804">
        <v>340.1199951171875</v>
      </c>
      <c r="E3804">
        <v>337.989990234375</v>
      </c>
      <c r="F3804">
        <v>338.2200012207031</v>
      </c>
      <c r="G3804">
        <v>311.9438171386719</v>
      </c>
      <c r="H3804">
        <v>65994100</v>
      </c>
      <c r="I3804" t="s">
        <v>175</v>
      </c>
      <c r="J3804" t="s">
        <v>176</v>
      </c>
      <c r="K3804" t="s">
        <v>7557</v>
      </c>
    </row>
    <row r="3805" spans="1:11" ht="20" customHeight="1">
      <c r="A3805" t="s">
        <v>7556</v>
      </c>
      <c r="B3805" t="s">
        <v>177</v>
      </c>
      <c r="C3805">
        <v>332.1000061035156</v>
      </c>
      <c r="D3805">
        <v>338.25</v>
      </c>
      <c r="E3805">
        <v>326.1300048828125</v>
      </c>
      <c r="F3805">
        <v>326.6600036621094</v>
      </c>
      <c r="G3805">
        <v>301.2818603515625</v>
      </c>
      <c r="H3805">
        <v>127094300</v>
      </c>
      <c r="I3805" t="s">
        <v>178</v>
      </c>
      <c r="J3805" t="s">
        <v>179</v>
      </c>
      <c r="K3805" t="s">
        <v>7557</v>
      </c>
    </row>
    <row r="3806" spans="1:11" ht="20" customHeight="1">
      <c r="A3806" t="s">
        <v>7556</v>
      </c>
      <c r="B3806" t="s">
        <v>180</v>
      </c>
      <c r="C3806">
        <v>326.9100036621094</v>
      </c>
      <c r="D3806">
        <v>333.3999938964844</v>
      </c>
      <c r="E3806">
        <v>325.0899963378906</v>
      </c>
      <c r="F3806">
        <v>329.9800109863281</v>
      </c>
      <c r="G3806">
        <v>304.3439025878906</v>
      </c>
      <c r="H3806">
        <v>90597700</v>
      </c>
      <c r="I3806" t="s">
        <v>181</v>
      </c>
      <c r="J3806" t="s">
        <v>182</v>
      </c>
      <c r="K3806" t="s">
        <v>7557</v>
      </c>
    </row>
    <row r="3807" spans="1:11" ht="20" customHeight="1">
      <c r="A3807" t="s">
        <v>7556</v>
      </c>
      <c r="B3807" t="s">
        <v>183</v>
      </c>
      <c r="C3807">
        <v>328.2799987792969</v>
      </c>
      <c r="D3807">
        <v>329.6900024414062</v>
      </c>
      <c r="E3807">
        <v>322.6000061035156</v>
      </c>
      <c r="F3807">
        <v>326.5400085449219</v>
      </c>
      <c r="G3807">
        <v>301.1712341308594</v>
      </c>
      <c r="H3807">
        <v>120287300</v>
      </c>
      <c r="I3807" t="s">
        <v>184</v>
      </c>
      <c r="J3807" t="s">
        <v>185</v>
      </c>
      <c r="K3807" t="s">
        <v>7557</v>
      </c>
    </row>
    <row r="3808" spans="1:11" ht="20" customHeight="1">
      <c r="A3808" t="s">
        <v>7556</v>
      </c>
      <c r="B3808" t="s">
        <v>186</v>
      </c>
      <c r="C3808">
        <v>330.2000122070312</v>
      </c>
      <c r="D3808">
        <v>332.3599853515625</v>
      </c>
      <c r="E3808">
        <v>327.239990234375</v>
      </c>
      <c r="F3808">
        <v>330.2000122070312</v>
      </c>
      <c r="G3808">
        <v>304.5469055175781</v>
      </c>
      <c r="H3808">
        <v>86068300</v>
      </c>
      <c r="I3808" t="s">
        <v>187</v>
      </c>
      <c r="J3808" t="s">
        <v>188</v>
      </c>
      <c r="K3808" t="s">
        <v>7557</v>
      </c>
    </row>
    <row r="3809" spans="1:11" ht="20" customHeight="1">
      <c r="A3809" t="s">
        <v>7556</v>
      </c>
      <c r="B3809" t="s">
        <v>189</v>
      </c>
      <c r="C3809">
        <v>333.6900024414062</v>
      </c>
      <c r="D3809">
        <v>338.25</v>
      </c>
      <c r="E3809">
        <v>330.2900085449219</v>
      </c>
      <c r="F3809">
        <v>336.0299987792969</v>
      </c>
      <c r="G3809">
        <v>309.9239501953125</v>
      </c>
      <c r="H3809">
        <v>93294200</v>
      </c>
      <c r="I3809" t="s">
        <v>190</v>
      </c>
      <c r="J3809" t="s">
        <v>191</v>
      </c>
      <c r="K3809" t="s">
        <v>7557</v>
      </c>
    </row>
    <row r="3810" spans="1:11" ht="20" customHeight="1">
      <c r="A3810" t="s">
        <v>7556</v>
      </c>
      <c r="B3810" t="s">
        <v>192</v>
      </c>
      <c r="C3810">
        <v>340.8599853515625</v>
      </c>
      <c r="D3810">
        <v>347.9400024414062</v>
      </c>
      <c r="E3810">
        <v>339.5899963378906</v>
      </c>
      <c r="F3810">
        <v>343.5400085449219</v>
      </c>
      <c r="G3810">
        <v>316.8504333496094</v>
      </c>
      <c r="H3810">
        <v>126959700</v>
      </c>
      <c r="I3810" t="s">
        <v>193</v>
      </c>
      <c r="J3810" t="s">
        <v>194</v>
      </c>
      <c r="K3810" t="s">
        <v>7557</v>
      </c>
    </row>
    <row r="3811" spans="1:11" ht="20" customHeight="1">
      <c r="A3811" t="s">
        <v>7556</v>
      </c>
      <c r="B3811" t="s">
        <v>195</v>
      </c>
      <c r="C3811">
        <v>349.239990234375</v>
      </c>
      <c r="D3811">
        <v>352.1900024414062</v>
      </c>
      <c r="E3811">
        <v>348.8599853515625</v>
      </c>
      <c r="F3811">
        <v>350.239990234375</v>
      </c>
      <c r="G3811">
        <v>323.0299072265625</v>
      </c>
      <c r="H3811">
        <v>82039700</v>
      </c>
      <c r="I3811" t="s">
        <v>196</v>
      </c>
      <c r="J3811" t="s">
        <v>197</v>
      </c>
      <c r="K3811" t="s">
        <v>7557</v>
      </c>
    </row>
    <row r="3812" spans="1:11" ht="20" customHeight="1">
      <c r="A3812" t="s">
        <v>7556</v>
      </c>
      <c r="B3812" t="s">
        <v>198</v>
      </c>
      <c r="C3812">
        <v>349.9299926757812</v>
      </c>
      <c r="D3812">
        <v>351.510009765625</v>
      </c>
      <c r="E3812">
        <v>347.6499938964844</v>
      </c>
      <c r="F3812">
        <v>350.1600036621094</v>
      </c>
      <c r="G3812">
        <v>322.9561157226562</v>
      </c>
      <c r="H3812">
        <v>74973000</v>
      </c>
      <c r="I3812" t="s">
        <v>199</v>
      </c>
      <c r="J3812" t="s">
        <v>200</v>
      </c>
      <c r="K3812" t="s">
        <v>7557</v>
      </c>
    </row>
    <row r="3813" spans="1:11" ht="20" customHeight="1">
      <c r="A3813" t="s">
        <v>7556</v>
      </c>
      <c r="B3813" t="s">
        <v>201</v>
      </c>
      <c r="C3813">
        <v>363.9700012207031</v>
      </c>
      <c r="D3813">
        <v>364.3800048828125</v>
      </c>
      <c r="E3813">
        <v>354.0599975585938</v>
      </c>
      <c r="F3813">
        <v>354.5599975585938</v>
      </c>
      <c r="G3813">
        <v>327.014404296875</v>
      </c>
      <c r="H3813">
        <v>172304200</v>
      </c>
      <c r="I3813" t="s">
        <v>202</v>
      </c>
      <c r="J3813" t="s">
        <v>203</v>
      </c>
      <c r="K3813" t="s">
        <v>7557</v>
      </c>
    </row>
    <row r="3814" spans="1:11" ht="20" customHeight="1">
      <c r="A3814" t="s">
        <v>7556</v>
      </c>
      <c r="B3814" t="s">
        <v>204</v>
      </c>
      <c r="C3814">
        <v>353.489990234375</v>
      </c>
      <c r="D3814">
        <v>355.1799926757812</v>
      </c>
      <c r="E3814">
        <v>350.510009765625</v>
      </c>
      <c r="F3814">
        <v>354.0400085449219</v>
      </c>
      <c r="G3814">
        <v>326.5347290039062</v>
      </c>
      <c r="H3814">
        <v>85552000</v>
      </c>
      <c r="I3814" t="s">
        <v>205</v>
      </c>
      <c r="J3814" t="s">
        <v>206</v>
      </c>
      <c r="K3814" t="s">
        <v>7557</v>
      </c>
    </row>
    <row r="3815" spans="1:11" ht="20" customHeight="1">
      <c r="A3815" t="s">
        <v>7556</v>
      </c>
      <c r="B3815" t="s">
        <v>207</v>
      </c>
      <c r="C3815">
        <v>356.3999938964844</v>
      </c>
      <c r="D3815">
        <v>357.5599975585938</v>
      </c>
      <c r="E3815">
        <v>355.0599975585938</v>
      </c>
      <c r="F3815">
        <v>356.6700134277344</v>
      </c>
      <c r="G3815">
        <v>328.96044921875</v>
      </c>
      <c r="H3815">
        <v>58649000</v>
      </c>
      <c r="I3815" t="s">
        <v>208</v>
      </c>
      <c r="J3815" t="s">
        <v>209</v>
      </c>
      <c r="K3815" t="s">
        <v>7557</v>
      </c>
    </row>
    <row r="3816" spans="1:11" ht="20" customHeight="1">
      <c r="A3816" t="s">
        <v>7556</v>
      </c>
      <c r="B3816" t="s">
        <v>210</v>
      </c>
      <c r="C3816">
        <v>355.5799865722656</v>
      </c>
      <c r="D3816">
        <v>356.7200012207031</v>
      </c>
      <c r="E3816">
        <v>351.260009765625</v>
      </c>
      <c r="F3816">
        <v>353.2099914550781</v>
      </c>
      <c r="G3816">
        <v>325.7692260742188</v>
      </c>
      <c r="H3816">
        <v>67546200</v>
      </c>
      <c r="I3816" t="s">
        <v>211</v>
      </c>
      <c r="J3816" t="s">
        <v>212</v>
      </c>
      <c r="K3816" t="s">
        <v>7557</v>
      </c>
    </row>
    <row r="3817" spans="1:11" ht="20" customHeight="1">
      <c r="A3817" t="s">
        <v>7556</v>
      </c>
      <c r="B3817" t="s">
        <v>213</v>
      </c>
      <c r="C3817">
        <v>355.2699890136719</v>
      </c>
      <c r="D3817">
        <v>358.8999938964844</v>
      </c>
      <c r="E3817">
        <v>354.7099914550781</v>
      </c>
      <c r="F3817">
        <v>358.1000061035156</v>
      </c>
      <c r="G3817">
        <v>330.2793273925781</v>
      </c>
      <c r="H3817">
        <v>62892200</v>
      </c>
      <c r="I3817" t="s">
        <v>214</v>
      </c>
      <c r="J3817" t="s">
        <v>215</v>
      </c>
      <c r="K3817" t="s">
        <v>7557</v>
      </c>
    </row>
    <row r="3818" spans="1:11" ht="20" customHeight="1">
      <c r="A3818" t="s">
        <v>7556</v>
      </c>
      <c r="B3818" t="s">
        <v>216</v>
      </c>
      <c r="C3818">
        <v>360.9800109863281</v>
      </c>
      <c r="D3818">
        <v>362.7799987792969</v>
      </c>
      <c r="E3818">
        <v>359.5899963378906</v>
      </c>
      <c r="F3818">
        <v>362.5700073242188</v>
      </c>
      <c r="G3818">
        <v>334.4019470214844</v>
      </c>
      <c r="H3818">
        <v>74541100</v>
      </c>
      <c r="I3818" t="s">
        <v>217</v>
      </c>
      <c r="J3818" t="s">
        <v>218</v>
      </c>
      <c r="K3818" t="s">
        <v>7557</v>
      </c>
    </row>
    <row r="3819" spans="1:11" ht="20" customHeight="1">
      <c r="A3819" t="s">
        <v>7556</v>
      </c>
      <c r="B3819" t="s">
        <v>219</v>
      </c>
      <c r="C3819">
        <v>359.9700012207031</v>
      </c>
      <c r="D3819">
        <v>361.9200134277344</v>
      </c>
      <c r="E3819">
        <v>358.3399963378906</v>
      </c>
      <c r="F3819">
        <v>360.6199951171875</v>
      </c>
      <c r="G3819">
        <v>332.6035461425781</v>
      </c>
      <c r="H3819">
        <v>66111000</v>
      </c>
      <c r="I3819" t="s">
        <v>220</v>
      </c>
      <c r="J3819" t="s">
        <v>221</v>
      </c>
      <c r="K3819" t="s">
        <v>7557</v>
      </c>
    </row>
    <row r="3820" spans="1:11" ht="20" customHeight="1">
      <c r="A3820" t="s">
        <v>7556</v>
      </c>
      <c r="B3820" t="s">
        <v>222</v>
      </c>
      <c r="C3820">
        <v>360.9100036621094</v>
      </c>
      <c r="D3820">
        <v>361.5</v>
      </c>
      <c r="E3820">
        <v>356.239990234375</v>
      </c>
      <c r="F3820">
        <v>356.2799987792969</v>
      </c>
      <c r="G3820">
        <v>328.6007690429688</v>
      </c>
      <c r="H3820">
        <v>70591300</v>
      </c>
      <c r="I3820" t="s">
        <v>223</v>
      </c>
      <c r="J3820" t="s">
        <v>224</v>
      </c>
      <c r="K3820" t="s">
        <v>7557</v>
      </c>
    </row>
    <row r="3821" spans="1:11" ht="20" customHeight="1">
      <c r="A3821" t="s">
        <v>7556</v>
      </c>
      <c r="B3821" t="s">
        <v>225</v>
      </c>
      <c r="C3821">
        <v>355.6000061035156</v>
      </c>
      <c r="D3821">
        <v>358.1799926757812</v>
      </c>
      <c r="E3821">
        <v>354.1499938964844</v>
      </c>
      <c r="F3821">
        <v>357.7799987792969</v>
      </c>
      <c r="G3821">
        <v>329.9841918945312</v>
      </c>
      <c r="H3821">
        <v>59940900</v>
      </c>
      <c r="I3821" t="s">
        <v>226</v>
      </c>
      <c r="J3821" t="s">
        <v>227</v>
      </c>
      <c r="K3821" t="s">
        <v>7557</v>
      </c>
    </row>
    <row r="3822" spans="1:11" ht="20" customHeight="1">
      <c r="A3822" t="s">
        <v>7556</v>
      </c>
      <c r="B3822" t="s">
        <v>228</v>
      </c>
      <c r="C3822">
        <v>357.5</v>
      </c>
      <c r="D3822">
        <v>357.7200012207031</v>
      </c>
      <c r="E3822">
        <v>355.25</v>
      </c>
      <c r="F3822">
        <v>355.3299865722656</v>
      </c>
      <c r="G3822">
        <v>327.7244873046875</v>
      </c>
      <c r="H3822">
        <v>70417300</v>
      </c>
      <c r="I3822" t="s">
        <v>229</v>
      </c>
      <c r="J3822" t="s">
        <v>230</v>
      </c>
      <c r="K3822" t="s">
        <v>7557</v>
      </c>
    </row>
    <row r="3823" spans="1:11" ht="20" customHeight="1">
      <c r="A3823" t="s">
        <v>7556</v>
      </c>
      <c r="B3823" t="s">
        <v>231</v>
      </c>
      <c r="C3823">
        <v>357.2799987792969</v>
      </c>
      <c r="D3823">
        <v>358.8200073242188</v>
      </c>
      <c r="E3823">
        <v>354.8699951171875</v>
      </c>
      <c r="F3823">
        <v>357.4599914550781</v>
      </c>
      <c r="G3823">
        <v>329.6889953613281</v>
      </c>
      <c r="H3823">
        <v>63230600</v>
      </c>
      <c r="I3823" t="s">
        <v>232</v>
      </c>
      <c r="J3823" t="s">
        <v>233</v>
      </c>
      <c r="K3823" t="s">
        <v>7557</v>
      </c>
    </row>
    <row r="3824" spans="1:11" ht="20" customHeight="1">
      <c r="A3824" t="s">
        <v>7556</v>
      </c>
      <c r="B3824" t="s">
        <v>234</v>
      </c>
      <c r="C3824">
        <v>360.2099914550781</v>
      </c>
      <c r="D3824">
        <v>363.8099975585938</v>
      </c>
      <c r="E3824">
        <v>359.2900085449219</v>
      </c>
      <c r="F3824">
        <v>363.2200012207031</v>
      </c>
      <c r="G3824">
        <v>335.0015258789062</v>
      </c>
      <c r="H3824">
        <v>62415900</v>
      </c>
      <c r="I3824" t="s">
        <v>235</v>
      </c>
      <c r="J3824" t="s">
        <v>236</v>
      </c>
      <c r="K3824" t="s">
        <v>7557</v>
      </c>
    </row>
    <row r="3825" spans="1:11" ht="20" customHeight="1">
      <c r="A3825" t="s">
        <v>7556</v>
      </c>
      <c r="B3825" t="s">
        <v>237</v>
      </c>
      <c r="C3825">
        <v>363.1300048828125</v>
      </c>
      <c r="D3825">
        <v>363.1600036621094</v>
      </c>
      <c r="E3825">
        <v>361.4800109863281</v>
      </c>
      <c r="F3825">
        <v>362.6600036621094</v>
      </c>
      <c r="G3825">
        <v>334.4850769042969</v>
      </c>
      <c r="H3825">
        <v>45330900</v>
      </c>
      <c r="I3825" t="s">
        <v>238</v>
      </c>
      <c r="J3825" t="s">
        <v>239</v>
      </c>
      <c r="K3825" t="s">
        <v>7557</v>
      </c>
    </row>
    <row r="3826" spans="1:11" ht="20" customHeight="1">
      <c r="A3826" t="s">
        <v>7556</v>
      </c>
      <c r="B3826" t="s">
        <v>240</v>
      </c>
      <c r="C3826">
        <v>363.8399963378906</v>
      </c>
      <c r="D3826">
        <v>364.1799926757812</v>
      </c>
      <c r="E3826">
        <v>362.5799865722656</v>
      </c>
      <c r="F3826">
        <v>363.6700134277344</v>
      </c>
      <c r="G3826">
        <v>335.4165954589844</v>
      </c>
      <c r="H3826">
        <v>28514100</v>
      </c>
      <c r="I3826" t="s">
        <v>241</v>
      </c>
      <c r="J3826" t="s">
        <v>242</v>
      </c>
      <c r="K3826" t="s">
        <v>7557</v>
      </c>
    </row>
    <row r="3827" spans="1:11" ht="20" customHeight="1">
      <c r="A3827" t="s">
        <v>7556</v>
      </c>
      <c r="B3827" t="s">
        <v>243</v>
      </c>
      <c r="C3827">
        <v>362.8299865722656</v>
      </c>
      <c r="D3827">
        <v>363.1199951171875</v>
      </c>
      <c r="E3827">
        <v>359.1700134277344</v>
      </c>
      <c r="F3827">
        <v>362.0599975585938</v>
      </c>
      <c r="G3827">
        <v>333.931640625</v>
      </c>
      <c r="H3827">
        <v>83872700</v>
      </c>
      <c r="I3827" t="s">
        <v>244</v>
      </c>
      <c r="J3827" t="s">
        <v>245</v>
      </c>
      <c r="K3827" t="s">
        <v>7557</v>
      </c>
    </row>
    <row r="3828" spans="1:11" ht="20" customHeight="1">
      <c r="A3828" t="s">
        <v>7556</v>
      </c>
      <c r="B3828" t="s">
        <v>246</v>
      </c>
      <c r="C3828">
        <v>365.5700073242188</v>
      </c>
      <c r="D3828">
        <v>367.6799926757812</v>
      </c>
      <c r="E3828">
        <v>364.9299926757812</v>
      </c>
      <c r="F3828">
        <v>366.0199890136719</v>
      </c>
      <c r="G3828">
        <v>337.5840759277344</v>
      </c>
      <c r="H3828">
        <v>74231400</v>
      </c>
      <c r="I3828" t="s">
        <v>247</v>
      </c>
      <c r="J3828" t="s">
        <v>248</v>
      </c>
      <c r="K3828" t="s">
        <v>7557</v>
      </c>
    </row>
    <row r="3829" spans="1:11" ht="20" customHeight="1">
      <c r="A3829" t="s">
        <v>7556</v>
      </c>
      <c r="B3829" t="s">
        <v>249</v>
      </c>
      <c r="C3829">
        <v>364.8200073242188</v>
      </c>
      <c r="D3829">
        <v>366.9599914550781</v>
      </c>
      <c r="E3829">
        <v>364.2000122070312</v>
      </c>
      <c r="F3829">
        <v>366.7900085449219</v>
      </c>
      <c r="G3829">
        <v>338.2942504882812</v>
      </c>
      <c r="H3829">
        <v>45927000</v>
      </c>
      <c r="I3829" t="s">
        <v>250</v>
      </c>
      <c r="J3829" t="s">
        <v>251</v>
      </c>
      <c r="K3829" t="s">
        <v>7557</v>
      </c>
    </row>
    <row r="3830" spans="1:11" ht="20" customHeight="1">
      <c r="A3830" t="s">
        <v>7556</v>
      </c>
      <c r="B3830" t="s">
        <v>252</v>
      </c>
      <c r="C3830">
        <v>366.6799926757812</v>
      </c>
      <c r="D3830">
        <v>368.1900024414062</v>
      </c>
      <c r="E3830">
        <v>365.5</v>
      </c>
      <c r="F3830">
        <v>366.6900024414062</v>
      </c>
      <c r="G3830">
        <v>338.2019348144531</v>
      </c>
      <c r="H3830">
        <v>62882000</v>
      </c>
      <c r="I3830" t="s">
        <v>253</v>
      </c>
      <c r="J3830" t="s">
        <v>254</v>
      </c>
      <c r="K3830" t="s">
        <v>7557</v>
      </c>
    </row>
    <row r="3831" spans="1:11" ht="20" customHeight="1">
      <c r="A3831" t="s">
        <v>7556</v>
      </c>
      <c r="B3831" t="s">
        <v>255</v>
      </c>
      <c r="C3831">
        <v>367.3200073242188</v>
      </c>
      <c r="D3831">
        <v>369.8500061035156</v>
      </c>
      <c r="E3831">
        <v>367.2200012207031</v>
      </c>
      <c r="F3831">
        <v>369.8500061035156</v>
      </c>
      <c r="G3831">
        <v>341.116455078125</v>
      </c>
      <c r="H3831">
        <v>50749900</v>
      </c>
      <c r="I3831" t="s">
        <v>256</v>
      </c>
      <c r="J3831" t="s">
        <v>257</v>
      </c>
      <c r="K3831" t="s">
        <v>7557</v>
      </c>
    </row>
    <row r="3832" spans="1:11" ht="20" customHeight="1">
      <c r="A3832" t="s">
        <v>7556</v>
      </c>
      <c r="B3832" t="s">
        <v>258</v>
      </c>
      <c r="C3832">
        <v>369.0199890136719</v>
      </c>
      <c r="D3832">
        <v>369.6199951171875</v>
      </c>
      <c r="E3832">
        <v>367.7200012207031</v>
      </c>
      <c r="F3832">
        <v>369.0899963378906</v>
      </c>
      <c r="G3832">
        <v>340.4154357910156</v>
      </c>
      <c r="H3832">
        <v>48944300</v>
      </c>
      <c r="I3832" t="s">
        <v>259</v>
      </c>
      <c r="J3832" t="s">
        <v>260</v>
      </c>
      <c r="K3832" t="s">
        <v>7557</v>
      </c>
    </row>
    <row r="3833" spans="1:11" ht="20" customHeight="1">
      <c r="A3833" t="s">
        <v>7556</v>
      </c>
      <c r="B3833" t="s">
        <v>261</v>
      </c>
      <c r="C3833">
        <v>367.7200012207031</v>
      </c>
      <c r="D3833">
        <v>370.7799987792969</v>
      </c>
      <c r="E3833">
        <v>367.6700134277344</v>
      </c>
      <c r="F3833">
        <v>370.1700134277344</v>
      </c>
      <c r="G3833">
        <v>341.41162109375</v>
      </c>
      <c r="H3833">
        <v>42458900</v>
      </c>
      <c r="I3833" t="s">
        <v>262</v>
      </c>
      <c r="J3833" t="s">
        <v>263</v>
      </c>
      <c r="K3833" t="s">
        <v>7557</v>
      </c>
    </row>
    <row r="3834" spans="1:11" ht="20" customHeight="1">
      <c r="A3834" t="s">
        <v>7556</v>
      </c>
      <c r="B3834" t="s">
        <v>264</v>
      </c>
      <c r="C3834">
        <v>370.8800048828125</v>
      </c>
      <c r="D3834">
        <v>371.0499877929688</v>
      </c>
      <c r="E3834">
        <v>365.9500122070312</v>
      </c>
      <c r="F3834">
        <v>366.8500061035156</v>
      </c>
      <c r="G3834">
        <v>338.3495788574219</v>
      </c>
      <c r="H3834">
        <v>74098300</v>
      </c>
      <c r="I3834" t="s">
        <v>265</v>
      </c>
      <c r="J3834" t="s">
        <v>266</v>
      </c>
      <c r="K3834" t="s">
        <v>7557</v>
      </c>
    </row>
    <row r="3835" spans="1:11" ht="20" customHeight="1">
      <c r="A3835" t="s">
        <v>7556</v>
      </c>
      <c r="B3835" t="s">
        <v>267</v>
      </c>
      <c r="C3835">
        <v>365.3699951171875</v>
      </c>
      <c r="D3835">
        <v>367.8599853515625</v>
      </c>
      <c r="E3835">
        <v>364.4299926757812</v>
      </c>
      <c r="F3835">
        <v>366.7300109863281</v>
      </c>
      <c r="G3835">
        <v>338.2388305664062</v>
      </c>
      <c r="H3835">
        <v>57735400</v>
      </c>
      <c r="I3835" t="s">
        <v>268</v>
      </c>
      <c r="J3835" t="s">
        <v>269</v>
      </c>
      <c r="K3835" t="s">
        <v>7557</v>
      </c>
    </row>
    <row r="3836" spans="1:11" ht="20" customHeight="1">
      <c r="A3836" t="s">
        <v>7556</v>
      </c>
      <c r="B3836" t="s">
        <v>270</v>
      </c>
      <c r="C3836">
        <v>364.8999938964844</v>
      </c>
      <c r="D3836">
        <v>366.739990234375</v>
      </c>
      <c r="E3836">
        <v>363.260009765625</v>
      </c>
      <c r="F3836">
        <v>366.2999877929688</v>
      </c>
      <c r="G3836">
        <v>337.8423156738281</v>
      </c>
      <c r="H3836">
        <v>57698600</v>
      </c>
      <c r="I3836" t="s">
        <v>271</v>
      </c>
      <c r="J3836" t="s">
        <v>272</v>
      </c>
      <c r="K3836" t="s">
        <v>7557</v>
      </c>
    </row>
    <row r="3837" spans="1:11" ht="20" customHeight="1">
      <c r="A3837" t="s">
        <v>7556</v>
      </c>
      <c r="B3837" t="s">
        <v>273</v>
      </c>
      <c r="C3837">
        <v>368.6400146484375</v>
      </c>
      <c r="D3837">
        <v>369.7999877929688</v>
      </c>
      <c r="E3837">
        <v>364.4700012207031</v>
      </c>
      <c r="F3837">
        <v>364.6600036621094</v>
      </c>
      <c r="G3837">
        <v>336.3296813964844</v>
      </c>
      <c r="H3837">
        <v>69216200</v>
      </c>
      <c r="I3837" t="s">
        <v>274</v>
      </c>
      <c r="J3837" t="s">
        <v>275</v>
      </c>
      <c r="K3837" t="s">
        <v>7557</v>
      </c>
    </row>
    <row r="3838" spans="1:11" ht="20" customHeight="1">
      <c r="A3838" t="s">
        <v>7556</v>
      </c>
      <c r="B3838" t="s">
        <v>276</v>
      </c>
      <c r="C3838">
        <v>367.3999938964844</v>
      </c>
      <c r="D3838">
        <v>369.5899963378906</v>
      </c>
      <c r="E3838">
        <v>365.9200134277344</v>
      </c>
      <c r="F3838">
        <v>369.5899963378906</v>
      </c>
      <c r="G3838">
        <v>340.8766784667969</v>
      </c>
      <c r="H3838">
        <v>63865300</v>
      </c>
      <c r="I3838" t="s">
        <v>277</v>
      </c>
      <c r="J3838" t="s">
        <v>278</v>
      </c>
      <c r="K3838" t="s">
        <v>7557</v>
      </c>
    </row>
    <row r="3839" spans="1:11" ht="20" customHeight="1">
      <c r="A3839" t="s">
        <v>7556</v>
      </c>
      <c r="B3839" t="s">
        <v>279</v>
      </c>
      <c r="C3839">
        <v>369.8200073242188</v>
      </c>
      <c r="D3839">
        <v>371.1600036621094</v>
      </c>
      <c r="E3839">
        <v>368.8699951171875</v>
      </c>
      <c r="F3839">
        <v>370.1700134277344</v>
      </c>
      <c r="G3839">
        <v>341.41162109375</v>
      </c>
      <c r="H3839">
        <v>58420500</v>
      </c>
      <c r="I3839" t="s">
        <v>280</v>
      </c>
      <c r="J3839" t="s">
        <v>281</v>
      </c>
      <c r="K3839" t="s">
        <v>7557</v>
      </c>
    </row>
    <row r="3840" spans="1:11" ht="20" customHeight="1">
      <c r="A3840" t="s">
        <v>7556</v>
      </c>
      <c r="B3840" t="s">
        <v>282</v>
      </c>
      <c r="C3840">
        <v>371.9400024414062</v>
      </c>
      <c r="D3840">
        <v>372.4599914550781</v>
      </c>
      <c r="E3840">
        <v>371.0499877929688</v>
      </c>
      <c r="F3840">
        <v>372.239990234375</v>
      </c>
      <c r="G3840">
        <v>343.3208312988281</v>
      </c>
      <c r="H3840">
        <v>64119500</v>
      </c>
      <c r="I3840" t="s">
        <v>283</v>
      </c>
      <c r="J3840" t="s">
        <v>284</v>
      </c>
      <c r="K3840" t="s">
        <v>7557</v>
      </c>
    </row>
    <row r="3841" spans="1:11" ht="20" customHeight="1">
      <c r="A3841" t="s">
        <v>7556</v>
      </c>
      <c r="B3841" t="s">
        <v>285</v>
      </c>
      <c r="C3841">
        <v>370.9700012207031</v>
      </c>
      <c r="D3841">
        <v>371.1499938964844</v>
      </c>
      <c r="E3841">
        <v>367.0199890136719</v>
      </c>
      <c r="F3841">
        <v>369.1799926757812</v>
      </c>
      <c r="G3841">
        <v>341.9499206542969</v>
      </c>
      <c r="H3841">
        <v>136542300</v>
      </c>
      <c r="I3841" t="s">
        <v>286</v>
      </c>
      <c r="J3841" t="s">
        <v>287</v>
      </c>
      <c r="K3841" t="s">
        <v>7557</v>
      </c>
    </row>
    <row r="3842" spans="1:11" ht="20" customHeight="1">
      <c r="A3842" t="s">
        <v>7556</v>
      </c>
      <c r="B3842" t="s">
        <v>288</v>
      </c>
      <c r="C3842">
        <v>364.9700012207031</v>
      </c>
      <c r="D3842">
        <v>378.4599914550781</v>
      </c>
      <c r="E3842">
        <v>362.0299987792969</v>
      </c>
      <c r="F3842">
        <v>367.8599853515625</v>
      </c>
      <c r="G3842">
        <v>340.7273254394531</v>
      </c>
      <c r="H3842">
        <v>96386700</v>
      </c>
      <c r="I3842" t="s">
        <v>289</v>
      </c>
      <c r="J3842" t="s">
        <v>290</v>
      </c>
      <c r="K3842" t="s">
        <v>7557</v>
      </c>
    </row>
    <row r="3843" spans="1:11" ht="20" customHeight="1">
      <c r="A3843" t="s">
        <v>7556</v>
      </c>
      <c r="B3843" t="s">
        <v>291</v>
      </c>
      <c r="C3843">
        <v>368.2099914550781</v>
      </c>
      <c r="D3843">
        <v>368.3299865722656</v>
      </c>
      <c r="E3843">
        <v>366.0299987792969</v>
      </c>
      <c r="F3843">
        <v>367.239990234375</v>
      </c>
      <c r="G3843">
        <v>340.1529235839844</v>
      </c>
      <c r="H3843">
        <v>47949000</v>
      </c>
      <c r="I3843" t="s">
        <v>292</v>
      </c>
      <c r="J3843" t="s">
        <v>293</v>
      </c>
      <c r="K3843" t="s">
        <v>7557</v>
      </c>
    </row>
    <row r="3844" spans="1:11" ht="20" customHeight="1">
      <c r="A3844" t="s">
        <v>7556</v>
      </c>
      <c r="B3844" t="s">
        <v>294</v>
      </c>
      <c r="C3844">
        <v>368.2799987792969</v>
      </c>
      <c r="D3844">
        <v>369.6199951171875</v>
      </c>
      <c r="E3844">
        <v>367.2200012207031</v>
      </c>
      <c r="F3844">
        <v>367.5700073242188</v>
      </c>
      <c r="G3844">
        <v>340.4585876464844</v>
      </c>
      <c r="H3844">
        <v>46201400</v>
      </c>
      <c r="I3844" t="s">
        <v>295</v>
      </c>
      <c r="J3844" t="s">
        <v>296</v>
      </c>
      <c r="K3844" t="s">
        <v>7557</v>
      </c>
    </row>
    <row r="3845" spans="1:11" ht="20" customHeight="1">
      <c r="A3845" t="s">
        <v>7556</v>
      </c>
      <c r="B3845" t="s">
        <v>297</v>
      </c>
      <c r="C3845">
        <v>368.0799865722656</v>
      </c>
      <c r="D3845">
        <v>369.0299987792969</v>
      </c>
      <c r="E3845">
        <v>367.4500122070312</v>
      </c>
      <c r="F3845">
        <v>369</v>
      </c>
      <c r="G3845">
        <v>341.7832641601562</v>
      </c>
      <c r="H3845">
        <v>26457900</v>
      </c>
      <c r="I3845" t="s">
        <v>298</v>
      </c>
      <c r="J3845" t="s">
        <v>299</v>
      </c>
      <c r="K3845" t="s">
        <v>7557</v>
      </c>
    </row>
    <row r="3846" spans="1:11" ht="20" customHeight="1">
      <c r="A3846" t="s">
        <v>7556</v>
      </c>
      <c r="B3846" t="s">
        <v>300</v>
      </c>
      <c r="C3846">
        <v>371.739990234375</v>
      </c>
      <c r="D3846">
        <v>372.5899963378906</v>
      </c>
      <c r="E3846">
        <v>371.0700073242188</v>
      </c>
      <c r="F3846">
        <v>372.1700134277344</v>
      </c>
      <c r="G3846">
        <v>344.7193603515625</v>
      </c>
      <c r="H3846">
        <v>39000400</v>
      </c>
      <c r="I3846" t="s">
        <v>301</v>
      </c>
      <c r="J3846" t="s">
        <v>302</v>
      </c>
      <c r="K3846" t="s">
        <v>7557</v>
      </c>
    </row>
    <row r="3847" spans="1:11" ht="20" customHeight="1">
      <c r="A3847" t="s">
        <v>7556</v>
      </c>
      <c r="B3847" t="s">
        <v>303</v>
      </c>
      <c r="C3847">
        <v>373.8099975585938</v>
      </c>
      <c r="D3847">
        <v>374</v>
      </c>
      <c r="E3847">
        <v>370.8299865722656</v>
      </c>
      <c r="F3847">
        <v>371.4599914550781</v>
      </c>
      <c r="G3847">
        <v>344.0618286132812</v>
      </c>
      <c r="H3847">
        <v>53680500</v>
      </c>
      <c r="I3847" t="s">
        <v>304</v>
      </c>
      <c r="J3847" t="s">
        <v>305</v>
      </c>
      <c r="K3847" t="s">
        <v>7557</v>
      </c>
    </row>
    <row r="3848" spans="1:11" ht="20" customHeight="1">
      <c r="A3848" t="s">
        <v>7556</v>
      </c>
      <c r="B3848" t="s">
        <v>306</v>
      </c>
      <c r="C3848">
        <v>372.3399963378906</v>
      </c>
      <c r="D3848">
        <v>373.1000061035156</v>
      </c>
      <c r="E3848">
        <v>371.5700073242188</v>
      </c>
      <c r="F3848">
        <v>371.989990234375</v>
      </c>
      <c r="G3848">
        <v>344.5527038574219</v>
      </c>
      <c r="H3848">
        <v>49455300</v>
      </c>
      <c r="I3848" t="s">
        <v>307</v>
      </c>
      <c r="J3848" t="s">
        <v>308</v>
      </c>
      <c r="K3848" t="s">
        <v>7557</v>
      </c>
    </row>
    <row r="3849" spans="1:11" ht="20" customHeight="1">
      <c r="A3849" t="s">
        <v>7556</v>
      </c>
      <c r="B3849" t="s">
        <v>309</v>
      </c>
      <c r="C3849">
        <v>371.7799987792969</v>
      </c>
      <c r="D3849">
        <v>374.6600036621094</v>
      </c>
      <c r="E3849">
        <v>371.2300109863281</v>
      </c>
      <c r="F3849">
        <v>373.8800048828125</v>
      </c>
      <c r="G3849">
        <v>346.3033142089844</v>
      </c>
      <c r="H3849">
        <v>78520700</v>
      </c>
      <c r="I3849" t="s">
        <v>310</v>
      </c>
      <c r="J3849" t="s">
        <v>311</v>
      </c>
      <c r="K3849" t="s">
        <v>7557</v>
      </c>
    </row>
    <row r="3850" spans="1:11" ht="20" customHeight="1">
      <c r="A3850" t="s">
        <v>7556</v>
      </c>
      <c r="B3850" t="s">
        <v>312</v>
      </c>
      <c r="C3850">
        <v>375.3099975585938</v>
      </c>
      <c r="D3850">
        <v>375.4500122070312</v>
      </c>
      <c r="E3850">
        <v>364.8200073242188</v>
      </c>
      <c r="F3850">
        <v>368.7900085449219</v>
      </c>
      <c r="G3850">
        <v>341.5887451171875</v>
      </c>
      <c r="H3850">
        <v>110210800</v>
      </c>
      <c r="I3850" t="s">
        <v>313</v>
      </c>
      <c r="J3850" t="s">
        <v>314</v>
      </c>
      <c r="K3850" t="s">
        <v>7557</v>
      </c>
    </row>
    <row r="3851" spans="1:11" ht="20" customHeight="1">
      <c r="A3851" t="s">
        <v>7556</v>
      </c>
      <c r="B3851" t="s">
        <v>315</v>
      </c>
      <c r="C3851">
        <v>368.1000061035156</v>
      </c>
      <c r="D3851">
        <v>372.5</v>
      </c>
      <c r="E3851">
        <v>368.0499877929688</v>
      </c>
      <c r="F3851">
        <v>371.3299865722656</v>
      </c>
      <c r="G3851">
        <v>343.9412841796875</v>
      </c>
      <c r="H3851">
        <v>66426200</v>
      </c>
      <c r="I3851" t="s">
        <v>316</v>
      </c>
      <c r="J3851" t="s">
        <v>317</v>
      </c>
      <c r="K3851" t="s">
        <v>7557</v>
      </c>
    </row>
    <row r="3852" spans="1:11" ht="20" customHeight="1">
      <c r="A3852" t="s">
        <v>7556</v>
      </c>
      <c r="B3852" t="s">
        <v>318</v>
      </c>
      <c r="C3852">
        <v>369.7099914550781</v>
      </c>
      <c r="D3852">
        <v>376.9800109863281</v>
      </c>
      <c r="E3852">
        <v>369.1199951171875</v>
      </c>
      <c r="F3852">
        <v>373.5499877929688</v>
      </c>
      <c r="G3852">
        <v>345.9976806640625</v>
      </c>
      <c r="H3852">
        <v>107997700</v>
      </c>
      <c r="I3852" t="s">
        <v>319</v>
      </c>
      <c r="J3852" t="s">
        <v>320</v>
      </c>
      <c r="K3852" t="s">
        <v>7557</v>
      </c>
    </row>
    <row r="3853" spans="1:11" ht="20" customHeight="1">
      <c r="A3853" t="s">
        <v>7556</v>
      </c>
      <c r="B3853" t="s">
        <v>321</v>
      </c>
      <c r="C3853">
        <v>376.1000061035156</v>
      </c>
      <c r="D3853">
        <v>379.8999938964844</v>
      </c>
      <c r="E3853">
        <v>375.9100036621094</v>
      </c>
      <c r="F3853">
        <v>379.1000061035156</v>
      </c>
      <c r="G3853">
        <v>351.1382446289062</v>
      </c>
      <c r="H3853">
        <v>68766800</v>
      </c>
      <c r="I3853" t="s">
        <v>322</v>
      </c>
      <c r="J3853" t="s">
        <v>323</v>
      </c>
      <c r="K3853" t="s">
        <v>7557</v>
      </c>
    </row>
    <row r="3854" spans="1:11" ht="20" customHeight="1">
      <c r="A3854" t="s">
        <v>7556</v>
      </c>
      <c r="B3854" t="s">
        <v>324</v>
      </c>
      <c r="C3854">
        <v>380.5899963378906</v>
      </c>
      <c r="D3854">
        <v>381.489990234375</v>
      </c>
      <c r="E3854">
        <v>377.1000061035156</v>
      </c>
      <c r="F3854">
        <v>381.260009765625</v>
      </c>
      <c r="G3854">
        <v>353.138916015625</v>
      </c>
      <c r="H3854">
        <v>71677200</v>
      </c>
      <c r="I3854" t="s">
        <v>325</v>
      </c>
      <c r="J3854" t="s">
        <v>326</v>
      </c>
      <c r="K3854" t="s">
        <v>7557</v>
      </c>
    </row>
    <row r="3855" spans="1:11" ht="20" customHeight="1">
      <c r="A3855" t="s">
        <v>7556</v>
      </c>
      <c r="B3855" t="s">
        <v>327</v>
      </c>
      <c r="C3855">
        <v>377.8500061035156</v>
      </c>
      <c r="D3855">
        <v>380.5799865722656</v>
      </c>
      <c r="E3855">
        <v>377.7200012207031</v>
      </c>
      <c r="F3855">
        <v>378.6900024414062</v>
      </c>
      <c r="G3855">
        <v>350.7584533691406</v>
      </c>
      <c r="H3855">
        <v>51034700</v>
      </c>
      <c r="I3855" t="s">
        <v>328</v>
      </c>
      <c r="J3855" t="s">
        <v>329</v>
      </c>
      <c r="K3855" t="s">
        <v>7557</v>
      </c>
    </row>
    <row r="3856" spans="1:11" ht="20" customHeight="1">
      <c r="A3856" t="s">
        <v>7556</v>
      </c>
      <c r="B3856" t="s">
        <v>330</v>
      </c>
      <c r="C3856">
        <v>378.8900146484375</v>
      </c>
      <c r="D3856">
        <v>379.8599853515625</v>
      </c>
      <c r="E3856">
        <v>376.3599853515625</v>
      </c>
      <c r="F3856">
        <v>378.7699890136719</v>
      </c>
      <c r="G3856">
        <v>350.8325805664062</v>
      </c>
      <c r="H3856">
        <v>52547700</v>
      </c>
      <c r="I3856" t="s">
        <v>331</v>
      </c>
      <c r="J3856" t="s">
        <v>332</v>
      </c>
      <c r="K3856" t="s">
        <v>7557</v>
      </c>
    </row>
    <row r="3857" spans="1:11" ht="20" customHeight="1">
      <c r="A3857" t="s">
        <v>7556</v>
      </c>
      <c r="B3857" t="s">
        <v>333</v>
      </c>
      <c r="C3857">
        <v>378.6900024414062</v>
      </c>
      <c r="D3857">
        <v>380.8599853515625</v>
      </c>
      <c r="E3857">
        <v>377.8500061035156</v>
      </c>
      <c r="F3857">
        <v>379.7900085449219</v>
      </c>
      <c r="G3857">
        <v>351.7774353027344</v>
      </c>
      <c r="H3857">
        <v>45303600</v>
      </c>
      <c r="I3857" t="s">
        <v>334</v>
      </c>
      <c r="J3857" t="s">
        <v>335</v>
      </c>
      <c r="K3857" t="s">
        <v>7557</v>
      </c>
    </row>
    <row r="3858" spans="1:11" ht="20" customHeight="1">
      <c r="A3858" t="s">
        <v>7556</v>
      </c>
      <c r="B3858" t="s">
        <v>336</v>
      </c>
      <c r="C3858">
        <v>380.5899963378906</v>
      </c>
      <c r="D3858">
        <v>381.1300048828125</v>
      </c>
      <c r="E3858">
        <v>378.1000061035156</v>
      </c>
      <c r="F3858">
        <v>378.4599914550781</v>
      </c>
      <c r="G3858">
        <v>350.54541015625</v>
      </c>
      <c r="H3858">
        <v>49989100</v>
      </c>
      <c r="I3858" t="s">
        <v>337</v>
      </c>
      <c r="J3858" t="s">
        <v>338</v>
      </c>
      <c r="K3858" t="s">
        <v>7557</v>
      </c>
    </row>
    <row r="3859" spans="1:11" ht="20" customHeight="1">
      <c r="A3859" t="s">
        <v>7556</v>
      </c>
      <c r="B3859" t="s">
        <v>339</v>
      </c>
      <c r="C3859">
        <v>376.7200012207031</v>
      </c>
      <c r="D3859">
        <v>377.5799865722656</v>
      </c>
      <c r="E3859">
        <v>373.7000122070312</v>
      </c>
      <c r="F3859">
        <v>375.7000122070312</v>
      </c>
      <c r="G3859">
        <v>347.989013671875</v>
      </c>
      <c r="H3859">
        <v>107160000</v>
      </c>
      <c r="I3859" t="s">
        <v>340</v>
      </c>
      <c r="J3859" t="s">
        <v>341</v>
      </c>
      <c r="K3859" t="s">
        <v>7557</v>
      </c>
    </row>
    <row r="3860" spans="1:11" ht="20" customHeight="1">
      <c r="A3860" t="s">
        <v>7556</v>
      </c>
      <c r="B3860" t="s">
        <v>342</v>
      </c>
      <c r="C3860">
        <v>378.3399963378906</v>
      </c>
      <c r="D3860">
        <v>379.2300109863281</v>
      </c>
      <c r="E3860">
        <v>376.75</v>
      </c>
      <c r="F3860">
        <v>378.6499938964844</v>
      </c>
      <c r="G3860">
        <v>350.7213745117188</v>
      </c>
      <c r="H3860">
        <v>51233300</v>
      </c>
      <c r="I3860" t="s">
        <v>343</v>
      </c>
      <c r="J3860" t="s">
        <v>344</v>
      </c>
      <c r="K3860" t="s">
        <v>7557</v>
      </c>
    </row>
    <row r="3861" spans="1:11" ht="20" customHeight="1">
      <c r="A3861" t="s">
        <v>7556</v>
      </c>
      <c r="B3861" t="s">
        <v>345</v>
      </c>
      <c r="C3861">
        <v>381.1099853515625</v>
      </c>
      <c r="D3861">
        <v>384.7900085449219</v>
      </c>
      <c r="E3861">
        <v>380.6900024414062</v>
      </c>
      <c r="F3861">
        <v>383.8900146484375</v>
      </c>
      <c r="G3861">
        <v>355.5749206542969</v>
      </c>
      <c r="H3861">
        <v>61836100</v>
      </c>
      <c r="I3861" t="s">
        <v>346</v>
      </c>
      <c r="J3861" t="s">
        <v>347</v>
      </c>
      <c r="K3861" t="s">
        <v>7557</v>
      </c>
    </row>
    <row r="3862" spans="1:11" ht="20" customHeight="1">
      <c r="A3862" t="s">
        <v>7556</v>
      </c>
      <c r="B3862" t="s">
        <v>348</v>
      </c>
      <c r="C3862">
        <v>384.489990234375</v>
      </c>
      <c r="D3862">
        <v>384.9500122070312</v>
      </c>
      <c r="E3862">
        <v>383.25</v>
      </c>
      <c r="F3862">
        <v>384.239990234375</v>
      </c>
      <c r="G3862">
        <v>355.899169921875</v>
      </c>
      <c r="H3862">
        <v>47840100</v>
      </c>
      <c r="I3862" t="s">
        <v>349</v>
      </c>
      <c r="J3862" t="s">
        <v>350</v>
      </c>
      <c r="K3862" t="s">
        <v>7557</v>
      </c>
    </row>
    <row r="3863" spans="1:11" ht="20" customHeight="1">
      <c r="A3863" t="s">
        <v>7556</v>
      </c>
      <c r="B3863" t="s">
        <v>351</v>
      </c>
      <c r="C3863">
        <v>382.25</v>
      </c>
      <c r="D3863">
        <v>384.1300048828125</v>
      </c>
      <c r="E3863">
        <v>381.8399963378906</v>
      </c>
      <c r="F3863">
        <v>382.8800048828125</v>
      </c>
      <c r="G3863">
        <v>354.6394653320312</v>
      </c>
      <c r="H3863">
        <v>52860500</v>
      </c>
      <c r="I3863" t="s">
        <v>352</v>
      </c>
      <c r="J3863" t="s">
        <v>353</v>
      </c>
      <c r="K3863" t="s">
        <v>7557</v>
      </c>
    </row>
    <row r="3864" spans="1:11" ht="20" customHeight="1">
      <c r="A3864" t="s">
        <v>7556</v>
      </c>
      <c r="B3864" t="s">
        <v>354</v>
      </c>
      <c r="C3864">
        <v>383.6700134277344</v>
      </c>
      <c r="D3864">
        <v>384.7699890136719</v>
      </c>
      <c r="E3864">
        <v>378.4599914550781</v>
      </c>
      <c r="F3864">
        <v>384.3900146484375</v>
      </c>
      <c r="G3864">
        <v>356.0381469726562</v>
      </c>
      <c r="H3864">
        <v>70402000</v>
      </c>
      <c r="I3864" t="s">
        <v>355</v>
      </c>
      <c r="J3864" t="s">
        <v>356</v>
      </c>
      <c r="K3864" t="s">
        <v>7557</v>
      </c>
    </row>
    <row r="3865" spans="1:11" ht="20" customHeight="1">
      <c r="A3865" t="s">
        <v>7556</v>
      </c>
      <c r="B3865" t="s">
        <v>357</v>
      </c>
      <c r="C3865">
        <v>385.4100036621094</v>
      </c>
      <c r="D3865">
        <v>385.8500061035156</v>
      </c>
      <c r="E3865">
        <v>383.5400085449219</v>
      </c>
      <c r="F3865">
        <v>383.7900085449219</v>
      </c>
      <c r="G3865">
        <v>355.4823608398438</v>
      </c>
      <c r="H3865">
        <v>42665300</v>
      </c>
      <c r="I3865" t="s">
        <v>358</v>
      </c>
      <c r="J3865" t="s">
        <v>359</v>
      </c>
      <c r="K3865" t="s">
        <v>7557</v>
      </c>
    </row>
    <row r="3866" spans="1:11" ht="20" customHeight="1">
      <c r="A3866" t="s">
        <v>7556</v>
      </c>
      <c r="B3866" t="s">
        <v>360</v>
      </c>
      <c r="C3866">
        <v>380.2200012207031</v>
      </c>
      <c r="D3866">
        <v>380.3200073242188</v>
      </c>
      <c r="E3866">
        <v>372.010009765625</v>
      </c>
      <c r="F3866">
        <v>374.4100036621094</v>
      </c>
      <c r="G3866">
        <v>346.7941589355469</v>
      </c>
      <c r="H3866">
        <v>123351100</v>
      </c>
      <c r="I3866" t="s">
        <v>361</v>
      </c>
      <c r="J3866" t="s">
        <v>362</v>
      </c>
      <c r="K3866" t="s">
        <v>7557</v>
      </c>
    </row>
    <row r="3867" spans="1:11" ht="20" customHeight="1">
      <c r="A3867" t="s">
        <v>7556</v>
      </c>
      <c r="B3867" t="s">
        <v>363</v>
      </c>
      <c r="C3867">
        <v>376.3599853515625</v>
      </c>
      <c r="D3867">
        <v>381.9299926757812</v>
      </c>
      <c r="E3867">
        <v>375.8900146484375</v>
      </c>
      <c r="F3867">
        <v>377.6300048828125</v>
      </c>
      <c r="G3867">
        <v>349.7766723632812</v>
      </c>
      <c r="H3867">
        <v>94198100</v>
      </c>
      <c r="I3867" t="s">
        <v>364</v>
      </c>
      <c r="J3867" t="s">
        <v>365</v>
      </c>
      <c r="K3867" t="s">
        <v>7557</v>
      </c>
    </row>
    <row r="3868" spans="1:11" ht="20" customHeight="1">
      <c r="A3868" t="s">
        <v>7556</v>
      </c>
      <c r="B3868" t="s">
        <v>366</v>
      </c>
      <c r="C3868">
        <v>375.6300048828125</v>
      </c>
      <c r="D3868">
        <v>376.6700134277344</v>
      </c>
      <c r="E3868">
        <v>368.2699890136719</v>
      </c>
      <c r="F3868">
        <v>370.0700073242188</v>
      </c>
      <c r="G3868">
        <v>342.7742919921875</v>
      </c>
      <c r="H3868">
        <v>126765100</v>
      </c>
      <c r="I3868" t="s">
        <v>367</v>
      </c>
      <c r="J3868" t="s">
        <v>368</v>
      </c>
      <c r="K3868" t="s">
        <v>7557</v>
      </c>
    </row>
    <row r="3869" spans="1:11" ht="20" customHeight="1">
      <c r="A3869" t="s">
        <v>7556</v>
      </c>
      <c r="B3869" t="s">
        <v>369</v>
      </c>
      <c r="C3869">
        <v>373.7200012207031</v>
      </c>
      <c r="D3869">
        <v>377.3399963378906</v>
      </c>
      <c r="E3869">
        <v>370.3800048828125</v>
      </c>
      <c r="F3869">
        <v>376.2300109863281</v>
      </c>
      <c r="G3869">
        <v>348.47998046875</v>
      </c>
      <c r="H3869">
        <v>75817600</v>
      </c>
      <c r="I3869" t="s">
        <v>370</v>
      </c>
      <c r="J3869" t="s">
        <v>371</v>
      </c>
      <c r="K3869" t="s">
        <v>7557</v>
      </c>
    </row>
    <row r="3870" spans="1:11" ht="20" customHeight="1">
      <c r="A3870" t="s">
        <v>7556</v>
      </c>
      <c r="B3870" t="s">
        <v>372</v>
      </c>
      <c r="C3870">
        <v>379.6499938964844</v>
      </c>
      <c r="D3870">
        <v>383.2200012207031</v>
      </c>
      <c r="E3870">
        <v>376.3200073242188</v>
      </c>
      <c r="F3870">
        <v>381.5499877929688</v>
      </c>
      <c r="G3870">
        <v>353.4075622558594</v>
      </c>
      <c r="H3870">
        <v>64450700</v>
      </c>
      <c r="I3870" t="s">
        <v>373</v>
      </c>
      <c r="J3870" t="s">
        <v>374</v>
      </c>
      <c r="K3870" t="s">
        <v>7557</v>
      </c>
    </row>
    <row r="3871" spans="1:11" ht="20" customHeight="1">
      <c r="A3871" t="s">
        <v>7556</v>
      </c>
      <c r="B3871" t="s">
        <v>375</v>
      </c>
      <c r="C3871">
        <v>382.4400024414062</v>
      </c>
      <c r="D3871">
        <v>383.7000122070312</v>
      </c>
      <c r="E3871">
        <v>380.4800109863281</v>
      </c>
      <c r="F3871">
        <v>381.8500061035156</v>
      </c>
      <c r="G3871">
        <v>353.6853637695312</v>
      </c>
      <c r="H3871">
        <v>52427100</v>
      </c>
      <c r="I3871" t="s">
        <v>376</v>
      </c>
      <c r="J3871" t="s">
        <v>377</v>
      </c>
      <c r="K3871" t="s">
        <v>7557</v>
      </c>
    </row>
    <row r="3872" spans="1:11" ht="20" customHeight="1">
      <c r="A3872" t="s">
        <v>7556</v>
      </c>
      <c r="B3872" t="s">
        <v>378</v>
      </c>
      <c r="C3872">
        <v>382.9599914550781</v>
      </c>
      <c r="D3872">
        <v>386.239990234375</v>
      </c>
      <c r="E3872">
        <v>381.9700012207031</v>
      </c>
      <c r="F3872">
        <v>386.1900024414062</v>
      </c>
      <c r="G3872">
        <v>357.705322265625</v>
      </c>
      <c r="H3872">
        <v>47142600</v>
      </c>
      <c r="I3872" t="s">
        <v>379</v>
      </c>
      <c r="J3872" t="s">
        <v>380</v>
      </c>
      <c r="K3872" t="s">
        <v>7557</v>
      </c>
    </row>
    <row r="3873" spans="1:11" ht="20" customHeight="1">
      <c r="A3873" t="s">
        <v>7556</v>
      </c>
      <c r="B3873" t="s">
        <v>381</v>
      </c>
      <c r="C3873">
        <v>388.2000122070312</v>
      </c>
      <c r="D3873">
        <v>388.4700012207031</v>
      </c>
      <c r="E3873">
        <v>386.1400146484375</v>
      </c>
      <c r="F3873">
        <v>387.7099914550781</v>
      </c>
      <c r="G3873">
        <v>359.1132202148438</v>
      </c>
      <c r="H3873">
        <v>48669800</v>
      </c>
      <c r="I3873" t="s">
        <v>382</v>
      </c>
      <c r="J3873" t="s">
        <v>383</v>
      </c>
      <c r="K3873" t="s">
        <v>7557</v>
      </c>
    </row>
    <row r="3874" spans="1:11" ht="20" customHeight="1">
      <c r="A3874" t="s">
        <v>7556</v>
      </c>
      <c r="B3874" t="s">
        <v>384</v>
      </c>
      <c r="C3874">
        <v>389.2699890136719</v>
      </c>
      <c r="D3874">
        <v>390.5599975585938</v>
      </c>
      <c r="E3874">
        <v>388.3500061035156</v>
      </c>
      <c r="F3874">
        <v>390.510009765625</v>
      </c>
      <c r="G3874">
        <v>361.7067260742188</v>
      </c>
      <c r="H3874">
        <v>38365200</v>
      </c>
      <c r="I3874" t="s">
        <v>385</v>
      </c>
      <c r="J3874" t="s">
        <v>386</v>
      </c>
      <c r="K3874" t="s">
        <v>7557</v>
      </c>
    </row>
    <row r="3875" spans="1:11" ht="20" customHeight="1">
      <c r="A3875" t="s">
        <v>7556</v>
      </c>
      <c r="B3875" t="s">
        <v>387</v>
      </c>
      <c r="C3875">
        <v>389.6099853515625</v>
      </c>
      <c r="D3875">
        <v>390.8900146484375</v>
      </c>
      <c r="E3875">
        <v>389.1700134277344</v>
      </c>
      <c r="F3875">
        <v>390.25</v>
      </c>
      <c r="G3875">
        <v>361.4657897949219</v>
      </c>
      <c r="H3875">
        <v>35551100</v>
      </c>
      <c r="I3875" t="s">
        <v>388</v>
      </c>
      <c r="J3875" t="s">
        <v>389</v>
      </c>
      <c r="K3875" t="s">
        <v>7557</v>
      </c>
    </row>
    <row r="3876" spans="1:11" ht="20" customHeight="1">
      <c r="A3876" t="s">
        <v>7556</v>
      </c>
      <c r="B3876" t="s">
        <v>390</v>
      </c>
      <c r="C3876">
        <v>392.1199951171875</v>
      </c>
      <c r="D3876">
        <v>392.2799987792969</v>
      </c>
      <c r="E3876">
        <v>387.5</v>
      </c>
      <c r="F3876">
        <v>390.0799865722656</v>
      </c>
      <c r="G3876">
        <v>361.3083801269531</v>
      </c>
      <c r="H3876">
        <v>59154400</v>
      </c>
      <c r="I3876" t="s">
        <v>391</v>
      </c>
      <c r="J3876" t="s">
        <v>392</v>
      </c>
      <c r="K3876" t="s">
        <v>7557</v>
      </c>
    </row>
    <row r="3877" spans="1:11" ht="20" customHeight="1">
      <c r="A3877" t="s">
        <v>7556</v>
      </c>
      <c r="B3877" t="s">
        <v>393</v>
      </c>
      <c r="C3877">
        <v>391.239990234375</v>
      </c>
      <c r="D3877">
        <v>391.6900024414062</v>
      </c>
      <c r="E3877">
        <v>388.1000061035156</v>
      </c>
      <c r="F3877">
        <v>390.7099914550781</v>
      </c>
      <c r="G3877">
        <v>361.8918762207031</v>
      </c>
      <c r="H3877">
        <v>42913300</v>
      </c>
      <c r="I3877" t="s">
        <v>394</v>
      </c>
      <c r="J3877" t="s">
        <v>395</v>
      </c>
      <c r="K3877" t="s">
        <v>7557</v>
      </c>
    </row>
    <row r="3878" spans="1:11" ht="20" customHeight="1">
      <c r="A3878" t="s">
        <v>7556</v>
      </c>
      <c r="B3878" t="s">
        <v>396</v>
      </c>
      <c r="C3878">
        <v>389.8500061035156</v>
      </c>
      <c r="D3878">
        <v>392.8999938964844</v>
      </c>
      <c r="E3878">
        <v>389.7699890136719</v>
      </c>
      <c r="F3878">
        <v>392.6400146484375</v>
      </c>
      <c r="G3878">
        <v>363.6795959472656</v>
      </c>
      <c r="H3878">
        <v>50593300</v>
      </c>
      <c r="I3878" t="s">
        <v>397</v>
      </c>
      <c r="J3878" t="s">
        <v>398</v>
      </c>
      <c r="K3878" t="s">
        <v>7557</v>
      </c>
    </row>
    <row r="3879" spans="1:11" ht="20" customHeight="1">
      <c r="A3879" t="s">
        <v>7556</v>
      </c>
      <c r="B3879" t="s">
        <v>399</v>
      </c>
      <c r="C3879">
        <v>393.9599914550781</v>
      </c>
      <c r="D3879">
        <v>394.1700134277344</v>
      </c>
      <c r="E3879">
        <v>391.5299987792969</v>
      </c>
      <c r="F3879">
        <v>392.2999877929688</v>
      </c>
      <c r="G3879">
        <v>363.3646240234375</v>
      </c>
      <c r="H3879">
        <v>50972400</v>
      </c>
      <c r="I3879" t="s">
        <v>400</v>
      </c>
      <c r="J3879" t="s">
        <v>401</v>
      </c>
      <c r="K3879" t="s">
        <v>7557</v>
      </c>
    </row>
    <row r="3880" spans="1:11" ht="20" customHeight="1">
      <c r="A3880" t="s">
        <v>7556</v>
      </c>
      <c r="B3880" t="s">
        <v>402</v>
      </c>
      <c r="C3880">
        <v>390.4200134277344</v>
      </c>
      <c r="D3880">
        <v>392.6600036621094</v>
      </c>
      <c r="E3880">
        <v>389.3299865722656</v>
      </c>
      <c r="F3880">
        <v>392.3900146484375</v>
      </c>
      <c r="G3880">
        <v>363.4480590820312</v>
      </c>
      <c r="H3880">
        <v>52290600</v>
      </c>
      <c r="I3880" t="s">
        <v>403</v>
      </c>
      <c r="J3880" t="s">
        <v>404</v>
      </c>
      <c r="K3880" t="s">
        <v>7557</v>
      </c>
    </row>
    <row r="3881" spans="1:11" ht="20" customHeight="1">
      <c r="A3881" t="s">
        <v>7556</v>
      </c>
      <c r="B3881" t="s">
        <v>405</v>
      </c>
      <c r="C3881">
        <v>389.5899963378906</v>
      </c>
      <c r="D3881">
        <v>391.5199890136719</v>
      </c>
      <c r="E3881">
        <v>387.739990234375</v>
      </c>
      <c r="F3881">
        <v>390.7200012207031</v>
      </c>
      <c r="G3881">
        <v>361.901123046875</v>
      </c>
      <c r="H3881">
        <v>59712800</v>
      </c>
      <c r="I3881" t="s">
        <v>406</v>
      </c>
      <c r="J3881" t="s">
        <v>407</v>
      </c>
      <c r="K3881" t="s">
        <v>7557</v>
      </c>
    </row>
    <row r="3882" spans="1:11" ht="20" customHeight="1">
      <c r="A3882" t="s">
        <v>7556</v>
      </c>
      <c r="B3882" t="s">
        <v>408</v>
      </c>
      <c r="C3882">
        <v>392.0700073242188</v>
      </c>
      <c r="D3882">
        <v>392.3800048828125</v>
      </c>
      <c r="E3882">
        <v>389.5499877929688</v>
      </c>
      <c r="F3882">
        <v>390.0299987792969</v>
      </c>
      <c r="G3882">
        <v>361.2620239257812</v>
      </c>
      <c r="H3882">
        <v>83241000</v>
      </c>
      <c r="I3882" t="s">
        <v>409</v>
      </c>
      <c r="J3882" t="s">
        <v>410</v>
      </c>
      <c r="K3882" t="s">
        <v>7557</v>
      </c>
    </row>
    <row r="3883" spans="1:11" ht="20" customHeight="1">
      <c r="A3883" t="s">
        <v>7556</v>
      </c>
      <c r="B3883" t="s">
        <v>411</v>
      </c>
      <c r="C3883">
        <v>387.0599975585938</v>
      </c>
      <c r="D3883">
        <v>389.6199951171875</v>
      </c>
      <c r="E3883">
        <v>386.739990234375</v>
      </c>
      <c r="F3883">
        <v>387.0299987792969</v>
      </c>
      <c r="G3883">
        <v>358.4833068847656</v>
      </c>
      <c r="H3883">
        <v>67414200</v>
      </c>
      <c r="I3883" t="s">
        <v>412</v>
      </c>
      <c r="J3883" t="s">
        <v>413</v>
      </c>
      <c r="K3883" t="s">
        <v>7557</v>
      </c>
    </row>
    <row r="3884" spans="1:11" ht="20" customHeight="1">
      <c r="A3884" t="s">
        <v>7556</v>
      </c>
      <c r="B3884" t="s">
        <v>414</v>
      </c>
      <c r="C3884">
        <v>384.6600036621094</v>
      </c>
      <c r="D3884">
        <v>388.9500122070312</v>
      </c>
      <c r="E3884">
        <v>380.2000122070312</v>
      </c>
      <c r="F3884">
        <v>387.5</v>
      </c>
      <c r="G3884">
        <v>358.9186401367188</v>
      </c>
      <c r="H3884">
        <v>107284100</v>
      </c>
      <c r="I3884" t="s">
        <v>415</v>
      </c>
      <c r="J3884" t="s">
        <v>416</v>
      </c>
      <c r="K3884" t="s">
        <v>7557</v>
      </c>
    </row>
    <row r="3885" spans="1:11" ht="20" customHeight="1">
      <c r="A3885" t="s">
        <v>7556</v>
      </c>
      <c r="B3885" t="s">
        <v>417</v>
      </c>
      <c r="C3885">
        <v>386.3299865722656</v>
      </c>
      <c r="D3885">
        <v>392.2300109863281</v>
      </c>
      <c r="E3885">
        <v>385.2699890136719</v>
      </c>
      <c r="F3885">
        <v>391.7699890136719</v>
      </c>
      <c r="G3885">
        <v>362.8736267089844</v>
      </c>
      <c r="H3885">
        <v>72433900</v>
      </c>
      <c r="I3885" t="s">
        <v>418</v>
      </c>
      <c r="J3885" t="s">
        <v>419</v>
      </c>
      <c r="K3885" t="s">
        <v>7557</v>
      </c>
    </row>
    <row r="3886" spans="1:11" ht="20" customHeight="1">
      <c r="A3886" t="s">
        <v>7556</v>
      </c>
      <c r="B3886" t="s">
        <v>420</v>
      </c>
      <c r="C3886">
        <v>390.4100036621094</v>
      </c>
      <c r="D3886">
        <v>391.8800048828125</v>
      </c>
      <c r="E3886">
        <v>380.7799987792969</v>
      </c>
      <c r="F3886">
        <v>382.3299865722656</v>
      </c>
      <c r="G3886">
        <v>354.1300048828125</v>
      </c>
      <c r="H3886">
        <v>146670500</v>
      </c>
      <c r="I3886" t="s">
        <v>421</v>
      </c>
      <c r="J3886" t="s">
        <v>422</v>
      </c>
      <c r="K3886" t="s">
        <v>7557</v>
      </c>
    </row>
    <row r="3887" spans="1:11" ht="20" customHeight="1">
      <c r="A3887" t="s">
        <v>7556</v>
      </c>
      <c r="B3887" t="s">
        <v>423</v>
      </c>
      <c r="C3887">
        <v>384.3500061035156</v>
      </c>
      <c r="D3887">
        <v>385.5799865722656</v>
      </c>
      <c r="E3887">
        <v>378.2300109863281</v>
      </c>
      <c r="F3887">
        <v>380.3599853515625</v>
      </c>
      <c r="G3887">
        <v>352.3053283691406</v>
      </c>
      <c r="H3887">
        <v>152701600</v>
      </c>
      <c r="I3887" t="s">
        <v>424</v>
      </c>
      <c r="J3887" t="s">
        <v>425</v>
      </c>
      <c r="K3887" t="s">
        <v>7557</v>
      </c>
    </row>
    <row r="3888" spans="1:11" ht="20" customHeight="1">
      <c r="A3888" t="s">
        <v>7556</v>
      </c>
      <c r="B3888" t="s">
        <v>426</v>
      </c>
      <c r="C3888">
        <v>385.5899963378906</v>
      </c>
      <c r="D3888">
        <v>390.9200134277344</v>
      </c>
      <c r="E3888">
        <v>380.5700073242188</v>
      </c>
      <c r="F3888">
        <v>389.5799865722656</v>
      </c>
      <c r="G3888">
        <v>360.8452758789062</v>
      </c>
      <c r="H3888">
        <v>105348800</v>
      </c>
      <c r="I3888" t="s">
        <v>427</v>
      </c>
      <c r="J3888" t="s">
        <v>428</v>
      </c>
      <c r="K3888" t="s">
        <v>7557</v>
      </c>
    </row>
    <row r="3889" spans="1:11" ht="20" customHeight="1">
      <c r="A3889" t="s">
        <v>7556</v>
      </c>
      <c r="B3889" t="s">
        <v>429</v>
      </c>
      <c r="C3889">
        <v>389.8200073242188</v>
      </c>
      <c r="D3889">
        <v>390.0700073242188</v>
      </c>
      <c r="E3889">
        <v>386</v>
      </c>
      <c r="F3889">
        <v>386.5400085449219</v>
      </c>
      <c r="G3889">
        <v>358.0294799804688</v>
      </c>
      <c r="H3889">
        <v>79595300</v>
      </c>
      <c r="I3889" t="s">
        <v>430</v>
      </c>
      <c r="J3889" t="s">
        <v>431</v>
      </c>
      <c r="K3889" t="s">
        <v>7557</v>
      </c>
    </row>
    <row r="3890" spans="1:11" ht="20" customHeight="1">
      <c r="A3890" t="s">
        <v>7556</v>
      </c>
      <c r="B3890" t="s">
        <v>432</v>
      </c>
      <c r="C3890">
        <v>385.7900085449219</v>
      </c>
      <c r="D3890">
        <v>386.8299865722656</v>
      </c>
      <c r="E3890">
        <v>381.3099975585938</v>
      </c>
      <c r="F3890">
        <v>381.4200134277344</v>
      </c>
      <c r="G3890">
        <v>353.287109375</v>
      </c>
      <c r="H3890">
        <v>119940200</v>
      </c>
      <c r="I3890" t="s">
        <v>433</v>
      </c>
      <c r="J3890" t="s">
        <v>434</v>
      </c>
      <c r="K3890" t="s">
        <v>7557</v>
      </c>
    </row>
    <row r="3891" spans="1:11" ht="20" customHeight="1">
      <c r="A3891" t="s">
        <v>7556</v>
      </c>
      <c r="B3891" t="s">
        <v>435</v>
      </c>
      <c r="C3891">
        <v>381.2200012207031</v>
      </c>
      <c r="D3891">
        <v>384</v>
      </c>
      <c r="E3891">
        <v>371.8800048828125</v>
      </c>
      <c r="F3891">
        <v>376.7000122070312</v>
      </c>
      <c r="G3891">
        <v>348.9153137207031</v>
      </c>
      <c r="H3891">
        <v>183433000</v>
      </c>
      <c r="I3891" t="s">
        <v>436</v>
      </c>
      <c r="J3891" t="s">
        <v>437</v>
      </c>
      <c r="K3891" t="s">
        <v>7557</v>
      </c>
    </row>
    <row r="3892" spans="1:11" ht="20" customHeight="1">
      <c r="A3892" t="s">
        <v>7556</v>
      </c>
      <c r="B3892" t="s">
        <v>438</v>
      </c>
      <c r="C3892">
        <v>380.4599914550781</v>
      </c>
      <c r="D3892">
        <v>384.760009765625</v>
      </c>
      <c r="E3892">
        <v>372.6400146484375</v>
      </c>
      <c r="F3892">
        <v>383.6300048828125</v>
      </c>
      <c r="G3892">
        <v>355.3340454101562</v>
      </c>
      <c r="H3892">
        <v>152039600</v>
      </c>
      <c r="I3892" t="s">
        <v>439</v>
      </c>
      <c r="J3892" t="s">
        <v>440</v>
      </c>
      <c r="K3892" t="s">
        <v>7557</v>
      </c>
    </row>
    <row r="3893" spans="1:11" ht="20" customHeight="1">
      <c r="A3893" t="s">
        <v>7556</v>
      </c>
      <c r="B3893" t="s">
        <v>441</v>
      </c>
      <c r="C3893">
        <v>384.6600036621094</v>
      </c>
      <c r="D3893">
        <v>387.6799926757812</v>
      </c>
      <c r="E3893">
        <v>381.4200134277344</v>
      </c>
      <c r="F3893">
        <v>381.7200012207031</v>
      </c>
      <c r="G3893">
        <v>353.5649108886719</v>
      </c>
      <c r="H3893">
        <v>123149200</v>
      </c>
      <c r="I3893" t="s">
        <v>442</v>
      </c>
      <c r="J3893" t="s">
        <v>443</v>
      </c>
      <c r="K3893" t="s">
        <v>7557</v>
      </c>
    </row>
    <row r="3894" spans="1:11" ht="20" customHeight="1">
      <c r="A3894" t="s">
        <v>7556</v>
      </c>
      <c r="B3894" t="s">
        <v>444</v>
      </c>
      <c r="C3894">
        <v>385.8500061035156</v>
      </c>
      <c r="D3894">
        <v>389.9100036621094</v>
      </c>
      <c r="E3894">
        <v>385.3099975585938</v>
      </c>
      <c r="F3894">
        <v>387.1700134277344</v>
      </c>
      <c r="G3894">
        <v>358.6130676269531</v>
      </c>
      <c r="H3894">
        <v>113633600</v>
      </c>
      <c r="I3894" t="s">
        <v>445</v>
      </c>
      <c r="J3894" t="s">
        <v>446</v>
      </c>
      <c r="K3894" t="s">
        <v>7557</v>
      </c>
    </row>
    <row r="3895" spans="1:11" ht="20" customHeight="1">
      <c r="A3895" t="s">
        <v>7556</v>
      </c>
      <c r="B3895" t="s">
        <v>447</v>
      </c>
      <c r="C3895">
        <v>389.6900024414062</v>
      </c>
      <c r="D3895">
        <v>391.3999938964844</v>
      </c>
      <c r="E3895">
        <v>388.1700134277344</v>
      </c>
      <c r="F3895">
        <v>389.5799865722656</v>
      </c>
      <c r="G3895">
        <v>360.8452758789062</v>
      </c>
      <c r="H3895">
        <v>109899400</v>
      </c>
      <c r="I3895" t="s">
        <v>448</v>
      </c>
      <c r="J3895" t="s">
        <v>449</v>
      </c>
      <c r="K3895" t="s">
        <v>7557</v>
      </c>
    </row>
    <row r="3896" spans="1:11" ht="20" customHeight="1">
      <c r="A3896" t="s">
        <v>7556</v>
      </c>
      <c r="B3896" t="s">
        <v>450</v>
      </c>
      <c r="C3896">
        <v>392.2300109863281</v>
      </c>
      <c r="D3896">
        <v>395.6499938964844</v>
      </c>
      <c r="E3896">
        <v>391.739990234375</v>
      </c>
      <c r="F3896">
        <v>393.5299987792969</v>
      </c>
      <c r="G3896">
        <v>364.5038757324219</v>
      </c>
      <c r="H3896">
        <v>86245000</v>
      </c>
      <c r="I3896" t="s">
        <v>451</v>
      </c>
      <c r="J3896" t="s">
        <v>452</v>
      </c>
      <c r="K3896" t="s">
        <v>7557</v>
      </c>
    </row>
    <row r="3897" spans="1:11" ht="20" customHeight="1">
      <c r="A3897" t="s">
        <v>7556</v>
      </c>
      <c r="B3897" t="s">
        <v>453</v>
      </c>
      <c r="C3897">
        <v>392.0700073242188</v>
      </c>
      <c r="D3897">
        <v>394.2099914550781</v>
      </c>
      <c r="E3897">
        <v>391.2000122070312</v>
      </c>
      <c r="F3897">
        <v>394.0599975585938</v>
      </c>
      <c r="G3897">
        <v>364.9948425292969</v>
      </c>
      <c r="H3897">
        <v>64653600</v>
      </c>
      <c r="I3897" t="s">
        <v>454</v>
      </c>
      <c r="J3897" t="s">
        <v>455</v>
      </c>
      <c r="K3897" t="s">
        <v>7557</v>
      </c>
    </row>
    <row r="3898" spans="1:11" ht="20" customHeight="1">
      <c r="A3898" t="s">
        <v>7556</v>
      </c>
      <c r="B3898" t="s">
        <v>456</v>
      </c>
      <c r="C3898">
        <v>394.3299865722656</v>
      </c>
      <c r="D3898">
        <v>396.6900024414062</v>
      </c>
      <c r="E3898">
        <v>392.0299987792969</v>
      </c>
      <c r="F3898">
        <v>396.4100036621094</v>
      </c>
      <c r="G3898">
        <v>367.1715087890625</v>
      </c>
      <c r="H3898">
        <v>73427200</v>
      </c>
      <c r="I3898" t="s">
        <v>457</v>
      </c>
      <c r="J3898" t="s">
        <v>458</v>
      </c>
      <c r="K3898" t="s">
        <v>7557</v>
      </c>
    </row>
    <row r="3899" spans="1:11" ht="20" customHeight="1">
      <c r="A3899" t="s">
        <v>7556</v>
      </c>
      <c r="B3899" t="s">
        <v>459</v>
      </c>
      <c r="C3899">
        <v>397.0700073242188</v>
      </c>
      <c r="D3899">
        <v>397.8299865722656</v>
      </c>
      <c r="E3899">
        <v>395.0799865722656</v>
      </c>
      <c r="F3899">
        <v>395.9100036621094</v>
      </c>
      <c r="G3899">
        <v>366.7082824707031</v>
      </c>
      <c r="H3899">
        <v>73722500</v>
      </c>
      <c r="I3899" t="s">
        <v>460</v>
      </c>
      <c r="J3899" t="s">
        <v>461</v>
      </c>
      <c r="K3899" t="s">
        <v>7557</v>
      </c>
    </row>
    <row r="3900" spans="1:11" ht="20" customHeight="1">
      <c r="A3900" t="s">
        <v>7556</v>
      </c>
      <c r="B3900" t="s">
        <v>462</v>
      </c>
      <c r="C3900">
        <v>394.5299987792969</v>
      </c>
      <c r="D3900">
        <v>398.1199951171875</v>
      </c>
      <c r="E3900">
        <v>393.2999877929688</v>
      </c>
      <c r="F3900">
        <v>397.260009765625</v>
      </c>
      <c r="G3900">
        <v>367.9588012695312</v>
      </c>
      <c r="H3900">
        <v>97959300</v>
      </c>
      <c r="I3900" t="s">
        <v>463</v>
      </c>
      <c r="J3900" t="s">
        <v>464</v>
      </c>
      <c r="K3900" t="s">
        <v>7557</v>
      </c>
    </row>
    <row r="3901" spans="1:11" ht="20" customHeight="1">
      <c r="A3901" t="s">
        <v>7556</v>
      </c>
      <c r="B3901" t="s">
        <v>465</v>
      </c>
      <c r="C3901">
        <v>394.4800109863281</v>
      </c>
      <c r="D3901">
        <v>396.7200012207031</v>
      </c>
      <c r="E3901">
        <v>390.75</v>
      </c>
      <c r="F3901">
        <v>391.4800109863281</v>
      </c>
      <c r="G3901">
        <v>362.6051025390625</v>
      </c>
      <c r="H3901">
        <v>115349100</v>
      </c>
      <c r="I3901" t="s">
        <v>466</v>
      </c>
      <c r="J3901" t="s">
        <v>467</v>
      </c>
      <c r="K3901" t="s">
        <v>7557</v>
      </c>
    </row>
    <row r="3902" spans="1:11" ht="20" customHeight="1">
      <c r="A3902" t="s">
        <v>7556</v>
      </c>
      <c r="B3902" t="s">
        <v>468</v>
      </c>
      <c r="C3902">
        <v>389.8800048828125</v>
      </c>
      <c r="D3902">
        <v>391.5700073242188</v>
      </c>
      <c r="E3902">
        <v>387.1499938964844</v>
      </c>
      <c r="F3902">
        <v>389.4800109863281</v>
      </c>
      <c r="G3902">
        <v>361.9342041015625</v>
      </c>
      <c r="H3902">
        <v>113624500</v>
      </c>
      <c r="I3902" t="s">
        <v>469</v>
      </c>
      <c r="J3902" t="s">
        <v>470</v>
      </c>
      <c r="K3902" t="s">
        <v>7557</v>
      </c>
    </row>
    <row r="3903" spans="1:11" ht="20" customHeight="1">
      <c r="A3903" t="s">
        <v>7556</v>
      </c>
      <c r="B3903" t="s">
        <v>471</v>
      </c>
      <c r="C3903">
        <v>390.0299987792969</v>
      </c>
      <c r="D3903">
        <v>394.0700073242188</v>
      </c>
      <c r="E3903">
        <v>389.9700012207031</v>
      </c>
      <c r="F3903">
        <v>392.5899963378906</v>
      </c>
      <c r="G3903">
        <v>364.8242797851562</v>
      </c>
      <c r="H3903">
        <v>73778600</v>
      </c>
      <c r="I3903" t="s">
        <v>472</v>
      </c>
      <c r="J3903" t="s">
        <v>473</v>
      </c>
      <c r="K3903" t="s">
        <v>7557</v>
      </c>
    </row>
    <row r="3904" spans="1:11" ht="20" customHeight="1">
      <c r="A3904" t="s">
        <v>7556</v>
      </c>
      <c r="B3904" t="s">
        <v>474</v>
      </c>
      <c r="C3904">
        <v>391.9100036621094</v>
      </c>
      <c r="D3904">
        <v>393.4599914550781</v>
      </c>
      <c r="E3904">
        <v>388.6600036621094</v>
      </c>
      <c r="F3904">
        <v>389.5</v>
      </c>
      <c r="G3904">
        <v>361.9528503417969</v>
      </c>
      <c r="H3904">
        <v>90686600</v>
      </c>
      <c r="I3904" t="s">
        <v>475</v>
      </c>
      <c r="J3904" t="s">
        <v>476</v>
      </c>
      <c r="K3904" t="s">
        <v>7557</v>
      </c>
    </row>
    <row r="3905" spans="1:11" ht="20" customHeight="1">
      <c r="A3905" t="s">
        <v>7556</v>
      </c>
      <c r="B3905" t="s">
        <v>477</v>
      </c>
      <c r="C3905">
        <v>391</v>
      </c>
      <c r="D3905">
        <v>392.75</v>
      </c>
      <c r="E3905">
        <v>387.4700012207031</v>
      </c>
      <c r="F3905">
        <v>387.5199890136719</v>
      </c>
      <c r="G3905">
        <v>360.1127624511719</v>
      </c>
      <c r="H3905">
        <v>97588600</v>
      </c>
      <c r="I3905" t="s">
        <v>478</v>
      </c>
      <c r="J3905" t="s">
        <v>479</v>
      </c>
      <c r="K3905" t="s">
        <v>7557</v>
      </c>
    </row>
    <row r="3906" spans="1:11" ht="20" customHeight="1">
      <c r="A3906" t="s">
        <v>7556</v>
      </c>
      <c r="B3906" t="s">
        <v>480</v>
      </c>
      <c r="C3906">
        <v>385.9800109863281</v>
      </c>
      <c r="D3906">
        <v>390.5499877929688</v>
      </c>
      <c r="E3906">
        <v>383.8999938964844</v>
      </c>
      <c r="F3906">
        <v>389.7000122070312</v>
      </c>
      <c r="G3906">
        <v>362.138671875</v>
      </c>
      <c r="H3906">
        <v>116128600</v>
      </c>
      <c r="I3906" t="s">
        <v>481</v>
      </c>
      <c r="J3906" t="s">
        <v>482</v>
      </c>
      <c r="K3906" t="s">
        <v>7557</v>
      </c>
    </row>
    <row r="3907" spans="1:11" ht="20" customHeight="1">
      <c r="A3907" t="s">
        <v>7556</v>
      </c>
      <c r="B3907" t="s">
        <v>483</v>
      </c>
      <c r="C3907">
        <v>390.9299926757812</v>
      </c>
      <c r="D3907">
        <v>396.4100036621094</v>
      </c>
      <c r="E3907">
        <v>390.2900085449219</v>
      </c>
      <c r="F3907">
        <v>395.9800109863281</v>
      </c>
      <c r="G3907">
        <v>367.9745483398438</v>
      </c>
      <c r="H3907">
        <v>114409100</v>
      </c>
      <c r="I3907" t="s">
        <v>484</v>
      </c>
      <c r="J3907" t="s">
        <v>485</v>
      </c>
      <c r="K3907" t="s">
        <v>7557</v>
      </c>
    </row>
    <row r="3908" spans="1:11" ht="20" customHeight="1">
      <c r="A3908" t="s">
        <v>7556</v>
      </c>
      <c r="B3908" t="s">
        <v>486</v>
      </c>
      <c r="C3908">
        <v>394.3999938964844</v>
      </c>
      <c r="D3908">
        <v>396.75</v>
      </c>
      <c r="E3908">
        <v>392.8099975585938</v>
      </c>
      <c r="F3908">
        <v>395.7799987792969</v>
      </c>
      <c r="G3908">
        <v>367.7886352539062</v>
      </c>
      <c r="H3908">
        <v>108107600</v>
      </c>
      <c r="I3908" t="s">
        <v>487</v>
      </c>
      <c r="J3908" t="s">
        <v>488</v>
      </c>
      <c r="K3908" t="s">
        <v>7557</v>
      </c>
    </row>
    <row r="3909" spans="1:11" ht="20" customHeight="1">
      <c r="A3909" t="s">
        <v>7556</v>
      </c>
      <c r="B3909" t="s">
        <v>489</v>
      </c>
      <c r="C3909">
        <v>394.4200134277344</v>
      </c>
      <c r="D3909">
        <v>395.4500122070312</v>
      </c>
      <c r="E3909">
        <v>393.0199890136719</v>
      </c>
      <c r="F3909">
        <v>394.7300109863281</v>
      </c>
      <c r="G3909">
        <v>366.8128356933594</v>
      </c>
      <c r="H3909">
        <v>76262200</v>
      </c>
      <c r="I3909" t="s">
        <v>490</v>
      </c>
      <c r="J3909" t="s">
        <v>491</v>
      </c>
      <c r="K3909" t="s">
        <v>7557</v>
      </c>
    </row>
    <row r="3910" spans="1:11" ht="20" customHeight="1">
      <c r="A3910" t="s">
        <v>7556</v>
      </c>
      <c r="B3910" t="s">
        <v>492</v>
      </c>
      <c r="C3910">
        <v>395.3399963378906</v>
      </c>
      <c r="D3910">
        <v>398</v>
      </c>
      <c r="E3910">
        <v>395.3099975585938</v>
      </c>
      <c r="F3910">
        <v>396.3299865722656</v>
      </c>
      <c r="G3910">
        <v>368.2996826171875</v>
      </c>
      <c r="H3910">
        <v>112734200</v>
      </c>
      <c r="I3910" t="s">
        <v>493</v>
      </c>
      <c r="J3910" t="s">
        <v>494</v>
      </c>
      <c r="K3910" t="s">
        <v>7557</v>
      </c>
    </row>
    <row r="3911" spans="1:11" ht="20" customHeight="1">
      <c r="A3911" t="s">
        <v>7556</v>
      </c>
      <c r="B3911" t="s">
        <v>495</v>
      </c>
      <c r="C3911">
        <v>398.3999938964844</v>
      </c>
      <c r="D3911">
        <v>400.6700134277344</v>
      </c>
      <c r="E3911">
        <v>398.1799926757812</v>
      </c>
      <c r="F3911">
        <v>400.6099853515625</v>
      </c>
      <c r="G3911">
        <v>372.2770080566406</v>
      </c>
      <c r="H3911">
        <v>99682900</v>
      </c>
      <c r="I3911" t="s">
        <v>496</v>
      </c>
      <c r="J3911" t="s">
        <v>497</v>
      </c>
      <c r="K3911" t="s">
        <v>7557</v>
      </c>
    </row>
    <row r="3912" spans="1:11" ht="20" customHeight="1">
      <c r="A3912" t="s">
        <v>7556</v>
      </c>
      <c r="B3912" t="s">
        <v>498</v>
      </c>
      <c r="C3912">
        <v>403.4599914550781</v>
      </c>
      <c r="D3912">
        <v>406.9400024414062</v>
      </c>
      <c r="E3912">
        <v>403.3800048828125</v>
      </c>
      <c r="F3912">
        <v>406.3599853515625</v>
      </c>
      <c r="G3912">
        <v>377.6203308105469</v>
      </c>
      <c r="H3912">
        <v>91684800</v>
      </c>
      <c r="I3912" t="s">
        <v>499</v>
      </c>
      <c r="J3912" t="s">
        <v>500</v>
      </c>
      <c r="K3912" t="s">
        <v>7557</v>
      </c>
    </row>
    <row r="3913" spans="1:11" ht="20" customHeight="1">
      <c r="A3913" t="s">
        <v>7556</v>
      </c>
      <c r="B3913" t="s">
        <v>501</v>
      </c>
      <c r="C3913">
        <v>405.760009765625</v>
      </c>
      <c r="D3913">
        <v>407.239990234375</v>
      </c>
      <c r="E3913">
        <v>405.3999938964844</v>
      </c>
      <c r="F3913">
        <v>406.1199951171875</v>
      </c>
      <c r="G3913">
        <v>377.3973693847656</v>
      </c>
      <c r="H3913">
        <v>62021000</v>
      </c>
      <c r="I3913" t="s">
        <v>502</v>
      </c>
      <c r="J3913" t="s">
        <v>503</v>
      </c>
      <c r="K3913" t="s">
        <v>7557</v>
      </c>
    </row>
    <row r="3914" spans="1:11" ht="20" customHeight="1">
      <c r="A3914" t="s">
        <v>7556</v>
      </c>
      <c r="B3914" t="s">
        <v>504</v>
      </c>
      <c r="C3914">
        <v>405.9400024414062</v>
      </c>
      <c r="D3914">
        <v>406.9599914550781</v>
      </c>
      <c r="E3914">
        <v>405.4500122070312</v>
      </c>
      <c r="F3914">
        <v>406.5899963378906</v>
      </c>
      <c r="G3914">
        <v>377.8341369628906</v>
      </c>
      <c r="H3914">
        <v>55836300</v>
      </c>
      <c r="I3914" t="s">
        <v>505</v>
      </c>
      <c r="J3914" t="s">
        <v>506</v>
      </c>
      <c r="K3914" t="s">
        <v>7557</v>
      </c>
    </row>
    <row r="3915" spans="1:11" ht="20" customHeight="1">
      <c r="A3915" t="s">
        <v>7556</v>
      </c>
      <c r="B3915" t="s">
        <v>507</v>
      </c>
      <c r="C3915">
        <v>407.9299926757812</v>
      </c>
      <c r="D3915">
        <v>408.5799865722656</v>
      </c>
      <c r="E3915">
        <v>406.9299926757812</v>
      </c>
      <c r="F3915">
        <v>408.5199890136719</v>
      </c>
      <c r="G3915">
        <v>379.6275939941406</v>
      </c>
      <c r="H3915">
        <v>57863100</v>
      </c>
      <c r="I3915" t="s">
        <v>508</v>
      </c>
      <c r="J3915" t="s">
        <v>509</v>
      </c>
      <c r="K3915" t="s">
        <v>7557</v>
      </c>
    </row>
    <row r="3916" spans="1:11" ht="20" customHeight="1">
      <c r="A3916" t="s">
        <v>7556</v>
      </c>
      <c r="B3916" t="s">
        <v>510</v>
      </c>
      <c r="C3916">
        <v>408.3900146484375</v>
      </c>
      <c r="D3916">
        <v>411.6700134277344</v>
      </c>
      <c r="E3916">
        <v>408.260009765625</v>
      </c>
      <c r="F3916">
        <v>411.489990234375</v>
      </c>
      <c r="G3916">
        <v>382.3875732421875</v>
      </c>
      <c r="H3916">
        <v>61104600</v>
      </c>
      <c r="I3916" t="s">
        <v>511</v>
      </c>
      <c r="J3916" t="s">
        <v>512</v>
      </c>
      <c r="K3916" t="s">
        <v>7557</v>
      </c>
    </row>
    <row r="3917" spans="1:11" ht="20" customHeight="1">
      <c r="A3917" t="s">
        <v>7556</v>
      </c>
      <c r="B3917" t="s">
        <v>513</v>
      </c>
      <c r="C3917">
        <v>410.8500061035156</v>
      </c>
      <c r="D3917">
        <v>411.9299926757812</v>
      </c>
      <c r="E3917">
        <v>410.2000122070312</v>
      </c>
      <c r="F3917">
        <v>411.6400146484375</v>
      </c>
      <c r="G3917">
        <v>382.5269775390625</v>
      </c>
      <c r="H3917">
        <v>56704900</v>
      </c>
      <c r="I3917" t="s">
        <v>514</v>
      </c>
      <c r="J3917" t="s">
        <v>515</v>
      </c>
      <c r="K3917" t="s">
        <v>7557</v>
      </c>
    </row>
    <row r="3918" spans="1:11" ht="20" customHeight="1">
      <c r="A3918" t="s">
        <v>7556</v>
      </c>
      <c r="B3918" t="s">
        <v>516</v>
      </c>
      <c r="C3918">
        <v>411.5299987792969</v>
      </c>
      <c r="D3918">
        <v>413.5299987792969</v>
      </c>
      <c r="E3918">
        <v>411.1199951171875</v>
      </c>
      <c r="F3918">
        <v>412.8599853515625</v>
      </c>
      <c r="G3918">
        <v>383.6606140136719</v>
      </c>
      <c r="H3918">
        <v>56551000</v>
      </c>
      <c r="I3918" t="s">
        <v>517</v>
      </c>
      <c r="J3918" t="s">
        <v>518</v>
      </c>
      <c r="K3918" t="s">
        <v>7557</v>
      </c>
    </row>
    <row r="3919" spans="1:11" ht="20" customHeight="1">
      <c r="A3919" t="s">
        <v>7556</v>
      </c>
      <c r="B3919" t="s">
        <v>519</v>
      </c>
      <c r="C3919">
        <v>412.8299865722656</v>
      </c>
      <c r="D3919">
        <v>413.9599914550781</v>
      </c>
      <c r="E3919">
        <v>410.8699951171875</v>
      </c>
      <c r="F3919">
        <v>411.4500122070312</v>
      </c>
      <c r="G3919">
        <v>382.3504028320312</v>
      </c>
      <c r="H3919">
        <v>61659900</v>
      </c>
      <c r="I3919" t="s">
        <v>520</v>
      </c>
      <c r="J3919" t="s">
        <v>521</v>
      </c>
      <c r="K3919" t="s">
        <v>7557</v>
      </c>
    </row>
    <row r="3920" spans="1:11" ht="20" customHeight="1">
      <c r="A3920" t="s">
        <v>7556</v>
      </c>
      <c r="B3920" t="s">
        <v>522</v>
      </c>
      <c r="C3920">
        <v>413.739990234375</v>
      </c>
      <c r="D3920">
        <v>416.1600036621094</v>
      </c>
      <c r="E3920">
        <v>413.6900024414062</v>
      </c>
      <c r="F3920">
        <v>415.8699951171875</v>
      </c>
      <c r="G3920">
        <v>386.4577331542969</v>
      </c>
      <c r="H3920">
        <v>60229800</v>
      </c>
      <c r="I3920" t="s">
        <v>523</v>
      </c>
      <c r="J3920" t="s">
        <v>524</v>
      </c>
      <c r="K3920" t="s">
        <v>7557</v>
      </c>
    </row>
    <row r="3921" spans="1:11" ht="20" customHeight="1">
      <c r="A3921" t="s">
        <v>7556</v>
      </c>
      <c r="B3921" t="s">
        <v>525</v>
      </c>
      <c r="C3921">
        <v>417.25</v>
      </c>
      <c r="D3921">
        <v>417.9100036621094</v>
      </c>
      <c r="E3921">
        <v>415.7300109863281</v>
      </c>
      <c r="F3921">
        <v>417.260009765625</v>
      </c>
      <c r="G3921">
        <v>387.7493896484375</v>
      </c>
      <c r="H3921">
        <v>82037300</v>
      </c>
      <c r="I3921" t="s">
        <v>526</v>
      </c>
      <c r="J3921" t="s">
        <v>527</v>
      </c>
      <c r="K3921" t="s">
        <v>7557</v>
      </c>
    </row>
    <row r="3922" spans="1:11" ht="20" customHeight="1">
      <c r="A3922" t="s">
        <v>7556</v>
      </c>
      <c r="B3922" t="s">
        <v>528</v>
      </c>
      <c r="C3922">
        <v>416.260009765625</v>
      </c>
      <c r="D3922">
        <v>416.739990234375</v>
      </c>
      <c r="E3922">
        <v>413.7900085449219</v>
      </c>
      <c r="F3922">
        <v>415.2099914550781</v>
      </c>
      <c r="G3922">
        <v>385.8444519042969</v>
      </c>
      <c r="H3922">
        <v>78498500</v>
      </c>
      <c r="I3922" t="s">
        <v>529</v>
      </c>
      <c r="J3922" t="s">
        <v>530</v>
      </c>
      <c r="K3922" t="s">
        <v>7557</v>
      </c>
    </row>
    <row r="3923" spans="1:11" ht="20" customHeight="1">
      <c r="A3923" t="s">
        <v>7556</v>
      </c>
      <c r="B3923" t="s">
        <v>531</v>
      </c>
      <c r="C3923">
        <v>413.9100036621094</v>
      </c>
      <c r="D3923">
        <v>415.0899963378906</v>
      </c>
      <c r="E3923">
        <v>410.5899963378906</v>
      </c>
      <c r="F3923">
        <v>412.1700134277344</v>
      </c>
      <c r="G3923">
        <v>383.0194091796875</v>
      </c>
      <c r="H3923">
        <v>81851800</v>
      </c>
      <c r="I3923" t="s">
        <v>532</v>
      </c>
      <c r="J3923" t="s">
        <v>533</v>
      </c>
      <c r="K3923" t="s">
        <v>7557</v>
      </c>
    </row>
    <row r="3924" spans="1:11" ht="20" customHeight="1">
      <c r="A3924" t="s">
        <v>7556</v>
      </c>
      <c r="B3924" t="s">
        <v>534</v>
      </c>
      <c r="C3924">
        <v>411.510009765625</v>
      </c>
      <c r="D3924">
        <v>416.2900085449219</v>
      </c>
      <c r="E3924">
        <v>411.3599853515625</v>
      </c>
      <c r="F3924">
        <v>416.0700073242188</v>
      </c>
      <c r="G3924">
        <v>386.6436157226562</v>
      </c>
      <c r="H3924">
        <v>66793000</v>
      </c>
      <c r="I3924" t="s">
        <v>535</v>
      </c>
      <c r="J3924" t="s">
        <v>536</v>
      </c>
      <c r="K3924" t="s">
        <v>7557</v>
      </c>
    </row>
    <row r="3925" spans="1:11" ht="20" customHeight="1">
      <c r="A3925" t="s">
        <v>7556</v>
      </c>
      <c r="B3925" t="s">
        <v>537</v>
      </c>
      <c r="C3925">
        <v>415.8900146484375</v>
      </c>
      <c r="D3925">
        <v>416.7799987792969</v>
      </c>
      <c r="E3925">
        <v>411.1300048828125</v>
      </c>
      <c r="F3925">
        <v>412.2699890136719</v>
      </c>
      <c r="G3925">
        <v>383.1123962402344</v>
      </c>
      <c r="H3925">
        <v>97582800</v>
      </c>
      <c r="I3925" t="s">
        <v>538</v>
      </c>
      <c r="J3925" t="s">
        <v>539</v>
      </c>
      <c r="K3925" t="s">
        <v>7557</v>
      </c>
    </row>
    <row r="3926" spans="1:11" ht="20" customHeight="1">
      <c r="A3926" t="s">
        <v>7556</v>
      </c>
      <c r="B3926" t="s">
        <v>540</v>
      </c>
      <c r="C3926">
        <v>412.8699951171875</v>
      </c>
      <c r="D3926">
        <v>418.25</v>
      </c>
      <c r="E3926">
        <v>412.7900085449219</v>
      </c>
      <c r="F3926">
        <v>416.739990234375</v>
      </c>
      <c r="G3926">
        <v>387.2662353515625</v>
      </c>
      <c r="H3926">
        <v>73209200</v>
      </c>
      <c r="I3926" t="s">
        <v>541</v>
      </c>
      <c r="J3926" t="s">
        <v>542</v>
      </c>
      <c r="K3926" t="s">
        <v>7557</v>
      </c>
    </row>
    <row r="3927" spans="1:11" ht="20" customHeight="1">
      <c r="A3927" t="s">
        <v>7556</v>
      </c>
      <c r="B3927" t="s">
        <v>543</v>
      </c>
      <c r="C3927">
        <v>417.4400024414062</v>
      </c>
      <c r="D3927">
        <v>418.2200012207031</v>
      </c>
      <c r="E3927">
        <v>416.8099975585938</v>
      </c>
      <c r="F3927">
        <v>417.6099853515625</v>
      </c>
      <c r="G3927">
        <v>388.0746765136719</v>
      </c>
      <c r="H3927">
        <v>52182400</v>
      </c>
      <c r="I3927" t="s">
        <v>544</v>
      </c>
      <c r="J3927" t="s">
        <v>545</v>
      </c>
      <c r="K3927" t="s">
        <v>7557</v>
      </c>
    </row>
    <row r="3928" spans="1:11" ht="20" customHeight="1">
      <c r="A3928" t="s">
        <v>7556</v>
      </c>
      <c r="B3928" t="s">
        <v>546</v>
      </c>
      <c r="C3928">
        <v>417.9299926757812</v>
      </c>
      <c r="D3928">
        <v>418.1400146484375</v>
      </c>
      <c r="E3928">
        <v>416.2999877929688</v>
      </c>
      <c r="F3928">
        <v>417.5199890136719</v>
      </c>
      <c r="G3928">
        <v>387.9910583496094</v>
      </c>
      <c r="H3928">
        <v>51303100</v>
      </c>
      <c r="I3928" t="s">
        <v>547</v>
      </c>
      <c r="J3928" t="s">
        <v>548</v>
      </c>
      <c r="K3928" t="s">
        <v>7557</v>
      </c>
    </row>
    <row r="3929" spans="1:11" ht="20" customHeight="1">
      <c r="A3929" t="s">
        <v>7556</v>
      </c>
      <c r="B3929" t="s">
        <v>549</v>
      </c>
      <c r="C3929">
        <v>417.8099975585938</v>
      </c>
      <c r="D3929">
        <v>419.010009765625</v>
      </c>
      <c r="E3929">
        <v>416.8999938964844</v>
      </c>
      <c r="F3929">
        <v>417.3999938964844</v>
      </c>
      <c r="G3929">
        <v>387.8795776367188</v>
      </c>
      <c r="H3929">
        <v>51238900</v>
      </c>
      <c r="I3929" t="s">
        <v>550</v>
      </c>
      <c r="J3929" t="s">
        <v>551</v>
      </c>
      <c r="K3929" t="s">
        <v>7557</v>
      </c>
    </row>
    <row r="3930" spans="1:11" ht="20" customHeight="1">
      <c r="A3930" t="s">
        <v>7556</v>
      </c>
      <c r="B3930" t="s">
        <v>552</v>
      </c>
      <c r="C3930">
        <v>420.3200073242188</v>
      </c>
      <c r="D3930">
        <v>420.7200012207031</v>
      </c>
      <c r="E3930">
        <v>416.4400024414062</v>
      </c>
      <c r="F3930">
        <v>420.0599975585938</v>
      </c>
      <c r="G3930">
        <v>390.3513793945312</v>
      </c>
      <c r="H3930">
        <v>78544300</v>
      </c>
      <c r="I3930" t="s">
        <v>553</v>
      </c>
      <c r="J3930" t="s">
        <v>554</v>
      </c>
      <c r="K3930" t="s">
        <v>7557</v>
      </c>
    </row>
    <row r="3931" spans="1:11" ht="20" customHeight="1">
      <c r="A3931" t="s">
        <v>7556</v>
      </c>
      <c r="B3931" t="s">
        <v>555</v>
      </c>
      <c r="C3931">
        <v>417.6300048828125</v>
      </c>
      <c r="D3931">
        <v>418.5400085449219</v>
      </c>
      <c r="E3931">
        <v>416.3399963378906</v>
      </c>
      <c r="F3931">
        <v>417.2999877929688</v>
      </c>
      <c r="G3931">
        <v>387.78662109375</v>
      </c>
      <c r="H3931">
        <v>85527000</v>
      </c>
      <c r="I3931" t="s">
        <v>556</v>
      </c>
      <c r="J3931" t="s">
        <v>557</v>
      </c>
      <c r="K3931" t="s">
        <v>7557</v>
      </c>
    </row>
    <row r="3932" spans="1:11" ht="20" customHeight="1">
      <c r="A3932" t="s">
        <v>7556</v>
      </c>
      <c r="B3932" t="s">
        <v>558</v>
      </c>
      <c r="C3932">
        <v>419.4299926757812</v>
      </c>
      <c r="D3932">
        <v>419.8399963378906</v>
      </c>
      <c r="E3932">
        <v>417.6700134277344</v>
      </c>
      <c r="F3932">
        <v>418.2000122070312</v>
      </c>
      <c r="G3932">
        <v>388.6229858398438</v>
      </c>
      <c r="H3932">
        <v>68128300</v>
      </c>
      <c r="I3932" t="s">
        <v>559</v>
      </c>
      <c r="J3932" t="s">
        <v>560</v>
      </c>
      <c r="K3932" t="s">
        <v>7557</v>
      </c>
    </row>
    <row r="3933" spans="1:11" ht="20" customHeight="1">
      <c r="A3933" t="s">
        <v>7556</v>
      </c>
      <c r="B3933" t="s">
        <v>561</v>
      </c>
      <c r="C3933">
        <v>416.0700073242188</v>
      </c>
      <c r="D3933">
        <v>416.6000061035156</v>
      </c>
      <c r="E3933">
        <v>411.6700134277344</v>
      </c>
      <c r="F3933">
        <v>415.6199951171875</v>
      </c>
      <c r="G3933">
        <v>386.2254638671875</v>
      </c>
      <c r="H3933">
        <v>101591200</v>
      </c>
      <c r="I3933" t="s">
        <v>562</v>
      </c>
      <c r="J3933" t="s">
        <v>563</v>
      </c>
      <c r="K3933" t="s">
        <v>7557</v>
      </c>
    </row>
    <row r="3934" spans="1:11" ht="20" customHeight="1">
      <c r="A3934" t="s">
        <v>7556</v>
      </c>
      <c r="B3934" t="s">
        <v>564</v>
      </c>
      <c r="C3934">
        <v>417.3800048828125</v>
      </c>
      <c r="D3934">
        <v>417.6300048828125</v>
      </c>
      <c r="E3934">
        <v>415.1499938964844</v>
      </c>
      <c r="F3934">
        <v>415.75</v>
      </c>
      <c r="G3934">
        <v>386.3462524414062</v>
      </c>
      <c r="H3934">
        <v>60162200</v>
      </c>
      <c r="I3934" t="s">
        <v>565</v>
      </c>
      <c r="J3934" t="s">
        <v>566</v>
      </c>
      <c r="K3934" t="s">
        <v>7557</v>
      </c>
    </row>
    <row r="3935" spans="1:11" ht="20" customHeight="1">
      <c r="A3935" t="s">
        <v>7556</v>
      </c>
      <c r="B3935" t="s">
        <v>567</v>
      </c>
      <c r="C3935">
        <v>415.8299865722656</v>
      </c>
      <c r="D3935">
        <v>419.2099914550781</v>
      </c>
      <c r="E3935">
        <v>413.6799926757812</v>
      </c>
      <c r="F3935">
        <v>419.0700073242188</v>
      </c>
      <c r="G3935">
        <v>389.4314575195312</v>
      </c>
      <c r="H3935">
        <v>74321400</v>
      </c>
      <c r="I3935" t="s">
        <v>568</v>
      </c>
      <c r="J3935" t="s">
        <v>569</v>
      </c>
      <c r="K3935" t="s">
        <v>7557</v>
      </c>
    </row>
    <row r="3936" spans="1:11" ht="20" customHeight="1">
      <c r="A3936" t="s">
        <v>7556</v>
      </c>
      <c r="B3936" t="s">
        <v>570</v>
      </c>
      <c r="C3936">
        <v>419.8900146484375</v>
      </c>
      <c r="D3936">
        <v>422.8200073242188</v>
      </c>
      <c r="E3936">
        <v>419.1600036621094</v>
      </c>
      <c r="F3936">
        <v>422.1199951171875</v>
      </c>
      <c r="G3936">
        <v>392.2657775878906</v>
      </c>
      <c r="H3936">
        <v>67733800</v>
      </c>
      <c r="I3936" t="s">
        <v>571</v>
      </c>
      <c r="J3936" t="s">
        <v>572</v>
      </c>
      <c r="K3936" t="s">
        <v>7557</v>
      </c>
    </row>
    <row r="3937" spans="1:11" ht="20" customHeight="1">
      <c r="A3937" t="s">
        <v>7556</v>
      </c>
      <c r="B3937" t="s">
        <v>573</v>
      </c>
      <c r="C3937">
        <v>422.5</v>
      </c>
      <c r="D3937">
        <v>422.739990234375</v>
      </c>
      <c r="E3937">
        <v>417.8099975585938</v>
      </c>
      <c r="F3937">
        <v>417.9400024414062</v>
      </c>
      <c r="G3937">
        <v>388.3813781738281</v>
      </c>
      <c r="H3937">
        <v>81852400</v>
      </c>
      <c r="I3937" t="s">
        <v>574</v>
      </c>
      <c r="J3937" t="s">
        <v>575</v>
      </c>
      <c r="K3937" t="s">
        <v>7557</v>
      </c>
    </row>
    <row r="3938" spans="1:11" ht="20" customHeight="1">
      <c r="A3938" t="s">
        <v>7556</v>
      </c>
      <c r="B3938" t="s">
        <v>576</v>
      </c>
      <c r="C3938">
        <v>413.1000061035156</v>
      </c>
      <c r="D3938">
        <v>415.2699890136719</v>
      </c>
      <c r="E3938">
        <v>410.0599975585938</v>
      </c>
      <c r="F3938">
        <v>414.2099914550781</v>
      </c>
      <c r="G3938">
        <v>384.9151611328125</v>
      </c>
      <c r="H3938">
        <v>116888000</v>
      </c>
      <c r="I3938" t="s">
        <v>577</v>
      </c>
      <c r="J3938" t="s">
        <v>578</v>
      </c>
      <c r="K3938" t="s">
        <v>7557</v>
      </c>
    </row>
    <row r="3939" spans="1:11" ht="20" customHeight="1">
      <c r="A3939" t="s">
        <v>7556</v>
      </c>
      <c r="B3939" t="s">
        <v>579</v>
      </c>
      <c r="C3939">
        <v>411.2300109863281</v>
      </c>
      <c r="D3939">
        <v>412.5899963378906</v>
      </c>
      <c r="E3939">
        <v>404</v>
      </c>
      <c r="F3939">
        <v>405.4100036621094</v>
      </c>
      <c r="G3939">
        <v>376.7375183105469</v>
      </c>
      <c r="H3939">
        <v>134811000</v>
      </c>
      <c r="I3939" t="s">
        <v>580</v>
      </c>
      <c r="J3939" t="s">
        <v>581</v>
      </c>
      <c r="K3939" t="s">
        <v>7557</v>
      </c>
    </row>
    <row r="3940" spans="1:11" ht="20" customHeight="1">
      <c r="A3940" t="s">
        <v>7556</v>
      </c>
      <c r="B3940" t="s">
        <v>582</v>
      </c>
      <c r="C3940">
        <v>407.0700073242188</v>
      </c>
      <c r="D3940">
        <v>412.3500061035156</v>
      </c>
      <c r="E3940">
        <v>407.0199890136719</v>
      </c>
      <c r="F3940">
        <v>410.2799987792969</v>
      </c>
      <c r="G3940">
        <v>381.2631225585938</v>
      </c>
      <c r="H3940">
        <v>106394000</v>
      </c>
      <c r="I3940" t="s">
        <v>583</v>
      </c>
      <c r="J3940" t="s">
        <v>584</v>
      </c>
      <c r="K3940" t="s">
        <v>7557</v>
      </c>
    </row>
    <row r="3941" spans="1:11" ht="20" customHeight="1">
      <c r="A3941" t="s">
        <v>7556</v>
      </c>
      <c r="B3941" t="s">
        <v>585</v>
      </c>
      <c r="C3941">
        <v>413.2099914550781</v>
      </c>
      <c r="D3941">
        <v>417.489990234375</v>
      </c>
      <c r="E3941">
        <v>413.1799926757812</v>
      </c>
      <c r="F3941">
        <v>416.5799865722656</v>
      </c>
      <c r="G3941">
        <v>387.1175537109375</v>
      </c>
      <c r="H3941">
        <v>82201600</v>
      </c>
      <c r="I3941" t="s">
        <v>586</v>
      </c>
      <c r="J3941" t="s">
        <v>587</v>
      </c>
      <c r="K3941" t="s">
        <v>7557</v>
      </c>
    </row>
    <row r="3942" spans="1:11" ht="20" customHeight="1">
      <c r="A3942" t="s">
        <v>7556</v>
      </c>
      <c r="B3942" t="s">
        <v>588</v>
      </c>
      <c r="C3942">
        <v>415.3900146484375</v>
      </c>
      <c r="D3942">
        <v>416.3900146484375</v>
      </c>
      <c r="E3942">
        <v>413.3599853515625</v>
      </c>
      <c r="F3942">
        <v>415.5199890136719</v>
      </c>
      <c r="G3942">
        <v>386.1325073242188</v>
      </c>
      <c r="H3942">
        <v>65129200</v>
      </c>
      <c r="I3942" t="s">
        <v>589</v>
      </c>
      <c r="J3942" t="s">
        <v>590</v>
      </c>
      <c r="K3942" t="s">
        <v>7557</v>
      </c>
    </row>
    <row r="3943" spans="1:11" ht="20" customHeight="1">
      <c r="A3943" t="s">
        <v>7556</v>
      </c>
      <c r="B3943" t="s">
        <v>591</v>
      </c>
      <c r="C3943">
        <v>415.7999877929688</v>
      </c>
      <c r="D3943">
        <v>416.0599975585938</v>
      </c>
      <c r="E3943">
        <v>411.7699890136719</v>
      </c>
      <c r="F3943">
        <v>411.9400024414062</v>
      </c>
      <c r="G3943">
        <v>382.8057250976562</v>
      </c>
      <c r="H3943">
        <v>59810200</v>
      </c>
      <c r="I3943" t="s">
        <v>592</v>
      </c>
      <c r="J3943" t="s">
        <v>593</v>
      </c>
      <c r="K3943" t="s">
        <v>7557</v>
      </c>
    </row>
    <row r="3944" spans="1:11" ht="20" customHeight="1">
      <c r="A3944" t="s">
        <v>7556</v>
      </c>
      <c r="B3944" t="s">
        <v>594</v>
      </c>
      <c r="C3944">
        <v>406.9200134277344</v>
      </c>
      <c r="D3944">
        <v>411.0499877929688</v>
      </c>
      <c r="E3944">
        <v>405.3299865722656</v>
      </c>
      <c r="F3944">
        <v>410.8599853515625</v>
      </c>
      <c r="G3944">
        <v>381.8021850585938</v>
      </c>
      <c r="H3944">
        <v>106467100</v>
      </c>
      <c r="I3944" t="s">
        <v>595</v>
      </c>
      <c r="J3944" t="s">
        <v>596</v>
      </c>
      <c r="K3944" t="s">
        <v>7557</v>
      </c>
    </row>
    <row r="3945" spans="1:11" ht="20" customHeight="1">
      <c r="A3945" t="s">
        <v>7556</v>
      </c>
      <c r="B3945" t="s">
        <v>597</v>
      </c>
      <c r="C3945">
        <v>411.7999877929688</v>
      </c>
      <c r="D3945">
        <v>416.6300048828125</v>
      </c>
      <c r="E3945">
        <v>411.6700134277344</v>
      </c>
      <c r="F3945">
        <v>415.2799987792969</v>
      </c>
      <c r="G3945">
        <v>385.9095153808594</v>
      </c>
      <c r="H3945">
        <v>78022200</v>
      </c>
      <c r="I3945" t="s">
        <v>598</v>
      </c>
      <c r="J3945" t="s">
        <v>599</v>
      </c>
      <c r="K3945" t="s">
        <v>7557</v>
      </c>
    </row>
    <row r="3946" spans="1:11" ht="20" customHeight="1">
      <c r="A3946" t="s">
        <v>7556</v>
      </c>
      <c r="B3946" t="s">
        <v>600</v>
      </c>
      <c r="C3946">
        <v>416.8699951171875</v>
      </c>
      <c r="D3946">
        <v>418.2000122070312</v>
      </c>
      <c r="E3946">
        <v>414.4500122070312</v>
      </c>
      <c r="F3946">
        <v>414.9400024414062</v>
      </c>
      <c r="G3946">
        <v>385.5935363769531</v>
      </c>
      <c r="H3946">
        <v>76578700</v>
      </c>
      <c r="I3946" t="s">
        <v>601</v>
      </c>
      <c r="J3946" t="s">
        <v>602</v>
      </c>
      <c r="K3946" t="s">
        <v>7557</v>
      </c>
    </row>
    <row r="3947" spans="1:11" ht="20" customHeight="1">
      <c r="A3947" t="s">
        <v>7556</v>
      </c>
      <c r="B3947" t="s">
        <v>603</v>
      </c>
      <c r="C3947">
        <v>417.3399963378906</v>
      </c>
      <c r="D3947">
        <v>420.3200073242188</v>
      </c>
      <c r="E3947">
        <v>417.0799865722656</v>
      </c>
      <c r="F3947">
        <v>419.1700134277344</v>
      </c>
      <c r="G3947">
        <v>389.5243835449219</v>
      </c>
      <c r="H3947">
        <v>51376700</v>
      </c>
      <c r="I3947" t="s">
        <v>604</v>
      </c>
      <c r="J3947" t="s">
        <v>605</v>
      </c>
      <c r="K3947" t="s">
        <v>7557</v>
      </c>
    </row>
    <row r="3948" spans="1:11" ht="20" customHeight="1">
      <c r="A3948" t="s">
        <v>7556</v>
      </c>
      <c r="B3948" t="s">
        <v>606</v>
      </c>
      <c r="C3948">
        <v>420.3299865722656</v>
      </c>
      <c r="D3948">
        <v>420.7099914550781</v>
      </c>
      <c r="E3948">
        <v>417.6199951171875</v>
      </c>
      <c r="F3948">
        <v>418.239990234375</v>
      </c>
      <c r="G3948">
        <v>388.66015625</v>
      </c>
      <c r="H3948">
        <v>57451400</v>
      </c>
      <c r="I3948" t="s">
        <v>607</v>
      </c>
      <c r="J3948" t="s">
        <v>608</v>
      </c>
      <c r="K3948" t="s">
        <v>7557</v>
      </c>
    </row>
    <row r="3949" spans="1:11" ht="20" customHeight="1">
      <c r="A3949" t="s">
        <v>7556</v>
      </c>
      <c r="B3949" t="s">
        <v>609</v>
      </c>
      <c r="C3949">
        <v>418.8699951171875</v>
      </c>
      <c r="D3949">
        <v>419.6099853515625</v>
      </c>
      <c r="E3949">
        <v>417.760009765625</v>
      </c>
      <c r="F3949">
        <v>419.0700073242188</v>
      </c>
      <c r="G3949">
        <v>389.4314575195312</v>
      </c>
      <c r="H3949">
        <v>43088600</v>
      </c>
      <c r="I3949" t="s">
        <v>610</v>
      </c>
      <c r="J3949" t="s">
        <v>611</v>
      </c>
      <c r="K3949" t="s">
        <v>7557</v>
      </c>
    </row>
    <row r="3950" spans="1:11" ht="20" customHeight="1">
      <c r="A3950" t="s">
        <v>7556</v>
      </c>
      <c r="B3950" t="s">
        <v>612</v>
      </c>
      <c r="C3950">
        <v>420.1700134277344</v>
      </c>
      <c r="D3950">
        <v>420.7200012207031</v>
      </c>
      <c r="E3950">
        <v>418.989990234375</v>
      </c>
      <c r="F3950">
        <v>419.2900085449219</v>
      </c>
      <c r="G3950">
        <v>389.6359558105469</v>
      </c>
      <c r="H3950">
        <v>56707700</v>
      </c>
      <c r="I3950" t="s">
        <v>613</v>
      </c>
      <c r="J3950" t="s">
        <v>614</v>
      </c>
      <c r="K3950" t="s">
        <v>7557</v>
      </c>
    </row>
    <row r="3951" spans="1:11" ht="20" customHeight="1">
      <c r="A3951" t="s">
        <v>7556</v>
      </c>
      <c r="B3951" t="s">
        <v>615</v>
      </c>
      <c r="C3951">
        <v>420.9700012207031</v>
      </c>
      <c r="D3951">
        <v>421.25</v>
      </c>
      <c r="E3951">
        <v>419.7900085449219</v>
      </c>
      <c r="F3951">
        <v>420.0400085449219</v>
      </c>
      <c r="G3951">
        <v>390.3328247070312</v>
      </c>
      <c r="H3951">
        <v>58520200</v>
      </c>
      <c r="I3951" t="s">
        <v>616</v>
      </c>
      <c r="J3951" t="s">
        <v>617</v>
      </c>
      <c r="K3951" t="s">
        <v>7557</v>
      </c>
    </row>
    <row r="3952" spans="1:11" ht="20" customHeight="1">
      <c r="A3952" t="s">
        <v>7556</v>
      </c>
      <c r="B3952" t="s">
        <v>618</v>
      </c>
      <c r="C3952">
        <v>422.5700073242188</v>
      </c>
      <c r="D3952">
        <v>422.7200012207031</v>
      </c>
      <c r="E3952">
        <v>419.2000122070312</v>
      </c>
      <c r="F3952">
        <v>419.6700134277344</v>
      </c>
      <c r="G3952">
        <v>389.9890441894531</v>
      </c>
      <c r="H3952">
        <v>54216600</v>
      </c>
      <c r="I3952" t="s">
        <v>619</v>
      </c>
      <c r="J3952" t="s">
        <v>620</v>
      </c>
      <c r="K3952" t="s">
        <v>7557</v>
      </c>
    </row>
    <row r="3953" spans="1:11" ht="20" customHeight="1">
      <c r="A3953" t="s">
        <v>7556</v>
      </c>
      <c r="B3953" t="s">
        <v>621</v>
      </c>
      <c r="C3953">
        <v>420.3699951171875</v>
      </c>
      <c r="D3953">
        <v>421.2300109863281</v>
      </c>
      <c r="E3953">
        <v>419.2900085449219</v>
      </c>
      <c r="F3953">
        <v>420.3299865722656</v>
      </c>
      <c r="G3953">
        <v>390.6023254394531</v>
      </c>
      <c r="H3953">
        <v>49097100</v>
      </c>
      <c r="I3953" t="s">
        <v>622</v>
      </c>
      <c r="J3953" t="s">
        <v>623</v>
      </c>
      <c r="K3953" t="s">
        <v>7557</v>
      </c>
    </row>
    <row r="3954" spans="1:11" ht="20" customHeight="1">
      <c r="A3954" t="s">
        <v>7556</v>
      </c>
      <c r="B3954" t="s">
        <v>624</v>
      </c>
      <c r="C3954">
        <v>417.8500061035156</v>
      </c>
      <c r="D3954">
        <v>419.989990234375</v>
      </c>
      <c r="E3954">
        <v>416.2799987792969</v>
      </c>
      <c r="F3954">
        <v>418.7699890136719</v>
      </c>
      <c r="G3954">
        <v>389.1526489257812</v>
      </c>
      <c r="H3954">
        <v>58138800</v>
      </c>
      <c r="I3954" t="s">
        <v>625</v>
      </c>
      <c r="J3954" t="s">
        <v>626</v>
      </c>
      <c r="K3954" t="s">
        <v>7557</v>
      </c>
    </row>
    <row r="3955" spans="1:11" ht="20" customHeight="1">
      <c r="A3955" t="s">
        <v>7556</v>
      </c>
      <c r="B3955" t="s">
        <v>627</v>
      </c>
      <c r="C3955">
        <v>420.75</v>
      </c>
      <c r="D3955">
        <v>422.9200134277344</v>
      </c>
      <c r="E3955">
        <v>418.8399963378906</v>
      </c>
      <c r="F3955">
        <v>422.6000061035156</v>
      </c>
      <c r="G3955">
        <v>392.7117004394531</v>
      </c>
      <c r="H3955">
        <v>55938800</v>
      </c>
      <c r="I3955" t="s">
        <v>628</v>
      </c>
      <c r="J3955" t="s">
        <v>629</v>
      </c>
      <c r="K3955" t="s">
        <v>7557</v>
      </c>
    </row>
    <row r="3956" spans="1:11" ht="20" customHeight="1">
      <c r="A3956" t="s">
        <v>7556</v>
      </c>
      <c r="B3956" t="s">
        <v>630</v>
      </c>
      <c r="C3956">
        <v>422.5899963378906</v>
      </c>
      <c r="D3956">
        <v>422.7799987792969</v>
      </c>
      <c r="E3956">
        <v>421.1900024414062</v>
      </c>
      <c r="F3956">
        <v>422.1900024414062</v>
      </c>
      <c r="G3956">
        <v>392.3307495117188</v>
      </c>
      <c r="H3956">
        <v>51555000</v>
      </c>
      <c r="I3956" t="s">
        <v>631</v>
      </c>
      <c r="J3956" t="s">
        <v>632</v>
      </c>
      <c r="K3956" t="s">
        <v>7557</v>
      </c>
    </row>
    <row r="3957" spans="1:11" ht="20" customHeight="1">
      <c r="A3957" t="s">
        <v>7556</v>
      </c>
      <c r="B3957" t="s">
        <v>633</v>
      </c>
      <c r="C3957">
        <v>423.1099853515625</v>
      </c>
      <c r="D3957">
        <v>423.2099914550781</v>
      </c>
      <c r="E3957">
        <v>420.3200073242188</v>
      </c>
      <c r="F3957">
        <v>422.2799987792969</v>
      </c>
      <c r="G3957">
        <v>392.4144287109375</v>
      </c>
      <c r="H3957">
        <v>47134300</v>
      </c>
      <c r="I3957" t="s">
        <v>634</v>
      </c>
      <c r="J3957" t="s">
        <v>635</v>
      </c>
      <c r="K3957" t="s">
        <v>7557</v>
      </c>
    </row>
    <row r="3958" spans="1:11" ht="20" customHeight="1">
      <c r="A3958" t="s">
        <v>7556</v>
      </c>
      <c r="B3958" t="s">
        <v>636</v>
      </c>
      <c r="C3958">
        <v>423.1799926757812</v>
      </c>
      <c r="D3958">
        <v>423.260009765625</v>
      </c>
      <c r="E3958">
        <v>421.4100036621094</v>
      </c>
      <c r="F3958">
        <v>421.6499938964844</v>
      </c>
      <c r="G3958">
        <v>391.8290405273438</v>
      </c>
      <c r="H3958">
        <v>48436300</v>
      </c>
      <c r="I3958" t="s">
        <v>637</v>
      </c>
      <c r="J3958" t="s">
        <v>638</v>
      </c>
      <c r="K3958" t="s">
        <v>7557</v>
      </c>
    </row>
    <row r="3959" spans="1:11" ht="20" customHeight="1">
      <c r="A3959" t="s">
        <v>7556</v>
      </c>
      <c r="B3959" t="s">
        <v>639</v>
      </c>
      <c r="C3959">
        <v>422.9599914550781</v>
      </c>
      <c r="D3959">
        <v>424.6300048828125</v>
      </c>
      <c r="E3959">
        <v>421.5499877929688</v>
      </c>
      <c r="F3959">
        <v>423.6099853515625</v>
      </c>
      <c r="G3959">
        <v>393.6503601074219</v>
      </c>
      <c r="H3959">
        <v>51020100</v>
      </c>
      <c r="I3959" t="s">
        <v>640</v>
      </c>
      <c r="J3959" t="s">
        <v>641</v>
      </c>
      <c r="K3959" t="s">
        <v>7557</v>
      </c>
    </row>
    <row r="3960" spans="1:11" ht="20" customHeight="1">
      <c r="A3960" t="s">
        <v>7556</v>
      </c>
      <c r="B3960" t="s">
        <v>642</v>
      </c>
      <c r="C3960">
        <v>424.2000122070312</v>
      </c>
      <c r="D3960">
        <v>424.4299926757812</v>
      </c>
      <c r="E3960">
        <v>422.8200073242188</v>
      </c>
      <c r="F3960">
        <v>424.3099975585938</v>
      </c>
      <c r="G3960">
        <v>394.3008117675781</v>
      </c>
      <c r="H3960">
        <v>45570800</v>
      </c>
      <c r="I3960" t="s">
        <v>643</v>
      </c>
      <c r="J3960" t="s">
        <v>644</v>
      </c>
      <c r="K3960" t="s">
        <v>7557</v>
      </c>
    </row>
    <row r="3961" spans="1:11" ht="20" customHeight="1">
      <c r="A3961" t="s">
        <v>7556</v>
      </c>
      <c r="B3961" t="s">
        <v>645</v>
      </c>
      <c r="C3961">
        <v>424.4299926757812</v>
      </c>
      <c r="D3961">
        <v>425.3699951171875</v>
      </c>
      <c r="E3961">
        <v>423.1000061035156</v>
      </c>
      <c r="F3961">
        <v>425.260009765625</v>
      </c>
      <c r="G3961">
        <v>395.1837158203125</v>
      </c>
      <c r="H3961">
        <v>42358500</v>
      </c>
      <c r="I3961" t="s">
        <v>646</v>
      </c>
      <c r="J3961" t="s">
        <v>647</v>
      </c>
      <c r="K3961" t="s">
        <v>7557</v>
      </c>
    </row>
    <row r="3962" spans="1:11" ht="20" customHeight="1">
      <c r="A3962" t="s">
        <v>7556</v>
      </c>
      <c r="B3962" t="s">
        <v>648</v>
      </c>
      <c r="C3962">
        <v>425.4200134277344</v>
      </c>
      <c r="D3962">
        <v>425.4599914550781</v>
      </c>
      <c r="E3962">
        <v>423.5400085449219</v>
      </c>
      <c r="F3962">
        <v>424.4800109863281</v>
      </c>
      <c r="G3962">
        <v>394.4588012695312</v>
      </c>
      <c r="H3962">
        <v>51508500</v>
      </c>
      <c r="I3962" t="s">
        <v>649</v>
      </c>
      <c r="J3962" t="s">
        <v>650</v>
      </c>
      <c r="K3962" t="s">
        <v>7557</v>
      </c>
    </row>
    <row r="3963" spans="1:11" ht="20" customHeight="1">
      <c r="A3963" t="s">
        <v>7556</v>
      </c>
      <c r="B3963" t="s">
        <v>651</v>
      </c>
      <c r="C3963">
        <v>424.6300048828125</v>
      </c>
      <c r="D3963">
        <v>424.8699951171875</v>
      </c>
      <c r="E3963">
        <v>419.9200134277344</v>
      </c>
      <c r="F3963">
        <v>422.1099853515625</v>
      </c>
      <c r="G3963">
        <v>392.2565002441406</v>
      </c>
      <c r="H3963">
        <v>80386100</v>
      </c>
      <c r="I3963" t="s">
        <v>652</v>
      </c>
      <c r="J3963" t="s">
        <v>653</v>
      </c>
      <c r="K3963" t="s">
        <v>7557</v>
      </c>
    </row>
    <row r="3964" spans="1:11" ht="20" customHeight="1">
      <c r="A3964" t="s">
        <v>7556</v>
      </c>
      <c r="B3964" t="s">
        <v>654</v>
      </c>
      <c r="C3964">
        <v>421.6700134277344</v>
      </c>
      <c r="D3964">
        <v>423.0199890136719</v>
      </c>
      <c r="E3964">
        <v>419.3200073242188</v>
      </c>
      <c r="F3964">
        <v>421.9700012207031</v>
      </c>
      <c r="G3964">
        <v>392.1264038085938</v>
      </c>
      <c r="H3964">
        <v>90949700</v>
      </c>
      <c r="I3964" t="s">
        <v>655</v>
      </c>
      <c r="J3964" t="s">
        <v>656</v>
      </c>
      <c r="K3964" t="s">
        <v>7557</v>
      </c>
    </row>
    <row r="3965" spans="1:11" ht="20" customHeight="1">
      <c r="A3965" t="s">
        <v>7556</v>
      </c>
      <c r="B3965" t="s">
        <v>657</v>
      </c>
      <c r="C3965">
        <v>417.0899963378906</v>
      </c>
      <c r="D3965">
        <v>417.8299865722656</v>
      </c>
      <c r="E3965">
        <v>414.7000122070312</v>
      </c>
      <c r="F3965">
        <v>414.9200134277344</v>
      </c>
      <c r="G3965">
        <v>386.8363952636719</v>
      </c>
      <c r="H3965">
        <v>118676300</v>
      </c>
      <c r="I3965" t="s">
        <v>658</v>
      </c>
      <c r="J3965" t="s">
        <v>659</v>
      </c>
      <c r="K3965" t="s">
        <v>7557</v>
      </c>
    </row>
    <row r="3966" spans="1:11" ht="20" customHeight="1">
      <c r="A3966" t="s">
        <v>7556</v>
      </c>
      <c r="B3966" t="s">
        <v>660</v>
      </c>
      <c r="C3966">
        <v>416.7999877929688</v>
      </c>
      <c r="D3966">
        <v>421.0599975585938</v>
      </c>
      <c r="E3966">
        <v>415.9299926757812</v>
      </c>
      <c r="F3966">
        <v>420.8599853515625</v>
      </c>
      <c r="G3966">
        <v>392.3743896484375</v>
      </c>
      <c r="H3966">
        <v>72822000</v>
      </c>
      <c r="I3966" t="s">
        <v>661</v>
      </c>
      <c r="J3966" t="s">
        <v>662</v>
      </c>
      <c r="K3966" t="s">
        <v>7557</v>
      </c>
    </row>
    <row r="3967" spans="1:11" ht="20" customHeight="1">
      <c r="A3967" t="s">
        <v>7556</v>
      </c>
      <c r="B3967" t="s">
        <v>663</v>
      </c>
      <c r="C3967">
        <v>420.8500061035156</v>
      </c>
      <c r="D3967">
        <v>424</v>
      </c>
      <c r="E3967">
        <v>420.0799865722656</v>
      </c>
      <c r="F3967">
        <v>423.1099853515625</v>
      </c>
      <c r="G3967">
        <v>394.4720764160156</v>
      </c>
      <c r="H3967">
        <v>57700300</v>
      </c>
      <c r="I3967" t="s">
        <v>664</v>
      </c>
      <c r="J3967" t="s">
        <v>665</v>
      </c>
      <c r="K3967" t="s">
        <v>7557</v>
      </c>
    </row>
    <row r="3968" spans="1:11" ht="20" customHeight="1">
      <c r="A3968" t="s">
        <v>7556</v>
      </c>
      <c r="B3968" t="s">
        <v>666</v>
      </c>
      <c r="C3968">
        <v>423.1900024414062</v>
      </c>
      <c r="D3968">
        <v>424.0499877929688</v>
      </c>
      <c r="E3968">
        <v>422.510009765625</v>
      </c>
      <c r="F3968">
        <v>422.6000061035156</v>
      </c>
      <c r="G3968">
        <v>393.99658203125</v>
      </c>
      <c r="H3968">
        <v>49445400</v>
      </c>
      <c r="I3968" t="s">
        <v>667</v>
      </c>
      <c r="J3968" t="s">
        <v>668</v>
      </c>
      <c r="K3968" t="s">
        <v>7557</v>
      </c>
    </row>
    <row r="3969" spans="1:11" ht="20" customHeight="1">
      <c r="A3969" t="s">
        <v>7556</v>
      </c>
      <c r="B3969" t="s">
        <v>669</v>
      </c>
      <c r="C3969">
        <v>424.8900146484375</v>
      </c>
      <c r="D3969">
        <v>425.5499877929688</v>
      </c>
      <c r="E3969">
        <v>424.6199951171875</v>
      </c>
      <c r="F3969">
        <v>425.1000061035156</v>
      </c>
      <c r="G3969">
        <v>396.3273620605469</v>
      </c>
      <c r="H3969">
        <v>45110300</v>
      </c>
      <c r="I3969" t="s">
        <v>670</v>
      </c>
      <c r="J3969" t="s">
        <v>671</v>
      </c>
      <c r="K3969" t="s">
        <v>7557</v>
      </c>
    </row>
    <row r="3970" spans="1:11" ht="20" customHeight="1">
      <c r="A3970" t="s">
        <v>7556</v>
      </c>
      <c r="B3970" t="s">
        <v>672</v>
      </c>
      <c r="C3970">
        <v>425.8999938964844</v>
      </c>
      <c r="D3970">
        <v>427.0899963378906</v>
      </c>
      <c r="E3970">
        <v>425.5499877929688</v>
      </c>
      <c r="F3970">
        <v>426.6099853515625</v>
      </c>
      <c r="G3970">
        <v>397.7351379394531</v>
      </c>
      <c r="H3970">
        <v>58129500</v>
      </c>
      <c r="I3970" t="s">
        <v>673</v>
      </c>
      <c r="J3970" t="s">
        <v>674</v>
      </c>
      <c r="K3970" t="s">
        <v>7557</v>
      </c>
    </row>
    <row r="3971" spans="1:11" ht="20" customHeight="1">
      <c r="A3971" t="s">
        <v>7556</v>
      </c>
      <c r="B3971" t="s">
        <v>675</v>
      </c>
      <c r="C3971">
        <v>427.1700134277344</v>
      </c>
      <c r="D3971">
        <v>427.6499938964844</v>
      </c>
      <c r="E3971">
        <v>425.8900146484375</v>
      </c>
      <c r="F3971">
        <v>427.4700012207031</v>
      </c>
      <c r="G3971">
        <v>398.5369873046875</v>
      </c>
      <c r="H3971">
        <v>53159600</v>
      </c>
      <c r="I3971" t="s">
        <v>676</v>
      </c>
      <c r="J3971" t="s">
        <v>677</v>
      </c>
      <c r="K3971" t="s">
        <v>7557</v>
      </c>
    </row>
    <row r="3972" spans="1:11" ht="20" customHeight="1">
      <c r="A3972" t="s">
        <v>7556</v>
      </c>
      <c r="B3972" t="s">
        <v>678</v>
      </c>
      <c r="C3972">
        <v>427.8800048828125</v>
      </c>
      <c r="D3972">
        <v>428.5599975585938</v>
      </c>
      <c r="E3972">
        <v>427.1300048828125</v>
      </c>
      <c r="F3972">
        <v>427.7000122070312</v>
      </c>
      <c r="G3972">
        <v>398.7514038085938</v>
      </c>
      <c r="H3972">
        <v>35970500</v>
      </c>
      <c r="I3972" t="s">
        <v>679</v>
      </c>
      <c r="J3972" t="s">
        <v>680</v>
      </c>
      <c r="K3972" t="s">
        <v>7557</v>
      </c>
    </row>
    <row r="3973" spans="1:11" ht="20" customHeight="1">
      <c r="A3973" t="s">
        <v>7556</v>
      </c>
      <c r="B3973" t="s">
        <v>681</v>
      </c>
      <c r="C3973">
        <v>427.2099914550781</v>
      </c>
      <c r="D3973">
        <v>428.7799987792969</v>
      </c>
      <c r="E3973">
        <v>427.1799926757812</v>
      </c>
      <c r="F3973">
        <v>428.0599975585938</v>
      </c>
      <c r="G3973">
        <v>399.0869445800781</v>
      </c>
      <c r="H3973">
        <v>64827900</v>
      </c>
      <c r="I3973" t="s">
        <v>682</v>
      </c>
      <c r="J3973" t="s">
        <v>683</v>
      </c>
      <c r="K3973" t="s">
        <v>7557</v>
      </c>
    </row>
    <row r="3974" spans="1:11" ht="20" customHeight="1">
      <c r="A3974" t="s">
        <v>7556</v>
      </c>
      <c r="B3974" t="s">
        <v>684</v>
      </c>
      <c r="C3974">
        <v>428.8699951171875</v>
      </c>
      <c r="D3974">
        <v>430.6000061035156</v>
      </c>
      <c r="E3974">
        <v>428.7999877929688</v>
      </c>
      <c r="F3974">
        <v>430.4299926757812</v>
      </c>
      <c r="G3974">
        <v>401.2965698242188</v>
      </c>
      <c r="H3974">
        <v>53441000</v>
      </c>
      <c r="I3974" t="s">
        <v>685</v>
      </c>
      <c r="J3974" t="s">
        <v>686</v>
      </c>
      <c r="K3974" t="s">
        <v>7557</v>
      </c>
    </row>
    <row r="3975" spans="1:11" ht="20" customHeight="1">
      <c r="A3975" t="s">
        <v>7556</v>
      </c>
      <c r="B3975" t="s">
        <v>687</v>
      </c>
      <c r="C3975">
        <v>431.6700134277344</v>
      </c>
      <c r="D3975">
        <v>434.1000061035156</v>
      </c>
      <c r="E3975">
        <v>430.5199890136719</v>
      </c>
      <c r="F3975">
        <v>433.7200012207031</v>
      </c>
      <c r="G3975">
        <v>404.3638610839844</v>
      </c>
      <c r="H3975">
        <v>57697700</v>
      </c>
      <c r="I3975" t="s">
        <v>688</v>
      </c>
      <c r="J3975" t="s">
        <v>689</v>
      </c>
      <c r="K3975" t="s">
        <v>7557</v>
      </c>
    </row>
    <row r="3976" spans="1:11" ht="20" customHeight="1">
      <c r="A3976" t="s">
        <v>7556</v>
      </c>
      <c r="B3976" t="s">
        <v>690</v>
      </c>
      <c r="C3976">
        <v>433.7799987792969</v>
      </c>
      <c r="D3976">
        <v>434.010009765625</v>
      </c>
      <c r="E3976">
        <v>430.010009765625</v>
      </c>
      <c r="F3976">
        <v>432.9299926757812</v>
      </c>
      <c r="G3976">
        <v>403.6274108886719</v>
      </c>
      <c r="H3976">
        <v>68710400</v>
      </c>
      <c r="I3976" t="s">
        <v>691</v>
      </c>
      <c r="J3976" t="s">
        <v>692</v>
      </c>
      <c r="K3976" t="s">
        <v>7557</v>
      </c>
    </row>
    <row r="3977" spans="1:11" ht="20" customHeight="1">
      <c r="A3977" t="s">
        <v>7556</v>
      </c>
      <c r="B3977" t="s">
        <v>693</v>
      </c>
      <c r="C3977">
        <v>433.6600036621094</v>
      </c>
      <c r="D3977">
        <v>434.760009765625</v>
      </c>
      <c r="E3977">
        <v>431.510009765625</v>
      </c>
      <c r="F3977">
        <v>434.4599914550781</v>
      </c>
      <c r="G3977">
        <v>405.0538024902344</v>
      </c>
      <c r="H3977">
        <v>63549500</v>
      </c>
      <c r="I3977" t="s">
        <v>694</v>
      </c>
      <c r="J3977" t="s">
        <v>695</v>
      </c>
      <c r="K3977" t="s">
        <v>7557</v>
      </c>
    </row>
    <row r="3978" spans="1:11" ht="20" customHeight="1">
      <c r="A3978" t="s">
        <v>7556</v>
      </c>
      <c r="B3978" t="s">
        <v>696</v>
      </c>
      <c r="C3978">
        <v>428.7799987792969</v>
      </c>
      <c r="D3978">
        <v>431.7300109863281</v>
      </c>
      <c r="E3978">
        <v>427.5199890136719</v>
      </c>
      <c r="F3978">
        <v>430.9200134277344</v>
      </c>
      <c r="G3978">
        <v>401.7535095214844</v>
      </c>
      <c r="H3978">
        <v>97595200</v>
      </c>
      <c r="I3978" t="s">
        <v>697</v>
      </c>
      <c r="J3978" t="s">
        <v>698</v>
      </c>
      <c r="K3978" t="s">
        <v>7557</v>
      </c>
    </row>
    <row r="3979" spans="1:11" ht="20" customHeight="1">
      <c r="A3979" t="s">
        <v>7556</v>
      </c>
      <c r="B3979" t="s">
        <v>699</v>
      </c>
      <c r="C3979">
        <v>432.5299987792969</v>
      </c>
      <c r="D3979">
        <v>435.8399963378906</v>
      </c>
      <c r="E3979">
        <v>430.7099914550781</v>
      </c>
      <c r="F3979">
        <v>435.5199890136719</v>
      </c>
      <c r="G3979">
        <v>406.0420532226562</v>
      </c>
      <c r="H3979">
        <v>76238600</v>
      </c>
      <c r="I3979" t="s">
        <v>700</v>
      </c>
      <c r="J3979" t="s">
        <v>701</v>
      </c>
      <c r="K3979" t="s">
        <v>7557</v>
      </c>
    </row>
    <row r="3980" spans="1:11" ht="20" customHeight="1">
      <c r="A3980" t="s">
        <v>7556</v>
      </c>
      <c r="B3980" t="s">
        <v>702</v>
      </c>
      <c r="C3980">
        <v>435.4299926757812</v>
      </c>
      <c r="D3980">
        <v>437.3500061035156</v>
      </c>
      <c r="E3980">
        <v>434.9700012207031</v>
      </c>
      <c r="F3980">
        <v>437.0799865722656</v>
      </c>
      <c r="G3980">
        <v>407.4965515136719</v>
      </c>
      <c r="H3980">
        <v>52889600</v>
      </c>
      <c r="I3980" t="s">
        <v>703</v>
      </c>
      <c r="J3980" t="s">
        <v>704</v>
      </c>
      <c r="K3980" t="s">
        <v>7557</v>
      </c>
    </row>
    <row r="3981" spans="1:11" ht="20" customHeight="1">
      <c r="A3981" t="s">
        <v>7556</v>
      </c>
      <c r="B3981" t="s">
        <v>705</v>
      </c>
      <c r="C3981">
        <v>436.239990234375</v>
      </c>
      <c r="D3981">
        <v>437.8399963378906</v>
      </c>
      <c r="E3981">
        <v>435.3099975585938</v>
      </c>
      <c r="F3981">
        <v>435.5899963378906</v>
      </c>
      <c r="G3981">
        <v>406.1073913574219</v>
      </c>
      <c r="H3981">
        <v>52911300</v>
      </c>
      <c r="I3981" t="s">
        <v>706</v>
      </c>
      <c r="J3981" t="s">
        <v>707</v>
      </c>
      <c r="K3981" t="s">
        <v>7557</v>
      </c>
    </row>
    <row r="3982" spans="1:11" ht="20" customHeight="1">
      <c r="A3982" t="s">
        <v>7556</v>
      </c>
      <c r="B3982" t="s">
        <v>708</v>
      </c>
      <c r="C3982">
        <v>437.3999938964844</v>
      </c>
      <c r="D3982">
        <v>437.9200134277344</v>
      </c>
      <c r="E3982">
        <v>434.9100036621094</v>
      </c>
      <c r="F3982">
        <v>436.239990234375</v>
      </c>
      <c r="G3982">
        <v>406.7133483886719</v>
      </c>
      <c r="H3982">
        <v>64130400</v>
      </c>
      <c r="I3982" t="s">
        <v>709</v>
      </c>
      <c r="J3982" t="s">
        <v>710</v>
      </c>
      <c r="K3982" t="s">
        <v>7557</v>
      </c>
    </row>
    <row r="3983" spans="1:11" ht="20" customHeight="1">
      <c r="A3983" t="s">
        <v>7556</v>
      </c>
      <c r="B3983" t="s">
        <v>711</v>
      </c>
      <c r="C3983">
        <v>434.8099975585938</v>
      </c>
      <c r="D3983">
        <v>435.5299987792969</v>
      </c>
      <c r="E3983">
        <v>432.7200012207031</v>
      </c>
      <c r="F3983">
        <v>434.75</v>
      </c>
      <c r="G3983">
        <v>405.32421875</v>
      </c>
      <c r="H3983">
        <v>55126400</v>
      </c>
      <c r="I3983" t="s">
        <v>712</v>
      </c>
      <c r="J3983" t="s">
        <v>713</v>
      </c>
      <c r="K3983" t="s">
        <v>7557</v>
      </c>
    </row>
    <row r="3984" spans="1:11" ht="20" customHeight="1">
      <c r="A3984" t="s">
        <v>7556</v>
      </c>
      <c r="B3984" t="s">
        <v>714</v>
      </c>
      <c r="C3984">
        <v>436.010009765625</v>
      </c>
      <c r="D3984">
        <v>436.0599975585938</v>
      </c>
      <c r="E3984">
        <v>430.9200134277344</v>
      </c>
      <c r="F3984">
        <v>431.3399963378906</v>
      </c>
      <c r="G3984">
        <v>402.14501953125</v>
      </c>
      <c r="H3984">
        <v>75874700</v>
      </c>
      <c r="I3984" t="s">
        <v>715</v>
      </c>
      <c r="J3984" t="s">
        <v>716</v>
      </c>
      <c r="K3984" t="s">
        <v>7557</v>
      </c>
    </row>
    <row r="3985" spans="1:11" ht="20" customHeight="1">
      <c r="A3985" t="s">
        <v>7556</v>
      </c>
      <c r="B3985" t="s">
        <v>717</v>
      </c>
      <c r="C3985">
        <v>426.1900024414062</v>
      </c>
      <c r="D3985">
        <v>431.4100036621094</v>
      </c>
      <c r="E3985">
        <v>421.9700012207031</v>
      </c>
      <c r="F3985">
        <v>424.9700012207031</v>
      </c>
      <c r="G3985">
        <v>396.2061157226562</v>
      </c>
      <c r="H3985">
        <v>147987000</v>
      </c>
      <c r="I3985" t="s">
        <v>718</v>
      </c>
      <c r="J3985" t="s">
        <v>719</v>
      </c>
      <c r="K3985" t="s">
        <v>7557</v>
      </c>
    </row>
    <row r="3986" spans="1:11" ht="20" customHeight="1">
      <c r="A3986" t="s">
        <v>7556</v>
      </c>
      <c r="B3986" t="s">
        <v>720</v>
      </c>
      <c r="C3986">
        <v>425.6799926757812</v>
      </c>
      <c r="D3986">
        <v>432.4200134277344</v>
      </c>
      <c r="E3986">
        <v>424.8299865722656</v>
      </c>
      <c r="F3986">
        <v>431.0599975585938</v>
      </c>
      <c r="G3986">
        <v>401.8839721679688</v>
      </c>
      <c r="H3986">
        <v>99608200</v>
      </c>
      <c r="I3986" t="s">
        <v>721</v>
      </c>
      <c r="J3986" t="s">
        <v>722</v>
      </c>
      <c r="K3986" t="s">
        <v>7557</v>
      </c>
    </row>
    <row r="3987" spans="1:11" ht="20" customHeight="1">
      <c r="A3987" t="s">
        <v>7556</v>
      </c>
      <c r="B3987" t="s">
        <v>723</v>
      </c>
      <c r="C3987">
        <v>432.3399963378906</v>
      </c>
      <c r="D3987">
        <v>434.7000122070312</v>
      </c>
      <c r="E3987">
        <v>431.010009765625</v>
      </c>
      <c r="F3987">
        <v>434.5499877929688</v>
      </c>
      <c r="G3987">
        <v>405.1376953125</v>
      </c>
      <c r="H3987">
        <v>64724400</v>
      </c>
      <c r="I3987" t="s">
        <v>724</v>
      </c>
      <c r="J3987" t="s">
        <v>725</v>
      </c>
      <c r="K3987" t="s">
        <v>7557</v>
      </c>
    </row>
    <row r="3988" spans="1:11" ht="20" customHeight="1">
      <c r="A3988" t="s">
        <v>7556</v>
      </c>
      <c r="B3988" t="s">
        <v>726</v>
      </c>
      <c r="C3988">
        <v>434.739990234375</v>
      </c>
      <c r="D3988">
        <v>435.7200012207031</v>
      </c>
      <c r="E3988">
        <v>433.6900024414062</v>
      </c>
      <c r="F3988">
        <v>435.4599914550781</v>
      </c>
      <c r="G3988">
        <v>405.986083984375</v>
      </c>
      <c r="H3988">
        <v>47878500</v>
      </c>
      <c r="I3988" t="s">
        <v>727</v>
      </c>
      <c r="J3988" t="s">
        <v>728</v>
      </c>
      <c r="K3988" t="s">
        <v>7557</v>
      </c>
    </row>
    <row r="3989" spans="1:11" ht="20" customHeight="1">
      <c r="A3989" t="s">
        <v>7556</v>
      </c>
      <c r="B3989" t="s">
        <v>729</v>
      </c>
      <c r="C3989">
        <v>437.5199890136719</v>
      </c>
      <c r="D3989">
        <v>440.2999877929688</v>
      </c>
      <c r="E3989">
        <v>436.7900085449219</v>
      </c>
      <c r="F3989">
        <v>439.9400024414062</v>
      </c>
      <c r="G3989">
        <v>410.1629943847656</v>
      </c>
      <c r="H3989">
        <v>63766600</v>
      </c>
      <c r="I3989" t="s">
        <v>730</v>
      </c>
      <c r="J3989" t="s">
        <v>731</v>
      </c>
      <c r="K3989" t="s">
        <v>7557</v>
      </c>
    </row>
    <row r="3990" spans="1:11" ht="20" customHeight="1">
      <c r="A3990" t="s">
        <v>7556</v>
      </c>
      <c r="B3990" t="s">
        <v>732</v>
      </c>
      <c r="C3990">
        <v>439.3099975585938</v>
      </c>
      <c r="D3990">
        <v>441.0299987792969</v>
      </c>
      <c r="E3990">
        <v>439.260009765625</v>
      </c>
      <c r="F3990">
        <v>441.0199890136719</v>
      </c>
      <c r="G3990">
        <v>411.1698303222656</v>
      </c>
      <c r="H3990">
        <v>43719200</v>
      </c>
      <c r="I3990" t="s">
        <v>733</v>
      </c>
      <c r="J3990" t="s">
        <v>734</v>
      </c>
      <c r="K3990" t="s">
        <v>7557</v>
      </c>
    </row>
    <row r="3991" spans="1:11" ht="20" customHeight="1">
      <c r="A3991" t="s">
        <v>7556</v>
      </c>
      <c r="B3991" t="s">
        <v>735</v>
      </c>
      <c r="C3991">
        <v>439.9100036621094</v>
      </c>
      <c r="D3991">
        <v>439.9400024414062</v>
      </c>
      <c r="E3991">
        <v>435.989990234375</v>
      </c>
      <c r="F3991">
        <v>439.010009765625</v>
      </c>
      <c r="G3991">
        <v>409.2959289550781</v>
      </c>
      <c r="H3991">
        <v>67397100</v>
      </c>
      <c r="I3991" t="s">
        <v>736</v>
      </c>
      <c r="J3991" t="s">
        <v>737</v>
      </c>
      <c r="K3991" t="s">
        <v>7557</v>
      </c>
    </row>
    <row r="3992" spans="1:11" ht="20" customHeight="1">
      <c r="A3992" t="s">
        <v>7556</v>
      </c>
      <c r="B3992" t="s">
        <v>738</v>
      </c>
      <c r="C3992">
        <v>439.6799926757812</v>
      </c>
      <c r="D3992">
        <v>440.2999877929688</v>
      </c>
      <c r="E3992">
        <v>437.3099975585938</v>
      </c>
      <c r="F3992">
        <v>438.8299865722656</v>
      </c>
      <c r="G3992">
        <v>409.1279907226562</v>
      </c>
      <c r="H3992">
        <v>52472400</v>
      </c>
      <c r="I3992" t="s">
        <v>739</v>
      </c>
      <c r="J3992" t="s">
        <v>740</v>
      </c>
      <c r="K3992" t="s">
        <v>7557</v>
      </c>
    </row>
    <row r="3993" spans="1:11" ht="20" customHeight="1">
      <c r="A3993" t="s">
        <v>7556</v>
      </c>
      <c r="B3993" t="s">
        <v>741</v>
      </c>
      <c r="C3993">
        <v>439.8200073242188</v>
      </c>
      <c r="D3993">
        <v>441.7999877929688</v>
      </c>
      <c r="E3993">
        <v>439.8099975585938</v>
      </c>
      <c r="F3993">
        <v>440.6499938964844</v>
      </c>
      <c r="G3993">
        <v>410.8248291015625</v>
      </c>
      <c r="H3993">
        <v>47435300</v>
      </c>
      <c r="I3993" t="s">
        <v>742</v>
      </c>
      <c r="J3993" t="s">
        <v>743</v>
      </c>
      <c r="K3993" t="s">
        <v>7557</v>
      </c>
    </row>
    <row r="3994" spans="1:11" ht="20" customHeight="1">
      <c r="A3994" t="s">
        <v>7556</v>
      </c>
      <c r="B3994" t="s">
        <v>744</v>
      </c>
      <c r="C3994">
        <v>437.9100036621094</v>
      </c>
      <c r="D3994">
        <v>440.0599975585938</v>
      </c>
      <c r="E3994">
        <v>437.7699890136719</v>
      </c>
      <c r="F3994">
        <v>438.510009765625</v>
      </c>
      <c r="G3994">
        <v>408.8297424316406</v>
      </c>
      <c r="H3994">
        <v>68951200</v>
      </c>
      <c r="I3994" t="s">
        <v>745</v>
      </c>
      <c r="J3994" t="s">
        <v>746</v>
      </c>
      <c r="K3994" t="s">
        <v>7557</v>
      </c>
    </row>
    <row r="3995" spans="1:11" ht="20" customHeight="1">
      <c r="A3995" t="s">
        <v>7556</v>
      </c>
      <c r="B3995" t="s">
        <v>747</v>
      </c>
      <c r="C3995">
        <v>440.3399963378906</v>
      </c>
      <c r="D3995">
        <v>440.9299926757812</v>
      </c>
      <c r="E3995">
        <v>437.2099914550781</v>
      </c>
      <c r="F3995">
        <v>437.5899963378906</v>
      </c>
      <c r="G3995">
        <v>407.9719848632812</v>
      </c>
      <c r="H3995">
        <v>58783300</v>
      </c>
      <c r="I3995" t="s">
        <v>748</v>
      </c>
      <c r="J3995" t="s">
        <v>749</v>
      </c>
      <c r="K3995" t="s">
        <v>7557</v>
      </c>
    </row>
    <row r="3996" spans="1:11" ht="20" customHeight="1">
      <c r="A3996" t="s">
        <v>7556</v>
      </c>
      <c r="B3996" t="s">
        <v>750</v>
      </c>
      <c r="C3996">
        <v>438.4400024414062</v>
      </c>
      <c r="D3996">
        <v>441.2799987792969</v>
      </c>
      <c r="E3996">
        <v>436.1000061035156</v>
      </c>
      <c r="F3996">
        <v>441.1499938964844</v>
      </c>
      <c r="G3996">
        <v>411.2910766601562</v>
      </c>
      <c r="H3996">
        <v>58053900</v>
      </c>
      <c r="I3996" t="s">
        <v>751</v>
      </c>
      <c r="J3996" t="s">
        <v>752</v>
      </c>
      <c r="K3996" t="s">
        <v>7557</v>
      </c>
    </row>
    <row r="3997" spans="1:11" ht="20" customHeight="1">
      <c r="A3997" t="s">
        <v>7556</v>
      </c>
      <c r="B3997" t="s">
        <v>753</v>
      </c>
      <c r="C3997">
        <v>439.7799987792969</v>
      </c>
      <c r="D3997">
        <v>441.1199951171875</v>
      </c>
      <c r="E3997">
        <v>438.7300109863281</v>
      </c>
      <c r="F3997">
        <v>438.9800109863281</v>
      </c>
      <c r="G3997">
        <v>409.2679138183594</v>
      </c>
      <c r="H3997">
        <v>46732200</v>
      </c>
      <c r="I3997" t="s">
        <v>754</v>
      </c>
      <c r="J3997" t="s">
        <v>755</v>
      </c>
      <c r="K3997" t="s">
        <v>7557</v>
      </c>
    </row>
    <row r="3998" spans="1:11" ht="20" customHeight="1">
      <c r="A3998" t="s">
        <v>7556</v>
      </c>
      <c r="B3998" t="s">
        <v>756</v>
      </c>
      <c r="C3998">
        <v>440.2200012207031</v>
      </c>
      <c r="D3998">
        <v>441.8500061035156</v>
      </c>
      <c r="E3998">
        <v>439.8800048828125</v>
      </c>
      <c r="F3998">
        <v>441.760009765625</v>
      </c>
      <c r="G3998">
        <v>411.8597717285156</v>
      </c>
      <c r="H3998">
        <v>38969700</v>
      </c>
      <c r="I3998" t="s">
        <v>757</v>
      </c>
      <c r="J3998" t="s">
        <v>758</v>
      </c>
      <c r="K3998" t="s">
        <v>7557</v>
      </c>
    </row>
    <row r="3999" spans="1:11" ht="20" customHeight="1">
      <c r="A3999" t="s">
        <v>7556</v>
      </c>
      <c r="B3999" t="s">
        <v>759</v>
      </c>
      <c r="C3999">
        <v>442.1000061035156</v>
      </c>
      <c r="D3999">
        <v>442.9400024414062</v>
      </c>
      <c r="E3999">
        <v>441.7999877929688</v>
      </c>
      <c r="F3999">
        <v>442.489990234375</v>
      </c>
      <c r="G3999">
        <v>412.540283203125</v>
      </c>
      <c r="H3999">
        <v>46930000</v>
      </c>
      <c r="I3999" t="s">
        <v>760</v>
      </c>
      <c r="J3999" t="s">
        <v>761</v>
      </c>
      <c r="K3999" t="s">
        <v>7557</v>
      </c>
    </row>
    <row r="4000" spans="1:11" ht="20" customHeight="1">
      <c r="A4000" t="s">
        <v>7556</v>
      </c>
      <c r="B4000" t="s">
        <v>762</v>
      </c>
      <c r="C4000">
        <v>442.4599914550781</v>
      </c>
      <c r="D4000">
        <v>442.7999877929688</v>
      </c>
      <c r="E4000">
        <v>441.3099975585938</v>
      </c>
      <c r="F4000">
        <v>442.1300048828125</v>
      </c>
      <c r="G4000">
        <v>412.2047424316406</v>
      </c>
      <c r="H4000">
        <v>41222600</v>
      </c>
      <c r="I4000" t="s">
        <v>763</v>
      </c>
      <c r="J4000" t="s">
        <v>764</v>
      </c>
      <c r="K4000" t="s">
        <v>7557</v>
      </c>
    </row>
    <row r="4001" spans="1:11" ht="20" customHeight="1">
      <c r="A4001" t="s">
        <v>7556</v>
      </c>
      <c r="B4001" t="s">
        <v>765</v>
      </c>
      <c r="C4001">
        <v>442.6099853515625</v>
      </c>
      <c r="D4001">
        <v>443.4400024414062</v>
      </c>
      <c r="E4001">
        <v>441.8800048828125</v>
      </c>
      <c r="F4001">
        <v>442.6799926757812</v>
      </c>
      <c r="G4001">
        <v>412.7174682617188</v>
      </c>
      <c r="H4001">
        <v>43339300</v>
      </c>
      <c r="I4001" t="s">
        <v>766</v>
      </c>
      <c r="J4001" t="s">
        <v>767</v>
      </c>
      <c r="K4001" t="s">
        <v>7557</v>
      </c>
    </row>
    <row r="4002" spans="1:11" ht="20" customHeight="1">
      <c r="A4002" t="s">
        <v>7556</v>
      </c>
      <c r="B4002" t="s">
        <v>768</v>
      </c>
      <c r="C4002">
        <v>443.8200073242188</v>
      </c>
      <c r="D4002">
        <v>443.8800048828125</v>
      </c>
      <c r="E4002">
        <v>442.6199951171875</v>
      </c>
      <c r="F4002">
        <v>443.7799987792969</v>
      </c>
      <c r="G4002">
        <v>413.7430419921875</v>
      </c>
      <c r="H4002">
        <v>44034300</v>
      </c>
      <c r="I4002" t="s">
        <v>769</v>
      </c>
      <c r="J4002" t="s">
        <v>770</v>
      </c>
      <c r="K4002" t="s">
        <v>7557</v>
      </c>
    </row>
    <row r="4003" spans="1:11" ht="20" customHeight="1">
      <c r="A4003" t="s">
        <v>7556</v>
      </c>
      <c r="B4003" t="s">
        <v>771</v>
      </c>
      <c r="C4003">
        <v>443.6199951171875</v>
      </c>
      <c r="D4003">
        <v>445.260009765625</v>
      </c>
      <c r="E4003">
        <v>442.6600036621094</v>
      </c>
      <c r="F4003">
        <v>445.1099853515625</v>
      </c>
      <c r="G4003">
        <v>414.9830017089844</v>
      </c>
      <c r="H4003">
        <v>38909400</v>
      </c>
      <c r="I4003" t="s">
        <v>772</v>
      </c>
      <c r="J4003" t="s">
        <v>773</v>
      </c>
      <c r="K4003" t="s">
        <v>7557</v>
      </c>
    </row>
    <row r="4004" spans="1:11" ht="20" customHeight="1">
      <c r="A4004" t="s">
        <v>7556</v>
      </c>
      <c r="B4004" t="s">
        <v>774</v>
      </c>
      <c r="C4004">
        <v>445.5899963378906</v>
      </c>
      <c r="D4004">
        <v>445.9400024414062</v>
      </c>
      <c r="E4004">
        <v>445.0700073242188</v>
      </c>
      <c r="F4004">
        <v>445.9200134277344</v>
      </c>
      <c r="G4004">
        <v>415.7382202148438</v>
      </c>
      <c r="H4004">
        <v>39470300</v>
      </c>
      <c r="I4004" t="s">
        <v>775</v>
      </c>
      <c r="J4004" t="s">
        <v>776</v>
      </c>
      <c r="K4004" t="s">
        <v>7557</v>
      </c>
    </row>
    <row r="4005" spans="1:11" ht="20" customHeight="1">
      <c r="A4005" t="s">
        <v>7556</v>
      </c>
      <c r="B4005" t="s">
        <v>777</v>
      </c>
      <c r="C4005">
        <v>444.5299987792969</v>
      </c>
      <c r="D4005">
        <v>447.1099853515625</v>
      </c>
      <c r="E4005">
        <v>442.8699951171875</v>
      </c>
      <c r="F4005">
        <v>446.9700012207031</v>
      </c>
      <c r="G4005">
        <v>416.7171020507812</v>
      </c>
      <c r="H4005">
        <v>73740000</v>
      </c>
      <c r="I4005" t="s">
        <v>778</v>
      </c>
      <c r="J4005" t="s">
        <v>779</v>
      </c>
      <c r="K4005" t="s">
        <v>7557</v>
      </c>
    </row>
    <row r="4006" spans="1:11" ht="20" customHeight="1">
      <c r="A4006" t="s">
        <v>7556</v>
      </c>
      <c r="B4006" t="s">
        <v>780</v>
      </c>
      <c r="C4006">
        <v>444.239990234375</v>
      </c>
      <c r="D4006">
        <v>444.9599914550781</v>
      </c>
      <c r="E4006">
        <v>440.8500061035156</v>
      </c>
      <c r="F4006">
        <v>444.0400085449219</v>
      </c>
      <c r="G4006">
        <v>413.9854125976562</v>
      </c>
      <c r="H4006">
        <v>92673900</v>
      </c>
      <c r="I4006" t="s">
        <v>781</v>
      </c>
      <c r="J4006" t="s">
        <v>782</v>
      </c>
      <c r="K4006" t="s">
        <v>7557</v>
      </c>
    </row>
    <row r="4007" spans="1:11" ht="20" customHeight="1">
      <c r="A4007" t="s">
        <v>7556</v>
      </c>
      <c r="B4007" t="s">
        <v>783</v>
      </c>
      <c r="C4007">
        <v>442.9599914550781</v>
      </c>
      <c r="D4007">
        <v>444.6300048828125</v>
      </c>
      <c r="E4007">
        <v>438.9200134277344</v>
      </c>
      <c r="F4007">
        <v>439.1799926757812</v>
      </c>
      <c r="G4007">
        <v>409.4544067382812</v>
      </c>
      <c r="H4007">
        <v>89351900</v>
      </c>
      <c r="I4007" t="s">
        <v>784</v>
      </c>
      <c r="J4007" t="s">
        <v>785</v>
      </c>
      <c r="K4007" t="s">
        <v>7557</v>
      </c>
    </row>
    <row r="4008" spans="1:11" ht="20" customHeight="1">
      <c r="A4008" t="s">
        <v>7556</v>
      </c>
      <c r="B4008" t="s">
        <v>786</v>
      </c>
      <c r="C4008">
        <v>436.2699890136719</v>
      </c>
      <c r="D4008">
        <v>441.1400146484375</v>
      </c>
      <c r="E4008">
        <v>436.1199951171875</v>
      </c>
      <c r="F4008">
        <v>439.8599853515625</v>
      </c>
      <c r="G4008">
        <v>410.0884094238281</v>
      </c>
      <c r="H4008">
        <v>92812200</v>
      </c>
      <c r="I4008" t="s">
        <v>787</v>
      </c>
      <c r="J4008" t="s">
        <v>788</v>
      </c>
      <c r="K4008" t="s">
        <v>7557</v>
      </c>
    </row>
    <row r="4009" spans="1:11" ht="20" customHeight="1">
      <c r="A4009" t="s">
        <v>7556</v>
      </c>
      <c r="B4009" t="s">
        <v>789</v>
      </c>
      <c r="C4009">
        <v>440.2300109863281</v>
      </c>
      <c r="D4009">
        <v>443.7099914550781</v>
      </c>
      <c r="E4009">
        <v>439.7099914550781</v>
      </c>
      <c r="F4009">
        <v>443.3599853515625</v>
      </c>
      <c r="G4009">
        <v>413.3514099121094</v>
      </c>
      <c r="H4009">
        <v>72008700</v>
      </c>
      <c r="I4009" t="s">
        <v>790</v>
      </c>
      <c r="J4009" t="s">
        <v>791</v>
      </c>
      <c r="K4009" t="s">
        <v>7557</v>
      </c>
    </row>
    <row r="4010" spans="1:11" ht="20" customHeight="1">
      <c r="A4010" t="s">
        <v>7556</v>
      </c>
      <c r="B4010" t="s">
        <v>792</v>
      </c>
      <c r="C4010">
        <v>445.1600036621094</v>
      </c>
      <c r="D4010">
        <v>448.2300109863281</v>
      </c>
      <c r="E4010">
        <v>443.4400024414062</v>
      </c>
      <c r="F4010">
        <v>447.260009765625</v>
      </c>
      <c r="G4010">
        <v>416.9874877929688</v>
      </c>
      <c r="H4010">
        <v>54973000</v>
      </c>
      <c r="I4010" t="s">
        <v>793</v>
      </c>
      <c r="J4010" t="s">
        <v>794</v>
      </c>
      <c r="K4010" t="s">
        <v>7557</v>
      </c>
    </row>
    <row r="4011" spans="1:11" ht="20" customHeight="1">
      <c r="A4011" t="s">
        <v>7556</v>
      </c>
      <c r="B4011" t="s">
        <v>795</v>
      </c>
      <c r="C4011">
        <v>447.9700012207031</v>
      </c>
      <c r="D4011">
        <v>448.5400085449219</v>
      </c>
      <c r="E4011">
        <v>447.4200134277344</v>
      </c>
      <c r="F4011">
        <v>447.9700012207031</v>
      </c>
      <c r="G4011">
        <v>417.6494140625</v>
      </c>
      <c r="H4011">
        <v>38744700</v>
      </c>
      <c r="I4011" t="s">
        <v>796</v>
      </c>
      <c r="J4011" t="s">
        <v>797</v>
      </c>
      <c r="K4011" t="s">
        <v>7557</v>
      </c>
    </row>
    <row r="4012" spans="1:11" ht="20" customHeight="1">
      <c r="A4012" t="s">
        <v>7556</v>
      </c>
      <c r="B4012" t="s">
        <v>798</v>
      </c>
      <c r="C4012">
        <v>448.1700134277344</v>
      </c>
      <c r="D4012">
        <v>449.4599914550781</v>
      </c>
      <c r="E4012">
        <v>447.7699890136719</v>
      </c>
      <c r="F4012">
        <v>448.9100036621094</v>
      </c>
      <c r="G4012">
        <v>418.5258483886719</v>
      </c>
      <c r="H4012">
        <v>40529700</v>
      </c>
      <c r="I4012" t="s">
        <v>799</v>
      </c>
      <c r="J4012" t="s">
        <v>800</v>
      </c>
      <c r="K4012" t="s">
        <v>7557</v>
      </c>
    </row>
    <row r="4013" spans="1:11" ht="20" customHeight="1">
      <c r="A4013" t="s">
        <v>7556</v>
      </c>
      <c r="B4013" t="s">
        <v>801</v>
      </c>
      <c r="C4013">
        <v>448.6099853515625</v>
      </c>
      <c r="D4013">
        <v>448.8599853515625</v>
      </c>
      <c r="E4013">
        <v>446.1600036621094</v>
      </c>
      <c r="F4013">
        <v>446.260009765625</v>
      </c>
      <c r="G4013">
        <v>416.05517578125</v>
      </c>
      <c r="H4013">
        <v>57829600</v>
      </c>
      <c r="I4013" t="s">
        <v>802</v>
      </c>
      <c r="J4013" t="s">
        <v>803</v>
      </c>
      <c r="K4013" t="s">
        <v>7557</v>
      </c>
    </row>
    <row r="4014" spans="1:11" ht="20" customHeight="1">
      <c r="A4014" t="s">
        <v>7556</v>
      </c>
      <c r="B4014" t="s">
        <v>804</v>
      </c>
      <c r="C4014">
        <v>447.1199951171875</v>
      </c>
      <c r="D4014">
        <v>450.6499938964844</v>
      </c>
      <c r="E4014">
        <v>447.0599975585938</v>
      </c>
      <c r="F4014">
        <v>450.25</v>
      </c>
      <c r="G4014">
        <v>419.7750549316406</v>
      </c>
      <c r="H4014">
        <v>77235100</v>
      </c>
      <c r="I4014" t="s">
        <v>805</v>
      </c>
      <c r="J4014" t="s">
        <v>806</v>
      </c>
      <c r="K4014" t="s">
        <v>7557</v>
      </c>
    </row>
    <row r="4015" spans="1:11" ht="20" customHeight="1">
      <c r="A4015" t="s">
        <v>7556</v>
      </c>
      <c r="B4015" t="s">
        <v>807</v>
      </c>
      <c r="C4015">
        <v>450.9700012207031</v>
      </c>
      <c r="D4015">
        <v>453.0700073242188</v>
      </c>
      <c r="E4015">
        <v>450.7099914550781</v>
      </c>
      <c r="F4015">
        <v>452.2300109863281</v>
      </c>
      <c r="G4015">
        <v>421.6210632324219</v>
      </c>
      <c r="H4015">
        <v>48357400</v>
      </c>
      <c r="I4015" t="s">
        <v>808</v>
      </c>
      <c r="J4015" t="s">
        <v>809</v>
      </c>
      <c r="K4015" t="s">
        <v>7557</v>
      </c>
    </row>
    <row r="4016" spans="1:11" ht="20" customHeight="1">
      <c r="A4016" t="s">
        <v>7556</v>
      </c>
      <c r="B4016" t="s">
        <v>810</v>
      </c>
      <c r="C4016">
        <v>452.1300048828125</v>
      </c>
      <c r="D4016">
        <v>452.489990234375</v>
      </c>
      <c r="E4016">
        <v>450.9200134277344</v>
      </c>
      <c r="F4016">
        <v>451.5599975585938</v>
      </c>
      <c r="G4016">
        <v>420.9964904785156</v>
      </c>
      <c r="H4016">
        <v>59300200</v>
      </c>
      <c r="I4016" t="s">
        <v>811</v>
      </c>
      <c r="J4016" t="s">
        <v>812</v>
      </c>
      <c r="K4016" t="s">
        <v>7557</v>
      </c>
    </row>
    <row r="4017" spans="1:11" ht="20" customHeight="1">
      <c r="A4017" t="s">
        <v>7556</v>
      </c>
      <c r="B4017" t="s">
        <v>813</v>
      </c>
      <c r="C4017">
        <v>452.5599975585938</v>
      </c>
      <c r="D4017">
        <v>453.1099853515625</v>
      </c>
      <c r="E4017">
        <v>451.5499877929688</v>
      </c>
      <c r="F4017">
        <v>451.7999877929688</v>
      </c>
      <c r="G4017">
        <v>421.2201843261719</v>
      </c>
      <c r="H4017">
        <v>48721400</v>
      </c>
      <c r="I4017" t="s">
        <v>814</v>
      </c>
      <c r="J4017" t="s">
        <v>815</v>
      </c>
      <c r="K4017" t="s">
        <v>7557</v>
      </c>
    </row>
    <row r="4018" spans="1:11" ht="20" customHeight="1">
      <c r="A4018" t="s">
        <v>7556</v>
      </c>
      <c r="B4018" t="s">
        <v>816</v>
      </c>
      <c r="C4018">
        <v>453.3200073242188</v>
      </c>
      <c r="D4018">
        <v>454.0499877929688</v>
      </c>
      <c r="E4018">
        <v>451.9100036621094</v>
      </c>
      <c r="F4018">
        <v>453.1900024414062</v>
      </c>
      <c r="G4018">
        <v>422.5160522460938</v>
      </c>
      <c r="H4018">
        <v>42501000</v>
      </c>
      <c r="I4018" t="s">
        <v>817</v>
      </c>
      <c r="J4018" t="s">
        <v>818</v>
      </c>
      <c r="K4018" t="s">
        <v>7557</v>
      </c>
    </row>
    <row r="4019" spans="1:11" ht="20" customHeight="1">
      <c r="A4019" t="s">
        <v>7556</v>
      </c>
      <c r="B4019" t="s">
        <v>819</v>
      </c>
      <c r="C4019">
        <v>451.9800109863281</v>
      </c>
      <c r="D4019">
        <v>453.6300048828125</v>
      </c>
      <c r="E4019">
        <v>451.5499877929688</v>
      </c>
      <c r="F4019">
        <v>453.0799865722656</v>
      </c>
      <c r="G4019">
        <v>422.4135131835938</v>
      </c>
      <c r="H4019">
        <v>47170500</v>
      </c>
      <c r="I4019" t="s">
        <v>820</v>
      </c>
      <c r="J4019" t="s">
        <v>821</v>
      </c>
      <c r="K4019" t="s">
        <v>7557</v>
      </c>
    </row>
    <row r="4020" spans="1:11" ht="20" customHeight="1">
      <c r="A4020" t="s">
        <v>7556</v>
      </c>
      <c r="B4020" t="s">
        <v>822</v>
      </c>
      <c r="C4020">
        <v>452.7099914550781</v>
      </c>
      <c r="D4020">
        <v>452.8099975585938</v>
      </c>
      <c r="E4020">
        <v>450.739990234375</v>
      </c>
      <c r="F4020">
        <v>451.4599914550781</v>
      </c>
      <c r="G4020">
        <v>420.9032287597656</v>
      </c>
      <c r="H4020">
        <v>51671500</v>
      </c>
      <c r="I4020" t="s">
        <v>823</v>
      </c>
      <c r="J4020" t="s">
        <v>824</v>
      </c>
      <c r="K4020" t="s">
        <v>7557</v>
      </c>
    </row>
    <row r="4021" spans="1:11" ht="20" customHeight="1">
      <c r="A4021" t="s">
        <v>7556</v>
      </c>
      <c r="B4021" t="s">
        <v>825</v>
      </c>
      <c r="C4021">
        <v>450.8900146484375</v>
      </c>
      <c r="D4021">
        <v>451.6700134277344</v>
      </c>
      <c r="E4021">
        <v>448.8599853515625</v>
      </c>
      <c r="F4021">
        <v>450.9100036621094</v>
      </c>
      <c r="G4021">
        <v>420.3904113769531</v>
      </c>
      <c r="H4021">
        <v>56181900</v>
      </c>
      <c r="I4021" t="s">
        <v>826</v>
      </c>
      <c r="J4021" t="s">
        <v>827</v>
      </c>
      <c r="K4021" t="s">
        <v>7557</v>
      </c>
    </row>
    <row r="4022" spans="1:11" ht="20" customHeight="1">
      <c r="A4022" t="s">
        <v>7556</v>
      </c>
      <c r="B4022" t="s">
        <v>828</v>
      </c>
      <c r="C4022">
        <v>450.7000122070312</v>
      </c>
      <c r="D4022">
        <v>452.5700073242188</v>
      </c>
      <c r="E4022">
        <v>448.7200012207031</v>
      </c>
      <c r="F4022">
        <v>448.9800109863281</v>
      </c>
      <c r="G4022">
        <v>418.591064453125</v>
      </c>
      <c r="H4022">
        <v>57970400</v>
      </c>
      <c r="I4022" t="s">
        <v>829</v>
      </c>
      <c r="J4022" t="s">
        <v>830</v>
      </c>
      <c r="K4022" t="s">
        <v>7557</v>
      </c>
    </row>
    <row r="4023" spans="1:11" ht="20" customHeight="1">
      <c r="A4023" t="s">
        <v>7556</v>
      </c>
      <c r="B4023" t="s">
        <v>831</v>
      </c>
      <c r="C4023">
        <v>451.0400085449219</v>
      </c>
      <c r="D4023">
        <v>451.489990234375</v>
      </c>
      <c r="E4023">
        <v>445.3099975585938</v>
      </c>
      <c r="F4023">
        <v>445.4400024414062</v>
      </c>
      <c r="G4023">
        <v>415.2906799316406</v>
      </c>
      <c r="H4023">
        <v>89948200</v>
      </c>
      <c r="I4023" t="s">
        <v>832</v>
      </c>
      <c r="J4023" t="s">
        <v>833</v>
      </c>
      <c r="K4023" t="s">
        <v>7557</v>
      </c>
    </row>
    <row r="4024" spans="1:11" ht="20" customHeight="1">
      <c r="A4024" t="s">
        <v>7556</v>
      </c>
      <c r="B4024" t="s">
        <v>834</v>
      </c>
      <c r="C4024">
        <v>448.6400146484375</v>
      </c>
      <c r="D4024">
        <v>448.9200134277344</v>
      </c>
      <c r="E4024">
        <v>444.1099853515625</v>
      </c>
      <c r="F4024">
        <v>446.5799865722656</v>
      </c>
      <c r="G4024">
        <v>416.3534545898438</v>
      </c>
      <c r="H4024">
        <v>83738600</v>
      </c>
      <c r="I4024" t="s">
        <v>835</v>
      </c>
      <c r="J4024" t="s">
        <v>836</v>
      </c>
      <c r="K4024" t="s">
        <v>7557</v>
      </c>
    </row>
    <row r="4025" spans="1:11" ht="20" customHeight="1">
      <c r="A4025" t="s">
        <v>7556</v>
      </c>
      <c r="B4025" t="s">
        <v>837</v>
      </c>
      <c r="C4025">
        <v>448.1199951171875</v>
      </c>
      <c r="D4025">
        <v>448.3399963378906</v>
      </c>
      <c r="E4025">
        <v>443.2200012207031</v>
      </c>
      <c r="F4025">
        <v>444.1700134277344</v>
      </c>
      <c r="G4025">
        <v>414.1066589355469</v>
      </c>
      <c r="H4025">
        <v>78197100</v>
      </c>
      <c r="I4025" t="s">
        <v>838</v>
      </c>
      <c r="J4025" t="s">
        <v>839</v>
      </c>
      <c r="K4025" t="s">
        <v>7557</v>
      </c>
    </row>
    <row r="4026" spans="1:11" ht="20" customHeight="1">
      <c r="A4026" t="s">
        <v>7556</v>
      </c>
      <c r="B4026" t="s">
        <v>840</v>
      </c>
      <c r="C4026">
        <v>444.6199951171875</v>
      </c>
      <c r="D4026">
        <v>448.4100036621094</v>
      </c>
      <c r="E4026">
        <v>443.4400024414062</v>
      </c>
      <c r="F4026">
        <v>447.8800048828125</v>
      </c>
      <c r="G4026">
        <v>417.5655212402344</v>
      </c>
      <c r="H4026">
        <v>78792200</v>
      </c>
      <c r="I4026" t="s">
        <v>841</v>
      </c>
      <c r="J4026" t="s">
        <v>842</v>
      </c>
      <c r="K4026" t="s">
        <v>7557</v>
      </c>
    </row>
    <row r="4027" spans="1:11" ht="20" customHeight="1">
      <c r="A4027" t="s">
        <v>7556</v>
      </c>
      <c r="B4027" t="s">
        <v>843</v>
      </c>
      <c r="C4027">
        <v>447.3200073242188</v>
      </c>
      <c r="D4027">
        <v>448.3599853515625</v>
      </c>
      <c r="E4027">
        <v>444.0199890136719</v>
      </c>
      <c r="F4027">
        <v>447.1700134277344</v>
      </c>
      <c r="G4027">
        <v>416.9035949707031</v>
      </c>
      <c r="H4027">
        <v>77786700</v>
      </c>
      <c r="I4027" t="s">
        <v>844</v>
      </c>
      <c r="J4027" t="s">
        <v>845</v>
      </c>
      <c r="K4027" t="s">
        <v>7557</v>
      </c>
    </row>
    <row r="4028" spans="1:11" ht="20" customHeight="1">
      <c r="A4028" t="s">
        <v>7556</v>
      </c>
      <c r="B4028" t="s">
        <v>846</v>
      </c>
      <c r="C4028">
        <v>444.9200134277344</v>
      </c>
      <c r="D4028">
        <v>445.3699951171875</v>
      </c>
      <c r="E4028">
        <v>441.0199890136719</v>
      </c>
      <c r="F4028">
        <v>441.3999938964844</v>
      </c>
      <c r="G4028">
        <v>412.8424377441406</v>
      </c>
      <c r="H4028">
        <v>118425000</v>
      </c>
      <c r="I4028" t="s">
        <v>847</v>
      </c>
      <c r="J4028" t="s">
        <v>848</v>
      </c>
      <c r="K4028" t="s">
        <v>7557</v>
      </c>
    </row>
    <row r="4029" spans="1:11" ht="20" customHeight="1">
      <c r="A4029" t="s">
        <v>7556</v>
      </c>
      <c r="B4029" t="s">
        <v>849</v>
      </c>
      <c r="C4029">
        <v>434.8800048828125</v>
      </c>
      <c r="D4029">
        <v>436.5599975585938</v>
      </c>
      <c r="E4029">
        <v>428.8599853515625</v>
      </c>
      <c r="F4029">
        <v>434.0400085449219</v>
      </c>
      <c r="G4029">
        <v>405.9586181640625</v>
      </c>
      <c r="H4029">
        <v>166445500</v>
      </c>
      <c r="I4029" t="s">
        <v>850</v>
      </c>
      <c r="J4029" t="s">
        <v>851</v>
      </c>
      <c r="K4029" t="s">
        <v>7557</v>
      </c>
    </row>
    <row r="4030" spans="1:11" ht="20" customHeight="1">
      <c r="A4030" t="s">
        <v>7556</v>
      </c>
      <c r="B4030" t="s">
        <v>852</v>
      </c>
      <c r="C4030">
        <v>436.5299987792969</v>
      </c>
      <c r="D4030">
        <v>437.9100036621094</v>
      </c>
      <c r="E4030">
        <v>433.0700073242188</v>
      </c>
      <c r="F4030">
        <v>433.6300048828125</v>
      </c>
      <c r="G4030">
        <v>405.5752258300781</v>
      </c>
      <c r="H4030">
        <v>92526100</v>
      </c>
      <c r="I4030" t="s">
        <v>853</v>
      </c>
      <c r="J4030" t="s">
        <v>854</v>
      </c>
      <c r="K4030" t="s">
        <v>7557</v>
      </c>
    </row>
    <row r="4031" spans="1:11" ht="20" customHeight="1">
      <c r="A4031" t="s">
        <v>7556</v>
      </c>
      <c r="B4031" t="s">
        <v>855</v>
      </c>
      <c r="C4031">
        <v>436.0499877929688</v>
      </c>
      <c r="D4031">
        <v>440.0299987792969</v>
      </c>
      <c r="E4031">
        <v>433.75</v>
      </c>
      <c r="F4031">
        <v>437.8599853515625</v>
      </c>
      <c r="G4031">
        <v>409.5315551757812</v>
      </c>
      <c r="H4031">
        <v>102350100</v>
      </c>
      <c r="I4031" t="s">
        <v>856</v>
      </c>
      <c r="J4031" t="s">
        <v>857</v>
      </c>
      <c r="K4031" t="s">
        <v>7557</v>
      </c>
    </row>
    <row r="4032" spans="1:11" ht="20" customHeight="1">
      <c r="A4032" t="s">
        <v>7556</v>
      </c>
      <c r="B4032" t="s">
        <v>858</v>
      </c>
      <c r="C4032">
        <v>439.8500061035156</v>
      </c>
      <c r="D4032">
        <v>444.8900146484375</v>
      </c>
      <c r="E4032">
        <v>439.6000061035156</v>
      </c>
      <c r="F4032">
        <v>443.1799926757812</v>
      </c>
      <c r="G4032">
        <v>414.50732421875</v>
      </c>
      <c r="H4032">
        <v>76396000</v>
      </c>
      <c r="I4032" t="s">
        <v>859</v>
      </c>
      <c r="J4032" t="s">
        <v>860</v>
      </c>
      <c r="K4032" t="s">
        <v>7557</v>
      </c>
    </row>
    <row r="4033" spans="1:11" ht="20" customHeight="1">
      <c r="A4033" t="s">
        <v>7556</v>
      </c>
      <c r="B4033" t="s">
        <v>861</v>
      </c>
      <c r="C4033">
        <v>441.4400024414062</v>
      </c>
      <c r="D4033">
        <v>444.6700134277344</v>
      </c>
      <c r="E4033">
        <v>441.2099914550781</v>
      </c>
      <c r="F4033">
        <v>443.9100036621094</v>
      </c>
      <c r="G4033">
        <v>415.1900329589844</v>
      </c>
      <c r="H4033">
        <v>62094800</v>
      </c>
      <c r="I4033" t="s">
        <v>862</v>
      </c>
      <c r="J4033" t="s">
        <v>863</v>
      </c>
      <c r="K4033" t="s">
        <v>7557</v>
      </c>
    </row>
    <row r="4034" spans="1:11" ht="20" customHeight="1">
      <c r="A4034" t="s">
        <v>7556</v>
      </c>
      <c r="B4034" t="s">
        <v>864</v>
      </c>
      <c r="C4034">
        <v>442.8099975585938</v>
      </c>
      <c r="D4034">
        <v>444.0499877929688</v>
      </c>
      <c r="E4034">
        <v>441.8999938964844</v>
      </c>
      <c r="F4034">
        <v>442.6400146484375</v>
      </c>
      <c r="G4034">
        <v>414.0022583007812</v>
      </c>
      <c r="H4034">
        <v>61371100</v>
      </c>
      <c r="I4034" t="s">
        <v>865</v>
      </c>
      <c r="J4034" t="s">
        <v>866</v>
      </c>
      <c r="K4034" t="s">
        <v>7557</v>
      </c>
    </row>
    <row r="4035" spans="1:11" ht="20" customHeight="1">
      <c r="A4035" t="s">
        <v>7556</v>
      </c>
      <c r="B4035" t="s">
        <v>867</v>
      </c>
      <c r="C4035">
        <v>439.6900024414062</v>
      </c>
      <c r="D4035">
        <v>440.0400085449219</v>
      </c>
      <c r="E4035">
        <v>432.9400024414062</v>
      </c>
      <c r="F4035">
        <v>433.7200012207031</v>
      </c>
      <c r="G4035">
        <v>405.6593933105469</v>
      </c>
      <c r="H4035">
        <v>130436300</v>
      </c>
      <c r="I4035" t="s">
        <v>868</v>
      </c>
      <c r="J4035" t="s">
        <v>869</v>
      </c>
      <c r="K4035" t="s">
        <v>7557</v>
      </c>
    </row>
    <row r="4036" spans="1:11" ht="20" customHeight="1">
      <c r="A4036" t="s">
        <v>7556</v>
      </c>
      <c r="B4036" t="s">
        <v>870</v>
      </c>
      <c r="C4036">
        <v>435.1900024414062</v>
      </c>
      <c r="D4036">
        <v>437.0400085449219</v>
      </c>
      <c r="E4036">
        <v>433.8500061035156</v>
      </c>
      <c r="F4036">
        <v>434.4500122070312</v>
      </c>
      <c r="G4036">
        <v>406.3421020507812</v>
      </c>
      <c r="H4036">
        <v>82329200</v>
      </c>
      <c r="I4036" t="s">
        <v>871</v>
      </c>
      <c r="J4036" t="s">
        <v>872</v>
      </c>
      <c r="K4036" t="s">
        <v>7557</v>
      </c>
    </row>
    <row r="4037" spans="1:11" ht="20" customHeight="1">
      <c r="A4037" t="s">
        <v>7556</v>
      </c>
      <c r="B4037" t="s">
        <v>873</v>
      </c>
      <c r="C4037">
        <v>436.0199890136719</v>
      </c>
      <c r="D4037">
        <v>436.7699890136719</v>
      </c>
      <c r="E4037">
        <v>428.7799987792969</v>
      </c>
      <c r="F4037">
        <v>429.1400146484375</v>
      </c>
      <c r="G4037">
        <v>401.3756408691406</v>
      </c>
      <c r="H4037">
        <v>140506000</v>
      </c>
      <c r="I4037" t="s">
        <v>874</v>
      </c>
      <c r="J4037" t="s">
        <v>875</v>
      </c>
      <c r="K4037" t="s">
        <v>7557</v>
      </c>
    </row>
    <row r="4038" spans="1:11" ht="20" customHeight="1">
      <c r="A4038" t="s">
        <v>7556</v>
      </c>
      <c r="B4038" t="s">
        <v>876</v>
      </c>
      <c r="C4038">
        <v>430.9800109863281</v>
      </c>
      <c r="D4038">
        <v>436.0299987792969</v>
      </c>
      <c r="E4038">
        <v>427.2300109863281</v>
      </c>
      <c r="F4038">
        <v>434.239990234375</v>
      </c>
      <c r="G4038">
        <v>406.1456909179688</v>
      </c>
      <c r="H4038">
        <v>129240100</v>
      </c>
      <c r="I4038" t="s">
        <v>877</v>
      </c>
      <c r="J4038" t="s">
        <v>878</v>
      </c>
      <c r="K4038" t="s">
        <v>7557</v>
      </c>
    </row>
    <row r="4039" spans="1:11" ht="20" customHeight="1">
      <c r="A4039" t="s">
        <v>7556</v>
      </c>
      <c r="B4039" t="s">
        <v>879</v>
      </c>
      <c r="C4039">
        <v>433</v>
      </c>
      <c r="D4039">
        <v>433.9599914550781</v>
      </c>
      <c r="E4039">
        <v>426.3599853515625</v>
      </c>
      <c r="F4039">
        <v>428.6400146484375</v>
      </c>
      <c r="G4039">
        <v>400.9080505371094</v>
      </c>
      <c r="H4039">
        <v>128570000</v>
      </c>
      <c r="I4039" t="s">
        <v>880</v>
      </c>
      <c r="J4039" t="s">
        <v>881</v>
      </c>
      <c r="K4039" t="s">
        <v>7557</v>
      </c>
    </row>
    <row r="4040" spans="1:11" ht="20" customHeight="1">
      <c r="A4040" t="s">
        <v>7556</v>
      </c>
      <c r="B4040" t="s">
        <v>882</v>
      </c>
      <c r="C4040">
        <v>430.239990234375</v>
      </c>
      <c r="D4040">
        <v>435.489990234375</v>
      </c>
      <c r="E4040">
        <v>429.3900146484375</v>
      </c>
      <c r="F4040">
        <v>433.1000061035156</v>
      </c>
      <c r="G4040">
        <v>405.0795288085938</v>
      </c>
      <c r="H4040">
        <v>90682500</v>
      </c>
      <c r="I4040" t="s">
        <v>883</v>
      </c>
      <c r="J4040" t="s">
        <v>884</v>
      </c>
      <c r="K4040" t="s">
        <v>7557</v>
      </c>
    </row>
    <row r="4041" spans="1:11" ht="20" customHeight="1">
      <c r="A4041" t="s">
        <v>7556</v>
      </c>
      <c r="B4041" t="s">
        <v>885</v>
      </c>
      <c r="C4041">
        <v>429.2699890136719</v>
      </c>
      <c r="D4041">
        <v>435.1199951171875</v>
      </c>
      <c r="E4041">
        <v>427.5400085449219</v>
      </c>
      <c r="F4041">
        <v>434.8999938964844</v>
      </c>
      <c r="G4041">
        <v>406.7630615234375</v>
      </c>
      <c r="H4041">
        <v>113032200</v>
      </c>
      <c r="I4041" t="s">
        <v>886</v>
      </c>
      <c r="J4041" t="s">
        <v>887</v>
      </c>
      <c r="K4041" t="s">
        <v>7557</v>
      </c>
    </row>
    <row r="4042" spans="1:11" ht="20" customHeight="1">
      <c r="A4042" t="s">
        <v>7556</v>
      </c>
      <c r="B4042" t="s">
        <v>888</v>
      </c>
      <c r="C4042">
        <v>438.3900146484375</v>
      </c>
      <c r="D4042">
        <v>441.6799926757812</v>
      </c>
      <c r="E4042">
        <v>438.2000122070312</v>
      </c>
      <c r="F4042">
        <v>438.6600036621094</v>
      </c>
      <c r="G4042">
        <v>410.2797546386719</v>
      </c>
      <c r="H4042">
        <v>72437500</v>
      </c>
      <c r="I4042" t="s">
        <v>889</v>
      </c>
      <c r="J4042" t="s">
        <v>890</v>
      </c>
      <c r="K4042" t="s">
        <v>7557</v>
      </c>
    </row>
    <row r="4043" spans="1:11" ht="20" customHeight="1">
      <c r="A4043" t="s">
        <v>7556</v>
      </c>
      <c r="B4043" t="s">
        <v>891</v>
      </c>
      <c r="C4043">
        <v>439.4800109863281</v>
      </c>
      <c r="D4043">
        <v>439.8900146484375</v>
      </c>
      <c r="E4043">
        <v>437.1900024414062</v>
      </c>
      <c r="F4043">
        <v>437.8599853515625</v>
      </c>
      <c r="G4043">
        <v>409.5315551757812</v>
      </c>
      <c r="H4043">
        <v>74557400</v>
      </c>
      <c r="I4043" t="s">
        <v>892</v>
      </c>
      <c r="J4043" t="s">
        <v>893</v>
      </c>
      <c r="K4043" t="s">
        <v>7557</v>
      </c>
    </row>
    <row r="4044" spans="1:11" ht="20" customHeight="1">
      <c r="A4044" t="s">
        <v>7556</v>
      </c>
      <c r="B4044" t="s">
        <v>894</v>
      </c>
      <c r="C4044">
        <v>437.1600036621094</v>
      </c>
      <c r="D4044">
        <v>440.260009765625</v>
      </c>
      <c r="E4044">
        <v>434.6199951171875</v>
      </c>
      <c r="F4044">
        <v>434.6900024414062</v>
      </c>
      <c r="G4044">
        <v>406.5665893554688</v>
      </c>
      <c r="H4044">
        <v>65233300</v>
      </c>
      <c r="I4044" t="s">
        <v>895</v>
      </c>
      <c r="J4044" t="s">
        <v>896</v>
      </c>
      <c r="K4044" t="s">
        <v>7557</v>
      </c>
    </row>
    <row r="4045" spans="1:11" ht="20" customHeight="1">
      <c r="A4045" t="s">
        <v>7556</v>
      </c>
      <c r="B4045" t="s">
        <v>897</v>
      </c>
      <c r="C4045">
        <v>435.6700134277344</v>
      </c>
      <c r="D4045">
        <v>436.1000061035156</v>
      </c>
      <c r="E4045">
        <v>432.7799987792969</v>
      </c>
      <c r="F4045">
        <v>433.6199951171875</v>
      </c>
      <c r="G4045">
        <v>405.5657958984375</v>
      </c>
      <c r="H4045">
        <v>71181200</v>
      </c>
      <c r="I4045" t="s">
        <v>898</v>
      </c>
      <c r="J4045" t="s">
        <v>899</v>
      </c>
      <c r="K4045" t="s">
        <v>7557</v>
      </c>
    </row>
    <row r="4046" spans="1:11" ht="20" customHeight="1">
      <c r="A4046" t="s">
        <v>7556</v>
      </c>
      <c r="B4046" t="s">
        <v>900</v>
      </c>
      <c r="C4046">
        <v>434.7099914550781</v>
      </c>
      <c r="D4046">
        <v>436.0499877929688</v>
      </c>
      <c r="E4046">
        <v>431.5400085449219</v>
      </c>
      <c r="F4046">
        <v>435.1799926757812</v>
      </c>
      <c r="G4046">
        <v>407.0248718261719</v>
      </c>
      <c r="H4046">
        <v>72974000</v>
      </c>
      <c r="I4046" t="s">
        <v>901</v>
      </c>
      <c r="J4046" t="s">
        <v>902</v>
      </c>
      <c r="K4046" t="s">
        <v>7557</v>
      </c>
    </row>
    <row r="4047" spans="1:11" ht="20" customHeight="1">
      <c r="A4047" t="s">
        <v>7556</v>
      </c>
      <c r="B4047" t="s">
        <v>903</v>
      </c>
      <c r="C4047">
        <v>439.0799865722656</v>
      </c>
      <c r="D4047">
        <v>442.6600036621094</v>
      </c>
      <c r="E4047">
        <v>438.5799865722656</v>
      </c>
      <c r="F4047">
        <v>442.5</v>
      </c>
      <c r="G4047">
        <v>413.871337890625</v>
      </c>
      <c r="H4047">
        <v>70236800</v>
      </c>
      <c r="I4047" t="s">
        <v>904</v>
      </c>
      <c r="J4047" t="s">
        <v>905</v>
      </c>
      <c r="K4047" t="s">
        <v>7557</v>
      </c>
    </row>
    <row r="4048" spans="1:11" ht="20" customHeight="1">
      <c r="A4048" t="s">
        <v>7556</v>
      </c>
      <c r="B4048" t="s">
        <v>906</v>
      </c>
      <c r="C4048">
        <v>444.75</v>
      </c>
      <c r="D4048">
        <v>446.260009765625</v>
      </c>
      <c r="E4048">
        <v>444.0899963378906</v>
      </c>
      <c r="F4048">
        <v>445.8699951171875</v>
      </c>
      <c r="G4048">
        <v>417.0232238769531</v>
      </c>
      <c r="H4048">
        <v>66260200</v>
      </c>
      <c r="I4048" t="s">
        <v>907</v>
      </c>
      <c r="J4048" t="s">
        <v>908</v>
      </c>
      <c r="K4048" t="s">
        <v>7557</v>
      </c>
    </row>
    <row r="4049" spans="1:11" ht="20" customHeight="1">
      <c r="A4049" t="s">
        <v>7556</v>
      </c>
      <c r="B4049" t="s">
        <v>909</v>
      </c>
      <c r="C4049">
        <v>443.9700012207031</v>
      </c>
      <c r="D4049">
        <v>447.5499877929688</v>
      </c>
      <c r="E4049">
        <v>443.2699890136719</v>
      </c>
      <c r="F4049">
        <v>447.1900024414062</v>
      </c>
      <c r="G4049">
        <v>418.2579040527344</v>
      </c>
      <c r="H4049">
        <v>62213200</v>
      </c>
      <c r="I4049" t="s">
        <v>910</v>
      </c>
      <c r="J4049" t="s">
        <v>911</v>
      </c>
      <c r="K4049" t="s">
        <v>7557</v>
      </c>
    </row>
    <row r="4050" spans="1:11" ht="20" customHeight="1">
      <c r="A4050" t="s">
        <v>7556</v>
      </c>
      <c r="B4050" t="s">
        <v>912</v>
      </c>
      <c r="C4050">
        <v>448.9200134277344</v>
      </c>
      <c r="D4050">
        <v>450.7099914550781</v>
      </c>
      <c r="E4050">
        <v>448.2699890136719</v>
      </c>
      <c r="F4050">
        <v>450.6400146484375</v>
      </c>
      <c r="G4050">
        <v>421.4847412109375</v>
      </c>
      <c r="H4050">
        <v>46996800</v>
      </c>
      <c r="I4050" t="s">
        <v>913</v>
      </c>
      <c r="J4050" t="s">
        <v>914</v>
      </c>
      <c r="K4050" t="s">
        <v>7557</v>
      </c>
    </row>
    <row r="4051" spans="1:11" ht="20" customHeight="1">
      <c r="A4051" t="s">
        <v>7556</v>
      </c>
      <c r="B4051" t="s">
        <v>915</v>
      </c>
      <c r="C4051">
        <v>451.1300048828125</v>
      </c>
      <c r="D4051">
        <v>452.7300109863281</v>
      </c>
      <c r="E4051">
        <v>451.010009765625</v>
      </c>
      <c r="F4051">
        <v>452.4100036621094</v>
      </c>
      <c r="G4051">
        <v>423.14013671875</v>
      </c>
      <c r="H4051">
        <v>49571600</v>
      </c>
      <c r="I4051" t="s">
        <v>916</v>
      </c>
      <c r="J4051" t="s">
        <v>917</v>
      </c>
      <c r="K4051" t="s">
        <v>7557</v>
      </c>
    </row>
    <row r="4052" spans="1:11" ht="20" customHeight="1">
      <c r="A4052" t="s">
        <v>7556</v>
      </c>
      <c r="B4052" t="s">
        <v>918</v>
      </c>
      <c r="C4052">
        <v>451.7699890136719</v>
      </c>
      <c r="D4052">
        <v>453.8299865722656</v>
      </c>
      <c r="E4052">
        <v>451.3099975585938</v>
      </c>
      <c r="F4052">
        <v>453.5899963378906</v>
      </c>
      <c r="G4052">
        <v>424.2438049316406</v>
      </c>
      <c r="H4052">
        <v>41305400</v>
      </c>
      <c r="I4052" t="s">
        <v>919</v>
      </c>
      <c r="J4052" t="s">
        <v>920</v>
      </c>
      <c r="K4052" t="s">
        <v>7557</v>
      </c>
    </row>
    <row r="4053" spans="1:11" ht="20" customHeight="1">
      <c r="A4053" t="s">
        <v>7556</v>
      </c>
      <c r="B4053" t="s">
        <v>921</v>
      </c>
      <c r="C4053">
        <v>453.1300048828125</v>
      </c>
      <c r="D4053">
        <v>454.6700134277344</v>
      </c>
      <c r="E4053">
        <v>451.0499877929688</v>
      </c>
      <c r="F4053">
        <v>453.1199951171875</v>
      </c>
      <c r="G4053">
        <v>423.8042297363281</v>
      </c>
      <c r="H4053">
        <v>58845100</v>
      </c>
      <c r="I4053" t="s">
        <v>922</v>
      </c>
      <c r="J4053" t="s">
        <v>923</v>
      </c>
      <c r="K4053" t="s">
        <v>7557</v>
      </c>
    </row>
    <row r="4054" spans="1:11" ht="20" customHeight="1">
      <c r="A4054" t="s">
        <v>7556</v>
      </c>
      <c r="B4054" t="s">
        <v>924</v>
      </c>
      <c r="C4054">
        <v>454.2799987792969</v>
      </c>
      <c r="D4054">
        <v>455.8999938964844</v>
      </c>
      <c r="E4054">
        <v>452.3900146484375</v>
      </c>
      <c r="F4054">
        <v>455.5499877929688</v>
      </c>
      <c r="G4054">
        <v>426.0770263671875</v>
      </c>
      <c r="H4054">
        <v>45214500</v>
      </c>
      <c r="I4054" t="s">
        <v>925</v>
      </c>
      <c r="J4054" t="s">
        <v>926</v>
      </c>
      <c r="K4054" t="s">
        <v>7557</v>
      </c>
    </row>
    <row r="4055" spans="1:11" ht="20" customHeight="1">
      <c r="A4055" t="s">
        <v>7556</v>
      </c>
      <c r="B4055" t="s">
        <v>927</v>
      </c>
      <c r="C4055">
        <v>457.2000122070312</v>
      </c>
      <c r="D4055">
        <v>458.489990234375</v>
      </c>
      <c r="E4055">
        <v>455.5599975585938</v>
      </c>
      <c r="F4055">
        <v>455.9599914550781</v>
      </c>
      <c r="G4055">
        <v>426.4605102539062</v>
      </c>
      <c r="H4055">
        <v>56075100</v>
      </c>
      <c r="I4055" t="s">
        <v>928</v>
      </c>
      <c r="J4055" t="s">
        <v>929</v>
      </c>
      <c r="K4055" t="s">
        <v>7557</v>
      </c>
    </row>
    <row r="4056" spans="1:11" ht="20" customHeight="1">
      <c r="A4056" t="s">
        <v>7556</v>
      </c>
      <c r="B4056" t="s">
        <v>930</v>
      </c>
      <c r="C4056">
        <v>456.4500122070312</v>
      </c>
      <c r="D4056">
        <v>457.1600036621094</v>
      </c>
      <c r="E4056">
        <v>453.8599853515625</v>
      </c>
      <c r="F4056">
        <v>453.9400024414062</v>
      </c>
      <c r="G4056">
        <v>424.5711669921875</v>
      </c>
      <c r="H4056">
        <v>72438000</v>
      </c>
      <c r="I4056" t="s">
        <v>931</v>
      </c>
      <c r="J4056" t="s">
        <v>932</v>
      </c>
      <c r="K4056" t="s">
        <v>7557</v>
      </c>
    </row>
    <row r="4057" spans="1:11" ht="20" customHeight="1">
      <c r="A4057" t="s">
        <v>7556</v>
      </c>
      <c r="B4057" t="s">
        <v>933</v>
      </c>
      <c r="C4057">
        <v>455.4599914550781</v>
      </c>
      <c r="D4057">
        <v>458.3999938964844</v>
      </c>
      <c r="E4057">
        <v>455.4500122070312</v>
      </c>
      <c r="F4057">
        <v>458.3200073242188</v>
      </c>
      <c r="G4057">
        <v>428.6678466796875</v>
      </c>
      <c r="H4057">
        <v>51437900</v>
      </c>
      <c r="I4057" t="s">
        <v>934</v>
      </c>
      <c r="J4057" t="s">
        <v>935</v>
      </c>
      <c r="K4057" t="s">
        <v>7557</v>
      </c>
    </row>
    <row r="4058" spans="1:11" ht="20" customHeight="1">
      <c r="A4058" t="s">
        <v>7556</v>
      </c>
      <c r="B4058" t="s">
        <v>936</v>
      </c>
      <c r="C4058">
        <v>455.8699951171875</v>
      </c>
      <c r="D4058">
        <v>459.5599975585938</v>
      </c>
      <c r="E4058">
        <v>455.5599975585938</v>
      </c>
      <c r="F4058">
        <v>459.25</v>
      </c>
      <c r="G4058">
        <v>429.5376281738281</v>
      </c>
      <c r="H4058">
        <v>70162400</v>
      </c>
      <c r="I4058" t="s">
        <v>937</v>
      </c>
      <c r="J4058" t="s">
        <v>938</v>
      </c>
      <c r="K4058" t="s">
        <v>7557</v>
      </c>
    </row>
    <row r="4059" spans="1:11" ht="20" customHeight="1">
      <c r="A4059" t="s">
        <v>7556</v>
      </c>
      <c r="B4059" t="s">
        <v>939</v>
      </c>
      <c r="C4059">
        <v>460.2999877929688</v>
      </c>
      <c r="D4059">
        <v>460.7000122070312</v>
      </c>
      <c r="E4059">
        <v>458.2000122070312</v>
      </c>
      <c r="F4059">
        <v>460.0400085449219</v>
      </c>
      <c r="G4059">
        <v>430.2765808105469</v>
      </c>
      <c r="H4059">
        <v>48433600</v>
      </c>
      <c r="I4059" t="s">
        <v>940</v>
      </c>
      <c r="J4059" t="s">
        <v>941</v>
      </c>
      <c r="K4059" t="s">
        <v>7557</v>
      </c>
    </row>
    <row r="4060" spans="1:11" ht="20" customHeight="1">
      <c r="A4060" t="s">
        <v>7556</v>
      </c>
      <c r="B4060" t="s">
        <v>942</v>
      </c>
      <c r="C4060">
        <v>460.2200012207031</v>
      </c>
      <c r="D4060">
        <v>462.2300109863281</v>
      </c>
      <c r="E4060">
        <v>460.0799865722656</v>
      </c>
      <c r="F4060">
        <v>461.8999938964844</v>
      </c>
      <c r="G4060">
        <v>432.0162658691406</v>
      </c>
      <c r="H4060">
        <v>48908400</v>
      </c>
      <c r="I4060" t="s">
        <v>943</v>
      </c>
      <c r="J4060" t="s">
        <v>944</v>
      </c>
      <c r="K4060" t="s">
        <v>7557</v>
      </c>
    </row>
    <row r="4061" spans="1:11" ht="20" customHeight="1">
      <c r="A4061" t="s">
        <v>7556</v>
      </c>
      <c r="B4061" t="s">
        <v>945</v>
      </c>
      <c r="C4061">
        <v>461.2999877929688</v>
      </c>
      <c r="D4061">
        <v>465.1499938964844</v>
      </c>
      <c r="E4061">
        <v>460.8299865722656</v>
      </c>
      <c r="F4061">
        <v>464.7200012207031</v>
      </c>
      <c r="G4061">
        <v>434.6537475585938</v>
      </c>
      <c r="H4061">
        <v>52509800</v>
      </c>
      <c r="I4061" t="s">
        <v>946</v>
      </c>
      <c r="J4061" t="s">
        <v>947</v>
      </c>
      <c r="K4061" t="s">
        <v>7557</v>
      </c>
    </row>
    <row r="4062" spans="1:11" ht="20" customHeight="1">
      <c r="A4062" t="s">
        <v>7556</v>
      </c>
      <c r="B4062" t="s">
        <v>948</v>
      </c>
      <c r="C4062">
        <v>465.3599853515625</v>
      </c>
      <c r="D4062">
        <v>467</v>
      </c>
      <c r="E4062">
        <v>464.989990234375</v>
      </c>
      <c r="F4062">
        <v>466.9100036621094</v>
      </c>
      <c r="G4062">
        <v>436.7020263671875</v>
      </c>
      <c r="H4062">
        <v>52847100</v>
      </c>
      <c r="I4062" t="s">
        <v>949</v>
      </c>
      <c r="J4062" t="s">
        <v>950</v>
      </c>
      <c r="K4062" t="s">
        <v>7557</v>
      </c>
    </row>
    <row r="4063" spans="1:11" ht="20" customHeight="1">
      <c r="A4063" t="s">
        <v>7556</v>
      </c>
      <c r="B4063" t="s">
        <v>951</v>
      </c>
      <c r="C4063">
        <v>469.2799987792969</v>
      </c>
      <c r="D4063">
        <v>470.6499938964844</v>
      </c>
      <c r="E4063">
        <v>466.9200134277344</v>
      </c>
      <c r="F4063">
        <v>468.5299987792969</v>
      </c>
      <c r="G4063">
        <v>438.2172546386719</v>
      </c>
      <c r="H4063">
        <v>66390600</v>
      </c>
      <c r="I4063" t="s">
        <v>952</v>
      </c>
      <c r="J4063" t="s">
        <v>953</v>
      </c>
      <c r="K4063" t="s">
        <v>7557</v>
      </c>
    </row>
    <row r="4064" spans="1:11" ht="20" customHeight="1">
      <c r="A4064" t="s">
        <v>7556</v>
      </c>
      <c r="B4064" t="s">
        <v>954</v>
      </c>
      <c r="C4064">
        <v>469.7000122070312</v>
      </c>
      <c r="D4064">
        <v>470.2300109863281</v>
      </c>
      <c r="E4064">
        <v>468.2000122070312</v>
      </c>
      <c r="F4064">
        <v>468.9299926757812</v>
      </c>
      <c r="G4064">
        <v>438.5913391113281</v>
      </c>
      <c r="H4064">
        <v>50405200</v>
      </c>
      <c r="I4064" t="s">
        <v>955</v>
      </c>
      <c r="J4064" t="s">
        <v>956</v>
      </c>
      <c r="K4064" t="s">
        <v>7557</v>
      </c>
    </row>
    <row r="4065" spans="1:11" ht="20" customHeight="1">
      <c r="A4065" t="s">
        <v>7556</v>
      </c>
      <c r="B4065" t="s">
        <v>957</v>
      </c>
      <c r="C4065">
        <v>469.3200073242188</v>
      </c>
      <c r="D4065">
        <v>469.5700073242188</v>
      </c>
      <c r="E4065">
        <v>465.8800048828125</v>
      </c>
      <c r="F4065">
        <v>467.3800048828125</v>
      </c>
      <c r="G4065">
        <v>437.1416625976562</v>
      </c>
      <c r="H4065">
        <v>51149100</v>
      </c>
      <c r="I4065" t="s">
        <v>958</v>
      </c>
      <c r="J4065" t="s">
        <v>959</v>
      </c>
      <c r="K4065" t="s">
        <v>7557</v>
      </c>
    </row>
    <row r="4066" spans="1:11" ht="20" customHeight="1">
      <c r="A4066" t="s">
        <v>7556</v>
      </c>
      <c r="B4066" t="s">
        <v>960</v>
      </c>
      <c r="C4066">
        <v>465.5799865722656</v>
      </c>
      <c r="D4066">
        <v>467.3800048828125</v>
      </c>
      <c r="E4066">
        <v>462.0400085449219</v>
      </c>
      <c r="F4066">
        <v>463.6199951171875</v>
      </c>
      <c r="G4066">
        <v>433.6248779296875</v>
      </c>
      <c r="H4066">
        <v>69429700</v>
      </c>
      <c r="I4066" t="s">
        <v>961</v>
      </c>
      <c r="J4066" t="s">
        <v>962</v>
      </c>
      <c r="K4066" t="s">
        <v>7557</v>
      </c>
    </row>
    <row r="4067" spans="1:11" ht="20" customHeight="1">
      <c r="A4067" t="s">
        <v>7556</v>
      </c>
      <c r="B4067" t="s">
        <v>963</v>
      </c>
      <c r="C4067">
        <v>465.2099914550781</v>
      </c>
      <c r="D4067">
        <v>465.2900085449219</v>
      </c>
      <c r="E4067">
        <v>463.75</v>
      </c>
      <c r="F4067">
        <v>463.7699890136719</v>
      </c>
      <c r="G4067">
        <v>433.7652587890625</v>
      </c>
      <c r="H4067">
        <v>34848500</v>
      </c>
      <c r="I4067" t="s">
        <v>964</v>
      </c>
      <c r="J4067" t="s">
        <v>965</v>
      </c>
      <c r="K4067" t="s">
        <v>7557</v>
      </c>
    </row>
    <row r="4068" spans="1:11" ht="20" customHeight="1">
      <c r="A4068" t="s">
        <v>7556</v>
      </c>
      <c r="B4068" t="s">
        <v>966</v>
      </c>
      <c r="C4068">
        <v>465.1199951171875</v>
      </c>
      <c r="D4068">
        <v>467.8599853515625</v>
      </c>
      <c r="E4068">
        <v>464.1099853515625</v>
      </c>
      <c r="F4068">
        <v>467.2699890136719</v>
      </c>
      <c r="G4068">
        <v>437.0387878417969</v>
      </c>
      <c r="H4068">
        <v>53466700</v>
      </c>
      <c r="I4068" t="s">
        <v>967</v>
      </c>
      <c r="J4068" t="s">
        <v>968</v>
      </c>
      <c r="K4068" t="s">
        <v>7557</v>
      </c>
    </row>
    <row r="4069" spans="1:11" ht="20" customHeight="1">
      <c r="A4069" t="s">
        <v>7556</v>
      </c>
      <c r="B4069" t="s">
        <v>969</v>
      </c>
      <c r="C4069">
        <v>468.6400146484375</v>
      </c>
      <c r="D4069">
        <v>468.8099975585938</v>
      </c>
      <c r="E4069">
        <v>466.2300109863281</v>
      </c>
      <c r="F4069">
        <v>467.4299926757812</v>
      </c>
      <c r="G4069">
        <v>437.1884155273438</v>
      </c>
      <c r="H4069">
        <v>46980500</v>
      </c>
      <c r="I4069" t="s">
        <v>970</v>
      </c>
      <c r="J4069" t="s">
        <v>971</v>
      </c>
      <c r="K4069" t="s">
        <v>7557</v>
      </c>
    </row>
    <row r="4070" spans="1:11" ht="20" customHeight="1">
      <c r="A4070" t="s">
        <v>7556</v>
      </c>
      <c r="B4070" t="s">
        <v>972</v>
      </c>
      <c r="C4070">
        <v>467.1499938964844</v>
      </c>
      <c r="D4070">
        <v>470.489990234375</v>
      </c>
      <c r="E4070">
        <v>467.0700073242188</v>
      </c>
      <c r="F4070">
        <v>469.2799987792969</v>
      </c>
      <c r="G4070">
        <v>438.918701171875</v>
      </c>
      <c r="H4070">
        <v>48857500</v>
      </c>
      <c r="I4070" t="s">
        <v>973</v>
      </c>
      <c r="J4070" t="s">
        <v>974</v>
      </c>
      <c r="K4070" t="s">
        <v>7557</v>
      </c>
    </row>
    <row r="4071" spans="1:11" ht="20" customHeight="1">
      <c r="A4071" t="s">
        <v>7556</v>
      </c>
      <c r="B4071" t="s">
        <v>975</v>
      </c>
      <c r="C4071">
        <v>469</v>
      </c>
      <c r="D4071">
        <v>469.1900024414062</v>
      </c>
      <c r="E4071">
        <v>467.4800109863281</v>
      </c>
      <c r="F4071">
        <v>468.1400146484375</v>
      </c>
      <c r="G4071">
        <v>437.8524780273438</v>
      </c>
      <c r="H4071">
        <v>47858300</v>
      </c>
      <c r="I4071" t="s">
        <v>976</v>
      </c>
      <c r="J4071" t="s">
        <v>977</v>
      </c>
      <c r="K4071" t="s">
        <v>7557</v>
      </c>
    </row>
    <row r="4072" spans="1:11" ht="20" customHeight="1">
      <c r="A4072" t="s">
        <v>7556</v>
      </c>
      <c r="B4072" t="s">
        <v>978</v>
      </c>
      <c r="C4072">
        <v>469.239990234375</v>
      </c>
      <c r="D4072">
        <v>470.010009765625</v>
      </c>
      <c r="E4072">
        <v>466.3399963378906</v>
      </c>
      <c r="F4072">
        <v>469.7300109863281</v>
      </c>
      <c r="G4072">
        <v>439.3395690917969</v>
      </c>
      <c r="H4072">
        <v>50625600</v>
      </c>
      <c r="I4072" t="s">
        <v>979</v>
      </c>
      <c r="J4072" t="s">
        <v>980</v>
      </c>
      <c r="K4072" t="s">
        <v>7557</v>
      </c>
    </row>
    <row r="4073" spans="1:11" ht="20" customHeight="1">
      <c r="A4073" t="s">
        <v>7556</v>
      </c>
      <c r="B4073" t="s">
        <v>981</v>
      </c>
      <c r="C4073">
        <v>469.6099853515625</v>
      </c>
      <c r="D4073">
        <v>470.9400024414062</v>
      </c>
      <c r="E4073">
        <v>468.5</v>
      </c>
      <c r="F4073">
        <v>468.8900146484375</v>
      </c>
      <c r="G4073">
        <v>438.5540466308594</v>
      </c>
      <c r="H4073">
        <v>57315600</v>
      </c>
      <c r="I4073" t="s">
        <v>982</v>
      </c>
      <c r="J4073" t="s">
        <v>983</v>
      </c>
      <c r="K4073" t="s">
        <v>7557</v>
      </c>
    </row>
    <row r="4074" spans="1:11" ht="20" customHeight="1">
      <c r="A4074" t="s">
        <v>7556</v>
      </c>
      <c r="B4074" t="s">
        <v>984</v>
      </c>
      <c r="C4074">
        <v>470.8900146484375</v>
      </c>
      <c r="D4074">
        <v>473.5400085449219</v>
      </c>
      <c r="E4074">
        <v>467.3500061035156</v>
      </c>
      <c r="F4074">
        <v>467.5700073242188</v>
      </c>
      <c r="G4074">
        <v>437.3193054199219</v>
      </c>
      <c r="H4074">
        <v>72762000</v>
      </c>
      <c r="I4074" t="s">
        <v>985</v>
      </c>
      <c r="J4074" t="s">
        <v>986</v>
      </c>
      <c r="K4074" t="s">
        <v>7557</v>
      </c>
    </row>
    <row r="4075" spans="1:11" ht="20" customHeight="1">
      <c r="A4075" t="s">
        <v>7556</v>
      </c>
      <c r="B4075" t="s">
        <v>987</v>
      </c>
      <c r="C4075">
        <v>467.2200012207031</v>
      </c>
      <c r="D4075">
        <v>469.1000061035156</v>
      </c>
      <c r="E4075">
        <v>464.4500122070312</v>
      </c>
      <c r="F4075">
        <v>468.1900024414062</v>
      </c>
      <c r="G4075">
        <v>437.8992309570312</v>
      </c>
      <c r="H4075">
        <v>73206500</v>
      </c>
      <c r="I4075" t="s">
        <v>988</v>
      </c>
      <c r="J4075" t="s">
        <v>989</v>
      </c>
      <c r="K4075" t="s">
        <v>7557</v>
      </c>
    </row>
    <row r="4076" spans="1:11" ht="20" customHeight="1">
      <c r="A4076" t="s">
        <v>7556</v>
      </c>
      <c r="B4076" t="s">
        <v>990</v>
      </c>
      <c r="C4076">
        <v>466.0599975585938</v>
      </c>
      <c r="D4076">
        <v>469.5700073242188</v>
      </c>
      <c r="E4076">
        <v>465.1900024414062</v>
      </c>
      <c r="F4076">
        <v>469.4400024414062</v>
      </c>
      <c r="G4076">
        <v>439.0684204101562</v>
      </c>
      <c r="H4076">
        <v>61858800</v>
      </c>
      <c r="I4076" t="s">
        <v>991</v>
      </c>
      <c r="J4076" t="s">
        <v>992</v>
      </c>
      <c r="K4076" t="s">
        <v>7557</v>
      </c>
    </row>
    <row r="4077" spans="1:11" ht="20" customHeight="1">
      <c r="A4077" t="s">
        <v>7556</v>
      </c>
      <c r="B4077" t="s">
        <v>993</v>
      </c>
      <c r="C4077">
        <v>462.3399963378906</v>
      </c>
      <c r="D4077">
        <v>463.8999938964844</v>
      </c>
      <c r="E4077">
        <v>457.7699890136719</v>
      </c>
      <c r="F4077">
        <v>458.9700012207031</v>
      </c>
      <c r="G4077">
        <v>429.2758178710938</v>
      </c>
      <c r="H4077">
        <v>112669600</v>
      </c>
      <c r="I4077" t="s">
        <v>994</v>
      </c>
      <c r="J4077" t="s">
        <v>995</v>
      </c>
      <c r="K4077" t="s">
        <v>7557</v>
      </c>
    </row>
    <row r="4078" spans="1:11" ht="20" customHeight="1">
      <c r="A4078" t="s">
        <v>7556</v>
      </c>
      <c r="B4078" t="s">
        <v>996</v>
      </c>
      <c r="C4078">
        <v>464.0700073242188</v>
      </c>
      <c r="D4078">
        <v>466.5599975585938</v>
      </c>
      <c r="E4078">
        <v>461.7300109863281</v>
      </c>
      <c r="F4078">
        <v>464.6000061035156</v>
      </c>
      <c r="G4078">
        <v>434.54150390625</v>
      </c>
      <c r="H4078">
        <v>86268800</v>
      </c>
      <c r="I4078" t="s">
        <v>997</v>
      </c>
      <c r="J4078" t="s">
        <v>998</v>
      </c>
      <c r="K4078" t="s">
        <v>7557</v>
      </c>
    </row>
    <row r="4079" spans="1:11" ht="20" customHeight="1">
      <c r="A4079" t="s">
        <v>7556</v>
      </c>
      <c r="B4079" t="s">
        <v>999</v>
      </c>
      <c r="C4079">
        <v>462</v>
      </c>
      <c r="D4079">
        <v>464.0299987792969</v>
      </c>
      <c r="E4079">
        <v>455.2999877929688</v>
      </c>
      <c r="F4079">
        <v>455.5599975585938</v>
      </c>
      <c r="G4079">
        <v>426.08642578125</v>
      </c>
      <c r="H4079">
        <v>148559600</v>
      </c>
      <c r="I4079" t="s">
        <v>1000</v>
      </c>
      <c r="J4079" t="s">
        <v>1001</v>
      </c>
      <c r="K4079" t="s">
        <v>7557</v>
      </c>
    </row>
    <row r="4080" spans="1:11" ht="20" customHeight="1">
      <c r="A4080" t="s">
        <v>7556</v>
      </c>
      <c r="B4080" t="s">
        <v>1002</v>
      </c>
      <c r="C4080">
        <v>461.6400146484375</v>
      </c>
      <c r="D4080">
        <v>464.6700134277344</v>
      </c>
      <c r="E4080">
        <v>450.2900085449219</v>
      </c>
      <c r="F4080">
        <v>450.5</v>
      </c>
      <c r="G4080">
        <v>421.3536987304688</v>
      </c>
      <c r="H4080">
        <v>131939200</v>
      </c>
      <c r="I4080" t="s">
        <v>1003</v>
      </c>
      <c r="J4080" t="s">
        <v>1004</v>
      </c>
      <c r="K4080" t="s">
        <v>7557</v>
      </c>
    </row>
    <row r="4081" spans="1:11" ht="20" customHeight="1">
      <c r="A4081" t="s">
        <v>7556</v>
      </c>
      <c r="B4081" t="s">
        <v>1005</v>
      </c>
      <c r="C4081">
        <v>450.7300109863281</v>
      </c>
      <c r="D4081">
        <v>459.0700073242188</v>
      </c>
      <c r="E4081">
        <v>450.3099975585938</v>
      </c>
      <c r="F4081">
        <v>457.3999938964844</v>
      </c>
      <c r="G4081">
        <v>427.8073120117188</v>
      </c>
      <c r="H4081">
        <v>127637800</v>
      </c>
      <c r="I4081" t="s">
        <v>1006</v>
      </c>
      <c r="J4081" t="s">
        <v>1007</v>
      </c>
      <c r="K4081" t="s">
        <v>7557</v>
      </c>
    </row>
    <row r="4082" spans="1:11" ht="20" customHeight="1">
      <c r="A4082" t="s">
        <v>7556</v>
      </c>
      <c r="B4082" t="s">
        <v>1008</v>
      </c>
      <c r="C4082">
        <v>459.1700134277344</v>
      </c>
      <c r="D4082">
        <v>460.2999877929688</v>
      </c>
      <c r="E4082">
        <v>448.9200134277344</v>
      </c>
      <c r="F4082">
        <v>453.4200134277344</v>
      </c>
      <c r="G4082">
        <v>424.0847778320312</v>
      </c>
      <c r="H4082">
        <v>137331600</v>
      </c>
      <c r="I4082" t="s">
        <v>1009</v>
      </c>
      <c r="J4082" t="s">
        <v>1010</v>
      </c>
      <c r="K4082" t="s">
        <v>7557</v>
      </c>
    </row>
    <row r="4083" spans="1:11" ht="20" customHeight="1">
      <c r="A4083" t="s">
        <v>7556</v>
      </c>
      <c r="B4083" t="s">
        <v>1011</v>
      </c>
      <c r="C4083">
        <v>456.1300048828125</v>
      </c>
      <c r="D4083">
        <v>460.7900085449219</v>
      </c>
      <c r="E4083">
        <v>453.5599975585938</v>
      </c>
      <c r="F4083">
        <v>458.7900085449219</v>
      </c>
      <c r="G4083">
        <v>429.1073608398438</v>
      </c>
      <c r="H4083">
        <v>98977500</v>
      </c>
      <c r="I4083" t="s">
        <v>1012</v>
      </c>
      <c r="J4083" t="s">
        <v>1013</v>
      </c>
      <c r="K4083" t="s">
        <v>7557</v>
      </c>
    </row>
    <row r="4084" spans="1:11" ht="20" customHeight="1">
      <c r="A4084" t="s">
        <v>7556</v>
      </c>
      <c r="B4084" t="s">
        <v>1014</v>
      </c>
      <c r="C4084">
        <v>464.4100036621094</v>
      </c>
      <c r="D4084">
        <v>468.8800048828125</v>
      </c>
      <c r="E4084">
        <v>458.6499938964844</v>
      </c>
      <c r="F4084">
        <v>468.2799987792969</v>
      </c>
      <c r="G4084">
        <v>437.9834289550781</v>
      </c>
      <c r="H4084">
        <v>95484700</v>
      </c>
      <c r="I4084" t="s">
        <v>1015</v>
      </c>
      <c r="J4084" t="s">
        <v>1016</v>
      </c>
      <c r="K4084" t="s">
        <v>7557</v>
      </c>
    </row>
    <row r="4085" spans="1:11" ht="20" customHeight="1">
      <c r="A4085" t="s">
        <v>7556</v>
      </c>
      <c r="B4085" t="s">
        <v>1017</v>
      </c>
      <c r="C4085">
        <v>468.7000122070312</v>
      </c>
      <c r="D4085">
        <v>470</v>
      </c>
      <c r="E4085">
        <v>466.8299865722656</v>
      </c>
      <c r="F4085">
        <v>469.5199890136719</v>
      </c>
      <c r="G4085">
        <v>439.1432189941406</v>
      </c>
      <c r="H4085">
        <v>72238800</v>
      </c>
      <c r="I4085" t="s">
        <v>1018</v>
      </c>
      <c r="J4085" t="s">
        <v>1019</v>
      </c>
      <c r="K4085" t="s">
        <v>7557</v>
      </c>
    </row>
    <row r="4086" spans="1:11" ht="20" customHeight="1">
      <c r="A4086" t="s">
        <v>7556</v>
      </c>
      <c r="B4086" t="s">
        <v>1020</v>
      </c>
      <c r="C4086">
        <v>468.1499938964844</v>
      </c>
      <c r="D4086">
        <v>469.6300048828125</v>
      </c>
      <c r="E4086">
        <v>466.1400146484375</v>
      </c>
      <c r="F4086">
        <v>466.3500061035156</v>
      </c>
      <c r="G4086">
        <v>436.1783447265625</v>
      </c>
      <c r="H4086">
        <v>61272600</v>
      </c>
      <c r="I4086" t="s">
        <v>1021</v>
      </c>
      <c r="J4086" t="s">
        <v>1022</v>
      </c>
      <c r="K4086" t="s">
        <v>7557</v>
      </c>
    </row>
    <row r="4087" spans="1:11" ht="20" customHeight="1">
      <c r="A4087" t="s">
        <v>7556</v>
      </c>
      <c r="B4087" t="s">
        <v>1023</v>
      </c>
      <c r="C4087">
        <v>469.2300109863281</v>
      </c>
      <c r="D4087">
        <v>470.8999938964844</v>
      </c>
      <c r="E4087">
        <v>466.510009765625</v>
      </c>
      <c r="F4087">
        <v>470.739990234375</v>
      </c>
      <c r="G4087">
        <v>440.2843017578125</v>
      </c>
      <c r="H4087">
        <v>77159800</v>
      </c>
      <c r="I4087" t="s">
        <v>1024</v>
      </c>
      <c r="J4087" t="s">
        <v>1025</v>
      </c>
      <c r="K4087" t="s">
        <v>7557</v>
      </c>
    </row>
    <row r="4088" spans="1:11" ht="20" customHeight="1">
      <c r="A4088" t="s">
        <v>7556</v>
      </c>
      <c r="B4088" t="s">
        <v>1026</v>
      </c>
      <c r="C4088">
        <v>470.1900024414062</v>
      </c>
      <c r="D4088">
        <v>470.5599975585938</v>
      </c>
      <c r="E4088">
        <v>466.2699890136719</v>
      </c>
      <c r="F4088">
        <v>466.5700073242188</v>
      </c>
      <c r="G4088">
        <v>436.3840637207031</v>
      </c>
      <c r="H4088">
        <v>87724700</v>
      </c>
      <c r="I4088" t="s">
        <v>1027</v>
      </c>
      <c r="J4088" t="s">
        <v>1028</v>
      </c>
      <c r="K4088" t="s">
        <v>7557</v>
      </c>
    </row>
    <row r="4089" spans="1:11" ht="20" customHeight="1">
      <c r="A4089" t="s">
        <v>7556</v>
      </c>
      <c r="B4089" t="s">
        <v>1029</v>
      </c>
      <c r="C4089">
        <v>463.0899963378906</v>
      </c>
      <c r="D4089">
        <v>465.739990234375</v>
      </c>
      <c r="E4089">
        <v>460.25</v>
      </c>
      <c r="F4089">
        <v>463.3599853515625</v>
      </c>
      <c r="G4089">
        <v>433.3817749023438</v>
      </c>
      <c r="H4089">
        <v>97264100</v>
      </c>
      <c r="I4089" t="s">
        <v>1030</v>
      </c>
      <c r="J4089" t="s">
        <v>1031</v>
      </c>
      <c r="K4089" t="s">
        <v>7557</v>
      </c>
    </row>
    <row r="4090" spans="1:11" ht="20" customHeight="1">
      <c r="A4090" t="s">
        <v>7556</v>
      </c>
      <c r="B4090" t="s">
        <v>1032</v>
      </c>
      <c r="C4090">
        <v>463.4200134277344</v>
      </c>
      <c r="D4090">
        <v>470.8599853515625</v>
      </c>
      <c r="E4090">
        <v>460.739990234375</v>
      </c>
      <c r="F4090">
        <v>470.6000061035156</v>
      </c>
      <c r="G4090">
        <v>440.1533508300781</v>
      </c>
      <c r="H4090">
        <v>116899300</v>
      </c>
      <c r="I4090" t="s">
        <v>1033</v>
      </c>
      <c r="J4090" t="s">
        <v>1034</v>
      </c>
      <c r="K4090" t="s">
        <v>7557</v>
      </c>
    </row>
    <row r="4091" spans="1:11" ht="20" customHeight="1">
      <c r="A4091" t="s">
        <v>7556</v>
      </c>
      <c r="B4091" t="s">
        <v>1035</v>
      </c>
      <c r="C4091">
        <v>472.5700073242188</v>
      </c>
      <c r="D4091">
        <v>472.8699951171875</v>
      </c>
      <c r="E4091">
        <v>464.7999877929688</v>
      </c>
      <c r="F4091">
        <v>466.4500122070312</v>
      </c>
      <c r="G4091">
        <v>436.2718200683594</v>
      </c>
      <c r="H4091">
        <v>116568600</v>
      </c>
      <c r="I4091" t="s">
        <v>1036</v>
      </c>
      <c r="J4091" t="s">
        <v>1037</v>
      </c>
      <c r="K4091" t="s">
        <v>7557</v>
      </c>
    </row>
    <row r="4092" spans="1:11" ht="20" customHeight="1">
      <c r="A4092" t="s">
        <v>7556</v>
      </c>
      <c r="B4092" t="s">
        <v>1038</v>
      </c>
      <c r="C4092">
        <v>461.5499877929688</v>
      </c>
      <c r="D4092">
        <v>464.739990234375</v>
      </c>
      <c r="E4092">
        <v>458.0599975585938</v>
      </c>
      <c r="F4092">
        <v>459.8699951171875</v>
      </c>
      <c r="G4092">
        <v>431.6286315917969</v>
      </c>
      <c r="H4092">
        <v>135511600</v>
      </c>
      <c r="I4092" t="s">
        <v>1039</v>
      </c>
      <c r="J4092" t="s">
        <v>1040</v>
      </c>
      <c r="K4092" t="s">
        <v>7557</v>
      </c>
    </row>
    <row r="4093" spans="1:11" ht="20" customHeight="1">
      <c r="A4093" t="s">
        <v>7556</v>
      </c>
      <c r="B4093" t="s">
        <v>1041</v>
      </c>
      <c r="C4093">
        <v>454.4800109863281</v>
      </c>
      <c r="D4093">
        <v>455.3999938964844</v>
      </c>
      <c r="E4093">
        <v>451.1400146484375</v>
      </c>
      <c r="F4093">
        <v>454.9800109863281</v>
      </c>
      <c r="G4093">
        <v>427.0388793945312</v>
      </c>
      <c r="H4093">
        <v>107134800</v>
      </c>
      <c r="I4093" t="s">
        <v>1042</v>
      </c>
      <c r="J4093" t="s">
        <v>1043</v>
      </c>
      <c r="K4093" t="s">
        <v>7557</v>
      </c>
    </row>
    <row r="4094" spans="1:11" ht="20" customHeight="1">
      <c r="A4094" t="s">
        <v>7556</v>
      </c>
      <c r="B4094" t="s">
        <v>1044</v>
      </c>
      <c r="C4094">
        <v>458.6099853515625</v>
      </c>
      <c r="D4094">
        <v>463.2099914550781</v>
      </c>
      <c r="E4094">
        <v>456.3099975585938</v>
      </c>
      <c r="F4094">
        <v>463.0599975585938</v>
      </c>
      <c r="G4094">
        <v>434.6227111816406</v>
      </c>
      <c r="H4094">
        <v>69806300</v>
      </c>
      <c r="I4094" t="s">
        <v>1045</v>
      </c>
      <c r="J4094" t="s">
        <v>1046</v>
      </c>
      <c r="K4094" t="s">
        <v>7557</v>
      </c>
    </row>
    <row r="4095" spans="1:11" ht="20" customHeight="1">
      <c r="A4095" t="s">
        <v>7556</v>
      </c>
      <c r="B4095" t="s">
        <v>1047</v>
      </c>
      <c r="C4095">
        <v>462.7900085449219</v>
      </c>
      <c r="D4095">
        <v>467.8099975585938</v>
      </c>
      <c r="E4095">
        <v>462.5799865722656</v>
      </c>
      <c r="F4095">
        <v>467.6900024414062</v>
      </c>
      <c r="G4095">
        <v>438.9683532714844</v>
      </c>
      <c r="H4095">
        <v>58890200</v>
      </c>
      <c r="I4095" t="s">
        <v>1048</v>
      </c>
      <c r="J4095" t="s">
        <v>1049</v>
      </c>
      <c r="K4095" t="s">
        <v>7557</v>
      </c>
    </row>
    <row r="4096" spans="1:11" ht="20" customHeight="1">
      <c r="A4096" t="s">
        <v>7556</v>
      </c>
      <c r="B4096" t="s">
        <v>1050</v>
      </c>
      <c r="C4096">
        <v>468.75</v>
      </c>
      <c r="D4096">
        <v>472.1900024414062</v>
      </c>
      <c r="E4096">
        <v>468.6400146484375</v>
      </c>
      <c r="F4096">
        <v>470.6000061035156</v>
      </c>
      <c r="G4096">
        <v>441.6997375488281</v>
      </c>
      <c r="H4096">
        <v>56439700</v>
      </c>
      <c r="I4096" t="s">
        <v>1051</v>
      </c>
      <c r="J4096" t="s">
        <v>1052</v>
      </c>
      <c r="K4096" t="s">
        <v>7557</v>
      </c>
    </row>
    <row r="4097" spans="1:11" ht="20" customHeight="1">
      <c r="A4097" t="s">
        <v>7556</v>
      </c>
      <c r="B4097" t="s">
        <v>1053</v>
      </c>
      <c r="C4097">
        <v>472.0599975585938</v>
      </c>
      <c r="D4097">
        <v>477.3099975585938</v>
      </c>
      <c r="E4097">
        <v>472.010009765625</v>
      </c>
      <c r="F4097">
        <v>477.260009765625</v>
      </c>
      <c r="G4097">
        <v>447.9507141113281</v>
      </c>
      <c r="H4097">
        <v>56808600</v>
      </c>
      <c r="I4097" t="s">
        <v>1054</v>
      </c>
      <c r="J4097" t="s">
        <v>1055</v>
      </c>
      <c r="K4097" t="s">
        <v>7557</v>
      </c>
    </row>
    <row r="4098" spans="1:11" ht="20" customHeight="1">
      <c r="A4098" t="s">
        <v>7556</v>
      </c>
      <c r="B4098" t="s">
        <v>1056</v>
      </c>
      <c r="C4098">
        <v>477.7200012207031</v>
      </c>
      <c r="D4098">
        <v>478.8099975585938</v>
      </c>
      <c r="E4098">
        <v>476.0599975585938</v>
      </c>
      <c r="F4098">
        <v>476.8699951171875</v>
      </c>
      <c r="G4098">
        <v>447.5846557617188</v>
      </c>
      <c r="H4098">
        <v>47274600</v>
      </c>
      <c r="I4098" t="s">
        <v>1057</v>
      </c>
      <c r="J4098" t="s">
        <v>1058</v>
      </c>
      <c r="K4098" t="s">
        <v>7557</v>
      </c>
    </row>
    <row r="4099" spans="1:11" ht="20" customHeight="1">
      <c r="A4099" t="s">
        <v>7556</v>
      </c>
      <c r="B4099" t="s">
        <v>1059</v>
      </c>
      <c r="C4099">
        <v>476.9800109863281</v>
      </c>
      <c r="D4099">
        <v>478.5599975585938</v>
      </c>
      <c r="E4099">
        <v>475.9200134277344</v>
      </c>
      <c r="F4099">
        <v>477.4800109863281</v>
      </c>
      <c r="G4099">
        <v>448.1572570800781</v>
      </c>
      <c r="H4099">
        <v>54503000</v>
      </c>
      <c r="I4099" t="s">
        <v>1060</v>
      </c>
      <c r="J4099" t="s">
        <v>1061</v>
      </c>
      <c r="K4099" t="s">
        <v>7557</v>
      </c>
    </row>
    <row r="4100" spans="1:11" ht="20" customHeight="1">
      <c r="A4100" t="s">
        <v>7556</v>
      </c>
      <c r="B4100" t="s">
        <v>1062</v>
      </c>
      <c r="C4100">
        <v>477.9299926757812</v>
      </c>
      <c r="D4100">
        <v>479</v>
      </c>
      <c r="E4100">
        <v>475.6700134277344</v>
      </c>
      <c r="F4100">
        <v>476.1600036621094</v>
      </c>
      <c r="G4100">
        <v>446.9182434082031</v>
      </c>
      <c r="H4100">
        <v>55329000</v>
      </c>
      <c r="I4100" t="s">
        <v>1063</v>
      </c>
      <c r="J4100" t="s">
        <v>1064</v>
      </c>
      <c r="K4100" t="s">
        <v>7557</v>
      </c>
    </row>
    <row r="4101" spans="1:11" ht="20" customHeight="1">
      <c r="A4101" t="s">
        <v>7556</v>
      </c>
      <c r="B4101" t="s">
        <v>1065</v>
      </c>
      <c r="C4101">
        <v>475.6400146484375</v>
      </c>
      <c r="D4101">
        <v>476.8599853515625</v>
      </c>
      <c r="E4101">
        <v>474.6700134277344</v>
      </c>
      <c r="F4101">
        <v>474.9599914550781</v>
      </c>
      <c r="G4101">
        <v>445.7919006347656</v>
      </c>
      <c r="H4101">
        <v>65237400</v>
      </c>
      <c r="I4101" t="s">
        <v>1066</v>
      </c>
      <c r="J4101" t="s">
        <v>1067</v>
      </c>
      <c r="K4101" t="s">
        <v>7557</v>
      </c>
    </row>
    <row r="4102" spans="1:11" ht="20" customHeight="1">
      <c r="A4102" t="s">
        <v>7556</v>
      </c>
      <c r="B4102" t="s">
        <v>1068</v>
      </c>
      <c r="C4102">
        <v>476.2999877929688</v>
      </c>
      <c r="D4102">
        <v>477.8500061035156</v>
      </c>
      <c r="E4102">
        <v>473.8500061035156</v>
      </c>
      <c r="F4102">
        <v>477.7099914550781</v>
      </c>
      <c r="G4102">
        <v>448.3729858398438</v>
      </c>
      <c r="H4102">
        <v>72668200</v>
      </c>
      <c r="I4102" t="s">
        <v>1069</v>
      </c>
      <c r="J4102" t="s">
        <v>1070</v>
      </c>
      <c r="K4102" t="s">
        <v>7557</v>
      </c>
    </row>
    <row r="4103" spans="1:11" ht="20" customHeight="1">
      <c r="A4103" t="s">
        <v>7556</v>
      </c>
      <c r="B4103" t="s">
        <v>1071</v>
      </c>
      <c r="C4103">
        <v>479.2200012207031</v>
      </c>
      <c r="D4103">
        <v>479.9800109863281</v>
      </c>
      <c r="E4103">
        <v>475.5799865722656</v>
      </c>
      <c r="F4103">
        <v>477.5499877929688</v>
      </c>
      <c r="G4103">
        <v>448.2228088378906</v>
      </c>
      <c r="H4103">
        <v>71178700</v>
      </c>
      <c r="I4103" t="s">
        <v>1072</v>
      </c>
      <c r="J4103" t="s">
        <v>1073</v>
      </c>
      <c r="K4103" t="s">
        <v>7557</v>
      </c>
    </row>
    <row r="4104" spans="1:11" ht="20" customHeight="1">
      <c r="A4104" t="s">
        <v>7556</v>
      </c>
      <c r="B4104" t="s">
        <v>1074</v>
      </c>
      <c r="C4104">
        <v>477.1600036621094</v>
      </c>
      <c r="D4104">
        <v>477.9800109863281</v>
      </c>
      <c r="E4104">
        <v>468.2799987792969</v>
      </c>
      <c r="F4104">
        <v>468.3800048828125</v>
      </c>
      <c r="G4104">
        <v>439.6160278320312</v>
      </c>
      <c r="H4104">
        <v>104538900</v>
      </c>
      <c r="I4104" t="s">
        <v>1075</v>
      </c>
      <c r="J4104" t="s">
        <v>1076</v>
      </c>
      <c r="K4104" t="s">
        <v>7557</v>
      </c>
    </row>
    <row r="4105" spans="1:11" ht="20" customHeight="1">
      <c r="A4105" t="s">
        <v>7556</v>
      </c>
      <c r="B4105" t="s">
        <v>1077</v>
      </c>
      <c r="C4105">
        <v>467.8900146484375</v>
      </c>
      <c r="D4105">
        <v>470.8200073242188</v>
      </c>
      <c r="E4105">
        <v>465.4299926757812</v>
      </c>
      <c r="F4105">
        <v>467.9400024414062</v>
      </c>
      <c r="G4105">
        <v>439.2030944824219</v>
      </c>
      <c r="H4105">
        <v>86858900</v>
      </c>
      <c r="I4105" t="s">
        <v>1078</v>
      </c>
      <c r="J4105" t="s">
        <v>1079</v>
      </c>
      <c r="K4105" t="s">
        <v>7557</v>
      </c>
    </row>
    <row r="4106" spans="1:11" ht="20" customHeight="1">
      <c r="A4106" t="s">
        <v>7556</v>
      </c>
      <c r="B4106" t="s">
        <v>1080</v>
      </c>
      <c r="C4106">
        <v>467.9500122070312</v>
      </c>
      <c r="D4106">
        <v>469.2000122070312</v>
      </c>
      <c r="E4106">
        <v>464.6499938964844</v>
      </c>
      <c r="F4106">
        <v>466.0899963378906</v>
      </c>
      <c r="G4106">
        <v>437.4666748046875</v>
      </c>
      <c r="H4106">
        <v>85111600</v>
      </c>
      <c r="I4106" t="s">
        <v>1081</v>
      </c>
      <c r="J4106" t="s">
        <v>1082</v>
      </c>
      <c r="K4106" t="s">
        <v>7557</v>
      </c>
    </row>
    <row r="4107" spans="1:11" ht="20" customHeight="1">
      <c r="A4107" t="s">
        <v>7556</v>
      </c>
      <c r="B4107" t="s">
        <v>1083</v>
      </c>
      <c r="C4107">
        <v>462.7000122070312</v>
      </c>
      <c r="D4107">
        <v>465.739990234375</v>
      </c>
      <c r="E4107">
        <v>456.6000061035156</v>
      </c>
      <c r="F4107">
        <v>465.510009765625</v>
      </c>
      <c r="G4107">
        <v>436.9222412109375</v>
      </c>
      <c r="H4107">
        <v>119362000</v>
      </c>
      <c r="I4107" t="s">
        <v>1084</v>
      </c>
      <c r="J4107" t="s">
        <v>1085</v>
      </c>
      <c r="K4107" t="s">
        <v>7557</v>
      </c>
    </row>
    <row r="4108" spans="1:11" ht="20" customHeight="1">
      <c r="A4108" t="s">
        <v>7556</v>
      </c>
      <c r="B4108" t="s">
        <v>1086</v>
      </c>
      <c r="C4108">
        <v>465.2300109863281</v>
      </c>
      <c r="D4108">
        <v>469.8500061035156</v>
      </c>
      <c r="E4108">
        <v>462.0499877929688</v>
      </c>
      <c r="F4108">
        <v>469.75</v>
      </c>
      <c r="G4108">
        <v>440.9019165039062</v>
      </c>
      <c r="H4108">
        <v>74303100</v>
      </c>
      <c r="I4108" t="s">
        <v>1087</v>
      </c>
      <c r="J4108" t="s">
        <v>1088</v>
      </c>
      <c r="K4108" t="s">
        <v>7557</v>
      </c>
    </row>
    <row r="4109" spans="1:11" ht="20" customHeight="1">
      <c r="A4109" t="s">
        <v>7556</v>
      </c>
      <c r="B4109" t="s">
        <v>1089</v>
      </c>
      <c r="C4109">
        <v>471.5899963378906</v>
      </c>
      <c r="D4109">
        <v>473.2000122070312</v>
      </c>
      <c r="E4109">
        <v>468.9400024414062</v>
      </c>
      <c r="F4109">
        <v>471.0199890136719</v>
      </c>
      <c r="G4109">
        <v>442.0939331054688</v>
      </c>
      <c r="H4109">
        <v>67605400</v>
      </c>
      <c r="I4109" t="s">
        <v>1090</v>
      </c>
      <c r="J4109" t="s">
        <v>1091</v>
      </c>
      <c r="K4109" t="s">
        <v>7557</v>
      </c>
    </row>
    <row r="4110" spans="1:11" ht="20" customHeight="1">
      <c r="A4110" t="s">
        <v>7556</v>
      </c>
      <c r="B4110" t="s">
        <v>1092</v>
      </c>
      <c r="C4110">
        <v>472.1900024414062</v>
      </c>
      <c r="D4110">
        <v>472.8800048828125</v>
      </c>
      <c r="E4110">
        <v>463.4400024414062</v>
      </c>
      <c r="F4110">
        <v>464.5299987792969</v>
      </c>
      <c r="G4110">
        <v>436.0024719238281</v>
      </c>
      <c r="H4110">
        <v>91173100</v>
      </c>
      <c r="I4110" t="s">
        <v>1093</v>
      </c>
      <c r="J4110" t="s">
        <v>1094</v>
      </c>
      <c r="K4110" t="s">
        <v>7557</v>
      </c>
    </row>
    <row r="4111" spans="1:11" ht="20" customHeight="1">
      <c r="A4111" t="s">
        <v>7556</v>
      </c>
      <c r="B4111" t="s">
        <v>1095</v>
      </c>
      <c r="C4111">
        <v>461.1900024414062</v>
      </c>
      <c r="D4111">
        <v>465.0899963378906</v>
      </c>
      <c r="E4111">
        <v>459.8999938964844</v>
      </c>
      <c r="F4111">
        <v>464.7200012207031</v>
      </c>
      <c r="G4111">
        <v>436.1808166503906</v>
      </c>
      <c r="H4111">
        <v>95890900</v>
      </c>
      <c r="I4111" t="s">
        <v>1096</v>
      </c>
      <c r="J4111" t="s">
        <v>1097</v>
      </c>
      <c r="K4111" t="s">
        <v>7557</v>
      </c>
    </row>
    <row r="4112" spans="1:11" ht="20" customHeight="1">
      <c r="A4112" t="s">
        <v>7556</v>
      </c>
      <c r="B4112" t="s">
        <v>1098</v>
      </c>
      <c r="C4112">
        <v>459.739990234375</v>
      </c>
      <c r="D4112">
        <v>459.9599914550781</v>
      </c>
      <c r="E4112">
        <v>455.3099975585938</v>
      </c>
      <c r="F4112">
        <v>456.489990234375</v>
      </c>
      <c r="G4112">
        <v>428.4561767578125</v>
      </c>
      <c r="H4112">
        <v>109709100</v>
      </c>
      <c r="I4112" t="s">
        <v>1099</v>
      </c>
      <c r="J4112" t="s">
        <v>1100</v>
      </c>
      <c r="K4112" t="s">
        <v>7557</v>
      </c>
    </row>
    <row r="4113" spans="1:11" ht="20" customHeight="1">
      <c r="A4113" t="s">
        <v>7556</v>
      </c>
      <c r="B4113" t="s">
        <v>1101</v>
      </c>
      <c r="C4113">
        <v>458.1300048828125</v>
      </c>
      <c r="D4113">
        <v>459.6099853515625</v>
      </c>
      <c r="E4113">
        <v>451.4599914550781</v>
      </c>
      <c r="F4113">
        <v>451.75</v>
      </c>
      <c r="G4113">
        <v>424.0072937011719</v>
      </c>
      <c r="H4113">
        <v>109357600</v>
      </c>
      <c r="I4113" t="s">
        <v>1102</v>
      </c>
      <c r="J4113" t="s">
        <v>1103</v>
      </c>
      <c r="K4113" t="s">
        <v>7557</v>
      </c>
    </row>
    <row r="4114" spans="1:11" ht="20" customHeight="1">
      <c r="A4114" t="s">
        <v>7556</v>
      </c>
      <c r="B4114" t="s">
        <v>1104</v>
      </c>
      <c r="C4114">
        <v>453.75</v>
      </c>
      <c r="D4114">
        <v>458.739990234375</v>
      </c>
      <c r="E4114">
        <v>444.5</v>
      </c>
      <c r="F4114">
        <v>446.75</v>
      </c>
      <c r="G4114">
        <v>419.3143615722656</v>
      </c>
      <c r="H4114">
        <v>122379700</v>
      </c>
      <c r="I4114" t="s">
        <v>1105</v>
      </c>
      <c r="J4114" t="s">
        <v>1106</v>
      </c>
      <c r="K4114" t="s">
        <v>7557</v>
      </c>
    </row>
    <row r="4115" spans="1:11" ht="20" customHeight="1">
      <c r="A4115" t="s">
        <v>7556</v>
      </c>
      <c r="B4115" t="s">
        <v>1107</v>
      </c>
      <c r="C4115">
        <v>445.5599975585938</v>
      </c>
      <c r="D4115">
        <v>448.0599975585938</v>
      </c>
      <c r="E4115">
        <v>437.9500122070312</v>
      </c>
      <c r="F4115">
        <v>437.9800109863281</v>
      </c>
      <c r="G4115">
        <v>411.0828552246094</v>
      </c>
      <c r="H4115">
        <v>202271200</v>
      </c>
      <c r="I4115" t="s">
        <v>1108</v>
      </c>
      <c r="J4115" t="s">
        <v>1109</v>
      </c>
      <c r="K4115" t="s">
        <v>7557</v>
      </c>
    </row>
    <row r="4116" spans="1:11" ht="20" customHeight="1">
      <c r="A4116" t="s">
        <v>7556</v>
      </c>
      <c r="B4116" t="s">
        <v>1110</v>
      </c>
      <c r="C4116">
        <v>432.0299987792969</v>
      </c>
      <c r="D4116">
        <v>440.3800048828125</v>
      </c>
      <c r="E4116">
        <v>420.760009765625</v>
      </c>
      <c r="F4116">
        <v>439.8399963378906</v>
      </c>
      <c r="G4116">
        <v>412.8286437988281</v>
      </c>
      <c r="H4116">
        <v>251783900</v>
      </c>
      <c r="I4116" t="s">
        <v>1111</v>
      </c>
      <c r="J4116" t="s">
        <v>1112</v>
      </c>
      <c r="K4116" t="s">
        <v>7557</v>
      </c>
    </row>
    <row r="4117" spans="1:11" ht="20" customHeight="1">
      <c r="A4117" t="s">
        <v>7556</v>
      </c>
      <c r="B4117" t="s">
        <v>1113</v>
      </c>
      <c r="C4117">
        <v>433.0599975585938</v>
      </c>
      <c r="D4117">
        <v>439.7200012207031</v>
      </c>
      <c r="E4117">
        <v>427.1499938964844</v>
      </c>
      <c r="F4117">
        <v>434.4700012207031</v>
      </c>
      <c r="G4117">
        <v>407.7884826660156</v>
      </c>
      <c r="H4117">
        <v>167997300</v>
      </c>
      <c r="I4117" t="s">
        <v>1114</v>
      </c>
      <c r="J4117" t="s">
        <v>1115</v>
      </c>
      <c r="K4117" t="s">
        <v>7557</v>
      </c>
    </row>
    <row r="4118" spans="1:11" ht="20" customHeight="1">
      <c r="A4118" t="s">
        <v>7556</v>
      </c>
      <c r="B4118" t="s">
        <v>1116</v>
      </c>
      <c r="C4118">
        <v>440.7200012207031</v>
      </c>
      <c r="D4118">
        <v>444.0400085449219</v>
      </c>
      <c r="E4118">
        <v>428.8599853515625</v>
      </c>
      <c r="F4118">
        <v>433.3800048828125</v>
      </c>
      <c r="G4118">
        <v>406.7654113769531</v>
      </c>
      <c r="H4118">
        <v>186391100</v>
      </c>
      <c r="I4118" t="s">
        <v>1117</v>
      </c>
      <c r="J4118" t="s">
        <v>1118</v>
      </c>
      <c r="K4118" t="s">
        <v>7557</v>
      </c>
    </row>
    <row r="4119" spans="1:11" ht="20" customHeight="1">
      <c r="A4119" t="s">
        <v>7556</v>
      </c>
      <c r="B4119" t="s">
        <v>1119</v>
      </c>
      <c r="C4119">
        <v>438.260009765625</v>
      </c>
      <c r="D4119">
        <v>441.5899963378906</v>
      </c>
      <c r="E4119">
        <v>429.4500122070312</v>
      </c>
      <c r="F4119">
        <v>431.239990234375</v>
      </c>
      <c r="G4119">
        <v>404.7568969726562</v>
      </c>
      <c r="H4119">
        <v>149878300</v>
      </c>
      <c r="I4119" t="s">
        <v>1120</v>
      </c>
      <c r="J4119" t="s">
        <v>1121</v>
      </c>
      <c r="K4119" t="s">
        <v>7557</v>
      </c>
    </row>
    <row r="4120" spans="1:11" ht="20" customHeight="1">
      <c r="A4120" t="s">
        <v>7556</v>
      </c>
      <c r="B4120" t="s">
        <v>1122</v>
      </c>
      <c r="C4120">
        <v>432.6799926757812</v>
      </c>
      <c r="D4120">
        <v>442</v>
      </c>
      <c r="E4120">
        <v>427.8200073242188</v>
      </c>
      <c r="F4120">
        <v>441.9500122070312</v>
      </c>
      <c r="G4120">
        <v>414.8091430664062</v>
      </c>
      <c r="H4120">
        <v>164457400</v>
      </c>
      <c r="I4120" t="s">
        <v>1123</v>
      </c>
      <c r="J4120" t="s">
        <v>1124</v>
      </c>
      <c r="K4120" t="s">
        <v>7557</v>
      </c>
    </row>
    <row r="4121" spans="1:11" ht="20" customHeight="1">
      <c r="A4121" t="s">
        <v>7556</v>
      </c>
      <c r="B4121" t="s">
        <v>1125</v>
      </c>
      <c r="C4121">
        <v>441.239990234375</v>
      </c>
      <c r="D4121">
        <v>450.2799987792969</v>
      </c>
      <c r="E4121">
        <v>439.8099975585938</v>
      </c>
      <c r="F4121">
        <v>449.9100036621094</v>
      </c>
      <c r="G4121">
        <v>422.2803039550781</v>
      </c>
      <c r="H4121">
        <v>152251400</v>
      </c>
      <c r="I4121" t="s">
        <v>1126</v>
      </c>
      <c r="J4121" t="s">
        <v>1127</v>
      </c>
      <c r="K4121" t="s">
        <v>7557</v>
      </c>
    </row>
    <row r="4122" spans="1:11" ht="20" customHeight="1">
      <c r="A4122" t="s">
        <v>7556</v>
      </c>
      <c r="B4122" t="s">
        <v>1128</v>
      </c>
      <c r="C4122">
        <v>450.6799926757812</v>
      </c>
      <c r="D4122">
        <v>453.6300048828125</v>
      </c>
      <c r="E4122">
        <v>446.9400024414062</v>
      </c>
      <c r="F4122">
        <v>452.9500122070312</v>
      </c>
      <c r="G4122">
        <v>425.1336364746094</v>
      </c>
      <c r="H4122">
        <v>123155400</v>
      </c>
      <c r="I4122" t="s">
        <v>1129</v>
      </c>
      <c r="J4122" t="s">
        <v>1130</v>
      </c>
      <c r="K4122" t="s">
        <v>7557</v>
      </c>
    </row>
    <row r="4123" spans="1:11" ht="20" customHeight="1">
      <c r="A4123" t="s">
        <v>7556</v>
      </c>
      <c r="B4123" t="s">
        <v>1131</v>
      </c>
      <c r="C4123">
        <v>455.5</v>
      </c>
      <c r="D4123">
        <v>458.1199951171875</v>
      </c>
      <c r="E4123">
        <v>453.0499877929688</v>
      </c>
      <c r="F4123">
        <v>457.3500061035156</v>
      </c>
      <c r="G4123">
        <v>429.2633666992188</v>
      </c>
      <c r="H4123">
        <v>117361000</v>
      </c>
      <c r="I4123" t="s">
        <v>1132</v>
      </c>
      <c r="J4123" t="s">
        <v>1133</v>
      </c>
      <c r="K4123" t="s">
        <v>7557</v>
      </c>
    </row>
    <row r="4124" spans="1:11" ht="20" customHeight="1">
      <c r="A4124" t="s">
        <v>7556</v>
      </c>
      <c r="B4124" t="s">
        <v>1134</v>
      </c>
      <c r="C4124">
        <v>450.9500122070312</v>
      </c>
      <c r="D4124">
        <v>452.9700012207031</v>
      </c>
      <c r="E4124">
        <v>445.7099914550781</v>
      </c>
      <c r="F4124">
        <v>446.6000061035156</v>
      </c>
      <c r="G4124">
        <v>419.1736145019531</v>
      </c>
      <c r="H4124">
        <v>118024400</v>
      </c>
      <c r="I4124" t="s">
        <v>1135</v>
      </c>
      <c r="J4124" t="s">
        <v>1136</v>
      </c>
      <c r="K4124" t="s">
        <v>7557</v>
      </c>
    </row>
    <row r="4125" spans="1:11" ht="20" customHeight="1">
      <c r="A4125" t="s">
        <v>7556</v>
      </c>
      <c r="B4125" t="s">
        <v>1137</v>
      </c>
      <c r="C4125">
        <v>446.3500061035156</v>
      </c>
      <c r="D4125">
        <v>452.7799987792969</v>
      </c>
      <c r="E4125">
        <v>443.8299865722656</v>
      </c>
      <c r="F4125">
        <v>448.7000122070312</v>
      </c>
      <c r="G4125">
        <v>421.1445617675781</v>
      </c>
      <c r="H4125">
        <v>118454400</v>
      </c>
      <c r="I4125" t="s">
        <v>1138</v>
      </c>
      <c r="J4125" t="s">
        <v>1139</v>
      </c>
      <c r="K4125" t="s">
        <v>7557</v>
      </c>
    </row>
    <row r="4126" spans="1:11" ht="20" customHeight="1">
      <c r="A4126" t="s">
        <v>7556</v>
      </c>
      <c r="B4126" t="s">
        <v>1140</v>
      </c>
      <c r="C4126">
        <v>449.510009765625</v>
      </c>
      <c r="D4126">
        <v>450.989990234375</v>
      </c>
      <c r="E4126">
        <v>445.8500061035156</v>
      </c>
      <c r="F4126">
        <v>447.260009765625</v>
      </c>
      <c r="G4126">
        <v>419.7930603027344</v>
      </c>
      <c r="H4126">
        <v>84472900</v>
      </c>
      <c r="I4126" t="s">
        <v>1141</v>
      </c>
      <c r="J4126" t="s">
        <v>1142</v>
      </c>
      <c r="K4126" t="s">
        <v>7557</v>
      </c>
    </row>
    <row r="4127" spans="1:11" ht="20" customHeight="1">
      <c r="A4127" t="s">
        <v>7556</v>
      </c>
      <c r="B4127" t="s">
        <v>1143</v>
      </c>
      <c r="C4127">
        <v>446.7300109863281</v>
      </c>
      <c r="D4127">
        <v>451.9200134277344</v>
      </c>
      <c r="E4127">
        <v>445.2200012207031</v>
      </c>
      <c r="F4127">
        <v>450.9400024414062</v>
      </c>
      <c r="G4127">
        <v>423.2470397949219</v>
      </c>
      <c r="H4127">
        <v>81012000</v>
      </c>
      <c r="I4127" t="s">
        <v>1144</v>
      </c>
      <c r="J4127" t="s">
        <v>1145</v>
      </c>
      <c r="K4127" t="s">
        <v>7557</v>
      </c>
    </row>
    <row r="4128" spans="1:11" ht="20" customHeight="1">
      <c r="A4128" t="s">
        <v>7556</v>
      </c>
      <c r="B4128" t="s">
        <v>1146</v>
      </c>
      <c r="C4128">
        <v>455.2200012207031</v>
      </c>
      <c r="D4128">
        <v>457.8800048828125</v>
      </c>
      <c r="E4128">
        <v>455.010009765625</v>
      </c>
      <c r="F4128">
        <v>457.5400085449219</v>
      </c>
      <c r="G4128">
        <v>429.4418029785156</v>
      </c>
      <c r="H4128">
        <v>92589900</v>
      </c>
      <c r="I4128" t="s">
        <v>1147</v>
      </c>
      <c r="J4128" t="s">
        <v>1148</v>
      </c>
      <c r="K4128" t="s">
        <v>7557</v>
      </c>
    </row>
    <row r="4129" spans="1:11" ht="20" customHeight="1">
      <c r="A4129" t="s">
        <v>7556</v>
      </c>
      <c r="B4129" t="s">
        <v>1149</v>
      </c>
      <c r="C4129">
        <v>451.3399963378906</v>
      </c>
      <c r="D4129">
        <v>457.7099914550781</v>
      </c>
      <c r="E4129">
        <v>447.2000122070312</v>
      </c>
      <c r="F4129">
        <v>449.3200073242188</v>
      </c>
      <c r="G4129">
        <v>421.7265319824219</v>
      </c>
      <c r="H4129">
        <v>140103700</v>
      </c>
      <c r="I4129" t="s">
        <v>1150</v>
      </c>
      <c r="J4129" t="s">
        <v>1151</v>
      </c>
      <c r="K4129" t="s">
        <v>7557</v>
      </c>
    </row>
    <row r="4130" spans="1:11" ht="20" customHeight="1">
      <c r="A4130" t="s">
        <v>7556</v>
      </c>
      <c r="B4130" t="s">
        <v>1152</v>
      </c>
      <c r="C4130">
        <v>449.4100036621094</v>
      </c>
      <c r="D4130">
        <v>451.6099853515625</v>
      </c>
      <c r="E4130">
        <v>438.9400024414062</v>
      </c>
      <c r="F4130">
        <v>440.4599914550781</v>
      </c>
      <c r="G4130">
        <v>413.4106140136719</v>
      </c>
      <c r="H4130">
        <v>153214600</v>
      </c>
      <c r="I4130" t="s">
        <v>1153</v>
      </c>
      <c r="J4130" t="s">
        <v>1154</v>
      </c>
      <c r="K4130" t="s">
        <v>7557</v>
      </c>
    </row>
    <row r="4131" spans="1:11" ht="20" customHeight="1">
      <c r="A4131" t="s">
        <v>7556</v>
      </c>
      <c r="B4131" t="s">
        <v>1155</v>
      </c>
      <c r="C4131">
        <v>439.9200134277344</v>
      </c>
      <c r="D4131">
        <v>441.6000061035156</v>
      </c>
      <c r="E4131">
        <v>435.3399963378906</v>
      </c>
      <c r="F4131">
        <v>439.0199890136719</v>
      </c>
      <c r="G4131">
        <v>412.0590209960938</v>
      </c>
      <c r="H4131">
        <v>123006300</v>
      </c>
      <c r="I4131" t="s">
        <v>1156</v>
      </c>
      <c r="J4131" t="s">
        <v>1157</v>
      </c>
      <c r="K4131" t="s">
        <v>7557</v>
      </c>
    </row>
    <row r="4132" spans="1:11" ht="20" customHeight="1">
      <c r="A4132" t="s">
        <v>7556</v>
      </c>
      <c r="B4132" t="s">
        <v>1158</v>
      </c>
      <c r="C4132">
        <v>443.7300109863281</v>
      </c>
      <c r="D4132">
        <v>446.2799987792969</v>
      </c>
      <c r="E4132">
        <v>443.1799926757812</v>
      </c>
      <c r="F4132">
        <v>446.1000061035156</v>
      </c>
      <c r="G4132">
        <v>418.7042846679688</v>
      </c>
      <c r="H4132">
        <v>88482700</v>
      </c>
      <c r="I4132" t="s">
        <v>1159</v>
      </c>
      <c r="J4132" t="s">
        <v>1160</v>
      </c>
      <c r="K4132" t="s">
        <v>7557</v>
      </c>
    </row>
    <row r="4133" spans="1:11" ht="20" customHeight="1">
      <c r="A4133" t="s">
        <v>7556</v>
      </c>
      <c r="B4133" t="s">
        <v>1161</v>
      </c>
      <c r="C4133">
        <v>443.9299926757812</v>
      </c>
      <c r="D4133">
        <v>448.0599975585938</v>
      </c>
      <c r="E4133">
        <v>441.9400024414062</v>
      </c>
      <c r="F4133">
        <v>446.6000061035156</v>
      </c>
      <c r="G4133">
        <v>419.1736145019531</v>
      </c>
      <c r="H4133">
        <v>84863600</v>
      </c>
      <c r="I4133" t="s">
        <v>1162</v>
      </c>
      <c r="J4133" t="s">
        <v>1163</v>
      </c>
      <c r="K4133" t="s">
        <v>7557</v>
      </c>
    </row>
    <row r="4134" spans="1:11" ht="20" customHeight="1">
      <c r="A4134" t="s">
        <v>7556</v>
      </c>
      <c r="B4134" t="s">
        <v>1164</v>
      </c>
      <c r="C4134">
        <v>443.2200012207031</v>
      </c>
      <c r="D4134">
        <v>446.5700073242188</v>
      </c>
      <c r="E4134">
        <v>436.4200134277344</v>
      </c>
      <c r="F4134">
        <v>437.0599975585938</v>
      </c>
      <c r="G4134">
        <v>410.2194519042969</v>
      </c>
      <c r="H4134">
        <v>102259100</v>
      </c>
      <c r="I4134" t="s">
        <v>1165</v>
      </c>
      <c r="J4134" t="s">
        <v>1166</v>
      </c>
      <c r="K4134" t="s">
        <v>7557</v>
      </c>
    </row>
    <row r="4135" spans="1:11" ht="20" customHeight="1">
      <c r="A4135" t="s">
        <v>7556</v>
      </c>
      <c r="B4135" t="s">
        <v>1167</v>
      </c>
      <c r="C4135">
        <v>437.3299865722656</v>
      </c>
      <c r="D4135">
        <v>438.6600036621094</v>
      </c>
      <c r="E4135">
        <v>431.8200073242188</v>
      </c>
      <c r="F4135">
        <v>434.2300109863281</v>
      </c>
      <c r="G4135">
        <v>407.563232421875</v>
      </c>
      <c r="H4135">
        <v>132642900</v>
      </c>
      <c r="I4135" t="s">
        <v>1168</v>
      </c>
      <c r="J4135" t="s">
        <v>1169</v>
      </c>
      <c r="K4135" t="s">
        <v>7557</v>
      </c>
    </row>
    <row r="4136" spans="1:11" ht="20" customHeight="1">
      <c r="A4136" t="s">
        <v>7556</v>
      </c>
      <c r="B4136" t="s">
        <v>1170</v>
      </c>
      <c r="C4136">
        <v>431.8900146484375</v>
      </c>
      <c r="D4136">
        <v>435.5</v>
      </c>
      <c r="E4136">
        <v>425.8599853515625</v>
      </c>
      <c r="F4136">
        <v>429.5700073242188</v>
      </c>
      <c r="G4136">
        <v>403.1893615722656</v>
      </c>
      <c r="H4136">
        <v>124391800</v>
      </c>
      <c r="I4136" t="s">
        <v>1171</v>
      </c>
      <c r="J4136" t="s">
        <v>1172</v>
      </c>
      <c r="K4136" t="s">
        <v>7557</v>
      </c>
    </row>
    <row r="4137" spans="1:11" ht="20" customHeight="1">
      <c r="A4137" t="s">
        <v>7556</v>
      </c>
      <c r="B4137" t="s">
        <v>1173</v>
      </c>
      <c r="C4137">
        <v>432.6600036621094</v>
      </c>
      <c r="D4137">
        <v>433.260009765625</v>
      </c>
      <c r="E4137">
        <v>421.3500061035156</v>
      </c>
      <c r="F4137">
        <v>421.9500122070312</v>
      </c>
      <c r="G4137">
        <v>396.0373840332031</v>
      </c>
      <c r="H4137">
        <v>132578000</v>
      </c>
      <c r="I4137" t="s">
        <v>1174</v>
      </c>
      <c r="J4137" t="s">
        <v>1175</v>
      </c>
      <c r="K4137" t="s">
        <v>7557</v>
      </c>
    </row>
    <row r="4138" spans="1:11" ht="20" customHeight="1">
      <c r="A4138" t="s">
        <v>7556</v>
      </c>
      <c r="B4138" t="s">
        <v>1176</v>
      </c>
      <c r="C4138">
        <v>411.0199890136719</v>
      </c>
      <c r="D4138">
        <v>428.760009765625</v>
      </c>
      <c r="E4138">
        <v>410.6400146484375</v>
      </c>
      <c r="F4138">
        <v>428.2999877929688</v>
      </c>
      <c r="G4138">
        <v>401.9974365234375</v>
      </c>
      <c r="H4138">
        <v>213942900</v>
      </c>
      <c r="I4138" t="s">
        <v>1177</v>
      </c>
      <c r="J4138" t="s">
        <v>1178</v>
      </c>
      <c r="K4138" t="s">
        <v>7557</v>
      </c>
    </row>
    <row r="4139" spans="1:11" ht="20" customHeight="1">
      <c r="A4139" t="s">
        <v>7556</v>
      </c>
      <c r="B4139" t="s">
        <v>1179</v>
      </c>
      <c r="C4139">
        <v>429.6099853515625</v>
      </c>
      <c r="D4139">
        <v>437.8399963378906</v>
      </c>
      <c r="E4139">
        <v>427.8599853515625</v>
      </c>
      <c r="F4139">
        <v>437.75</v>
      </c>
      <c r="G4139">
        <v>410.8670654296875</v>
      </c>
      <c r="H4139">
        <v>121804500</v>
      </c>
      <c r="I4139" t="s">
        <v>1180</v>
      </c>
      <c r="J4139" t="s">
        <v>1181</v>
      </c>
      <c r="K4139" t="s">
        <v>7557</v>
      </c>
    </row>
    <row r="4140" spans="1:11" ht="20" customHeight="1">
      <c r="A4140" t="s">
        <v>7556</v>
      </c>
      <c r="B4140" t="s">
        <v>1182</v>
      </c>
      <c r="C4140">
        <v>432.0299987792969</v>
      </c>
      <c r="D4140">
        <v>438.2000122070312</v>
      </c>
      <c r="E4140">
        <v>430.7000122070312</v>
      </c>
      <c r="F4140">
        <v>436.6300048828125</v>
      </c>
      <c r="G4140">
        <v>409.8157958984375</v>
      </c>
      <c r="H4140">
        <v>145615000</v>
      </c>
      <c r="I4140" t="s">
        <v>1183</v>
      </c>
      <c r="J4140" t="s">
        <v>1184</v>
      </c>
      <c r="K4140" t="s">
        <v>7557</v>
      </c>
    </row>
    <row r="4141" spans="1:11" ht="20" customHeight="1">
      <c r="A4141" t="s">
        <v>7556</v>
      </c>
      <c r="B4141" t="s">
        <v>1185</v>
      </c>
      <c r="C4141">
        <v>435.0400085449219</v>
      </c>
      <c r="D4141">
        <v>437.1700134277344</v>
      </c>
      <c r="E4141">
        <v>427.1099853515625</v>
      </c>
      <c r="F4141">
        <v>429.9800109863281</v>
      </c>
      <c r="G4141">
        <v>403.57421875</v>
      </c>
      <c r="H4141">
        <v>137785900</v>
      </c>
      <c r="I4141" t="s">
        <v>1186</v>
      </c>
      <c r="J4141" t="s">
        <v>1187</v>
      </c>
      <c r="K4141" t="s">
        <v>7557</v>
      </c>
    </row>
    <row r="4142" spans="1:11" ht="20" customHeight="1">
      <c r="A4142" t="s">
        <v>7556</v>
      </c>
      <c r="B4142" t="s">
        <v>1188</v>
      </c>
      <c r="C4142">
        <v>432.3699951171875</v>
      </c>
      <c r="D4142">
        <v>439.7200012207031</v>
      </c>
      <c r="E4142">
        <v>431.5700073242188</v>
      </c>
      <c r="F4142">
        <v>437.8900146484375</v>
      </c>
      <c r="G4142">
        <v>410.9984436035156</v>
      </c>
      <c r="H4142">
        <v>117726500</v>
      </c>
      <c r="I4142" t="s">
        <v>1189</v>
      </c>
      <c r="J4142" t="s">
        <v>1190</v>
      </c>
      <c r="K4142" t="s">
        <v>7557</v>
      </c>
    </row>
    <row r="4143" spans="1:11" ht="20" customHeight="1">
      <c r="A4143" t="s">
        <v>7556</v>
      </c>
      <c r="B4143" t="s">
        <v>1191</v>
      </c>
      <c r="C4143">
        <v>440.4700012207031</v>
      </c>
      <c r="D4143">
        <v>441.1099853515625</v>
      </c>
      <c r="E4143">
        <v>433.7999877929688</v>
      </c>
      <c r="F4143">
        <v>435.7099914550781</v>
      </c>
      <c r="G4143">
        <v>408.9524230957031</v>
      </c>
      <c r="H4143">
        <v>105501700</v>
      </c>
      <c r="I4143" t="s">
        <v>1192</v>
      </c>
      <c r="J4143" t="s">
        <v>1193</v>
      </c>
      <c r="K4143" t="s">
        <v>7557</v>
      </c>
    </row>
    <row r="4144" spans="1:11" ht="20" customHeight="1">
      <c r="A4144" t="s">
        <v>7556</v>
      </c>
      <c r="B4144" t="s">
        <v>1194</v>
      </c>
      <c r="C4144">
        <v>431.75</v>
      </c>
      <c r="D4144">
        <v>433.3699951171875</v>
      </c>
      <c r="E4144">
        <v>427.8800048828125</v>
      </c>
      <c r="F4144">
        <v>432.1700134277344</v>
      </c>
      <c r="G4144">
        <v>405.6297302246094</v>
      </c>
      <c r="H4144">
        <v>113978200</v>
      </c>
      <c r="I4144" t="s">
        <v>1195</v>
      </c>
      <c r="J4144" t="s">
        <v>1196</v>
      </c>
      <c r="K4144" t="s">
        <v>7557</v>
      </c>
    </row>
    <row r="4145" spans="1:11" ht="20" customHeight="1">
      <c r="A4145" t="s">
        <v>7556</v>
      </c>
      <c r="B4145" t="s">
        <v>1197</v>
      </c>
      <c r="C4145">
        <v>431.5499877929688</v>
      </c>
      <c r="D4145">
        <v>432.2999877929688</v>
      </c>
      <c r="E4145">
        <v>419.3599853515625</v>
      </c>
      <c r="F4145">
        <v>419.4299926757812</v>
      </c>
      <c r="G4145">
        <v>393.6720886230469</v>
      </c>
      <c r="H4145">
        <v>137896600</v>
      </c>
      <c r="I4145" t="s">
        <v>1198</v>
      </c>
      <c r="J4145" t="s">
        <v>1199</v>
      </c>
      <c r="K4145" t="s">
        <v>7557</v>
      </c>
    </row>
    <row r="4146" spans="1:11" ht="20" customHeight="1">
      <c r="A4146" t="s">
        <v>7556</v>
      </c>
      <c r="B4146" t="s">
        <v>1200</v>
      </c>
      <c r="C4146">
        <v>419.6199951171875</v>
      </c>
      <c r="D4146">
        <v>427.2099914550781</v>
      </c>
      <c r="E4146">
        <v>415.1199951171875</v>
      </c>
      <c r="F4146">
        <v>416.25</v>
      </c>
      <c r="G4146">
        <v>390.6874084472656</v>
      </c>
      <c r="H4146">
        <v>164772700</v>
      </c>
      <c r="I4146" t="s">
        <v>1201</v>
      </c>
      <c r="J4146" t="s">
        <v>1202</v>
      </c>
      <c r="K4146" t="s">
        <v>7557</v>
      </c>
    </row>
    <row r="4147" spans="1:11" ht="20" customHeight="1">
      <c r="A4147" t="s">
        <v>7556</v>
      </c>
      <c r="B4147" t="s">
        <v>1203</v>
      </c>
      <c r="C4147">
        <v>425.1400146484375</v>
      </c>
      <c r="D4147">
        <v>429.510009765625</v>
      </c>
      <c r="E4147">
        <v>422.8200073242188</v>
      </c>
      <c r="F4147">
        <v>427.4100036621094</v>
      </c>
      <c r="G4147">
        <v>401.1620483398438</v>
      </c>
      <c r="H4147">
        <v>116990800</v>
      </c>
      <c r="I4147" t="s">
        <v>1204</v>
      </c>
      <c r="J4147" t="s">
        <v>1205</v>
      </c>
      <c r="K4147" t="s">
        <v>7557</v>
      </c>
    </row>
    <row r="4148" spans="1:11" ht="20" customHeight="1">
      <c r="A4148" t="s">
        <v>7556</v>
      </c>
      <c r="B4148" t="s">
        <v>1206</v>
      </c>
      <c r="C4148">
        <v>422.5199890136719</v>
      </c>
      <c r="D4148">
        <v>426.4299926757812</v>
      </c>
      <c r="E4148">
        <v>420.4400024414062</v>
      </c>
      <c r="F4148">
        <v>425.4800109863281</v>
      </c>
      <c r="G4148">
        <v>399.3505859375</v>
      </c>
      <c r="H4148">
        <v>93972700</v>
      </c>
      <c r="I4148" t="s">
        <v>1207</v>
      </c>
      <c r="J4148" t="s">
        <v>1208</v>
      </c>
      <c r="K4148" t="s">
        <v>7557</v>
      </c>
    </row>
    <row r="4149" spans="1:11" ht="20" customHeight="1">
      <c r="A4149" t="s">
        <v>7556</v>
      </c>
      <c r="B4149" t="s">
        <v>1209</v>
      </c>
      <c r="C4149">
        <v>428.1199951171875</v>
      </c>
      <c r="D4149">
        <v>428.7699890136719</v>
      </c>
      <c r="E4149">
        <v>419.5299987792969</v>
      </c>
      <c r="F4149">
        <v>420.0700073242188</v>
      </c>
      <c r="G4149">
        <v>394.2727966308594</v>
      </c>
      <c r="H4149">
        <v>95636300</v>
      </c>
      <c r="I4149" t="s">
        <v>1210</v>
      </c>
      <c r="J4149" t="s">
        <v>1211</v>
      </c>
      <c r="K4149" t="s">
        <v>7557</v>
      </c>
    </row>
    <row r="4150" spans="1:11" ht="20" customHeight="1">
      <c r="A4150" t="s">
        <v>7556</v>
      </c>
      <c r="B4150" t="s">
        <v>1212</v>
      </c>
      <c r="C4150">
        <v>420.8900146484375</v>
      </c>
      <c r="D4150">
        <v>424.5499877929688</v>
      </c>
      <c r="E4150">
        <v>415.7900085449219</v>
      </c>
      <c r="F4150">
        <v>417</v>
      </c>
      <c r="G4150">
        <v>391.3913269042969</v>
      </c>
      <c r="H4150">
        <v>95729200</v>
      </c>
      <c r="I4150" t="s">
        <v>1213</v>
      </c>
      <c r="J4150" t="s">
        <v>1214</v>
      </c>
      <c r="K4150" t="s">
        <v>7557</v>
      </c>
    </row>
    <row r="4151" spans="1:11" ht="20" customHeight="1">
      <c r="A4151" t="s">
        <v>7556</v>
      </c>
      <c r="B4151" t="s">
        <v>1215</v>
      </c>
      <c r="C4151">
        <v>419.7699890136719</v>
      </c>
      <c r="D4151">
        <v>426.8399963378906</v>
      </c>
      <c r="E4151">
        <v>418.4200134277344</v>
      </c>
      <c r="F4151">
        <v>426.1700134277344</v>
      </c>
      <c r="G4151">
        <v>399.9981689453125</v>
      </c>
      <c r="H4151">
        <v>106219100</v>
      </c>
      <c r="I4151" t="s">
        <v>1216</v>
      </c>
      <c r="J4151" t="s">
        <v>1217</v>
      </c>
      <c r="K4151" t="s">
        <v>7557</v>
      </c>
    </row>
    <row r="4152" spans="1:11" ht="20" customHeight="1">
      <c r="A4152" t="s">
        <v>7556</v>
      </c>
      <c r="B4152" t="s">
        <v>1218</v>
      </c>
      <c r="C4152">
        <v>429.8900146484375</v>
      </c>
      <c r="D4152">
        <v>435.6799926757812</v>
      </c>
      <c r="E4152">
        <v>424.7999877929688</v>
      </c>
      <c r="F4152">
        <v>435.6199951171875</v>
      </c>
      <c r="G4152">
        <v>408.867919921875</v>
      </c>
      <c r="H4152">
        <v>144954800</v>
      </c>
      <c r="I4152" t="s">
        <v>1219</v>
      </c>
      <c r="J4152" t="s">
        <v>1220</v>
      </c>
      <c r="K4152" t="s">
        <v>7557</v>
      </c>
    </row>
    <row r="4153" spans="1:11" ht="20" customHeight="1">
      <c r="A4153" t="s">
        <v>7556</v>
      </c>
      <c r="B4153" t="s">
        <v>1221</v>
      </c>
      <c r="C4153">
        <v>433.5899963378906</v>
      </c>
      <c r="D4153">
        <v>441.0700073242188</v>
      </c>
      <c r="E4153">
        <v>433.1900024414062</v>
      </c>
      <c r="F4153">
        <v>441.0700073242188</v>
      </c>
      <c r="G4153">
        <v>413.9831848144531</v>
      </c>
      <c r="H4153">
        <v>102676900</v>
      </c>
      <c r="I4153" t="s">
        <v>1222</v>
      </c>
      <c r="J4153" t="s">
        <v>1223</v>
      </c>
      <c r="K4153" t="s">
        <v>7557</v>
      </c>
    </row>
    <row r="4154" spans="1:11" ht="20" customHeight="1">
      <c r="A4154" t="s">
        <v>7556</v>
      </c>
      <c r="B4154" t="s">
        <v>1224</v>
      </c>
      <c r="C4154">
        <v>438</v>
      </c>
      <c r="D4154">
        <v>444.8599853515625</v>
      </c>
      <c r="E4154">
        <v>437.2200012207031</v>
      </c>
      <c r="F4154">
        <v>444.5199890136719</v>
      </c>
      <c r="G4154">
        <v>418.5174560546875</v>
      </c>
      <c r="H4154">
        <v>106345500</v>
      </c>
      <c r="I4154" t="s">
        <v>1225</v>
      </c>
      <c r="J4154" t="s">
        <v>1226</v>
      </c>
      <c r="K4154" t="s">
        <v>7557</v>
      </c>
    </row>
    <row r="4155" spans="1:11" ht="20" customHeight="1">
      <c r="A4155" t="s">
        <v>7556</v>
      </c>
      <c r="B4155" t="s">
        <v>1227</v>
      </c>
      <c r="C4155">
        <v>444.3399963378906</v>
      </c>
      <c r="D4155">
        <v>446.4599914550781</v>
      </c>
      <c r="E4155">
        <v>440.6799926757812</v>
      </c>
      <c r="F4155">
        <v>444.3900146484375</v>
      </c>
      <c r="G4155">
        <v>418.3950805664062</v>
      </c>
      <c r="H4155">
        <v>88349800</v>
      </c>
      <c r="I4155" t="s">
        <v>1228</v>
      </c>
      <c r="J4155" t="s">
        <v>1229</v>
      </c>
      <c r="K4155" t="s">
        <v>7557</v>
      </c>
    </row>
    <row r="4156" spans="1:11" ht="20" customHeight="1">
      <c r="A4156" t="s">
        <v>7556</v>
      </c>
      <c r="B4156" t="s">
        <v>1230</v>
      </c>
      <c r="C4156">
        <v>445.8599853515625</v>
      </c>
      <c r="D4156">
        <v>450.5799865722656</v>
      </c>
      <c r="E4156">
        <v>445.8599853515625</v>
      </c>
      <c r="F4156">
        <v>449.5899963378906</v>
      </c>
      <c r="G4156">
        <v>423.2908630371094</v>
      </c>
      <c r="H4156">
        <v>74650400</v>
      </c>
      <c r="I4156" t="s">
        <v>1231</v>
      </c>
      <c r="J4156" t="s">
        <v>1232</v>
      </c>
      <c r="K4156" t="s">
        <v>7557</v>
      </c>
    </row>
    <row r="4157" spans="1:11" ht="20" customHeight="1">
      <c r="A4157" t="s">
        <v>7556</v>
      </c>
      <c r="B4157" t="s">
        <v>1233</v>
      </c>
      <c r="C4157">
        <v>446.9100036621094</v>
      </c>
      <c r="D4157">
        <v>448.489990234375</v>
      </c>
      <c r="E4157">
        <v>443.7099914550781</v>
      </c>
      <c r="F4157">
        <v>443.7999877929688</v>
      </c>
      <c r="G4157">
        <v>417.8395690917969</v>
      </c>
      <c r="H4157">
        <v>79426100</v>
      </c>
      <c r="I4157" t="s">
        <v>1234</v>
      </c>
      <c r="J4157" t="s">
        <v>1235</v>
      </c>
      <c r="K4157" t="s">
        <v>7557</v>
      </c>
    </row>
    <row r="4158" spans="1:11" ht="20" customHeight="1">
      <c r="A4158" t="s">
        <v>7556</v>
      </c>
      <c r="B4158" t="s">
        <v>1236</v>
      </c>
      <c r="C4158">
        <v>445.9400024414062</v>
      </c>
      <c r="D4158">
        <v>450.5</v>
      </c>
      <c r="E4158">
        <v>444.760009765625</v>
      </c>
      <c r="F4158">
        <v>450.489990234375</v>
      </c>
      <c r="G4158">
        <v>424.1382141113281</v>
      </c>
      <c r="H4158">
        <v>64736900</v>
      </c>
      <c r="I4158" t="s">
        <v>1237</v>
      </c>
      <c r="J4158" t="s">
        <v>1238</v>
      </c>
      <c r="K4158" t="s">
        <v>7557</v>
      </c>
    </row>
    <row r="4159" spans="1:11" ht="20" customHeight="1">
      <c r="A4159" t="s">
        <v>7556</v>
      </c>
      <c r="B4159" t="s">
        <v>1239</v>
      </c>
      <c r="C4159">
        <v>451.1600036621094</v>
      </c>
      <c r="D4159">
        <v>452.9800109863281</v>
      </c>
      <c r="E4159">
        <v>448.4299926757812</v>
      </c>
      <c r="F4159">
        <v>452.6900024414062</v>
      </c>
      <c r="G4159">
        <v>426.2095642089844</v>
      </c>
      <c r="H4159">
        <v>77101300</v>
      </c>
      <c r="I4159" t="s">
        <v>1240</v>
      </c>
      <c r="J4159" t="s">
        <v>1241</v>
      </c>
      <c r="K4159" t="s">
        <v>7557</v>
      </c>
    </row>
    <row r="4160" spans="1:11" ht="20" customHeight="1">
      <c r="A4160" t="s">
        <v>7556</v>
      </c>
      <c r="B4160" t="s">
        <v>1242</v>
      </c>
      <c r="C4160">
        <v>452.0599975585938</v>
      </c>
      <c r="D4160">
        <v>455.9100036621094</v>
      </c>
      <c r="E4160">
        <v>450.0599975585938</v>
      </c>
      <c r="F4160">
        <v>455.9100036621094</v>
      </c>
      <c r="G4160">
        <v>429.2411499023438</v>
      </c>
      <c r="H4160">
        <v>68529800</v>
      </c>
      <c r="I4160" t="s">
        <v>1243</v>
      </c>
      <c r="J4160" t="s">
        <v>1244</v>
      </c>
      <c r="K4160" t="s">
        <v>7557</v>
      </c>
    </row>
    <row r="4161" spans="1:11" ht="20" customHeight="1">
      <c r="A4161" t="s">
        <v>7556</v>
      </c>
      <c r="B4161" t="s">
        <v>1245</v>
      </c>
      <c r="C4161">
        <v>460.0199890136719</v>
      </c>
      <c r="D4161">
        <v>462.0700073242188</v>
      </c>
      <c r="E4161">
        <v>457.1799926757812</v>
      </c>
      <c r="F4161">
        <v>461.5499877929688</v>
      </c>
      <c r="G4161">
        <v>434.5512390136719</v>
      </c>
      <c r="H4161">
        <v>86581500</v>
      </c>
      <c r="I4161" t="s">
        <v>1246</v>
      </c>
      <c r="J4161" t="s">
        <v>1247</v>
      </c>
      <c r="K4161" t="s">
        <v>7557</v>
      </c>
    </row>
    <row r="4162" spans="1:11" ht="20" customHeight="1">
      <c r="A4162" t="s">
        <v>7556</v>
      </c>
      <c r="B4162" t="s">
        <v>1248</v>
      </c>
      <c r="C4162">
        <v>460.3399963378906</v>
      </c>
      <c r="D4162">
        <v>461.2000122070312</v>
      </c>
      <c r="E4162">
        <v>456.4700012207031</v>
      </c>
      <c r="F4162">
        <v>458.7000122070312</v>
      </c>
      <c r="G4162">
        <v>431.8679809570312</v>
      </c>
      <c r="H4162">
        <v>79666900</v>
      </c>
      <c r="I4162" t="s">
        <v>1249</v>
      </c>
      <c r="J4162" t="s">
        <v>1250</v>
      </c>
      <c r="K4162" t="s">
        <v>7557</v>
      </c>
    </row>
    <row r="4163" spans="1:11" ht="20" customHeight="1">
      <c r="A4163" t="s">
        <v>7556</v>
      </c>
      <c r="B4163" t="s">
        <v>1251</v>
      </c>
      <c r="C4163">
        <v>457.8900146484375</v>
      </c>
      <c r="D4163">
        <v>458.760009765625</v>
      </c>
      <c r="E4163">
        <v>451.1600036621094</v>
      </c>
      <c r="F4163">
        <v>451.6400146484375</v>
      </c>
      <c r="G4163">
        <v>425.2209777832031</v>
      </c>
      <c r="H4163">
        <v>121699900</v>
      </c>
      <c r="I4163" t="s">
        <v>1252</v>
      </c>
      <c r="J4163" t="s">
        <v>1253</v>
      </c>
      <c r="K4163" t="s">
        <v>7557</v>
      </c>
    </row>
    <row r="4164" spans="1:11" ht="20" customHeight="1">
      <c r="A4164" t="s">
        <v>7556</v>
      </c>
      <c r="B4164" t="s">
        <v>1254</v>
      </c>
      <c r="C4164">
        <v>453.3099975585938</v>
      </c>
      <c r="D4164">
        <v>453.4599914550781</v>
      </c>
      <c r="E4164">
        <v>449.1400146484375</v>
      </c>
      <c r="F4164">
        <v>452.9200134277344</v>
      </c>
      <c r="G4164">
        <v>426.4261169433594</v>
      </c>
      <c r="H4164">
        <v>89048800</v>
      </c>
      <c r="I4164" t="s">
        <v>1255</v>
      </c>
      <c r="J4164" t="s">
        <v>1256</v>
      </c>
      <c r="K4164" t="s">
        <v>7557</v>
      </c>
    </row>
    <row r="4165" spans="1:11" ht="20" customHeight="1">
      <c r="A4165" t="s">
        <v>7556</v>
      </c>
      <c r="B4165" t="s">
        <v>1257</v>
      </c>
      <c r="C4165">
        <v>453.1300048828125</v>
      </c>
      <c r="D4165">
        <v>456.9100036621094</v>
      </c>
      <c r="E4165">
        <v>452.260009765625</v>
      </c>
      <c r="F4165">
        <v>456.7999877929688</v>
      </c>
      <c r="G4165">
        <v>430.0790405273438</v>
      </c>
      <c r="H4165">
        <v>59601000</v>
      </c>
      <c r="I4165" t="s">
        <v>1258</v>
      </c>
      <c r="J4165" t="s">
        <v>1259</v>
      </c>
      <c r="K4165" t="s">
        <v>7557</v>
      </c>
    </row>
    <row r="4166" spans="1:11" ht="20" customHeight="1">
      <c r="A4166" t="s">
        <v>7556</v>
      </c>
      <c r="B4166" t="s">
        <v>1260</v>
      </c>
      <c r="C4166">
        <v>455.2200012207031</v>
      </c>
      <c r="D4166">
        <v>457.8299865722656</v>
      </c>
      <c r="E4166">
        <v>449.8200073242188</v>
      </c>
      <c r="F4166">
        <v>451.0299987792969</v>
      </c>
      <c r="G4166">
        <v>424.6466369628906</v>
      </c>
      <c r="H4166">
        <v>74214500</v>
      </c>
      <c r="I4166" t="s">
        <v>1261</v>
      </c>
      <c r="J4166" t="s">
        <v>1262</v>
      </c>
      <c r="K4166" t="s">
        <v>7557</v>
      </c>
    </row>
    <row r="4167" spans="1:11" ht="20" customHeight="1">
      <c r="A4167" t="s">
        <v>7556</v>
      </c>
      <c r="B4167" t="s">
        <v>1263</v>
      </c>
      <c r="C4167">
        <v>446.8900146484375</v>
      </c>
      <c r="D4167">
        <v>448.9299926757812</v>
      </c>
      <c r="E4167">
        <v>443.4700012207031</v>
      </c>
      <c r="F4167">
        <v>446.5199890136719</v>
      </c>
      <c r="G4167">
        <v>420.4004821777344</v>
      </c>
      <c r="H4167">
        <v>106898000</v>
      </c>
      <c r="I4167" t="s">
        <v>1264</v>
      </c>
      <c r="J4167" t="s">
        <v>1265</v>
      </c>
      <c r="K4167" t="s">
        <v>7557</v>
      </c>
    </row>
    <row r="4168" spans="1:11" ht="20" customHeight="1">
      <c r="A4168" t="s">
        <v>7556</v>
      </c>
      <c r="B4168" t="s">
        <v>1266</v>
      </c>
      <c r="C4168">
        <v>445.5899963378906</v>
      </c>
      <c r="D4168">
        <v>450.6900024414062</v>
      </c>
      <c r="E4168">
        <v>443.5299987792969</v>
      </c>
      <c r="F4168">
        <v>448.7699890136719</v>
      </c>
      <c r="G4168">
        <v>422.5188598632812</v>
      </c>
      <c r="H4168">
        <v>78097200</v>
      </c>
      <c r="I4168" t="s">
        <v>1267</v>
      </c>
      <c r="J4168" t="s">
        <v>1268</v>
      </c>
      <c r="K4168" t="s">
        <v>7557</v>
      </c>
    </row>
    <row r="4169" spans="1:11" ht="20" customHeight="1">
      <c r="A4169" t="s">
        <v>7556</v>
      </c>
      <c r="B4169" t="s">
        <v>1269</v>
      </c>
      <c r="C4169">
        <v>447.9700012207031</v>
      </c>
      <c r="D4169">
        <v>450.6300048828125</v>
      </c>
      <c r="E4169">
        <v>445.9400024414062</v>
      </c>
      <c r="F4169">
        <v>447.5700073242188</v>
      </c>
      <c r="G4169">
        <v>421.3890075683594</v>
      </c>
      <c r="H4169">
        <v>79272700</v>
      </c>
      <c r="I4169" t="s">
        <v>1270</v>
      </c>
      <c r="J4169" t="s">
        <v>1271</v>
      </c>
      <c r="K4169" t="s">
        <v>7557</v>
      </c>
    </row>
    <row r="4170" spans="1:11" ht="20" customHeight="1">
      <c r="A4170" t="s">
        <v>7556</v>
      </c>
      <c r="B4170" t="s">
        <v>1272</v>
      </c>
      <c r="C4170">
        <v>444.1099853515625</v>
      </c>
      <c r="D4170">
        <v>445</v>
      </c>
      <c r="E4170">
        <v>439.3900146484375</v>
      </c>
      <c r="F4170">
        <v>439.9200134277344</v>
      </c>
      <c r="G4170">
        <v>414.1865234375</v>
      </c>
      <c r="H4170">
        <v>89770500</v>
      </c>
      <c r="I4170" t="s">
        <v>1273</v>
      </c>
      <c r="J4170" t="s">
        <v>1274</v>
      </c>
      <c r="K4170" t="s">
        <v>7557</v>
      </c>
    </row>
    <row r="4171" spans="1:11" ht="20" customHeight="1">
      <c r="A4171" t="s">
        <v>7556</v>
      </c>
      <c r="B4171" t="s">
        <v>1275</v>
      </c>
      <c r="C4171">
        <v>443.0799865722656</v>
      </c>
      <c r="D4171">
        <v>445.75</v>
      </c>
      <c r="E4171">
        <v>436.6499938964844</v>
      </c>
      <c r="F4171">
        <v>438.2900085449219</v>
      </c>
      <c r="G4171">
        <v>412.6518859863281</v>
      </c>
      <c r="H4171">
        <v>84363600</v>
      </c>
      <c r="I4171" t="s">
        <v>1276</v>
      </c>
      <c r="J4171" t="s">
        <v>1277</v>
      </c>
      <c r="K4171" t="s">
        <v>7557</v>
      </c>
    </row>
    <row r="4172" spans="1:11" ht="20" customHeight="1">
      <c r="A4172" t="s">
        <v>7556</v>
      </c>
      <c r="B4172" t="s">
        <v>1278</v>
      </c>
      <c r="C4172">
        <v>438.0299987792969</v>
      </c>
      <c r="D4172">
        <v>444.1099853515625</v>
      </c>
      <c r="E4172">
        <v>437.8399963378906</v>
      </c>
      <c r="F4172">
        <v>443.3099975585938</v>
      </c>
      <c r="G4172">
        <v>417.3782348632812</v>
      </c>
      <c r="H4172">
        <v>74070400</v>
      </c>
      <c r="I4172" t="s">
        <v>1279</v>
      </c>
      <c r="J4172" t="s">
        <v>1280</v>
      </c>
      <c r="K4172" t="s">
        <v>7557</v>
      </c>
    </row>
    <row r="4173" spans="1:11" ht="20" customHeight="1">
      <c r="A4173" t="s">
        <v>7556</v>
      </c>
      <c r="B4173" t="s">
        <v>1281</v>
      </c>
      <c r="C4173">
        <v>443.5499877929688</v>
      </c>
      <c r="D4173">
        <v>444.7300109863281</v>
      </c>
      <c r="E4173">
        <v>437.6799926757812</v>
      </c>
      <c r="F4173">
        <v>437.7900085449219</v>
      </c>
      <c r="G4173">
        <v>412.1811218261719</v>
      </c>
      <c r="H4173">
        <v>97869500</v>
      </c>
      <c r="I4173" t="s">
        <v>1282</v>
      </c>
      <c r="J4173" t="s">
        <v>1283</v>
      </c>
      <c r="K4173" t="s">
        <v>7557</v>
      </c>
    </row>
    <row r="4174" spans="1:11" ht="20" customHeight="1">
      <c r="A4174" t="s">
        <v>7556</v>
      </c>
      <c r="B4174" t="s">
        <v>1284</v>
      </c>
      <c r="C4174">
        <v>436.8099975585938</v>
      </c>
      <c r="D4174">
        <v>439.75</v>
      </c>
      <c r="E4174">
        <v>435.6099853515625</v>
      </c>
      <c r="F4174">
        <v>437.9700012207031</v>
      </c>
      <c r="G4174">
        <v>412.3506164550781</v>
      </c>
      <c r="H4174">
        <v>66002500</v>
      </c>
      <c r="I4174" t="s">
        <v>1285</v>
      </c>
      <c r="J4174" t="s">
        <v>1286</v>
      </c>
      <c r="K4174" t="s">
        <v>7557</v>
      </c>
    </row>
    <row r="4175" spans="1:11" ht="20" customHeight="1">
      <c r="A4175" t="s">
        <v>7556</v>
      </c>
      <c r="B4175" t="s">
        <v>1287</v>
      </c>
      <c r="C4175">
        <v>437.8599853515625</v>
      </c>
      <c r="D4175">
        <v>445.7999877929688</v>
      </c>
      <c r="E4175">
        <v>437.6799926757812</v>
      </c>
      <c r="F4175">
        <v>445.0400085449219</v>
      </c>
      <c r="G4175">
        <v>419.007080078125</v>
      </c>
      <c r="H4175">
        <v>77821000</v>
      </c>
      <c r="I4175" t="s">
        <v>1288</v>
      </c>
      <c r="J4175" t="s">
        <v>1289</v>
      </c>
      <c r="K4175" t="s">
        <v>7557</v>
      </c>
    </row>
    <row r="4176" spans="1:11" ht="20" customHeight="1">
      <c r="A4176" t="s">
        <v>7556</v>
      </c>
      <c r="B4176" t="s">
        <v>1290</v>
      </c>
      <c r="C4176">
        <v>446.9200134277344</v>
      </c>
      <c r="D4176">
        <v>447.5700073242188</v>
      </c>
      <c r="E4176">
        <v>443.4800109863281</v>
      </c>
      <c r="F4176">
        <v>444.7099914550781</v>
      </c>
      <c r="G4176">
        <v>418.6963195800781</v>
      </c>
      <c r="H4176">
        <v>65224400</v>
      </c>
      <c r="I4176" t="s">
        <v>1291</v>
      </c>
      <c r="J4176" t="s">
        <v>1292</v>
      </c>
      <c r="K4176" t="s">
        <v>7557</v>
      </c>
    </row>
    <row r="4177" spans="1:11" ht="20" customHeight="1">
      <c r="A4177" t="s">
        <v>7556</v>
      </c>
      <c r="B4177" t="s">
        <v>1293</v>
      </c>
      <c r="C4177">
        <v>448.5400085449219</v>
      </c>
      <c r="D4177">
        <v>450.010009765625</v>
      </c>
      <c r="E4177">
        <v>437.1000061035156</v>
      </c>
      <c r="F4177">
        <v>438.0599975585938</v>
      </c>
      <c r="G4177">
        <v>412.4353332519531</v>
      </c>
      <c r="H4177">
        <v>85417300</v>
      </c>
      <c r="I4177" t="s">
        <v>1294</v>
      </c>
      <c r="J4177" t="s">
        <v>1295</v>
      </c>
      <c r="K4177" t="s">
        <v>7557</v>
      </c>
    </row>
    <row r="4178" spans="1:11" ht="20" customHeight="1">
      <c r="A4178" t="s">
        <v>7556</v>
      </c>
      <c r="B4178" t="s">
        <v>1296</v>
      </c>
      <c r="C4178">
        <v>436.9100036621094</v>
      </c>
      <c r="D4178">
        <v>438.0799865722656</v>
      </c>
      <c r="E4178">
        <v>425.4400024414062</v>
      </c>
      <c r="F4178">
        <v>426.0400085449219</v>
      </c>
      <c r="G4178">
        <v>401.118408203125</v>
      </c>
      <c r="H4178">
        <v>132471800</v>
      </c>
      <c r="I4178" t="s">
        <v>1297</v>
      </c>
      <c r="J4178" t="s">
        <v>1298</v>
      </c>
      <c r="K4178" t="s">
        <v>7557</v>
      </c>
    </row>
    <row r="4179" spans="1:11" ht="20" customHeight="1">
      <c r="A4179" t="s">
        <v>7556</v>
      </c>
      <c r="B4179" t="s">
        <v>1299</v>
      </c>
      <c r="C4179">
        <v>423.6700134277344</v>
      </c>
      <c r="D4179">
        <v>428.6900024414062</v>
      </c>
      <c r="E4179">
        <v>418.8399963378906</v>
      </c>
      <c r="F4179">
        <v>428.510009765625</v>
      </c>
      <c r="G4179">
        <v>403.4440002441406</v>
      </c>
      <c r="H4179">
        <v>119647700</v>
      </c>
      <c r="I4179" t="s">
        <v>1300</v>
      </c>
      <c r="J4179" t="s">
        <v>1301</v>
      </c>
      <c r="K4179" t="s">
        <v>7557</v>
      </c>
    </row>
    <row r="4180" spans="1:11" ht="20" customHeight="1">
      <c r="A4180" t="s">
        <v>7556</v>
      </c>
      <c r="B4180" t="s">
        <v>1302</v>
      </c>
      <c r="C4180">
        <v>425.8299865722656</v>
      </c>
      <c r="D4180">
        <v>426.0400085449219</v>
      </c>
      <c r="E4180">
        <v>416.0700073242188</v>
      </c>
      <c r="F4180">
        <v>416.1000061035156</v>
      </c>
      <c r="G4180">
        <v>391.7598876953125</v>
      </c>
      <c r="H4180">
        <v>103996300</v>
      </c>
      <c r="I4180" t="s">
        <v>1303</v>
      </c>
      <c r="J4180" t="s">
        <v>1304</v>
      </c>
      <c r="K4180" t="s">
        <v>7557</v>
      </c>
    </row>
    <row r="4181" spans="1:11" ht="20" customHeight="1">
      <c r="A4181" t="s">
        <v>7556</v>
      </c>
      <c r="B4181" t="s">
        <v>1305</v>
      </c>
      <c r="C4181">
        <v>417.239990234375</v>
      </c>
      <c r="D4181">
        <v>422.9200134277344</v>
      </c>
      <c r="E4181">
        <v>415.010009765625</v>
      </c>
      <c r="F4181">
        <v>417.2699890136719</v>
      </c>
      <c r="G4181">
        <v>392.8614501953125</v>
      </c>
      <c r="H4181">
        <v>122030000</v>
      </c>
      <c r="I4181" t="s">
        <v>1306</v>
      </c>
      <c r="J4181" t="s">
        <v>1307</v>
      </c>
      <c r="K4181" t="s">
        <v>7557</v>
      </c>
    </row>
    <row r="4182" spans="1:11" ht="20" customHeight="1">
      <c r="A4182" t="s">
        <v>7556</v>
      </c>
      <c r="B4182" t="s">
        <v>1308</v>
      </c>
      <c r="C4182">
        <v>422.2900085449219</v>
      </c>
      <c r="D4182">
        <v>429.6400146484375</v>
      </c>
      <c r="E4182">
        <v>417.6000061035156</v>
      </c>
      <c r="F4182">
        <v>427.8099975585938</v>
      </c>
      <c r="G4182">
        <v>402.784912109375</v>
      </c>
      <c r="H4182">
        <v>105449100</v>
      </c>
      <c r="I4182" t="s">
        <v>1309</v>
      </c>
      <c r="J4182" t="s">
        <v>1310</v>
      </c>
      <c r="K4182" t="s">
        <v>7557</v>
      </c>
    </row>
    <row r="4183" spans="1:11" ht="20" customHeight="1">
      <c r="A4183" t="s">
        <v>7556</v>
      </c>
      <c r="B4183" t="s">
        <v>1311</v>
      </c>
      <c r="C4183">
        <v>423.5899963378906</v>
      </c>
      <c r="D4183">
        <v>425.8699951171875</v>
      </c>
      <c r="E4183">
        <v>411.2099914550781</v>
      </c>
      <c r="F4183">
        <v>412</v>
      </c>
      <c r="G4183">
        <v>387.8997192382812</v>
      </c>
      <c r="H4183">
        <v>145491100</v>
      </c>
      <c r="I4183" t="s">
        <v>1312</v>
      </c>
      <c r="J4183" t="s">
        <v>1313</v>
      </c>
      <c r="K4183" t="s">
        <v>7557</v>
      </c>
    </row>
    <row r="4184" spans="1:11" ht="20" customHeight="1">
      <c r="A4184" t="s">
        <v>7556</v>
      </c>
      <c r="B4184" t="s">
        <v>1314</v>
      </c>
      <c r="C4184">
        <v>412.0700073242188</v>
      </c>
      <c r="D4184">
        <v>415.9200134277344</v>
      </c>
      <c r="E4184">
        <v>405.0199890136719</v>
      </c>
      <c r="F4184">
        <v>414.4800109863281</v>
      </c>
      <c r="G4184">
        <v>390.2346496582031</v>
      </c>
      <c r="H4184">
        <v>158312500</v>
      </c>
      <c r="I4184" t="s">
        <v>1315</v>
      </c>
      <c r="J4184" t="s">
        <v>1316</v>
      </c>
      <c r="K4184" t="s">
        <v>7557</v>
      </c>
    </row>
    <row r="4185" spans="1:11" ht="20" customHeight="1">
      <c r="A4185" t="s">
        <v>7556</v>
      </c>
      <c r="B4185" t="s">
        <v>1317</v>
      </c>
      <c r="C4185">
        <v>415.010009765625</v>
      </c>
      <c r="D4185">
        <v>418.9299926757812</v>
      </c>
      <c r="E4185">
        <v>413.3599853515625</v>
      </c>
      <c r="F4185">
        <v>416.3800048828125</v>
      </c>
      <c r="G4185">
        <v>392.0234985351562</v>
      </c>
      <c r="H4185">
        <v>100028200</v>
      </c>
      <c r="I4185" t="s">
        <v>1318</v>
      </c>
      <c r="J4185" t="s">
        <v>1319</v>
      </c>
      <c r="K4185" t="s">
        <v>7557</v>
      </c>
    </row>
    <row r="4186" spans="1:11" ht="20" customHeight="1">
      <c r="A4186" t="s">
        <v>7556</v>
      </c>
      <c r="B4186" t="s">
        <v>1320</v>
      </c>
      <c r="C4186">
        <v>417.0799865722656</v>
      </c>
      <c r="D4186">
        <v>429.6600036621094</v>
      </c>
      <c r="E4186">
        <v>413.7099914550781</v>
      </c>
      <c r="F4186">
        <v>429.0599975585938</v>
      </c>
      <c r="G4186">
        <v>403.9618225097656</v>
      </c>
      <c r="H4186">
        <v>144247900</v>
      </c>
      <c r="I4186" t="s">
        <v>1321</v>
      </c>
      <c r="J4186" t="s">
        <v>1322</v>
      </c>
      <c r="K4186" t="s">
        <v>7557</v>
      </c>
    </row>
    <row r="4187" spans="1:11" ht="20" customHeight="1">
      <c r="A4187" t="s">
        <v>7556</v>
      </c>
      <c r="B4187" t="s">
        <v>1323</v>
      </c>
      <c r="C4187">
        <v>424.5499877929688</v>
      </c>
      <c r="D4187">
        <v>425</v>
      </c>
      <c r="E4187">
        <v>409.4400024414062</v>
      </c>
      <c r="F4187">
        <v>413.8099975585938</v>
      </c>
      <c r="G4187">
        <v>389.6038513183594</v>
      </c>
      <c r="H4187">
        <v>172929100</v>
      </c>
      <c r="I4187" t="s">
        <v>1324</v>
      </c>
      <c r="J4187" t="s">
        <v>1325</v>
      </c>
      <c r="K4187" t="s">
        <v>7557</v>
      </c>
    </row>
    <row r="4188" spans="1:11" ht="20" customHeight="1">
      <c r="A4188" t="s">
        <v>7556</v>
      </c>
      <c r="B4188" t="s">
        <v>1326</v>
      </c>
      <c r="C4188">
        <v>411.1000061035156</v>
      </c>
      <c r="D4188">
        <v>414.7999877929688</v>
      </c>
      <c r="E4188">
        <v>405.7300109863281</v>
      </c>
      <c r="F4188">
        <v>411.3399963378906</v>
      </c>
      <c r="G4188">
        <v>387.2783203125</v>
      </c>
      <c r="H4188">
        <v>151770800</v>
      </c>
      <c r="I4188" t="s">
        <v>1327</v>
      </c>
      <c r="J4188" t="s">
        <v>1328</v>
      </c>
      <c r="K4188" t="s">
        <v>7557</v>
      </c>
    </row>
    <row r="4189" spans="1:11" ht="20" customHeight="1">
      <c r="A4189" t="s">
        <v>7556</v>
      </c>
      <c r="B4189" t="s">
        <v>1329</v>
      </c>
      <c r="C4189">
        <v>405.1000061035156</v>
      </c>
      <c r="D4189">
        <v>406.4100036621094</v>
      </c>
      <c r="E4189">
        <v>396.5</v>
      </c>
      <c r="F4189">
        <v>398.1700134277344</v>
      </c>
      <c r="G4189">
        <v>374.8787841796875</v>
      </c>
      <c r="H4189">
        <v>155586100</v>
      </c>
      <c r="I4189" t="s">
        <v>1330</v>
      </c>
      <c r="J4189" t="s">
        <v>1331</v>
      </c>
      <c r="K4189" t="s">
        <v>7557</v>
      </c>
    </row>
    <row r="4190" spans="1:11" ht="20" customHeight="1">
      <c r="A4190" t="s">
        <v>7556</v>
      </c>
      <c r="B4190" t="s">
        <v>1332</v>
      </c>
      <c r="C4190">
        <v>404.489990234375</v>
      </c>
      <c r="D4190">
        <v>406.0799865722656</v>
      </c>
      <c r="E4190">
        <v>394.8200073242188</v>
      </c>
      <c r="F4190">
        <v>399.0899963378906</v>
      </c>
      <c r="G4190">
        <v>375.7449645996094</v>
      </c>
      <c r="H4190">
        <v>132497200</v>
      </c>
      <c r="I4190" t="s">
        <v>1333</v>
      </c>
      <c r="J4190" t="s">
        <v>1334</v>
      </c>
      <c r="K4190" t="s">
        <v>7557</v>
      </c>
    </row>
    <row r="4191" spans="1:11" ht="20" customHeight="1">
      <c r="A4191" t="s">
        <v>7556</v>
      </c>
      <c r="B4191" t="s">
        <v>1335</v>
      </c>
      <c r="C4191">
        <v>398.0700073242188</v>
      </c>
      <c r="D4191">
        <v>404.0400085449219</v>
      </c>
      <c r="E4191">
        <v>391.9599914550781</v>
      </c>
      <c r="F4191">
        <v>392.75</v>
      </c>
      <c r="G4191">
        <v>369.7757263183594</v>
      </c>
      <c r="H4191">
        <v>142361000</v>
      </c>
      <c r="I4191" t="s">
        <v>1336</v>
      </c>
      <c r="J4191" t="s">
        <v>1337</v>
      </c>
      <c r="K4191" t="s">
        <v>7557</v>
      </c>
    </row>
    <row r="4192" spans="1:11" ht="20" customHeight="1">
      <c r="A4192" t="s">
        <v>7556</v>
      </c>
      <c r="B4192" t="s">
        <v>1338</v>
      </c>
      <c r="C4192">
        <v>389.3699951171875</v>
      </c>
      <c r="D4192">
        <v>395.7999877929688</v>
      </c>
      <c r="E4192">
        <v>385.1499938964844</v>
      </c>
      <c r="F4192">
        <v>392.3399963378906</v>
      </c>
      <c r="G4192">
        <v>369.3897399902344</v>
      </c>
      <c r="H4192">
        <v>125090800</v>
      </c>
      <c r="I4192" t="s">
        <v>1339</v>
      </c>
      <c r="J4192" t="s">
        <v>1340</v>
      </c>
      <c r="K4192" t="s">
        <v>7557</v>
      </c>
    </row>
    <row r="4193" spans="1:11" ht="20" customHeight="1">
      <c r="A4193" t="s">
        <v>7556</v>
      </c>
      <c r="B4193" t="s">
        <v>1341</v>
      </c>
      <c r="C4193">
        <v>396.7099914550781</v>
      </c>
      <c r="D4193">
        <v>403.1799926757812</v>
      </c>
      <c r="E4193">
        <v>395.6099853515625</v>
      </c>
      <c r="F4193">
        <v>401.7200012207031</v>
      </c>
      <c r="G4193">
        <v>378.2210998535156</v>
      </c>
      <c r="H4193">
        <v>104174400</v>
      </c>
      <c r="I4193" t="s">
        <v>1342</v>
      </c>
      <c r="J4193" t="s">
        <v>1343</v>
      </c>
      <c r="K4193" t="s">
        <v>7557</v>
      </c>
    </row>
    <row r="4194" spans="1:11" ht="20" customHeight="1">
      <c r="A4194" t="s">
        <v>7556</v>
      </c>
      <c r="B4194" t="s">
        <v>1344</v>
      </c>
      <c r="C4194">
        <v>399.9800109863281</v>
      </c>
      <c r="D4194">
        <v>403.9700012207031</v>
      </c>
      <c r="E4194">
        <v>397.6000061035156</v>
      </c>
      <c r="F4194">
        <v>400.0899963378906</v>
      </c>
      <c r="G4194">
        <v>376.6864013671875</v>
      </c>
      <c r="H4194">
        <v>78622400</v>
      </c>
      <c r="I4194" t="s">
        <v>1345</v>
      </c>
      <c r="J4194" t="s">
        <v>1346</v>
      </c>
      <c r="K4194" t="s">
        <v>7557</v>
      </c>
    </row>
    <row r="4195" spans="1:11" ht="20" customHeight="1">
      <c r="A4195" t="s">
        <v>7556</v>
      </c>
      <c r="B4195" t="s">
        <v>1347</v>
      </c>
      <c r="C4195">
        <v>406.5299987792969</v>
      </c>
      <c r="D4195">
        <v>408.5700073242188</v>
      </c>
      <c r="E4195">
        <v>402.5799865722656</v>
      </c>
      <c r="F4195">
        <v>408.3200073242188</v>
      </c>
      <c r="G4195">
        <v>384.4349975585938</v>
      </c>
      <c r="H4195">
        <v>83029700</v>
      </c>
      <c r="I4195" t="s">
        <v>1348</v>
      </c>
      <c r="J4195" t="s">
        <v>1349</v>
      </c>
      <c r="K4195" t="s">
        <v>7557</v>
      </c>
    </row>
    <row r="4196" spans="1:11" ht="20" customHeight="1">
      <c r="A4196" t="s">
        <v>7556</v>
      </c>
      <c r="B4196" t="s">
        <v>1350</v>
      </c>
      <c r="C4196">
        <v>403.5</v>
      </c>
      <c r="D4196">
        <v>403.7999877929688</v>
      </c>
      <c r="E4196">
        <v>390.5499877929688</v>
      </c>
      <c r="F4196">
        <v>391.8599853515625</v>
      </c>
      <c r="G4196">
        <v>368.9378356933594</v>
      </c>
      <c r="H4196">
        <v>117674500</v>
      </c>
      <c r="I4196" t="s">
        <v>1351</v>
      </c>
      <c r="J4196" t="s">
        <v>1352</v>
      </c>
      <c r="K4196" t="s">
        <v>7557</v>
      </c>
    </row>
    <row r="4197" spans="1:11" ht="20" customHeight="1">
      <c r="A4197" t="s">
        <v>7556</v>
      </c>
      <c r="B4197" t="s">
        <v>1353</v>
      </c>
      <c r="C4197">
        <v>388.6199951171875</v>
      </c>
      <c r="D4197">
        <v>394.1400146484375</v>
      </c>
      <c r="E4197">
        <v>387.1099853515625</v>
      </c>
      <c r="F4197">
        <v>389.4599914550781</v>
      </c>
      <c r="G4197">
        <v>366.67822265625</v>
      </c>
      <c r="H4197">
        <v>98510700</v>
      </c>
      <c r="I4197" t="s">
        <v>1354</v>
      </c>
      <c r="J4197" t="s">
        <v>1355</v>
      </c>
      <c r="K4197" t="s">
        <v>7557</v>
      </c>
    </row>
    <row r="4198" spans="1:11" ht="20" customHeight="1">
      <c r="A4198" t="s">
        <v>7556</v>
      </c>
      <c r="B4198" t="s">
        <v>1356</v>
      </c>
      <c r="C4198">
        <v>393.25</v>
      </c>
      <c r="D4198">
        <v>397.0299987792969</v>
      </c>
      <c r="E4198">
        <v>380.5400085449219</v>
      </c>
      <c r="F4198">
        <v>389.6300048828125</v>
      </c>
      <c r="G4198">
        <v>366.8382568359375</v>
      </c>
      <c r="H4198">
        <v>131432200</v>
      </c>
      <c r="I4198" t="s">
        <v>1357</v>
      </c>
      <c r="J4198" t="s">
        <v>1358</v>
      </c>
      <c r="K4198" t="s">
        <v>7557</v>
      </c>
    </row>
    <row r="4199" spans="1:11" ht="20" customHeight="1">
      <c r="A4199" t="s">
        <v>7556</v>
      </c>
      <c r="B4199" t="s">
        <v>1359</v>
      </c>
      <c r="C4199">
        <v>392.8299865722656</v>
      </c>
      <c r="D4199">
        <v>397.7300109863281</v>
      </c>
      <c r="E4199">
        <v>390.3800048828125</v>
      </c>
      <c r="F4199">
        <v>396.9200134277344</v>
      </c>
      <c r="G4199">
        <v>373.701904296875</v>
      </c>
      <c r="H4199">
        <v>76414900</v>
      </c>
      <c r="I4199" t="s">
        <v>1360</v>
      </c>
      <c r="J4199" t="s">
        <v>1361</v>
      </c>
      <c r="K4199" t="s">
        <v>7557</v>
      </c>
    </row>
    <row r="4200" spans="1:11" ht="20" customHeight="1">
      <c r="A4200" t="s">
        <v>7556</v>
      </c>
      <c r="B4200" t="s">
        <v>1362</v>
      </c>
      <c r="C4200">
        <v>392.5599975585938</v>
      </c>
      <c r="D4200">
        <v>395.1499938964844</v>
      </c>
      <c r="E4200">
        <v>386.9599914550781</v>
      </c>
      <c r="F4200">
        <v>393.8900146484375</v>
      </c>
      <c r="G4200">
        <v>370.84912109375</v>
      </c>
      <c r="H4200">
        <v>91448800</v>
      </c>
      <c r="I4200" t="s">
        <v>1363</v>
      </c>
      <c r="J4200" t="s">
        <v>1364</v>
      </c>
      <c r="K4200" t="s">
        <v>7557</v>
      </c>
    </row>
    <row r="4201" spans="1:11" ht="20" customHeight="1">
      <c r="A4201" t="s">
        <v>7556</v>
      </c>
      <c r="B4201" t="s">
        <v>1365</v>
      </c>
      <c r="C4201">
        <v>392.3099975585938</v>
      </c>
      <c r="D4201">
        <v>399.4500122070312</v>
      </c>
      <c r="E4201">
        <v>391.8900146484375</v>
      </c>
      <c r="F4201">
        <v>397.3699951171875</v>
      </c>
      <c r="G4201">
        <v>374.12548828125</v>
      </c>
      <c r="H4201">
        <v>91472900</v>
      </c>
      <c r="I4201" t="s">
        <v>1366</v>
      </c>
      <c r="J4201" t="s">
        <v>1367</v>
      </c>
      <c r="K4201" t="s">
        <v>7557</v>
      </c>
    </row>
    <row r="4202" spans="1:11" ht="20" customHeight="1">
      <c r="A4202" t="s">
        <v>7556</v>
      </c>
      <c r="B4202" t="s">
        <v>1368</v>
      </c>
      <c r="C4202">
        <v>398.6700134277344</v>
      </c>
      <c r="D4202">
        <v>407.0400085449219</v>
      </c>
      <c r="E4202">
        <v>398.4500122070312</v>
      </c>
      <c r="F4202">
        <v>405.3099975585938</v>
      </c>
      <c r="G4202">
        <v>381.6011047363281</v>
      </c>
      <c r="H4202">
        <v>82168300</v>
      </c>
      <c r="I4202" t="s">
        <v>1369</v>
      </c>
      <c r="J4202" t="s">
        <v>1370</v>
      </c>
      <c r="K4202" t="s">
        <v>7557</v>
      </c>
    </row>
    <row r="4203" spans="1:11" ht="20" customHeight="1">
      <c r="A4203" t="s">
        <v>7556</v>
      </c>
      <c r="B4203" t="s">
        <v>1371</v>
      </c>
      <c r="C4203">
        <v>407.9100036621094</v>
      </c>
      <c r="D4203">
        <v>415.3800048828125</v>
      </c>
      <c r="E4203">
        <v>407.7000122070312</v>
      </c>
      <c r="F4203">
        <v>415.260009765625</v>
      </c>
      <c r="G4203">
        <v>390.9691162109375</v>
      </c>
      <c r="H4203">
        <v>84768700</v>
      </c>
      <c r="I4203" t="s">
        <v>1372</v>
      </c>
      <c r="J4203" t="s">
        <v>1373</v>
      </c>
      <c r="K4203" t="s">
        <v>7557</v>
      </c>
    </row>
    <row r="4204" spans="1:11" ht="20" customHeight="1">
      <c r="A4204" t="s">
        <v>7556</v>
      </c>
      <c r="B4204" t="s">
        <v>1374</v>
      </c>
      <c r="C4204">
        <v>413.5499877929688</v>
      </c>
      <c r="D4204">
        <v>416.4599914550781</v>
      </c>
      <c r="E4204">
        <v>410.0299987792969</v>
      </c>
      <c r="F4204">
        <v>412.9299926757812</v>
      </c>
      <c r="G4204">
        <v>388.7752990722656</v>
      </c>
      <c r="H4204">
        <v>95937000</v>
      </c>
      <c r="I4204" t="s">
        <v>1375</v>
      </c>
      <c r="J4204" t="s">
        <v>1376</v>
      </c>
      <c r="K4204" t="s">
        <v>7557</v>
      </c>
    </row>
    <row r="4205" spans="1:11" ht="20" customHeight="1">
      <c r="A4205" t="s">
        <v>7556</v>
      </c>
      <c r="B4205" t="s">
        <v>1377</v>
      </c>
      <c r="C4205">
        <v>415.1700134277344</v>
      </c>
      <c r="D4205">
        <v>416.239990234375</v>
      </c>
      <c r="E4205">
        <v>406.9299926757812</v>
      </c>
      <c r="F4205">
        <v>409.5899963378906</v>
      </c>
      <c r="G4205">
        <v>385.6306457519531</v>
      </c>
      <c r="H4205">
        <v>86585800</v>
      </c>
      <c r="I4205" t="s">
        <v>1378</v>
      </c>
      <c r="J4205" t="s">
        <v>1379</v>
      </c>
      <c r="K4205" t="s">
        <v>7557</v>
      </c>
    </row>
    <row r="4206" spans="1:11" ht="20" customHeight="1">
      <c r="A4206" t="s">
        <v>7556</v>
      </c>
      <c r="B4206" t="s">
        <v>1380</v>
      </c>
      <c r="C4206">
        <v>409.4200134277344</v>
      </c>
      <c r="D4206">
        <v>417.4400024414062</v>
      </c>
      <c r="E4206">
        <v>407.0400085449219</v>
      </c>
      <c r="F4206">
        <v>417.3900146484375</v>
      </c>
      <c r="G4206">
        <v>392.9743957519531</v>
      </c>
      <c r="H4206">
        <v>79609600</v>
      </c>
      <c r="I4206" t="s">
        <v>1381</v>
      </c>
      <c r="J4206" t="s">
        <v>1382</v>
      </c>
      <c r="K4206" t="s">
        <v>7557</v>
      </c>
    </row>
    <row r="4207" spans="1:11" ht="20" customHeight="1">
      <c r="A4207" t="s">
        <v>7556</v>
      </c>
      <c r="B4207" t="s">
        <v>1383</v>
      </c>
      <c r="C4207">
        <v>412.3999938964844</v>
      </c>
      <c r="D4207">
        <v>414.0400085449219</v>
      </c>
      <c r="E4207">
        <v>409.510009765625</v>
      </c>
      <c r="F4207">
        <v>410.5400085449219</v>
      </c>
      <c r="G4207">
        <v>386.5251159667969</v>
      </c>
      <c r="H4207">
        <v>71874300</v>
      </c>
      <c r="I4207" t="s">
        <v>1384</v>
      </c>
      <c r="J4207" t="s">
        <v>1385</v>
      </c>
      <c r="K4207" t="s">
        <v>7557</v>
      </c>
    </row>
    <row r="4208" spans="1:11" ht="20" customHeight="1">
      <c r="A4208" t="s">
        <v>7556</v>
      </c>
      <c r="B4208" t="s">
        <v>1386</v>
      </c>
      <c r="C4208">
        <v>414.7799987792969</v>
      </c>
      <c r="D4208">
        <v>416.6099853515625</v>
      </c>
      <c r="E4208">
        <v>410.5499877929688</v>
      </c>
      <c r="F4208">
        <v>411.7900085449219</v>
      </c>
      <c r="G4208">
        <v>387.7020263671875</v>
      </c>
      <c r="H4208">
        <v>57508900</v>
      </c>
      <c r="I4208" t="s">
        <v>1387</v>
      </c>
      <c r="J4208" t="s">
        <v>1388</v>
      </c>
      <c r="K4208" t="s">
        <v>7557</v>
      </c>
    </row>
    <row r="4209" spans="1:11" ht="20" customHeight="1">
      <c r="A4209" t="s">
        <v>7556</v>
      </c>
      <c r="B4209" t="s">
        <v>1389</v>
      </c>
      <c r="C4209">
        <v>408.1000061035156</v>
      </c>
      <c r="D4209">
        <v>416.2200012207031</v>
      </c>
      <c r="E4209">
        <v>407.6099853515625</v>
      </c>
      <c r="F4209">
        <v>415.739990234375</v>
      </c>
      <c r="G4209">
        <v>391.4209594726562</v>
      </c>
      <c r="H4209">
        <v>59272400</v>
      </c>
      <c r="I4209" t="s">
        <v>1390</v>
      </c>
      <c r="J4209" t="s">
        <v>1391</v>
      </c>
      <c r="K4209" t="s">
        <v>7557</v>
      </c>
    </row>
    <row r="4210" spans="1:11" ht="20" customHeight="1">
      <c r="A4210" t="s">
        <v>7556</v>
      </c>
      <c r="B4210" t="s">
        <v>1392</v>
      </c>
      <c r="C4210">
        <v>413.9299926757812</v>
      </c>
      <c r="D4210">
        <v>415.8200073242188</v>
      </c>
      <c r="E4210">
        <v>410.3800048828125</v>
      </c>
      <c r="F4210">
        <v>411.2200012207031</v>
      </c>
      <c r="G4210">
        <v>387.1653747558594</v>
      </c>
      <c r="H4210">
        <v>64350000</v>
      </c>
      <c r="I4210" t="s">
        <v>1393</v>
      </c>
      <c r="J4210" t="s">
        <v>1394</v>
      </c>
      <c r="K4210" t="s">
        <v>7557</v>
      </c>
    </row>
    <row r="4211" spans="1:11" ht="20" customHeight="1">
      <c r="A4211" t="s">
        <v>7556</v>
      </c>
      <c r="B4211" t="s">
        <v>1395</v>
      </c>
      <c r="C4211">
        <v>409.3399963378906</v>
      </c>
      <c r="D4211">
        <v>411.739990234375</v>
      </c>
      <c r="E4211">
        <v>401.4400024414062</v>
      </c>
      <c r="F4211">
        <v>401.4400024414062</v>
      </c>
      <c r="G4211">
        <v>377.9573974609375</v>
      </c>
      <c r="H4211">
        <v>86289800</v>
      </c>
      <c r="I4211" t="s">
        <v>1396</v>
      </c>
      <c r="J4211" t="s">
        <v>1397</v>
      </c>
      <c r="K4211" t="s">
        <v>7557</v>
      </c>
    </row>
    <row r="4212" spans="1:11" ht="20" customHeight="1">
      <c r="A4212" t="s">
        <v>7556</v>
      </c>
      <c r="B4212" t="s">
        <v>1398</v>
      </c>
      <c r="C4212">
        <v>394.8800048828125</v>
      </c>
      <c r="D4212">
        <v>395.7799987792969</v>
      </c>
      <c r="E4212">
        <v>389.75</v>
      </c>
      <c r="F4212">
        <v>389.7999877929688</v>
      </c>
      <c r="G4212">
        <v>366.998291015625</v>
      </c>
      <c r="H4212">
        <v>132893900</v>
      </c>
      <c r="I4212" t="s">
        <v>1399</v>
      </c>
      <c r="J4212" t="s">
        <v>1400</v>
      </c>
      <c r="K4212" t="s">
        <v>7557</v>
      </c>
    </row>
    <row r="4213" spans="1:11" ht="20" customHeight="1">
      <c r="A4213" t="s">
        <v>7556</v>
      </c>
      <c r="B4213" t="s">
        <v>1401</v>
      </c>
      <c r="C4213">
        <v>379.8500061035156</v>
      </c>
      <c r="D4213">
        <v>381.8099975585938</v>
      </c>
      <c r="E4213">
        <v>373.2999877929688</v>
      </c>
      <c r="F4213">
        <v>375</v>
      </c>
      <c r="G4213">
        <v>353.0640258789062</v>
      </c>
      <c r="H4213">
        <v>170004900</v>
      </c>
      <c r="I4213" t="s">
        <v>1402</v>
      </c>
      <c r="J4213" t="s">
        <v>1403</v>
      </c>
      <c r="K4213" t="s">
        <v>7557</v>
      </c>
    </row>
    <row r="4214" spans="1:11" ht="20" customHeight="1">
      <c r="A4214" t="s">
        <v>7556</v>
      </c>
      <c r="B4214" t="s">
        <v>1404</v>
      </c>
      <c r="C4214">
        <v>376.8500061035156</v>
      </c>
      <c r="D4214">
        <v>377.9400024414062</v>
      </c>
      <c r="E4214">
        <v>370.5899963378906</v>
      </c>
      <c r="F4214">
        <v>373.8699951171875</v>
      </c>
      <c r="G4214">
        <v>352.0001831054688</v>
      </c>
      <c r="H4214">
        <v>104011800</v>
      </c>
      <c r="I4214" t="s">
        <v>1405</v>
      </c>
      <c r="J4214" t="s">
        <v>1406</v>
      </c>
      <c r="K4214" t="s">
        <v>7557</v>
      </c>
    </row>
    <row r="4215" spans="1:11" ht="20" customHeight="1">
      <c r="A4215" t="s">
        <v>7556</v>
      </c>
      <c r="B4215" t="s">
        <v>1407</v>
      </c>
      <c r="C4215">
        <v>377.3599853515625</v>
      </c>
      <c r="D4215">
        <v>383.8999938964844</v>
      </c>
      <c r="E4215">
        <v>372.1199951171875</v>
      </c>
      <c r="F4215">
        <v>379.2000122070312</v>
      </c>
      <c r="G4215">
        <v>357.0184936523438</v>
      </c>
      <c r="H4215">
        <v>125666800</v>
      </c>
      <c r="I4215" t="s">
        <v>1408</v>
      </c>
      <c r="J4215" t="s">
        <v>1409</v>
      </c>
      <c r="K4215" t="s">
        <v>7557</v>
      </c>
    </row>
    <row r="4216" spans="1:11" ht="20" customHeight="1">
      <c r="A4216" t="s">
        <v>7556</v>
      </c>
      <c r="B4216" t="s">
        <v>1410</v>
      </c>
      <c r="C4216">
        <v>370.510009765625</v>
      </c>
      <c r="D4216">
        <v>370.9400024414062</v>
      </c>
      <c r="E4216">
        <v>364.0799865722656</v>
      </c>
      <c r="F4216">
        <v>366.6499938964844</v>
      </c>
      <c r="G4216">
        <v>345.2026062011719</v>
      </c>
      <c r="H4216">
        <v>134473300</v>
      </c>
      <c r="I4216" t="s">
        <v>1411</v>
      </c>
      <c r="J4216" t="s">
        <v>1412</v>
      </c>
      <c r="K4216" t="s">
        <v>7557</v>
      </c>
    </row>
    <row r="4217" spans="1:11" ht="20" customHeight="1">
      <c r="A4217" t="s">
        <v>7556</v>
      </c>
      <c r="B4217" t="s">
        <v>1413</v>
      </c>
      <c r="C4217">
        <v>365.510009765625</v>
      </c>
      <c r="D4217">
        <v>369.3800048828125</v>
      </c>
      <c r="E4217">
        <v>362.1700134277344</v>
      </c>
      <c r="F4217">
        <v>365.8599853515625</v>
      </c>
      <c r="G4217">
        <v>345.9466552734375</v>
      </c>
      <c r="H4217">
        <v>111113900</v>
      </c>
      <c r="I4217" t="s">
        <v>1414</v>
      </c>
      <c r="J4217" t="s">
        <v>1415</v>
      </c>
      <c r="K4217" t="s">
        <v>7557</v>
      </c>
    </row>
    <row r="4218" spans="1:11" ht="20" customHeight="1">
      <c r="A4218" t="s">
        <v>7556</v>
      </c>
      <c r="B4218" t="s">
        <v>1416</v>
      </c>
      <c r="C4218">
        <v>371.8900146484375</v>
      </c>
      <c r="D4218">
        <v>376.5299987792969</v>
      </c>
      <c r="E4218">
        <v>371.8099975585938</v>
      </c>
      <c r="F4218">
        <v>375.0700073242188</v>
      </c>
      <c r="G4218">
        <v>354.6553955078125</v>
      </c>
      <c r="H4218">
        <v>76811900</v>
      </c>
      <c r="I4218" t="s">
        <v>1417</v>
      </c>
      <c r="J4218" t="s">
        <v>1418</v>
      </c>
      <c r="K4218" t="s">
        <v>7557</v>
      </c>
    </row>
    <row r="4219" spans="1:11" ht="20" customHeight="1">
      <c r="A4219" t="s">
        <v>7556</v>
      </c>
      <c r="B4219" t="s">
        <v>1419</v>
      </c>
      <c r="C4219">
        <v>370.6199951171875</v>
      </c>
      <c r="D4219">
        <v>378.7200012207031</v>
      </c>
      <c r="E4219">
        <v>370.1799926757812</v>
      </c>
      <c r="F4219">
        <v>374.3900146484375</v>
      </c>
      <c r="G4219">
        <v>354.0123901367188</v>
      </c>
      <c r="H4219">
        <v>90059400</v>
      </c>
      <c r="I4219" t="s">
        <v>1420</v>
      </c>
      <c r="J4219" t="s">
        <v>1421</v>
      </c>
      <c r="K4219" t="s">
        <v>7557</v>
      </c>
    </row>
    <row r="4220" spans="1:11" ht="20" customHeight="1">
      <c r="A4220" t="s">
        <v>7556</v>
      </c>
      <c r="B4220" t="s">
        <v>1422</v>
      </c>
      <c r="C4220">
        <v>376.6400146484375</v>
      </c>
      <c r="D4220">
        <v>378.8299865722656</v>
      </c>
      <c r="E4220">
        <v>372.8900146484375</v>
      </c>
      <c r="F4220">
        <v>378.0599975585938</v>
      </c>
      <c r="G4220">
        <v>357.482666015625</v>
      </c>
      <c r="H4220">
        <v>79292100</v>
      </c>
      <c r="I4220" t="s">
        <v>1423</v>
      </c>
      <c r="J4220" t="s">
        <v>1424</v>
      </c>
      <c r="K4220" t="s">
        <v>7557</v>
      </c>
    </row>
    <row r="4221" spans="1:11" ht="20" customHeight="1">
      <c r="A4221" t="s">
        <v>7556</v>
      </c>
      <c r="B4221" t="s">
        <v>1425</v>
      </c>
      <c r="C4221">
        <v>381.3999938964844</v>
      </c>
      <c r="D4221">
        <v>390.0899963378906</v>
      </c>
      <c r="E4221">
        <v>381.3699951171875</v>
      </c>
      <c r="F4221">
        <v>390.0799865722656</v>
      </c>
      <c r="G4221">
        <v>368.8483581542969</v>
      </c>
      <c r="H4221">
        <v>98050300</v>
      </c>
      <c r="I4221" t="s">
        <v>1426</v>
      </c>
      <c r="J4221" t="s">
        <v>1427</v>
      </c>
      <c r="K4221" t="s">
        <v>7557</v>
      </c>
    </row>
    <row r="4222" spans="1:11" ht="20" customHeight="1">
      <c r="A4222" t="s">
        <v>7556</v>
      </c>
      <c r="B4222" t="s">
        <v>1428</v>
      </c>
      <c r="C4222">
        <v>391.0499877929688</v>
      </c>
      <c r="D4222">
        <v>391.3599853515625</v>
      </c>
      <c r="E4222">
        <v>387.4400024414062</v>
      </c>
      <c r="F4222">
        <v>388.5899963378906</v>
      </c>
      <c r="G4222">
        <v>367.4395751953125</v>
      </c>
      <c r="H4222">
        <v>66009600</v>
      </c>
      <c r="I4222" t="s">
        <v>1429</v>
      </c>
      <c r="J4222" t="s">
        <v>1430</v>
      </c>
      <c r="K4222" t="s">
        <v>7557</v>
      </c>
    </row>
    <row r="4223" spans="1:11" ht="20" customHeight="1">
      <c r="A4223" t="s">
        <v>7556</v>
      </c>
      <c r="B4223" t="s">
        <v>1431</v>
      </c>
      <c r="C4223">
        <v>390.2300109863281</v>
      </c>
      <c r="D4223">
        <v>393.1600036621094</v>
      </c>
      <c r="E4223">
        <v>380.5299987792969</v>
      </c>
      <c r="F4223">
        <v>380.6499938964844</v>
      </c>
      <c r="G4223">
        <v>359.9317016601562</v>
      </c>
      <c r="H4223">
        <v>86548900</v>
      </c>
      <c r="I4223" t="s">
        <v>1432</v>
      </c>
      <c r="J4223" t="s">
        <v>1433</v>
      </c>
      <c r="K4223" t="s">
        <v>7557</v>
      </c>
    </row>
    <row r="4224" spans="1:11" ht="20" customHeight="1">
      <c r="A4224" t="s">
        <v>7556</v>
      </c>
      <c r="B4224" t="s">
        <v>1434</v>
      </c>
      <c r="C4224">
        <v>381.2300109863281</v>
      </c>
      <c r="D4224">
        <v>382.2699890136719</v>
      </c>
      <c r="E4224">
        <v>378.4200134277344</v>
      </c>
      <c r="F4224">
        <v>380.3399963378906</v>
      </c>
      <c r="G4224">
        <v>359.6385498046875</v>
      </c>
      <c r="H4224">
        <v>65676000</v>
      </c>
      <c r="I4224" t="s">
        <v>1435</v>
      </c>
      <c r="J4224" t="s">
        <v>1436</v>
      </c>
      <c r="K4224" t="s">
        <v>7557</v>
      </c>
    </row>
    <row r="4225" spans="1:11" ht="20" customHeight="1">
      <c r="A4225" t="s">
        <v>7556</v>
      </c>
      <c r="B4225" t="s">
        <v>1437</v>
      </c>
      <c r="C4225">
        <v>376.239990234375</v>
      </c>
      <c r="D4225">
        <v>380.6600036621094</v>
      </c>
      <c r="E4225">
        <v>372.5599975585938</v>
      </c>
      <c r="F4225">
        <v>377.25</v>
      </c>
      <c r="G4225">
        <v>356.7167053222656</v>
      </c>
      <c r="H4225">
        <v>112508300</v>
      </c>
      <c r="I4225" t="s">
        <v>1438</v>
      </c>
      <c r="J4225" t="s">
        <v>1439</v>
      </c>
      <c r="K4225" t="s">
        <v>7557</v>
      </c>
    </row>
    <row r="4226" spans="1:11" ht="20" customHeight="1">
      <c r="A4226" t="s">
        <v>7556</v>
      </c>
      <c r="B4226" t="s">
        <v>1440</v>
      </c>
      <c r="C4226">
        <v>376.5599975585938</v>
      </c>
      <c r="D4226">
        <v>381.7000122070312</v>
      </c>
      <c r="E4226">
        <v>373.7999877929688</v>
      </c>
      <c r="F4226">
        <v>381.239990234375</v>
      </c>
      <c r="G4226">
        <v>360.4895935058594</v>
      </c>
      <c r="H4226">
        <v>74839700</v>
      </c>
      <c r="I4226" t="s">
        <v>1441</v>
      </c>
      <c r="J4226" t="s">
        <v>1442</v>
      </c>
      <c r="K4226" t="s">
        <v>7557</v>
      </c>
    </row>
    <row r="4227" spans="1:11" ht="20" customHeight="1">
      <c r="A4227" t="s">
        <v>7556</v>
      </c>
      <c r="B4227" t="s">
        <v>1443</v>
      </c>
      <c r="C4227">
        <v>375.8800048828125</v>
      </c>
      <c r="D4227">
        <v>381.9800109863281</v>
      </c>
      <c r="E4227">
        <v>372.8999938964844</v>
      </c>
      <c r="F4227">
        <v>381.9599914550781</v>
      </c>
      <c r="G4227">
        <v>361.1703491210938</v>
      </c>
      <c r="H4227">
        <v>81438000</v>
      </c>
      <c r="I4227" t="s">
        <v>1444</v>
      </c>
      <c r="J4227" t="s">
        <v>1445</v>
      </c>
      <c r="K4227" t="s">
        <v>7557</v>
      </c>
    </row>
    <row r="4228" spans="1:11" ht="20" customHeight="1">
      <c r="A4228" t="s">
        <v>7556</v>
      </c>
      <c r="B4228" t="s">
        <v>1446</v>
      </c>
      <c r="C4228">
        <v>382.1099853515625</v>
      </c>
      <c r="D4228">
        <v>385.8699951171875</v>
      </c>
      <c r="E4228">
        <v>379.6000061035156</v>
      </c>
      <c r="F4228">
        <v>383.25</v>
      </c>
      <c r="G4228">
        <v>362.39013671875</v>
      </c>
      <c r="H4228">
        <v>70426200</v>
      </c>
      <c r="I4228" t="s">
        <v>1447</v>
      </c>
      <c r="J4228" t="s">
        <v>1448</v>
      </c>
      <c r="K4228" t="s">
        <v>7557</v>
      </c>
    </row>
    <row r="4229" spans="1:11" ht="20" customHeight="1">
      <c r="A4229" t="s">
        <v>7556</v>
      </c>
      <c r="B4229" t="s">
        <v>1449</v>
      </c>
      <c r="C4229">
        <v>385.1199951171875</v>
      </c>
      <c r="D4229">
        <v>389.8299865722656</v>
      </c>
      <c r="E4229">
        <v>383.2699890136719</v>
      </c>
      <c r="F4229">
        <v>388.989990234375</v>
      </c>
      <c r="G4229">
        <v>367.8177795410156</v>
      </c>
      <c r="H4229">
        <v>64525900</v>
      </c>
      <c r="I4229" t="s">
        <v>1450</v>
      </c>
      <c r="J4229" t="s">
        <v>1451</v>
      </c>
      <c r="K4229" t="s">
        <v>7557</v>
      </c>
    </row>
    <row r="4230" spans="1:11" ht="20" customHeight="1">
      <c r="A4230" t="s">
        <v>7556</v>
      </c>
      <c r="B4230" t="s">
        <v>1452</v>
      </c>
      <c r="C4230">
        <v>387.2699890136719</v>
      </c>
      <c r="D4230">
        <v>390.6400146484375</v>
      </c>
      <c r="E4230">
        <v>385.6600036621094</v>
      </c>
      <c r="F4230">
        <v>388.6700134277344</v>
      </c>
      <c r="G4230">
        <v>367.5151672363281</v>
      </c>
      <c r="H4230">
        <v>72397800</v>
      </c>
      <c r="I4230" t="s">
        <v>1453</v>
      </c>
      <c r="J4230" t="s">
        <v>1454</v>
      </c>
      <c r="K4230" t="s">
        <v>7557</v>
      </c>
    </row>
    <row r="4231" spans="1:11" ht="20" customHeight="1">
      <c r="A4231" t="s">
        <v>7556</v>
      </c>
      <c r="B4231" t="s">
        <v>1455</v>
      </c>
      <c r="C4231">
        <v>385.8500061035156</v>
      </c>
      <c r="D4231">
        <v>386.8699951171875</v>
      </c>
      <c r="E4231">
        <v>383.5</v>
      </c>
      <c r="F4231">
        <v>384.2300109863281</v>
      </c>
      <c r="G4231">
        <v>363.3168640136719</v>
      </c>
      <c r="H4231">
        <v>58366900</v>
      </c>
      <c r="I4231" t="s">
        <v>1456</v>
      </c>
      <c r="J4231" t="s">
        <v>1457</v>
      </c>
      <c r="K4231" t="s">
        <v>7557</v>
      </c>
    </row>
    <row r="4232" spans="1:11" ht="20" customHeight="1">
      <c r="A4232" t="s">
        <v>7556</v>
      </c>
      <c r="B4232" t="s">
        <v>1458</v>
      </c>
      <c r="C4232">
        <v>383.6499938964844</v>
      </c>
      <c r="D4232">
        <v>386.1600036621094</v>
      </c>
      <c r="E4232">
        <v>378.989990234375</v>
      </c>
      <c r="F4232">
        <v>380.8299865722656</v>
      </c>
      <c r="G4232">
        <v>360.1018981933594</v>
      </c>
      <c r="H4232">
        <v>62219200</v>
      </c>
      <c r="I4232" t="s">
        <v>1459</v>
      </c>
      <c r="J4232" t="s">
        <v>1460</v>
      </c>
      <c r="K4232" t="s">
        <v>7557</v>
      </c>
    </row>
    <row r="4233" spans="1:11" ht="20" customHeight="1">
      <c r="A4233" t="s">
        <v>7556</v>
      </c>
      <c r="B4233" t="s">
        <v>1461</v>
      </c>
      <c r="C4233">
        <v>375.1000061035156</v>
      </c>
      <c r="D4233">
        <v>381.9200134277344</v>
      </c>
      <c r="E4233">
        <v>374.6600036621094</v>
      </c>
      <c r="F4233">
        <v>378.8299865722656</v>
      </c>
      <c r="G4233">
        <v>358.2107238769531</v>
      </c>
      <c r="H4233">
        <v>84224600</v>
      </c>
      <c r="I4233" t="s">
        <v>1462</v>
      </c>
      <c r="J4233" t="s">
        <v>1463</v>
      </c>
      <c r="K4233" t="s">
        <v>7557</v>
      </c>
    </row>
    <row r="4234" spans="1:11" ht="20" customHeight="1">
      <c r="A4234" t="s">
        <v>7556</v>
      </c>
      <c r="B4234" t="s">
        <v>1464</v>
      </c>
      <c r="C4234">
        <v>373.6099853515625</v>
      </c>
      <c r="D4234">
        <v>379.0499877929688</v>
      </c>
      <c r="E4234">
        <v>371.0400085449219</v>
      </c>
      <c r="F4234">
        <v>377.9100036621094</v>
      </c>
      <c r="G4234">
        <v>357.3407592773438</v>
      </c>
      <c r="H4234">
        <v>89704800</v>
      </c>
      <c r="I4234" t="s">
        <v>1465</v>
      </c>
      <c r="J4234" t="s">
        <v>1466</v>
      </c>
      <c r="K4234" t="s">
        <v>7557</v>
      </c>
    </row>
    <row r="4235" spans="1:11" ht="20" customHeight="1">
      <c r="A4235" t="s">
        <v>7556</v>
      </c>
      <c r="B4235" t="s">
        <v>1467</v>
      </c>
      <c r="C4235">
        <v>382.5499877929688</v>
      </c>
      <c r="D4235">
        <v>385.25</v>
      </c>
      <c r="E4235">
        <v>380.5400085449219</v>
      </c>
      <c r="F4235">
        <v>385.1300048828125</v>
      </c>
      <c r="G4235">
        <v>364.1678466796875</v>
      </c>
      <c r="H4235">
        <v>79060400</v>
      </c>
      <c r="I4235" t="s">
        <v>1468</v>
      </c>
      <c r="J4235" t="s">
        <v>1469</v>
      </c>
      <c r="K4235" t="s">
        <v>7557</v>
      </c>
    </row>
    <row r="4236" spans="1:11" ht="20" customHeight="1">
      <c r="A4236" t="s">
        <v>7556</v>
      </c>
      <c r="B4236" t="s">
        <v>1470</v>
      </c>
      <c r="C4236">
        <v>388.3800048828125</v>
      </c>
      <c r="D4236">
        <v>389.0899963378906</v>
      </c>
      <c r="E4236">
        <v>380.6600036621094</v>
      </c>
      <c r="F4236">
        <v>381.9500122070312</v>
      </c>
      <c r="G4236">
        <v>361.1609497070312</v>
      </c>
      <c r="H4236">
        <v>63203600</v>
      </c>
      <c r="I4236" t="s">
        <v>1471</v>
      </c>
      <c r="J4236" t="s">
        <v>1472</v>
      </c>
      <c r="K4236" t="s">
        <v>7557</v>
      </c>
    </row>
    <row r="4237" spans="1:11" ht="20" customHeight="1">
      <c r="A4237" t="s">
        <v>7556</v>
      </c>
      <c r="B4237" t="s">
        <v>1473</v>
      </c>
      <c r="C4237">
        <v>386.0799865722656</v>
      </c>
      <c r="D4237">
        <v>392.8699951171875</v>
      </c>
      <c r="E4237">
        <v>385.3900146484375</v>
      </c>
      <c r="F4237">
        <v>392.2699890136719</v>
      </c>
      <c r="G4237">
        <v>370.919189453125</v>
      </c>
      <c r="H4237">
        <v>78506000</v>
      </c>
      <c r="I4237" t="s">
        <v>1474</v>
      </c>
      <c r="J4237" t="s">
        <v>1475</v>
      </c>
      <c r="K4237" t="s">
        <v>7557</v>
      </c>
    </row>
    <row r="4238" spans="1:11" ht="20" customHeight="1">
      <c r="A4238" t="s">
        <v>7556</v>
      </c>
      <c r="B4238" t="s">
        <v>1476</v>
      </c>
      <c r="C4238">
        <v>392.4700012207031</v>
      </c>
      <c r="D4238">
        <v>396.260009765625</v>
      </c>
      <c r="E4238">
        <v>391.0299987792969</v>
      </c>
      <c r="F4238">
        <v>394.7699890136719</v>
      </c>
      <c r="G4238">
        <v>373.2831726074219</v>
      </c>
      <c r="H4238">
        <v>71843800</v>
      </c>
      <c r="I4238" t="s">
        <v>1477</v>
      </c>
      <c r="J4238" t="s">
        <v>1478</v>
      </c>
      <c r="K4238" t="s">
        <v>7557</v>
      </c>
    </row>
    <row r="4239" spans="1:11" ht="20" customHeight="1">
      <c r="A4239" t="s">
        <v>7556</v>
      </c>
      <c r="B4239" t="s">
        <v>1479</v>
      </c>
      <c r="C4239">
        <v>394.1600036621094</v>
      </c>
      <c r="D4239">
        <v>398.8399963378906</v>
      </c>
      <c r="E4239">
        <v>391.6300048828125</v>
      </c>
      <c r="F4239">
        <v>398.7900085449219</v>
      </c>
      <c r="G4239">
        <v>377.0843811035156</v>
      </c>
      <c r="H4239">
        <v>64903900</v>
      </c>
      <c r="I4239" t="s">
        <v>1480</v>
      </c>
      <c r="J4239" t="s">
        <v>1481</v>
      </c>
      <c r="K4239" t="s">
        <v>7557</v>
      </c>
    </row>
    <row r="4240" spans="1:11" ht="20" customHeight="1">
      <c r="A4240" t="s">
        <v>7556</v>
      </c>
      <c r="B4240" t="s">
        <v>1482</v>
      </c>
      <c r="C4240">
        <v>398.9200134277344</v>
      </c>
      <c r="D4240">
        <v>400.1799926757812</v>
      </c>
      <c r="E4240">
        <v>392.75</v>
      </c>
      <c r="F4240">
        <v>395.0899963378906</v>
      </c>
      <c r="G4240">
        <v>373.5857543945312</v>
      </c>
      <c r="H4240">
        <v>72197300</v>
      </c>
      <c r="I4240" t="s">
        <v>1483</v>
      </c>
      <c r="J4240" t="s">
        <v>1484</v>
      </c>
      <c r="K4240" t="s">
        <v>7557</v>
      </c>
    </row>
    <row r="4241" spans="1:11" ht="20" customHeight="1">
      <c r="A4241" t="s">
        <v>7556</v>
      </c>
      <c r="B4241" t="s">
        <v>1485</v>
      </c>
      <c r="C4241">
        <v>395.75</v>
      </c>
      <c r="D4241">
        <v>396.4700012207031</v>
      </c>
      <c r="E4241">
        <v>393.2099914550781</v>
      </c>
      <c r="F4241">
        <v>395.5700073242188</v>
      </c>
      <c r="G4241">
        <v>374.0396118164062</v>
      </c>
      <c r="H4241">
        <v>53631500</v>
      </c>
      <c r="I4241" t="s">
        <v>1486</v>
      </c>
      <c r="J4241" t="s">
        <v>1487</v>
      </c>
      <c r="K4241" t="s">
        <v>7557</v>
      </c>
    </row>
    <row r="4242" spans="1:11" ht="20" customHeight="1">
      <c r="A4242" t="s">
        <v>7556</v>
      </c>
      <c r="B4242" t="s">
        <v>1488</v>
      </c>
      <c r="C4242">
        <v>393.8399963378906</v>
      </c>
      <c r="D4242">
        <v>394.0599975585938</v>
      </c>
      <c r="E4242">
        <v>389.9500122070312</v>
      </c>
      <c r="F4242">
        <v>390.8900146484375</v>
      </c>
      <c r="G4242">
        <v>369.6143493652344</v>
      </c>
      <c r="H4242">
        <v>52946400</v>
      </c>
      <c r="I4242" t="s">
        <v>1489</v>
      </c>
      <c r="J4242" t="s">
        <v>1490</v>
      </c>
      <c r="K4242" t="s">
        <v>7557</v>
      </c>
    </row>
    <row r="4243" spans="1:11" ht="20" customHeight="1">
      <c r="A4243" t="s">
        <v>7556</v>
      </c>
      <c r="B4243" t="s">
        <v>1491</v>
      </c>
      <c r="C4243">
        <v>394.3599853515625</v>
      </c>
      <c r="D4243">
        <v>402.8800048828125</v>
      </c>
      <c r="E4243">
        <v>394.0499877929688</v>
      </c>
      <c r="F4243">
        <v>401.0400085449219</v>
      </c>
      <c r="G4243">
        <v>379.2118835449219</v>
      </c>
      <c r="H4243">
        <v>82342100</v>
      </c>
      <c r="I4243" t="s">
        <v>1492</v>
      </c>
      <c r="J4243" t="s">
        <v>1493</v>
      </c>
      <c r="K4243" t="s">
        <v>7557</v>
      </c>
    </row>
    <row r="4244" spans="1:11" ht="20" customHeight="1">
      <c r="A4244" t="s">
        <v>7556</v>
      </c>
      <c r="B4244" t="s">
        <v>1494</v>
      </c>
      <c r="C4244">
        <v>401.8900146484375</v>
      </c>
      <c r="D4244">
        <v>406.7999877929688</v>
      </c>
      <c r="E4244">
        <v>398.1499938964844</v>
      </c>
      <c r="F4244">
        <v>406.0700073242188</v>
      </c>
      <c r="G4244">
        <v>383.9681091308594</v>
      </c>
      <c r="H4244">
        <v>73966600</v>
      </c>
      <c r="I4244" t="s">
        <v>1495</v>
      </c>
      <c r="J4244" t="s">
        <v>1496</v>
      </c>
      <c r="K4244" t="s">
        <v>7557</v>
      </c>
    </row>
    <row r="4245" spans="1:11" ht="20" customHeight="1">
      <c r="A4245" t="s">
        <v>7556</v>
      </c>
      <c r="B4245" t="s">
        <v>1497</v>
      </c>
      <c r="C4245">
        <v>407.5799865722656</v>
      </c>
      <c r="D4245">
        <v>413.0299987792969</v>
      </c>
      <c r="E4245">
        <v>406.7699890136719</v>
      </c>
      <c r="F4245">
        <v>411.989990234375</v>
      </c>
      <c r="G4245">
        <v>389.5658874511719</v>
      </c>
      <c r="H4245">
        <v>87003700</v>
      </c>
      <c r="I4245" t="s">
        <v>1498</v>
      </c>
      <c r="J4245" t="s">
        <v>1499</v>
      </c>
      <c r="K4245" t="s">
        <v>7557</v>
      </c>
    </row>
    <row r="4246" spans="1:11" ht="20" customHeight="1">
      <c r="A4246" t="s">
        <v>7556</v>
      </c>
      <c r="B4246" t="s">
        <v>1500</v>
      </c>
      <c r="C4246">
        <v>409.1499938964844</v>
      </c>
      <c r="D4246">
        <v>413.4100036621094</v>
      </c>
      <c r="E4246">
        <v>408.3999938964844</v>
      </c>
      <c r="F4246">
        <v>410.7699890136719</v>
      </c>
      <c r="G4246">
        <v>388.4122924804688</v>
      </c>
      <c r="H4246">
        <v>69997500</v>
      </c>
      <c r="I4246" t="s">
        <v>1501</v>
      </c>
      <c r="J4246" t="s">
        <v>1502</v>
      </c>
      <c r="K4246" t="s">
        <v>7557</v>
      </c>
    </row>
    <row r="4247" spans="1:11" ht="20" customHeight="1">
      <c r="A4247" t="s">
        <v>7556</v>
      </c>
      <c r="B4247" t="s">
        <v>1503</v>
      </c>
      <c r="C4247">
        <v>409.1199951171875</v>
      </c>
      <c r="D4247">
        <v>413</v>
      </c>
      <c r="E4247">
        <v>406.8200073242188</v>
      </c>
      <c r="F4247">
        <v>408.0599975585938</v>
      </c>
      <c r="G4247">
        <v>385.8498229980469</v>
      </c>
      <c r="H4247">
        <v>63435400</v>
      </c>
      <c r="I4247" t="s">
        <v>1504</v>
      </c>
      <c r="J4247" t="s">
        <v>1505</v>
      </c>
      <c r="K4247" t="s">
        <v>7557</v>
      </c>
    </row>
    <row r="4248" spans="1:11" ht="20" customHeight="1">
      <c r="A4248" t="s">
        <v>7556</v>
      </c>
      <c r="B4248" t="s">
        <v>1506</v>
      </c>
      <c r="C4248">
        <v>410.2999877929688</v>
      </c>
      <c r="D4248">
        <v>415.6799926757812</v>
      </c>
      <c r="E4248">
        <v>410</v>
      </c>
      <c r="F4248">
        <v>414.4500122070312</v>
      </c>
      <c r="G4248">
        <v>391.8919982910156</v>
      </c>
      <c r="H4248">
        <v>67820600</v>
      </c>
      <c r="I4248" t="s">
        <v>1507</v>
      </c>
      <c r="J4248" t="s">
        <v>1508</v>
      </c>
      <c r="K4248" t="s">
        <v>7557</v>
      </c>
    </row>
    <row r="4249" spans="1:11" ht="20" customHeight="1">
      <c r="A4249" t="s">
        <v>7556</v>
      </c>
      <c r="B4249" t="s">
        <v>1509</v>
      </c>
      <c r="C4249">
        <v>414.3699951171875</v>
      </c>
      <c r="D4249">
        <v>415.0899963378906</v>
      </c>
      <c r="E4249">
        <v>412.4400024414062</v>
      </c>
      <c r="F4249">
        <v>414.1700134277344</v>
      </c>
      <c r="G4249">
        <v>391.6273193359375</v>
      </c>
      <c r="H4249">
        <v>45656600</v>
      </c>
      <c r="I4249" t="s">
        <v>1510</v>
      </c>
      <c r="J4249" t="s">
        <v>1511</v>
      </c>
      <c r="K4249" t="s">
        <v>7557</v>
      </c>
    </row>
    <row r="4250" spans="1:11" ht="20" customHeight="1">
      <c r="A4250" t="s">
        <v>7556</v>
      </c>
      <c r="B4250" t="s">
        <v>1512</v>
      </c>
      <c r="C4250">
        <v>409.6600036621094</v>
      </c>
      <c r="D4250">
        <v>414.1499938964844</v>
      </c>
      <c r="E4250">
        <v>409.6000061035156</v>
      </c>
      <c r="F4250">
        <v>413.4700012207031</v>
      </c>
      <c r="G4250">
        <v>390.96533203125</v>
      </c>
      <c r="H4250">
        <v>56814900</v>
      </c>
      <c r="I4250" t="s">
        <v>1513</v>
      </c>
      <c r="J4250" t="s">
        <v>1514</v>
      </c>
      <c r="K4250" t="s">
        <v>7557</v>
      </c>
    </row>
    <row r="4251" spans="1:11" ht="20" customHeight="1">
      <c r="A4251" t="s">
        <v>7556</v>
      </c>
      <c r="B4251" t="s">
        <v>1515</v>
      </c>
      <c r="C4251">
        <v>415.25</v>
      </c>
      <c r="D4251">
        <v>417.6199951171875</v>
      </c>
      <c r="E4251">
        <v>411.8299865722656</v>
      </c>
      <c r="F4251">
        <v>412.989990234375</v>
      </c>
      <c r="G4251">
        <v>390.5114440917969</v>
      </c>
      <c r="H4251">
        <v>53886100</v>
      </c>
      <c r="I4251" t="s">
        <v>1516</v>
      </c>
      <c r="J4251" t="s">
        <v>1517</v>
      </c>
      <c r="K4251" t="s">
        <v>7557</v>
      </c>
    </row>
    <row r="4252" spans="1:11" ht="20" customHeight="1">
      <c r="A4252" t="s">
        <v>7556</v>
      </c>
      <c r="B4252" t="s">
        <v>1518</v>
      </c>
      <c r="C4252">
        <v>412.2200012207031</v>
      </c>
      <c r="D4252">
        <v>412.75</v>
      </c>
      <c r="E4252">
        <v>410.2200012207031</v>
      </c>
      <c r="F4252">
        <v>411.3500061035156</v>
      </c>
      <c r="G4252">
        <v>388.960693359375</v>
      </c>
      <c r="H4252">
        <v>44931800</v>
      </c>
      <c r="I4252" t="s">
        <v>1519</v>
      </c>
      <c r="J4252" t="s">
        <v>1520</v>
      </c>
      <c r="K4252" t="s">
        <v>7557</v>
      </c>
    </row>
    <row r="4253" spans="1:11" ht="20" customHeight="1">
      <c r="A4253" t="s">
        <v>7556</v>
      </c>
      <c r="B4253" t="s">
        <v>1521</v>
      </c>
      <c r="C4253">
        <v>418.7799987792969</v>
      </c>
      <c r="D4253">
        <v>420.1400146484375</v>
      </c>
      <c r="E4253">
        <v>416.7200012207031</v>
      </c>
      <c r="F4253">
        <v>419.989990234375</v>
      </c>
      <c r="G4253">
        <v>397.1304931640625</v>
      </c>
      <c r="H4253">
        <v>68665700</v>
      </c>
      <c r="I4253" t="s">
        <v>1522</v>
      </c>
      <c r="J4253" t="s">
        <v>1523</v>
      </c>
      <c r="K4253" t="s">
        <v>7557</v>
      </c>
    </row>
    <row r="4254" spans="1:11" ht="20" customHeight="1">
      <c r="A4254" t="s">
        <v>7556</v>
      </c>
      <c r="B4254" t="s">
        <v>1524</v>
      </c>
      <c r="C4254">
        <v>422.989990234375</v>
      </c>
      <c r="D4254">
        <v>424.9500122070312</v>
      </c>
      <c r="E4254">
        <v>419.2099914550781</v>
      </c>
      <c r="F4254">
        <v>419.989990234375</v>
      </c>
      <c r="G4254">
        <v>397.1304931640625</v>
      </c>
      <c r="H4254">
        <v>59489700</v>
      </c>
      <c r="I4254" t="s">
        <v>1525</v>
      </c>
      <c r="J4254" t="s">
        <v>1526</v>
      </c>
      <c r="K4254" t="s">
        <v>7557</v>
      </c>
    </row>
    <row r="4255" spans="1:11" ht="20" customHeight="1">
      <c r="A4255" t="s">
        <v>7556</v>
      </c>
      <c r="B4255" t="s">
        <v>1527</v>
      </c>
      <c r="C4255">
        <v>422.0299987792969</v>
      </c>
      <c r="D4255">
        <v>427.2099914550781</v>
      </c>
      <c r="E4255">
        <v>421.0299987792969</v>
      </c>
      <c r="F4255">
        <v>427.1000061035156</v>
      </c>
      <c r="G4255">
        <v>403.853515625</v>
      </c>
      <c r="H4255">
        <v>61694500</v>
      </c>
      <c r="I4255" t="s">
        <v>1528</v>
      </c>
      <c r="J4255" t="s">
        <v>1529</v>
      </c>
      <c r="K4255" t="s">
        <v>7557</v>
      </c>
    </row>
    <row r="4256" spans="1:11" ht="20" customHeight="1">
      <c r="A4256" t="s">
        <v>7556</v>
      </c>
      <c r="B4256" t="s">
        <v>1530</v>
      </c>
      <c r="C4256">
        <v>424.7699890136719</v>
      </c>
      <c r="D4256">
        <v>429.4100036621094</v>
      </c>
      <c r="E4256">
        <v>424.7099914550781</v>
      </c>
      <c r="F4256">
        <v>428.8599853515625</v>
      </c>
      <c r="G4256">
        <v>405.5176391601562</v>
      </c>
      <c r="H4256">
        <v>54048300</v>
      </c>
      <c r="I4256" t="s">
        <v>1531</v>
      </c>
      <c r="J4256" t="s">
        <v>1532</v>
      </c>
      <c r="K4256" t="s">
        <v>7557</v>
      </c>
    </row>
    <row r="4257" spans="1:11" ht="20" customHeight="1">
      <c r="A4257" t="s">
        <v>7556</v>
      </c>
      <c r="B4257" t="s">
        <v>1533</v>
      </c>
      <c r="C4257">
        <v>427.7300109863281</v>
      </c>
      <c r="D4257">
        <v>431.7300109863281</v>
      </c>
      <c r="E4257">
        <v>426.8800048828125</v>
      </c>
      <c r="F4257">
        <v>429.7000122070312</v>
      </c>
      <c r="G4257">
        <v>406.3119506835938</v>
      </c>
      <c r="H4257">
        <v>59289000</v>
      </c>
      <c r="I4257" t="s">
        <v>1534</v>
      </c>
      <c r="J4257" t="s">
        <v>1535</v>
      </c>
      <c r="K4257" t="s">
        <v>7557</v>
      </c>
    </row>
    <row r="4258" spans="1:11" ht="20" customHeight="1">
      <c r="A4258" t="s">
        <v>7556</v>
      </c>
      <c r="B4258" t="s">
        <v>1536</v>
      </c>
      <c r="C4258">
        <v>425.9100036621094</v>
      </c>
      <c r="D4258">
        <v>429.5</v>
      </c>
      <c r="E4258">
        <v>424.5400085449219</v>
      </c>
      <c r="F4258">
        <v>426.6499938964844</v>
      </c>
      <c r="G4258">
        <v>403.427978515625</v>
      </c>
      <c r="H4258">
        <v>63563400</v>
      </c>
      <c r="I4258" t="s">
        <v>1537</v>
      </c>
      <c r="J4258" t="s">
        <v>1538</v>
      </c>
      <c r="K4258" t="s">
        <v>7557</v>
      </c>
    </row>
    <row r="4259" spans="1:11" ht="20" customHeight="1">
      <c r="A4259" t="s">
        <v>7556</v>
      </c>
      <c r="B4259" t="s">
        <v>1539</v>
      </c>
      <c r="C4259">
        <v>426.8599853515625</v>
      </c>
      <c r="D4259">
        <v>428.6099853515625</v>
      </c>
      <c r="E4259">
        <v>425.5</v>
      </c>
      <c r="F4259">
        <v>427.8900146484375</v>
      </c>
      <c r="G4259">
        <v>404.6004638671875</v>
      </c>
      <c r="H4259">
        <v>49023200</v>
      </c>
      <c r="I4259" t="s">
        <v>1540</v>
      </c>
      <c r="J4259" t="s">
        <v>1541</v>
      </c>
      <c r="K4259" t="s">
        <v>7557</v>
      </c>
    </row>
    <row r="4260" spans="1:11" ht="20" customHeight="1">
      <c r="A4260" t="s">
        <v>7556</v>
      </c>
      <c r="B4260" t="s">
        <v>1542</v>
      </c>
      <c r="C4260">
        <v>424.9800109863281</v>
      </c>
      <c r="D4260">
        <v>425.260009765625</v>
      </c>
      <c r="E4260">
        <v>421.2200012207031</v>
      </c>
      <c r="F4260">
        <v>422.1400146484375</v>
      </c>
      <c r="G4260">
        <v>399.1634826660156</v>
      </c>
      <c r="H4260">
        <v>68016900</v>
      </c>
      <c r="I4260" t="s">
        <v>1543</v>
      </c>
      <c r="J4260" t="s">
        <v>1544</v>
      </c>
      <c r="K4260" t="s">
        <v>7557</v>
      </c>
    </row>
    <row r="4261" spans="1:11" ht="20" customHeight="1">
      <c r="A4261" t="s">
        <v>7556</v>
      </c>
      <c r="B4261" t="s">
        <v>1545</v>
      </c>
      <c r="C4261">
        <v>417.0499877929688</v>
      </c>
      <c r="D4261">
        <v>417.2300109863281</v>
      </c>
      <c r="E4261">
        <v>412.3999938964844</v>
      </c>
      <c r="F4261">
        <v>413.3500061035156</v>
      </c>
      <c r="G4261">
        <v>390.8519287109375</v>
      </c>
      <c r="H4261">
        <v>77695600</v>
      </c>
      <c r="I4261" t="s">
        <v>1546</v>
      </c>
      <c r="J4261" t="s">
        <v>1547</v>
      </c>
      <c r="K4261" t="s">
        <v>7557</v>
      </c>
    </row>
    <row r="4262" spans="1:11" ht="20" customHeight="1">
      <c r="A4262" t="s">
        <v>7556</v>
      </c>
      <c r="B4262" t="s">
        <v>1548</v>
      </c>
      <c r="C4262">
        <v>412.8999938964844</v>
      </c>
      <c r="D4262">
        <v>415.4200134277344</v>
      </c>
      <c r="E4262">
        <v>411.7699890136719</v>
      </c>
      <c r="F4262">
        <v>412.3500061035156</v>
      </c>
      <c r="G4262">
        <v>389.9063415527344</v>
      </c>
      <c r="H4262">
        <v>49105200</v>
      </c>
      <c r="I4262" t="s">
        <v>1549</v>
      </c>
      <c r="J4262" t="s">
        <v>1550</v>
      </c>
      <c r="K4262" t="s">
        <v>7557</v>
      </c>
    </row>
    <row r="4263" spans="1:11" ht="20" customHeight="1">
      <c r="A4263" t="s">
        <v>7556</v>
      </c>
      <c r="B4263" t="s">
        <v>1551</v>
      </c>
      <c r="C4263">
        <v>412.1099853515625</v>
      </c>
      <c r="D4263">
        <v>415.1099853515625</v>
      </c>
      <c r="E4263">
        <v>411.3900146484375</v>
      </c>
      <c r="F4263">
        <v>413.6700134277344</v>
      </c>
      <c r="G4263">
        <v>391.1544494628906</v>
      </c>
      <c r="H4263">
        <v>49177800</v>
      </c>
      <c r="I4263" t="s">
        <v>1552</v>
      </c>
      <c r="J4263" t="s">
        <v>1553</v>
      </c>
      <c r="K4263" t="s">
        <v>7557</v>
      </c>
    </row>
    <row r="4264" spans="1:11" ht="20" customHeight="1">
      <c r="A4264" t="s">
        <v>7556</v>
      </c>
      <c r="B4264" t="s">
        <v>1554</v>
      </c>
      <c r="C4264">
        <v>415.239990234375</v>
      </c>
      <c r="D4264">
        <v>419.5599975585938</v>
      </c>
      <c r="E4264">
        <v>414.0899963378906</v>
      </c>
      <c r="F4264">
        <v>419.510009765625</v>
      </c>
      <c r="G4264">
        <v>396.6765441894531</v>
      </c>
      <c r="H4264">
        <v>50942300</v>
      </c>
      <c r="I4264" t="s">
        <v>1555</v>
      </c>
      <c r="J4264" t="s">
        <v>1556</v>
      </c>
      <c r="K4264" t="s">
        <v>7557</v>
      </c>
    </row>
    <row r="4265" spans="1:11" ht="20" customHeight="1">
      <c r="A4265" t="s">
        <v>7556</v>
      </c>
      <c r="B4265" t="s">
        <v>1557</v>
      </c>
      <c r="C4265">
        <v>419.3900146484375</v>
      </c>
      <c r="D4265">
        <v>419.9599914550781</v>
      </c>
      <c r="E4265">
        <v>405.25</v>
      </c>
      <c r="F4265">
        <v>405.3099975585938</v>
      </c>
      <c r="G4265">
        <v>383.2494812011719</v>
      </c>
      <c r="H4265">
        <v>103087000</v>
      </c>
      <c r="I4265" t="s">
        <v>1558</v>
      </c>
      <c r="J4265" t="s">
        <v>1559</v>
      </c>
      <c r="K4265" t="s">
        <v>7557</v>
      </c>
    </row>
    <row r="4266" spans="1:11" ht="20" customHeight="1">
      <c r="A4266" t="s">
        <v>7556</v>
      </c>
      <c r="B4266" t="s">
        <v>1560</v>
      </c>
      <c r="C4266">
        <v>402.2000122070312</v>
      </c>
      <c r="D4266">
        <v>405.8399963378906</v>
      </c>
      <c r="E4266">
        <v>401.2000122070312</v>
      </c>
      <c r="F4266">
        <v>402.6300048828125</v>
      </c>
      <c r="G4266">
        <v>380.7153930664062</v>
      </c>
      <c r="H4266">
        <v>65370800</v>
      </c>
      <c r="I4266" t="s">
        <v>1561</v>
      </c>
      <c r="J4266" t="s">
        <v>1562</v>
      </c>
      <c r="K4266" t="s">
        <v>7557</v>
      </c>
    </row>
    <row r="4267" spans="1:11" ht="20" customHeight="1">
      <c r="A4267" t="s">
        <v>7556</v>
      </c>
      <c r="B4267" t="s">
        <v>1563</v>
      </c>
      <c r="C4267">
        <v>403.8500061035156</v>
      </c>
      <c r="D4267">
        <v>404.1000061035156</v>
      </c>
      <c r="E4267">
        <v>396</v>
      </c>
      <c r="F4267">
        <v>398.2099914550781</v>
      </c>
      <c r="G4267">
        <v>376.5359497070312</v>
      </c>
      <c r="H4267">
        <v>85652400</v>
      </c>
      <c r="I4267" t="s">
        <v>1564</v>
      </c>
      <c r="J4267" t="s">
        <v>1565</v>
      </c>
      <c r="K4267" t="s">
        <v>7557</v>
      </c>
    </row>
    <row r="4268" spans="1:11" ht="20" customHeight="1">
      <c r="A4268" t="s">
        <v>7556</v>
      </c>
      <c r="B4268" t="s">
        <v>1566</v>
      </c>
      <c r="C4268">
        <v>399.9299926757812</v>
      </c>
      <c r="D4268">
        <v>401.239990234375</v>
      </c>
      <c r="E4268">
        <v>395.0400085449219</v>
      </c>
      <c r="F4268">
        <v>395.1799926757812</v>
      </c>
      <c r="G4268">
        <v>373.6708068847656</v>
      </c>
      <c r="H4268">
        <v>76029700</v>
      </c>
      <c r="I4268" t="s">
        <v>1567</v>
      </c>
      <c r="J4268" t="s">
        <v>1568</v>
      </c>
      <c r="K4268" t="s">
        <v>7557</v>
      </c>
    </row>
    <row r="4269" spans="1:11" ht="20" customHeight="1">
      <c r="A4269" t="s">
        <v>7556</v>
      </c>
      <c r="B4269" t="s">
        <v>1569</v>
      </c>
      <c r="C4269">
        <v>392.8900146484375</v>
      </c>
      <c r="D4269">
        <v>396.7799987792969</v>
      </c>
      <c r="E4269">
        <v>390.0400085449219</v>
      </c>
      <c r="F4269">
        <v>396.4200134277344</v>
      </c>
      <c r="G4269">
        <v>374.8433837890625</v>
      </c>
      <c r="H4269">
        <v>78740100</v>
      </c>
      <c r="I4269" t="s">
        <v>1570</v>
      </c>
      <c r="J4269" t="s">
        <v>1571</v>
      </c>
      <c r="K4269" t="s">
        <v>7557</v>
      </c>
    </row>
    <row r="4270" spans="1:11" ht="20" customHeight="1">
      <c r="A4270" t="s">
        <v>7556</v>
      </c>
      <c r="B4270" t="s">
        <v>1572</v>
      </c>
      <c r="C4270">
        <v>400.2799987792969</v>
      </c>
      <c r="D4270">
        <v>401.5599975585938</v>
      </c>
      <c r="E4270">
        <v>390.3299865722656</v>
      </c>
      <c r="F4270">
        <v>392.239990234375</v>
      </c>
      <c r="G4270">
        <v>370.8908081054688</v>
      </c>
      <c r="H4270">
        <v>99632100</v>
      </c>
      <c r="I4270" t="s">
        <v>1573</v>
      </c>
      <c r="J4270" t="s">
        <v>1574</v>
      </c>
      <c r="K4270" t="s">
        <v>7557</v>
      </c>
    </row>
    <row r="4271" spans="1:11" ht="20" customHeight="1">
      <c r="A4271" t="s">
        <v>7556</v>
      </c>
      <c r="B4271" t="s">
        <v>1575</v>
      </c>
      <c r="C4271">
        <v>393.1300048828125</v>
      </c>
      <c r="D4271">
        <v>394.1199951171875</v>
      </c>
      <c r="E4271">
        <v>388.4200134277344</v>
      </c>
      <c r="F4271">
        <v>390.760009765625</v>
      </c>
      <c r="G4271">
        <v>369.4914855957031</v>
      </c>
      <c r="H4271">
        <v>76637400</v>
      </c>
      <c r="I4271" t="s">
        <v>1576</v>
      </c>
      <c r="J4271" t="s">
        <v>1577</v>
      </c>
      <c r="K4271" t="s">
        <v>7557</v>
      </c>
    </row>
    <row r="4272" spans="1:11" ht="20" customHeight="1">
      <c r="A4272" t="s">
        <v>7556</v>
      </c>
      <c r="B4272" t="s">
        <v>1578</v>
      </c>
      <c r="C4272">
        <v>390.4299926757812</v>
      </c>
      <c r="D4272">
        <v>398.5899963378906</v>
      </c>
      <c r="E4272">
        <v>390.2000122070312</v>
      </c>
      <c r="F4272">
        <v>397.7799987792969</v>
      </c>
      <c r="G4272">
        <v>376.1293029785156</v>
      </c>
      <c r="H4272">
        <v>70964200</v>
      </c>
      <c r="I4272" t="s">
        <v>1579</v>
      </c>
      <c r="J4272" t="s">
        <v>1580</v>
      </c>
      <c r="K4272" t="s">
        <v>7557</v>
      </c>
    </row>
    <row r="4273" spans="1:11" ht="20" customHeight="1">
      <c r="A4273" t="s">
        <v>7556</v>
      </c>
      <c r="B4273" t="s">
        <v>1581</v>
      </c>
      <c r="C4273">
        <v>395.3900146484375</v>
      </c>
      <c r="D4273">
        <v>400.8599853515625</v>
      </c>
      <c r="E4273">
        <v>394.1199951171875</v>
      </c>
      <c r="F4273">
        <v>400.3800048828125</v>
      </c>
      <c r="G4273">
        <v>378.5878295898438</v>
      </c>
      <c r="H4273">
        <v>80821700</v>
      </c>
      <c r="I4273" t="s">
        <v>1582</v>
      </c>
      <c r="J4273" t="s">
        <v>1583</v>
      </c>
      <c r="K4273" t="s">
        <v>7557</v>
      </c>
    </row>
    <row r="4274" spans="1:11" ht="20" customHeight="1">
      <c r="A4274" t="s">
        <v>7556</v>
      </c>
      <c r="B4274" t="s">
        <v>1584</v>
      </c>
      <c r="C4274">
        <v>402.739990234375</v>
      </c>
      <c r="D4274">
        <v>407.510009765625</v>
      </c>
      <c r="E4274">
        <v>402.4599914550781</v>
      </c>
      <c r="F4274">
        <v>406.6000061035156</v>
      </c>
      <c r="G4274">
        <v>384.4693298339844</v>
      </c>
      <c r="H4274">
        <v>76706900</v>
      </c>
      <c r="I4274" t="s">
        <v>1585</v>
      </c>
      <c r="J4274" t="s">
        <v>1586</v>
      </c>
      <c r="K4274" t="s">
        <v>7557</v>
      </c>
    </row>
    <row r="4275" spans="1:11" ht="20" customHeight="1">
      <c r="A4275" t="s">
        <v>7556</v>
      </c>
      <c r="B4275" t="s">
        <v>1587</v>
      </c>
      <c r="C4275">
        <v>408.7799987792969</v>
      </c>
      <c r="D4275">
        <v>411.7300109863281</v>
      </c>
      <c r="E4275">
        <v>408.4599914550781</v>
      </c>
      <c r="F4275">
        <v>410.9700012207031</v>
      </c>
      <c r="G4275">
        <v>388.6015014648438</v>
      </c>
      <c r="H4275">
        <v>69256300</v>
      </c>
      <c r="I4275" t="s">
        <v>1588</v>
      </c>
      <c r="J4275" t="s">
        <v>1589</v>
      </c>
      <c r="K4275" t="s">
        <v>7557</v>
      </c>
    </row>
    <row r="4276" spans="1:11" ht="20" customHeight="1">
      <c r="A4276" t="s">
        <v>7556</v>
      </c>
      <c r="B4276" t="s">
        <v>1590</v>
      </c>
      <c r="C4276">
        <v>401.8299865722656</v>
      </c>
      <c r="D4276">
        <v>403.1000061035156</v>
      </c>
      <c r="E4276">
        <v>391.9200134277344</v>
      </c>
      <c r="F4276">
        <v>393.1000061035156</v>
      </c>
      <c r="G4276">
        <v>371.7041320800781</v>
      </c>
      <c r="H4276">
        <v>122947100</v>
      </c>
      <c r="I4276" t="s">
        <v>1591</v>
      </c>
      <c r="J4276" t="s">
        <v>1592</v>
      </c>
      <c r="K4276" t="s">
        <v>7557</v>
      </c>
    </row>
    <row r="4277" spans="1:11" ht="20" customHeight="1">
      <c r="A4277" t="s">
        <v>7556</v>
      </c>
      <c r="B4277" t="s">
        <v>1593</v>
      </c>
      <c r="C4277">
        <v>394.4700012207031</v>
      </c>
      <c r="D4277">
        <v>396.2000122070312</v>
      </c>
      <c r="E4277">
        <v>391.1199951171875</v>
      </c>
      <c r="F4277">
        <v>394.6000061035156</v>
      </c>
      <c r="G4277">
        <v>373.1224060058594</v>
      </c>
      <c r="H4277">
        <v>85023700</v>
      </c>
      <c r="I4277" t="s">
        <v>1594</v>
      </c>
      <c r="J4277" t="s">
        <v>1595</v>
      </c>
      <c r="K4277" t="s">
        <v>7557</v>
      </c>
    </row>
    <row r="4278" spans="1:11" ht="20" customHeight="1">
      <c r="A4278" t="s">
        <v>7556</v>
      </c>
      <c r="B4278" t="s">
        <v>1596</v>
      </c>
      <c r="C4278">
        <v>392.9599914550781</v>
      </c>
      <c r="D4278">
        <v>395.9599914550781</v>
      </c>
      <c r="E4278">
        <v>388.7799987792969</v>
      </c>
      <c r="F4278">
        <v>390.1199951171875</v>
      </c>
      <c r="G4278">
        <v>368.88623046875</v>
      </c>
      <c r="H4278">
        <v>87633800</v>
      </c>
      <c r="I4278" t="s">
        <v>1597</v>
      </c>
      <c r="J4278" t="s">
        <v>1598</v>
      </c>
      <c r="K4278" t="s">
        <v>7557</v>
      </c>
    </row>
    <row r="4279" spans="1:11" ht="20" customHeight="1">
      <c r="A4279" t="s">
        <v>7556</v>
      </c>
      <c r="B4279" t="s">
        <v>1599</v>
      </c>
      <c r="C4279">
        <v>384.1400146484375</v>
      </c>
      <c r="D4279">
        <v>386.25</v>
      </c>
      <c r="E4279">
        <v>382.1099853515625</v>
      </c>
      <c r="F4279">
        <v>385.5599975585938</v>
      </c>
      <c r="G4279">
        <v>366.0720520019531</v>
      </c>
      <c r="H4279">
        <v>103084800</v>
      </c>
      <c r="I4279" t="s">
        <v>1600</v>
      </c>
      <c r="J4279" t="s">
        <v>1601</v>
      </c>
      <c r="K4279" t="s">
        <v>7557</v>
      </c>
    </row>
    <row r="4280" spans="1:11" ht="20" customHeight="1">
      <c r="A4280" t="s">
        <v>7556</v>
      </c>
      <c r="B4280" t="s">
        <v>1602</v>
      </c>
      <c r="C4280">
        <v>382.260009765625</v>
      </c>
      <c r="D4280">
        <v>388.5499877929688</v>
      </c>
      <c r="E4280">
        <v>382.1799926757812</v>
      </c>
      <c r="F4280">
        <v>388.5499877929688</v>
      </c>
      <c r="G4280">
        <v>368.910888671875</v>
      </c>
      <c r="H4280">
        <v>73278500</v>
      </c>
      <c r="I4280" t="s">
        <v>1603</v>
      </c>
      <c r="J4280" t="s">
        <v>1604</v>
      </c>
      <c r="K4280" t="s">
        <v>7557</v>
      </c>
    </row>
    <row r="4281" spans="1:11" ht="20" customHeight="1">
      <c r="A4281" t="s">
        <v>7556</v>
      </c>
      <c r="B4281" t="s">
        <v>1605</v>
      </c>
      <c r="C4281">
        <v>385.0599975585938</v>
      </c>
      <c r="D4281">
        <v>386.1199951171875</v>
      </c>
      <c r="E4281">
        <v>381.2000122070312</v>
      </c>
      <c r="F4281">
        <v>384.0899963378906</v>
      </c>
      <c r="G4281">
        <v>364.6763305664062</v>
      </c>
      <c r="H4281">
        <v>77274900</v>
      </c>
      <c r="I4281" t="s">
        <v>1606</v>
      </c>
      <c r="J4281" t="s">
        <v>1607</v>
      </c>
      <c r="K4281" t="s">
        <v>7557</v>
      </c>
    </row>
    <row r="4282" spans="1:11" ht="20" customHeight="1">
      <c r="A4282" t="s">
        <v>7556</v>
      </c>
      <c r="B4282" t="s">
        <v>1608</v>
      </c>
      <c r="C4282">
        <v>386.1099853515625</v>
      </c>
      <c r="D4282">
        <v>389.3099975585938</v>
      </c>
      <c r="E4282">
        <v>377.3800048828125</v>
      </c>
      <c r="F4282">
        <v>377.3900146484375</v>
      </c>
      <c r="G4282">
        <v>358.3150329589844</v>
      </c>
      <c r="H4282">
        <v>106746600</v>
      </c>
      <c r="I4282" t="s">
        <v>1609</v>
      </c>
      <c r="J4282" t="s">
        <v>1610</v>
      </c>
      <c r="K4282" t="s">
        <v>7557</v>
      </c>
    </row>
    <row r="4283" spans="1:11" ht="20" customHeight="1">
      <c r="A4283" t="s">
        <v>7556</v>
      </c>
      <c r="B4283" t="s">
        <v>1611</v>
      </c>
      <c r="C4283">
        <v>376.5799865722656</v>
      </c>
      <c r="D4283">
        <v>378.2999877929688</v>
      </c>
      <c r="E4283">
        <v>373.4400024414062</v>
      </c>
      <c r="F4283">
        <v>374.2200012207031</v>
      </c>
      <c r="G4283">
        <v>355.3052673339844</v>
      </c>
      <c r="H4283">
        <v>89472600</v>
      </c>
      <c r="I4283" t="s">
        <v>1612</v>
      </c>
      <c r="J4283" t="s">
        <v>1613</v>
      </c>
      <c r="K4283" t="s">
        <v>7557</v>
      </c>
    </row>
    <row r="4284" spans="1:11" ht="20" customHeight="1">
      <c r="A4284" t="s">
        <v>7556</v>
      </c>
      <c r="B4284" t="s">
        <v>1614</v>
      </c>
      <c r="C4284">
        <v>370.5799865722656</v>
      </c>
      <c r="D4284">
        <v>370.6199951171875</v>
      </c>
      <c r="E4284">
        <v>363.2900085449219</v>
      </c>
      <c r="F4284">
        <v>367.9500122070312</v>
      </c>
      <c r="G4284">
        <v>349.3521728515625</v>
      </c>
      <c r="H4284">
        <v>122346900</v>
      </c>
      <c r="I4284" t="s">
        <v>1615</v>
      </c>
      <c r="J4284" t="s">
        <v>1616</v>
      </c>
      <c r="K4284" t="s">
        <v>7557</v>
      </c>
    </row>
    <row r="4285" spans="1:11" ht="20" customHeight="1">
      <c r="A4285" t="s">
        <v>7556</v>
      </c>
      <c r="B4285" t="s">
        <v>1617</v>
      </c>
      <c r="C4285">
        <v>366.4100036621094</v>
      </c>
      <c r="D4285">
        <v>370.2099914550781</v>
      </c>
      <c r="E4285">
        <v>363.0299987792969</v>
      </c>
      <c r="F4285">
        <v>364.3099975585938</v>
      </c>
      <c r="G4285">
        <v>345.8961791992188</v>
      </c>
      <c r="H4285">
        <v>92581200</v>
      </c>
      <c r="I4285" t="s">
        <v>1618</v>
      </c>
      <c r="J4285" t="s">
        <v>1619</v>
      </c>
      <c r="K4285" t="s">
        <v>7557</v>
      </c>
    </row>
    <row r="4286" spans="1:11" ht="20" customHeight="1">
      <c r="A4286" t="s">
        <v>7556</v>
      </c>
      <c r="B4286" t="s">
        <v>1620</v>
      </c>
      <c r="C4286">
        <v>368.0199890136719</v>
      </c>
      <c r="D4286">
        <v>370.3999938964844</v>
      </c>
      <c r="E4286">
        <v>360.8699951171875</v>
      </c>
      <c r="F4286">
        <v>363.3800048828125</v>
      </c>
      <c r="G4286">
        <v>345.0131530761719</v>
      </c>
      <c r="H4286">
        <v>108294100</v>
      </c>
      <c r="I4286" t="s">
        <v>1621</v>
      </c>
      <c r="J4286" t="s">
        <v>1622</v>
      </c>
      <c r="K4286" t="s">
        <v>7557</v>
      </c>
    </row>
    <row r="4287" spans="1:11" ht="20" customHeight="1">
      <c r="A4287" t="s">
        <v>7556</v>
      </c>
      <c r="B4287" t="s">
        <v>1623</v>
      </c>
      <c r="C4287">
        <v>364.3800048828125</v>
      </c>
      <c r="D4287">
        <v>372.2999877929688</v>
      </c>
      <c r="E4287">
        <v>362.6000061035156</v>
      </c>
      <c r="F4287">
        <v>370.5299987792969</v>
      </c>
      <c r="G4287">
        <v>351.8017578125</v>
      </c>
      <c r="H4287">
        <v>110802200</v>
      </c>
      <c r="I4287" t="s">
        <v>1624</v>
      </c>
      <c r="J4287" t="s">
        <v>1625</v>
      </c>
      <c r="K4287" t="s">
        <v>7557</v>
      </c>
    </row>
    <row r="4288" spans="1:11" ht="20" customHeight="1">
      <c r="A4288" t="s">
        <v>7556</v>
      </c>
      <c r="B4288" t="s">
        <v>1626</v>
      </c>
      <c r="C4288">
        <v>366.8099975585938</v>
      </c>
      <c r="D4288">
        <v>367.1099853515625</v>
      </c>
      <c r="E4288">
        <v>359.7000122070312</v>
      </c>
      <c r="F4288">
        <v>362.7900085449219</v>
      </c>
      <c r="G4288">
        <v>344.4529418945312</v>
      </c>
      <c r="H4288">
        <v>112952300</v>
      </c>
      <c r="I4288" t="s">
        <v>1627</v>
      </c>
      <c r="J4288" t="s">
        <v>1628</v>
      </c>
      <c r="K4288" t="s">
        <v>7557</v>
      </c>
    </row>
    <row r="4289" spans="1:11" ht="20" customHeight="1">
      <c r="A4289" t="s">
        <v>7556</v>
      </c>
      <c r="B4289" t="s">
        <v>1629</v>
      </c>
      <c r="C4289">
        <v>361.7999877929688</v>
      </c>
      <c r="D4289">
        <v>365.9100036621094</v>
      </c>
      <c r="E4289">
        <v>357.0400085449219</v>
      </c>
      <c r="F4289">
        <v>357.1799926757812</v>
      </c>
      <c r="G4289">
        <v>339.12646484375</v>
      </c>
      <c r="H4289">
        <v>153711200</v>
      </c>
      <c r="I4289" t="s">
        <v>1630</v>
      </c>
      <c r="J4289" t="s">
        <v>1631</v>
      </c>
      <c r="K4289" t="s">
        <v>7557</v>
      </c>
    </row>
    <row r="4290" spans="1:11" ht="20" customHeight="1">
      <c r="A4290" t="s">
        <v>7556</v>
      </c>
      <c r="B4290" t="s">
        <v>1632</v>
      </c>
      <c r="C4290">
        <v>361.0799865722656</v>
      </c>
      <c r="D4290">
        <v>368.5499877929688</v>
      </c>
      <c r="E4290">
        <v>359.2099914550781</v>
      </c>
      <c r="F4290">
        <v>366.6099853515625</v>
      </c>
      <c r="G4290">
        <v>348.0798645019531</v>
      </c>
      <c r="H4290">
        <v>89756500</v>
      </c>
      <c r="I4290" t="s">
        <v>1633</v>
      </c>
      <c r="J4290" t="s">
        <v>1634</v>
      </c>
      <c r="K4290" t="s">
        <v>7557</v>
      </c>
    </row>
    <row r="4291" spans="1:11" ht="20" customHeight="1">
      <c r="A4291" t="s">
        <v>7556</v>
      </c>
      <c r="B4291" t="s">
        <v>1635</v>
      </c>
      <c r="C4291">
        <v>372.3999938964844</v>
      </c>
      <c r="D4291">
        <v>378</v>
      </c>
      <c r="E4291">
        <v>366.5700073242188</v>
      </c>
      <c r="F4291">
        <v>377.9700012207031</v>
      </c>
      <c r="G4291">
        <v>358.86572265625</v>
      </c>
      <c r="H4291">
        <v>103602800</v>
      </c>
      <c r="I4291" t="s">
        <v>1636</v>
      </c>
      <c r="J4291" t="s">
        <v>1637</v>
      </c>
      <c r="K4291" t="s">
        <v>7557</v>
      </c>
    </row>
    <row r="4292" spans="1:11" ht="20" customHeight="1">
      <c r="A4292" t="s">
        <v>7556</v>
      </c>
      <c r="B4292" t="s">
        <v>1638</v>
      </c>
      <c r="C4292">
        <v>373.3900146484375</v>
      </c>
      <c r="D4292">
        <v>379.4599914550781</v>
      </c>
      <c r="E4292">
        <v>370.9500122070312</v>
      </c>
      <c r="F4292">
        <v>377.0899963378906</v>
      </c>
      <c r="G4292">
        <v>358.0300903320312</v>
      </c>
      <c r="H4292">
        <v>88065700</v>
      </c>
      <c r="I4292" t="s">
        <v>1639</v>
      </c>
      <c r="J4292" t="s">
        <v>1640</v>
      </c>
      <c r="K4292" t="s">
        <v>7557</v>
      </c>
    </row>
    <row r="4293" spans="1:11" ht="20" customHeight="1">
      <c r="A4293" t="s">
        <v>7556</v>
      </c>
      <c r="B4293" t="s">
        <v>1641</v>
      </c>
      <c r="C4293">
        <v>375.6199951171875</v>
      </c>
      <c r="D4293">
        <v>378.7200012207031</v>
      </c>
      <c r="E4293">
        <v>372.6799926757812</v>
      </c>
      <c r="F4293">
        <v>373.2000122070312</v>
      </c>
      <c r="G4293">
        <v>354.3368225097656</v>
      </c>
      <c r="H4293">
        <v>82333500</v>
      </c>
      <c r="I4293" t="s">
        <v>1642</v>
      </c>
      <c r="J4293" t="s">
        <v>1643</v>
      </c>
      <c r="K4293" t="s">
        <v>7557</v>
      </c>
    </row>
    <row r="4294" spans="1:11" ht="20" customHeight="1">
      <c r="A4294" t="s">
        <v>7556</v>
      </c>
      <c r="B4294" t="s">
        <v>1644</v>
      </c>
      <c r="C4294">
        <v>368.9700012207031</v>
      </c>
      <c r="D4294">
        <v>373.2900085449219</v>
      </c>
      <c r="E4294">
        <v>360.9400024414062</v>
      </c>
      <c r="F4294">
        <v>362.7900085449219</v>
      </c>
      <c r="G4294">
        <v>344.4529418945312</v>
      </c>
      <c r="H4294">
        <v>107789500</v>
      </c>
      <c r="I4294" t="s">
        <v>1645</v>
      </c>
      <c r="J4294" t="s">
        <v>1646</v>
      </c>
      <c r="K4294" t="s">
        <v>7557</v>
      </c>
    </row>
    <row r="4295" spans="1:11" ht="20" customHeight="1">
      <c r="A4295" t="s">
        <v>7556</v>
      </c>
      <c r="B4295" t="s">
        <v>1647</v>
      </c>
      <c r="C4295">
        <v>363.9599914550781</v>
      </c>
      <c r="D4295">
        <v>364.2099914550781</v>
      </c>
      <c r="E4295">
        <v>357.6700134277344</v>
      </c>
      <c r="F4295">
        <v>360.0199890136719</v>
      </c>
      <c r="G4295">
        <v>341.822998046875</v>
      </c>
      <c r="H4295">
        <v>76042800</v>
      </c>
      <c r="I4295" t="s">
        <v>1648</v>
      </c>
      <c r="J4295" t="s">
        <v>1649</v>
      </c>
      <c r="K4295" t="s">
        <v>7557</v>
      </c>
    </row>
    <row r="4296" spans="1:11" ht="20" customHeight="1">
      <c r="A4296" t="s">
        <v>7556</v>
      </c>
      <c r="B4296" t="s">
        <v>1650</v>
      </c>
      <c r="C4296">
        <v>358.239990234375</v>
      </c>
      <c r="D4296">
        <v>363.0299987792969</v>
      </c>
      <c r="E4296">
        <v>355.7099914550781</v>
      </c>
      <c r="F4296">
        <v>357.739990234375</v>
      </c>
      <c r="G4296">
        <v>339.658203125</v>
      </c>
      <c r="H4296">
        <v>92482800</v>
      </c>
      <c r="I4296" t="s">
        <v>1651</v>
      </c>
      <c r="J4296" t="s">
        <v>1652</v>
      </c>
      <c r="K4296" t="s">
        <v>7557</v>
      </c>
    </row>
    <row r="4297" spans="1:11" ht="20" customHeight="1">
      <c r="A4297" t="s">
        <v>7556</v>
      </c>
      <c r="B4297" t="s">
        <v>1653</v>
      </c>
      <c r="C4297">
        <v>358.1700134277344</v>
      </c>
      <c r="D4297">
        <v>359.8200073242188</v>
      </c>
      <c r="E4297">
        <v>356.2999877929688</v>
      </c>
      <c r="F4297">
        <v>356.5599975585938</v>
      </c>
      <c r="G4297">
        <v>338.5378723144531</v>
      </c>
      <c r="H4297">
        <v>76991800</v>
      </c>
      <c r="I4297" t="s">
        <v>1654</v>
      </c>
      <c r="J4297" t="s">
        <v>1655</v>
      </c>
      <c r="K4297" t="s">
        <v>7557</v>
      </c>
    </row>
    <row r="4298" spans="1:11" ht="20" customHeight="1">
      <c r="A4298" t="s">
        <v>7556</v>
      </c>
      <c r="B4298" t="s">
        <v>1656</v>
      </c>
      <c r="C4298">
        <v>349.2099914550781</v>
      </c>
      <c r="D4298">
        <v>367.510009765625</v>
      </c>
      <c r="E4298">
        <v>348.1099853515625</v>
      </c>
      <c r="F4298">
        <v>365.9700012207031</v>
      </c>
      <c r="G4298">
        <v>347.4721984863281</v>
      </c>
      <c r="H4298">
        <v>147254500</v>
      </c>
      <c r="I4298" t="s">
        <v>1657</v>
      </c>
      <c r="J4298" t="s">
        <v>1658</v>
      </c>
      <c r="K4298" t="s">
        <v>7557</v>
      </c>
    </row>
    <row r="4299" spans="1:11" ht="20" customHeight="1">
      <c r="A4299" t="s">
        <v>7556</v>
      </c>
      <c r="B4299" t="s">
        <v>1659</v>
      </c>
      <c r="C4299">
        <v>368.5499877929688</v>
      </c>
      <c r="D4299">
        <v>370.260009765625</v>
      </c>
      <c r="E4299">
        <v>356.9599914550781</v>
      </c>
      <c r="F4299">
        <v>357.6300048828125</v>
      </c>
      <c r="G4299">
        <v>339.5537719726562</v>
      </c>
      <c r="H4299">
        <v>123737000</v>
      </c>
      <c r="I4299" t="s">
        <v>1660</v>
      </c>
      <c r="J4299" t="s">
        <v>1661</v>
      </c>
      <c r="K4299" t="s">
        <v>7557</v>
      </c>
    </row>
    <row r="4300" spans="1:11" ht="20" customHeight="1">
      <c r="A4300" t="s">
        <v>7556</v>
      </c>
      <c r="B4300" t="s">
        <v>1662</v>
      </c>
      <c r="C4300">
        <v>364.010009765625</v>
      </c>
      <c r="D4300">
        <v>367.9800109863281</v>
      </c>
      <c r="E4300">
        <v>357.2799987792969</v>
      </c>
      <c r="F4300">
        <v>366.8200073242188</v>
      </c>
      <c r="G4300">
        <v>348.2792663574219</v>
      </c>
      <c r="H4300">
        <v>93168200</v>
      </c>
      <c r="I4300" t="s">
        <v>1663</v>
      </c>
      <c r="J4300" t="s">
        <v>1664</v>
      </c>
      <c r="K4300" t="s">
        <v>7557</v>
      </c>
    </row>
    <row r="4301" spans="1:11" ht="20" customHeight="1">
      <c r="A4301" t="s">
        <v>7556</v>
      </c>
      <c r="B4301" t="s">
        <v>1665</v>
      </c>
      <c r="C4301">
        <v>375.1300048828125</v>
      </c>
      <c r="D4301">
        <v>375.4500122070312</v>
      </c>
      <c r="E4301">
        <v>367.5199890136719</v>
      </c>
      <c r="F4301">
        <v>371.1300048828125</v>
      </c>
      <c r="G4301">
        <v>352.3713989257812</v>
      </c>
      <c r="H4301">
        <v>97162900</v>
      </c>
      <c r="I4301" t="s">
        <v>1666</v>
      </c>
      <c r="J4301" t="s">
        <v>1667</v>
      </c>
      <c r="K4301" t="s">
        <v>7557</v>
      </c>
    </row>
    <row r="4302" spans="1:11" ht="20" customHeight="1">
      <c r="A4302" t="s">
        <v>7556</v>
      </c>
      <c r="B4302" t="s">
        <v>1668</v>
      </c>
      <c r="C4302">
        <v>368.989990234375</v>
      </c>
      <c r="D4302">
        <v>371.8500061035156</v>
      </c>
      <c r="E4302">
        <v>365.5499877929688</v>
      </c>
      <c r="F4302">
        <v>368.5</v>
      </c>
      <c r="G4302">
        <v>349.8743286132812</v>
      </c>
      <c r="H4302">
        <v>79746900</v>
      </c>
      <c r="I4302" t="s">
        <v>1669</v>
      </c>
      <c r="J4302" t="s">
        <v>1670</v>
      </c>
      <c r="K4302" t="s">
        <v>7557</v>
      </c>
    </row>
    <row r="4303" spans="1:11" ht="20" customHeight="1">
      <c r="A4303" t="s">
        <v>7556</v>
      </c>
      <c r="B4303" t="s">
        <v>1671</v>
      </c>
      <c r="C4303">
        <v>368.0299987792969</v>
      </c>
      <c r="D4303">
        <v>372.6700134277344</v>
      </c>
      <c r="E4303">
        <v>364.6099853515625</v>
      </c>
      <c r="F4303">
        <v>365.4100036621094</v>
      </c>
      <c r="G4303">
        <v>346.9405212402344</v>
      </c>
      <c r="H4303">
        <v>88283100</v>
      </c>
      <c r="I4303" t="s">
        <v>1672</v>
      </c>
      <c r="J4303" t="s">
        <v>1673</v>
      </c>
      <c r="K4303" t="s">
        <v>7557</v>
      </c>
    </row>
    <row r="4304" spans="1:11" ht="20" customHeight="1">
      <c r="A4304" t="s">
        <v>7556</v>
      </c>
      <c r="B4304" t="s">
        <v>1674</v>
      </c>
      <c r="C4304">
        <v>365.1199951171875</v>
      </c>
      <c r="D4304">
        <v>374.7999877929688</v>
      </c>
      <c r="E4304">
        <v>363.5400085449219</v>
      </c>
      <c r="F4304">
        <v>374.2900085449219</v>
      </c>
      <c r="G4304">
        <v>355.3717041015625</v>
      </c>
      <c r="H4304">
        <v>131038400</v>
      </c>
      <c r="I4304" t="s">
        <v>1675</v>
      </c>
      <c r="J4304" t="s">
        <v>1676</v>
      </c>
      <c r="K4304" t="s">
        <v>7557</v>
      </c>
    </row>
    <row r="4305" spans="1:11" ht="20" customHeight="1">
      <c r="A4305" t="s">
        <v>7556</v>
      </c>
      <c r="B4305" t="s">
        <v>1677</v>
      </c>
      <c r="C4305">
        <v>375.8900146484375</v>
      </c>
      <c r="D4305">
        <v>380.0599975585938</v>
      </c>
      <c r="E4305">
        <v>373.1099853515625</v>
      </c>
      <c r="F4305">
        <v>378.8699951171875</v>
      </c>
      <c r="G4305">
        <v>359.7202453613281</v>
      </c>
      <c r="H4305">
        <v>85436900</v>
      </c>
      <c r="I4305" t="s">
        <v>1678</v>
      </c>
      <c r="J4305" t="s">
        <v>1679</v>
      </c>
      <c r="K4305" t="s">
        <v>7557</v>
      </c>
    </row>
    <row r="4306" spans="1:11" ht="20" customHeight="1">
      <c r="A4306" t="s">
        <v>7556</v>
      </c>
      <c r="B4306" t="s">
        <v>1680</v>
      </c>
      <c r="C4306">
        <v>378.7900085449219</v>
      </c>
      <c r="D4306">
        <v>385.25</v>
      </c>
      <c r="E4306">
        <v>378.6700134277344</v>
      </c>
      <c r="F4306">
        <v>384.9200134277344</v>
      </c>
      <c r="G4306">
        <v>365.4644165039062</v>
      </c>
      <c r="H4306">
        <v>78846300</v>
      </c>
      <c r="I4306" t="s">
        <v>1681</v>
      </c>
      <c r="J4306" t="s">
        <v>1682</v>
      </c>
      <c r="K4306" t="s">
        <v>7557</v>
      </c>
    </row>
    <row r="4307" spans="1:11" ht="20" customHeight="1">
      <c r="A4307" t="s">
        <v>7556</v>
      </c>
      <c r="B4307" t="s">
        <v>1683</v>
      </c>
      <c r="C4307">
        <v>381.6199951171875</v>
      </c>
      <c r="D4307">
        <v>387.5799865722656</v>
      </c>
      <c r="E4307">
        <v>381.3500061035156</v>
      </c>
      <c r="F4307">
        <v>382.0199890136719</v>
      </c>
      <c r="G4307">
        <v>362.7109985351562</v>
      </c>
      <c r="H4307">
        <v>104087300</v>
      </c>
      <c r="I4307" t="s">
        <v>1684</v>
      </c>
      <c r="J4307" t="s">
        <v>1685</v>
      </c>
      <c r="K4307" t="s">
        <v>7557</v>
      </c>
    </row>
    <row r="4308" spans="1:11" ht="20" customHeight="1">
      <c r="A4308" t="s">
        <v>7556</v>
      </c>
      <c r="B4308" t="s">
        <v>1686</v>
      </c>
      <c r="C4308">
        <v>383.0700073242188</v>
      </c>
      <c r="D4308">
        <v>385</v>
      </c>
      <c r="E4308">
        <v>379.3299865722656</v>
      </c>
      <c r="F4308">
        <v>379.9800109863281</v>
      </c>
      <c r="G4308">
        <v>360.7740478515625</v>
      </c>
      <c r="H4308">
        <v>81971800</v>
      </c>
      <c r="I4308" t="s">
        <v>1687</v>
      </c>
      <c r="J4308" t="s">
        <v>1688</v>
      </c>
      <c r="K4308" t="s">
        <v>7557</v>
      </c>
    </row>
    <row r="4309" spans="1:11" ht="20" customHeight="1">
      <c r="A4309" t="s">
        <v>7556</v>
      </c>
      <c r="B4309" t="s">
        <v>1689</v>
      </c>
      <c r="C4309">
        <v>379.8699951171875</v>
      </c>
      <c r="D4309">
        <v>389.5199890136719</v>
      </c>
      <c r="E4309">
        <v>379.6799926757812</v>
      </c>
      <c r="F4309">
        <v>389.0199890136719</v>
      </c>
      <c r="G4309">
        <v>369.357177734375</v>
      </c>
      <c r="H4309">
        <v>100302000</v>
      </c>
      <c r="I4309" t="s">
        <v>1690</v>
      </c>
      <c r="J4309" t="s">
        <v>1691</v>
      </c>
      <c r="K4309" t="s">
        <v>7557</v>
      </c>
    </row>
    <row r="4310" spans="1:11" ht="20" customHeight="1">
      <c r="A4310" t="s">
        <v>7556</v>
      </c>
      <c r="B4310" t="s">
        <v>1692</v>
      </c>
      <c r="C4310">
        <v>386.4400024414062</v>
      </c>
      <c r="D4310">
        <v>388.3999938964844</v>
      </c>
      <c r="E4310">
        <v>385.260009765625</v>
      </c>
      <c r="F4310">
        <v>386.2099914550781</v>
      </c>
      <c r="G4310">
        <v>366.6891784667969</v>
      </c>
      <c r="H4310">
        <v>96631300</v>
      </c>
      <c r="I4310" t="s">
        <v>1693</v>
      </c>
      <c r="J4310" t="s">
        <v>1694</v>
      </c>
      <c r="K4310" t="s">
        <v>7557</v>
      </c>
    </row>
    <row r="4311" spans="1:11" ht="20" customHeight="1">
      <c r="A4311" t="s">
        <v>7556</v>
      </c>
      <c r="B4311" t="s">
        <v>1695</v>
      </c>
      <c r="C4311">
        <v>390.1400146484375</v>
      </c>
      <c r="D4311">
        <v>390.3900146484375</v>
      </c>
      <c r="E4311">
        <v>383.2900085449219</v>
      </c>
      <c r="F4311">
        <v>384.5199890136719</v>
      </c>
      <c r="G4311">
        <v>365.0845642089844</v>
      </c>
      <c r="H4311">
        <v>85407600</v>
      </c>
      <c r="I4311" t="s">
        <v>1696</v>
      </c>
      <c r="J4311" t="s">
        <v>1697</v>
      </c>
      <c r="K4311" t="s">
        <v>7557</v>
      </c>
    </row>
    <row r="4312" spans="1:11" ht="20" customHeight="1">
      <c r="A4312" t="s">
        <v>7556</v>
      </c>
      <c r="B4312" t="s">
        <v>1698</v>
      </c>
      <c r="C4312">
        <v>383.8999938964844</v>
      </c>
      <c r="D4312">
        <v>388.6300048828125</v>
      </c>
      <c r="E4312">
        <v>374.760009765625</v>
      </c>
      <c r="F4312">
        <v>374.8699951171875</v>
      </c>
      <c r="G4312">
        <v>355.9223937988281</v>
      </c>
      <c r="H4312">
        <v>126990400</v>
      </c>
      <c r="I4312" t="s">
        <v>1699</v>
      </c>
      <c r="J4312" t="s">
        <v>1700</v>
      </c>
      <c r="K4312" t="s">
        <v>7557</v>
      </c>
    </row>
    <row r="4313" spans="1:11" ht="20" customHeight="1">
      <c r="A4313" t="s">
        <v>7556</v>
      </c>
      <c r="B4313" t="s">
        <v>1701</v>
      </c>
      <c r="C4313">
        <v>371.4700012207031</v>
      </c>
      <c r="D4313">
        <v>374.2000122070312</v>
      </c>
      <c r="E4313">
        <v>368.7900085449219</v>
      </c>
      <c r="F4313">
        <v>371.010009765625</v>
      </c>
      <c r="G4313">
        <v>352.2574768066406</v>
      </c>
      <c r="H4313">
        <v>87100100</v>
      </c>
      <c r="I4313" t="s">
        <v>1702</v>
      </c>
      <c r="J4313" t="s">
        <v>1703</v>
      </c>
      <c r="K4313" t="s">
        <v>7557</v>
      </c>
    </row>
    <row r="4314" spans="1:11" ht="20" customHeight="1">
      <c r="A4314" t="s">
        <v>7556</v>
      </c>
      <c r="B4314" t="s">
        <v>1704</v>
      </c>
      <c r="C4314">
        <v>377</v>
      </c>
      <c r="D4314">
        <v>378.8699951171875</v>
      </c>
      <c r="E4314">
        <v>370</v>
      </c>
      <c r="F4314">
        <v>376.3500061035156</v>
      </c>
      <c r="G4314">
        <v>357.3275451660156</v>
      </c>
      <c r="H4314">
        <v>103505200</v>
      </c>
      <c r="I4314" t="s">
        <v>1705</v>
      </c>
      <c r="J4314" t="s">
        <v>1706</v>
      </c>
      <c r="K4314" t="s">
        <v>7557</v>
      </c>
    </row>
    <row r="4315" spans="1:11" ht="20" customHeight="1">
      <c r="A4315" t="s">
        <v>7556</v>
      </c>
      <c r="B4315" t="s">
        <v>1707</v>
      </c>
      <c r="C4315">
        <v>377.7099914550781</v>
      </c>
      <c r="D4315">
        <v>380.5700073242188</v>
      </c>
      <c r="E4315">
        <v>375.5299987792969</v>
      </c>
      <c r="F4315">
        <v>379.9500122070312</v>
      </c>
      <c r="G4315">
        <v>360.74560546875</v>
      </c>
      <c r="H4315">
        <v>68286900</v>
      </c>
      <c r="I4315" t="s">
        <v>1708</v>
      </c>
      <c r="J4315" t="s">
        <v>1709</v>
      </c>
      <c r="K4315" t="s">
        <v>7557</v>
      </c>
    </row>
    <row r="4316" spans="1:11" ht="20" customHeight="1">
      <c r="A4316" t="s">
        <v>7556</v>
      </c>
      <c r="B4316" t="s">
        <v>1710</v>
      </c>
      <c r="C4316">
        <v>381.1099853515625</v>
      </c>
      <c r="D4316">
        <v>385.1199951171875</v>
      </c>
      <c r="E4316">
        <v>377.7200012207031</v>
      </c>
      <c r="F4316">
        <v>382</v>
      </c>
      <c r="G4316">
        <v>362.6920166015625</v>
      </c>
      <c r="H4316">
        <v>84641100</v>
      </c>
      <c r="I4316" t="s">
        <v>1711</v>
      </c>
      <c r="J4316" t="s">
        <v>1712</v>
      </c>
      <c r="K4316" t="s">
        <v>7557</v>
      </c>
    </row>
    <row r="4317" spans="1:11" ht="20" customHeight="1">
      <c r="A4317" t="s">
        <v>7556</v>
      </c>
      <c r="B4317" t="s">
        <v>1713</v>
      </c>
      <c r="C4317">
        <v>379.9299926757812</v>
      </c>
      <c r="D4317">
        <v>381.1400146484375</v>
      </c>
      <c r="E4317">
        <v>373.6099853515625</v>
      </c>
      <c r="F4317">
        <v>374.1300048828125</v>
      </c>
      <c r="G4317">
        <v>355.2197875976562</v>
      </c>
      <c r="H4317">
        <v>78495500</v>
      </c>
      <c r="I4317" t="s">
        <v>1714</v>
      </c>
      <c r="J4317" t="s">
        <v>1715</v>
      </c>
      <c r="K4317" t="s">
        <v>7557</v>
      </c>
    </row>
    <row r="4318" spans="1:11" ht="20" customHeight="1">
      <c r="A4318" t="s">
        <v>7556</v>
      </c>
      <c r="B4318" t="s">
        <v>1716</v>
      </c>
      <c r="C4318">
        <v>388.0499877929688</v>
      </c>
      <c r="D4318">
        <v>395.0400085449219</v>
      </c>
      <c r="E4318">
        <v>385.6400146484375</v>
      </c>
      <c r="F4318">
        <v>394.6900024414062</v>
      </c>
      <c r="G4318">
        <v>374.7405700683594</v>
      </c>
      <c r="H4318">
        <v>141455800</v>
      </c>
      <c r="I4318" t="s">
        <v>1717</v>
      </c>
      <c r="J4318" t="s">
        <v>1718</v>
      </c>
      <c r="K4318" t="s">
        <v>7557</v>
      </c>
    </row>
    <row r="4319" spans="1:11" ht="20" customHeight="1">
      <c r="A4319" t="s">
        <v>7556</v>
      </c>
      <c r="B4319" t="s">
        <v>1719</v>
      </c>
      <c r="C4319">
        <v>395.5899963378906</v>
      </c>
      <c r="D4319">
        <v>399.3500061035156</v>
      </c>
      <c r="E4319">
        <v>393.6099853515625</v>
      </c>
      <c r="F4319">
        <v>398.510009765625</v>
      </c>
      <c r="G4319">
        <v>378.3674621582031</v>
      </c>
      <c r="H4319">
        <v>93839900</v>
      </c>
      <c r="I4319" t="s">
        <v>1720</v>
      </c>
      <c r="J4319" t="s">
        <v>1721</v>
      </c>
      <c r="K4319" t="s">
        <v>7557</v>
      </c>
    </row>
    <row r="4320" spans="1:11" ht="20" customHeight="1">
      <c r="A4320" t="s">
        <v>7556</v>
      </c>
      <c r="B4320" t="s">
        <v>1722</v>
      </c>
      <c r="C4320">
        <v>396.6600036621094</v>
      </c>
      <c r="D4320">
        <v>400.1799926757812</v>
      </c>
      <c r="E4320">
        <v>394.8299865722656</v>
      </c>
      <c r="F4320">
        <v>395.1199951171875</v>
      </c>
      <c r="G4320">
        <v>375.1488037109375</v>
      </c>
      <c r="H4320">
        <v>71903500</v>
      </c>
      <c r="I4320" t="s">
        <v>1723</v>
      </c>
      <c r="J4320" t="s">
        <v>1724</v>
      </c>
      <c r="K4320" t="s">
        <v>7557</v>
      </c>
    </row>
    <row r="4321" spans="1:11" ht="20" customHeight="1">
      <c r="A4321" t="s">
        <v>7556</v>
      </c>
      <c r="B4321" t="s">
        <v>1725</v>
      </c>
      <c r="C4321">
        <v>401.1499938964844</v>
      </c>
      <c r="D4321">
        <v>402.3099975585938</v>
      </c>
      <c r="E4321">
        <v>394.489990234375</v>
      </c>
      <c r="F4321">
        <v>398.489990234375</v>
      </c>
      <c r="G4321">
        <v>378.3484802246094</v>
      </c>
      <c r="H4321">
        <v>93194500</v>
      </c>
      <c r="I4321" t="s">
        <v>1726</v>
      </c>
      <c r="J4321" t="s">
        <v>1727</v>
      </c>
      <c r="K4321" t="s">
        <v>7557</v>
      </c>
    </row>
    <row r="4322" spans="1:11" ht="20" customHeight="1">
      <c r="A4322" t="s">
        <v>7556</v>
      </c>
      <c r="B4322" t="s">
        <v>1728</v>
      </c>
      <c r="C4322">
        <v>396.7799987792969</v>
      </c>
      <c r="D4322">
        <v>397.7799987792969</v>
      </c>
      <c r="E4322">
        <v>394.7900085449219</v>
      </c>
      <c r="F4322">
        <v>395.4500122070312</v>
      </c>
      <c r="G4322">
        <v>375.4621887207031</v>
      </c>
      <c r="H4322">
        <v>68508500</v>
      </c>
      <c r="I4322" t="s">
        <v>1729</v>
      </c>
      <c r="J4322" t="s">
        <v>1730</v>
      </c>
      <c r="K4322" t="s">
        <v>7557</v>
      </c>
    </row>
    <row r="4323" spans="1:11" ht="20" customHeight="1">
      <c r="A4323" t="s">
        <v>7556</v>
      </c>
      <c r="B4323" t="s">
        <v>1731</v>
      </c>
      <c r="C4323">
        <v>390.4599914550781</v>
      </c>
      <c r="D4323">
        <v>394.9500122070312</v>
      </c>
      <c r="E4323">
        <v>390.1400146484375</v>
      </c>
      <c r="F4323">
        <v>394.239990234375</v>
      </c>
      <c r="G4323">
        <v>374.3133239746094</v>
      </c>
      <c r="H4323">
        <v>74496300</v>
      </c>
      <c r="I4323" t="s">
        <v>1732</v>
      </c>
      <c r="J4323" t="s">
        <v>1733</v>
      </c>
      <c r="K4323" t="s">
        <v>7557</v>
      </c>
    </row>
    <row r="4324" spans="1:11" ht="20" customHeight="1">
      <c r="A4324" t="s">
        <v>7556</v>
      </c>
      <c r="B4324" t="s">
        <v>1734</v>
      </c>
      <c r="C4324">
        <v>397.739990234375</v>
      </c>
      <c r="D4324">
        <v>397.8099975585938</v>
      </c>
      <c r="E4324">
        <v>393.0400085449219</v>
      </c>
      <c r="F4324">
        <v>396.0299987792969</v>
      </c>
      <c r="G4324">
        <v>376.0128784179688</v>
      </c>
      <c r="H4324">
        <v>92922500</v>
      </c>
      <c r="I4324" t="s">
        <v>1735</v>
      </c>
      <c r="J4324" t="s">
        <v>1736</v>
      </c>
      <c r="K4324" t="s">
        <v>7557</v>
      </c>
    </row>
    <row r="4325" spans="1:11" ht="20" customHeight="1">
      <c r="A4325" t="s">
        <v>7556</v>
      </c>
      <c r="B4325" t="s">
        <v>1737</v>
      </c>
      <c r="C4325">
        <v>394.6400146484375</v>
      </c>
      <c r="D4325">
        <v>395.8200073242188</v>
      </c>
      <c r="E4325">
        <v>392.6600036621094</v>
      </c>
      <c r="F4325">
        <v>394.5899963378906</v>
      </c>
      <c r="G4325">
        <v>374.6455993652344</v>
      </c>
      <c r="H4325">
        <v>51243200</v>
      </c>
      <c r="I4325" t="s">
        <v>1738</v>
      </c>
      <c r="J4325" t="s">
        <v>1739</v>
      </c>
      <c r="K4325" t="s">
        <v>7557</v>
      </c>
    </row>
    <row r="4326" spans="1:11" ht="20" customHeight="1">
      <c r="A4326" t="s">
        <v>7556</v>
      </c>
      <c r="B4326" t="s">
        <v>1740</v>
      </c>
      <c r="C4326">
        <v>396.6300048828125</v>
      </c>
      <c r="D4326">
        <v>400.0700073242188</v>
      </c>
      <c r="E4326">
        <v>395.1499938964844</v>
      </c>
      <c r="F4326">
        <v>399.8999938964844</v>
      </c>
      <c r="G4326">
        <v>379.687255859375</v>
      </c>
      <c r="H4326">
        <v>60429000</v>
      </c>
      <c r="I4326" t="s">
        <v>1741</v>
      </c>
      <c r="J4326" t="s">
        <v>1742</v>
      </c>
      <c r="K4326" t="s">
        <v>7557</v>
      </c>
    </row>
    <row r="4327" spans="1:11" ht="20" customHeight="1">
      <c r="A4327" t="s">
        <v>7556</v>
      </c>
      <c r="B4327" t="s">
        <v>1743</v>
      </c>
      <c r="C4327">
        <v>399.5499877929688</v>
      </c>
      <c r="D4327">
        <v>402.9299926757812</v>
      </c>
      <c r="E4327">
        <v>399.3099975585938</v>
      </c>
      <c r="F4327">
        <v>402.4200134277344</v>
      </c>
      <c r="G4327">
        <v>382.0799255371094</v>
      </c>
      <c r="H4327">
        <v>68261600</v>
      </c>
      <c r="I4327" t="s">
        <v>1744</v>
      </c>
      <c r="J4327" t="s">
        <v>1745</v>
      </c>
      <c r="K4327" t="s">
        <v>7557</v>
      </c>
    </row>
    <row r="4328" spans="1:11" ht="20" customHeight="1">
      <c r="A4328" t="s">
        <v>7556</v>
      </c>
      <c r="B4328" t="s">
        <v>1746</v>
      </c>
      <c r="C4328">
        <v>401.8299865722656</v>
      </c>
      <c r="D4328">
        <v>402.9100036621094</v>
      </c>
      <c r="E4328">
        <v>401.5400085449219</v>
      </c>
      <c r="F4328">
        <v>402.3299865722656</v>
      </c>
      <c r="G4328">
        <v>381.9944152832031</v>
      </c>
      <c r="H4328">
        <v>30545400</v>
      </c>
      <c r="I4328" t="s">
        <v>1747</v>
      </c>
      <c r="J4328" t="s">
        <v>1748</v>
      </c>
      <c r="K4328" t="s">
        <v>7557</v>
      </c>
    </row>
    <row r="4329" spans="1:11" ht="20" customHeight="1">
      <c r="A4329" t="s">
        <v>7556</v>
      </c>
      <c r="B4329" t="s">
        <v>1749</v>
      </c>
      <c r="C4329">
        <v>399.0899963378906</v>
      </c>
      <c r="D4329">
        <v>400.8099975585938</v>
      </c>
      <c r="E4329">
        <v>395.1099853515625</v>
      </c>
      <c r="F4329">
        <v>395.9100036621094</v>
      </c>
      <c r="G4329">
        <v>375.8989562988281</v>
      </c>
      <c r="H4329">
        <v>67881600</v>
      </c>
      <c r="I4329" t="s">
        <v>1750</v>
      </c>
      <c r="J4329" t="s">
        <v>1751</v>
      </c>
      <c r="K4329" t="s">
        <v>7557</v>
      </c>
    </row>
    <row r="4330" spans="1:11" ht="20" customHeight="1">
      <c r="A4330" t="s">
        <v>7556</v>
      </c>
      <c r="B4330" t="s">
        <v>1752</v>
      </c>
      <c r="C4330">
        <v>396.0499877929688</v>
      </c>
      <c r="D4330">
        <v>397.2999877929688</v>
      </c>
      <c r="E4330">
        <v>393.2999877929688</v>
      </c>
      <c r="F4330">
        <v>395.2300109863281</v>
      </c>
      <c r="G4330">
        <v>375.2533569335938</v>
      </c>
      <c r="H4330">
        <v>52310000</v>
      </c>
      <c r="I4330" t="s">
        <v>1753</v>
      </c>
      <c r="J4330" t="s">
        <v>1754</v>
      </c>
      <c r="K4330" t="s">
        <v>7557</v>
      </c>
    </row>
    <row r="4331" spans="1:11" ht="20" customHeight="1">
      <c r="A4331" t="s">
        <v>7556</v>
      </c>
      <c r="B4331" t="s">
        <v>1755</v>
      </c>
      <c r="C4331">
        <v>395.489990234375</v>
      </c>
      <c r="D4331">
        <v>407.6799926757812</v>
      </c>
      <c r="E4331">
        <v>393.4800109863281</v>
      </c>
      <c r="F4331">
        <v>407.6799926757812</v>
      </c>
      <c r="G4331">
        <v>387.0740356445312</v>
      </c>
      <c r="H4331">
        <v>144566700</v>
      </c>
      <c r="I4331" t="s">
        <v>1756</v>
      </c>
      <c r="J4331" t="s">
        <v>1757</v>
      </c>
      <c r="K4331" t="s">
        <v>7557</v>
      </c>
    </row>
    <row r="4332" spans="1:11" ht="20" customHeight="1">
      <c r="A4332" t="s">
        <v>7556</v>
      </c>
      <c r="B4332" t="s">
        <v>1758</v>
      </c>
      <c r="C4332">
        <v>408.7699890136719</v>
      </c>
      <c r="D4332">
        <v>410</v>
      </c>
      <c r="E4332">
        <v>404.75</v>
      </c>
      <c r="F4332">
        <v>407.3800048828125</v>
      </c>
      <c r="G4332">
        <v>386.7891845703125</v>
      </c>
      <c r="H4332">
        <v>76398200</v>
      </c>
      <c r="I4332" t="s">
        <v>1759</v>
      </c>
      <c r="J4332" t="s">
        <v>1760</v>
      </c>
      <c r="K4332" t="s">
        <v>7557</v>
      </c>
    </row>
    <row r="4333" spans="1:11" ht="20" customHeight="1">
      <c r="A4333" t="s">
        <v>7556</v>
      </c>
      <c r="B4333" t="s">
        <v>1761</v>
      </c>
      <c r="C4333">
        <v>402.25</v>
      </c>
      <c r="D4333">
        <v>407.8599853515625</v>
      </c>
      <c r="E4333">
        <v>402.1400146484375</v>
      </c>
      <c r="F4333">
        <v>406.9100036621094</v>
      </c>
      <c r="G4333">
        <v>386.3429565429688</v>
      </c>
      <c r="H4333">
        <v>85342700</v>
      </c>
      <c r="I4333" t="s">
        <v>1762</v>
      </c>
      <c r="J4333" t="s">
        <v>1763</v>
      </c>
      <c r="K4333" t="s">
        <v>7557</v>
      </c>
    </row>
    <row r="4334" spans="1:11" ht="20" customHeight="1">
      <c r="A4334" t="s">
        <v>7556</v>
      </c>
      <c r="B4334" t="s">
        <v>1764</v>
      </c>
      <c r="C4334">
        <v>403.9500122070312</v>
      </c>
      <c r="D4334">
        <v>404.9299926757812</v>
      </c>
      <c r="E4334">
        <v>398.1700134277344</v>
      </c>
      <c r="F4334">
        <v>399.5899963378906</v>
      </c>
      <c r="G4334">
        <v>379.3929443359375</v>
      </c>
      <c r="H4334">
        <v>77289800</v>
      </c>
      <c r="I4334" t="s">
        <v>1765</v>
      </c>
      <c r="J4334" t="s">
        <v>1766</v>
      </c>
      <c r="K4334" t="s">
        <v>7557</v>
      </c>
    </row>
    <row r="4335" spans="1:11" ht="20" customHeight="1">
      <c r="A4335" t="s">
        <v>7556</v>
      </c>
      <c r="B4335" t="s">
        <v>1767</v>
      </c>
      <c r="C4335">
        <v>399.4200134277344</v>
      </c>
      <c r="D4335">
        <v>399.989990234375</v>
      </c>
      <c r="E4335">
        <v>391.6400146484375</v>
      </c>
      <c r="F4335">
        <v>393.8299865722656</v>
      </c>
      <c r="G4335">
        <v>373.9240112304688</v>
      </c>
      <c r="H4335">
        <v>77972200</v>
      </c>
      <c r="I4335" t="s">
        <v>1768</v>
      </c>
      <c r="J4335" t="s">
        <v>1769</v>
      </c>
      <c r="K4335" t="s">
        <v>7557</v>
      </c>
    </row>
    <row r="4336" spans="1:11" ht="20" customHeight="1">
      <c r="A4336" t="s">
        <v>7556</v>
      </c>
      <c r="B4336" t="s">
        <v>1770</v>
      </c>
      <c r="C4336">
        <v>392.9400024414062</v>
      </c>
      <c r="D4336">
        <v>395.6400146484375</v>
      </c>
      <c r="E4336">
        <v>391.9700012207031</v>
      </c>
      <c r="F4336">
        <v>393.1600036621094</v>
      </c>
      <c r="G4336">
        <v>373.2879943847656</v>
      </c>
      <c r="H4336">
        <v>65927900</v>
      </c>
      <c r="I4336" t="s">
        <v>1771</v>
      </c>
      <c r="J4336" t="s">
        <v>1772</v>
      </c>
      <c r="K4336" t="s">
        <v>7557</v>
      </c>
    </row>
    <row r="4337" spans="1:11" ht="20" customHeight="1">
      <c r="A4337" t="s">
        <v>7556</v>
      </c>
      <c r="B4337" t="s">
        <v>1773</v>
      </c>
      <c r="C4337">
        <v>395.1400146484375</v>
      </c>
      <c r="D4337">
        <v>397.3599853515625</v>
      </c>
      <c r="E4337">
        <v>393.2699890136719</v>
      </c>
      <c r="F4337">
        <v>396.239990234375</v>
      </c>
      <c r="G4337">
        <v>376.2122497558594</v>
      </c>
      <c r="H4337">
        <v>60737900</v>
      </c>
      <c r="I4337" t="s">
        <v>1774</v>
      </c>
      <c r="J4337" t="s">
        <v>1775</v>
      </c>
      <c r="K4337" t="s">
        <v>7557</v>
      </c>
    </row>
    <row r="4338" spans="1:11" ht="20" customHeight="1">
      <c r="A4338" t="s">
        <v>7556</v>
      </c>
      <c r="B4338" t="s">
        <v>1776</v>
      </c>
      <c r="C4338">
        <v>394.9400024414062</v>
      </c>
      <c r="D4338">
        <v>397.6199951171875</v>
      </c>
      <c r="E4338">
        <v>393.1499938964844</v>
      </c>
      <c r="F4338">
        <v>393.2799987792969</v>
      </c>
      <c r="G4338">
        <v>373.4018249511719</v>
      </c>
      <c r="H4338">
        <v>81447700</v>
      </c>
      <c r="I4338" t="s">
        <v>1777</v>
      </c>
      <c r="J4338" t="s">
        <v>1778</v>
      </c>
      <c r="K4338" t="s">
        <v>7557</v>
      </c>
    </row>
    <row r="4339" spans="1:11" ht="20" customHeight="1">
      <c r="A4339" t="s">
        <v>7556</v>
      </c>
      <c r="B4339" t="s">
        <v>1779</v>
      </c>
      <c r="C4339">
        <v>394.1099853515625</v>
      </c>
      <c r="D4339">
        <v>398.9500122070312</v>
      </c>
      <c r="E4339">
        <v>393.4100036621094</v>
      </c>
      <c r="F4339">
        <v>398.9500122070312</v>
      </c>
      <c r="G4339">
        <v>378.7852478027344</v>
      </c>
      <c r="H4339">
        <v>75405800</v>
      </c>
      <c r="I4339" t="s">
        <v>1780</v>
      </c>
      <c r="J4339" t="s">
        <v>1781</v>
      </c>
      <c r="K4339" t="s">
        <v>7557</v>
      </c>
    </row>
    <row r="4340" spans="1:11" ht="20" customHeight="1">
      <c r="A4340" t="s">
        <v>7556</v>
      </c>
      <c r="B4340" t="s">
        <v>1782</v>
      </c>
      <c r="C4340">
        <v>410.2200012207031</v>
      </c>
      <c r="D4340">
        <v>410.489990234375</v>
      </c>
      <c r="E4340">
        <v>399.0700073242188</v>
      </c>
      <c r="F4340">
        <v>401.9700012207031</v>
      </c>
      <c r="G4340">
        <v>381.6526184082031</v>
      </c>
      <c r="H4340">
        <v>123782500</v>
      </c>
      <c r="I4340" t="s">
        <v>1783</v>
      </c>
      <c r="J4340" t="s">
        <v>1784</v>
      </c>
      <c r="K4340" t="s">
        <v>7557</v>
      </c>
    </row>
    <row r="4341" spans="1:11" ht="20" customHeight="1">
      <c r="A4341" t="s">
        <v>7556</v>
      </c>
      <c r="B4341" t="s">
        <v>1785</v>
      </c>
      <c r="C4341">
        <v>401.6099853515625</v>
      </c>
      <c r="D4341">
        <v>405.5</v>
      </c>
      <c r="E4341">
        <v>396.3099975585938</v>
      </c>
      <c r="F4341">
        <v>399.3999938964844</v>
      </c>
      <c r="G4341">
        <v>379.2124938964844</v>
      </c>
      <c r="H4341">
        <v>108111300</v>
      </c>
      <c r="I4341" t="s">
        <v>1786</v>
      </c>
      <c r="J4341" t="s">
        <v>1787</v>
      </c>
      <c r="K4341" t="s">
        <v>7557</v>
      </c>
    </row>
    <row r="4342" spans="1:11" ht="20" customHeight="1">
      <c r="A4342" t="s">
        <v>7556</v>
      </c>
      <c r="B4342" t="s">
        <v>1788</v>
      </c>
      <c r="C4342">
        <v>394.2999877929688</v>
      </c>
      <c r="D4342">
        <v>395.25</v>
      </c>
      <c r="E4342">
        <v>387.8900146484375</v>
      </c>
      <c r="F4342">
        <v>389.6300048828125</v>
      </c>
      <c r="G4342">
        <v>369.9363403320312</v>
      </c>
      <c r="H4342">
        <v>117705900</v>
      </c>
      <c r="I4342" t="s">
        <v>1789</v>
      </c>
      <c r="J4342" t="s">
        <v>1790</v>
      </c>
      <c r="K4342" t="s">
        <v>7557</v>
      </c>
    </row>
    <row r="4343" spans="1:11" ht="20" customHeight="1">
      <c r="A4343" t="s">
        <v>7556</v>
      </c>
      <c r="B4343" t="s">
        <v>1791</v>
      </c>
      <c r="C4343">
        <v>385.1799926757812</v>
      </c>
      <c r="D4343">
        <v>386.5799865722656</v>
      </c>
      <c r="E4343">
        <v>381.0400085449219</v>
      </c>
      <c r="F4343">
        <v>383.2699890136719</v>
      </c>
      <c r="G4343">
        <v>365.56884765625</v>
      </c>
      <c r="H4343">
        <v>119858000</v>
      </c>
      <c r="I4343" t="s">
        <v>1792</v>
      </c>
      <c r="J4343" t="s">
        <v>1793</v>
      </c>
      <c r="K4343" t="s">
        <v>7557</v>
      </c>
    </row>
    <row r="4344" spans="1:11" ht="20" customHeight="1">
      <c r="A4344" t="s">
        <v>7556</v>
      </c>
      <c r="B4344" t="s">
        <v>1794</v>
      </c>
      <c r="C4344">
        <v>383.4700012207031</v>
      </c>
      <c r="D4344">
        <v>383.8200073242188</v>
      </c>
      <c r="E4344">
        <v>378.2799987792969</v>
      </c>
      <c r="F4344">
        <v>380.0199890136719</v>
      </c>
      <c r="G4344">
        <v>362.4688720703125</v>
      </c>
      <c r="H4344">
        <v>79878100</v>
      </c>
      <c r="I4344" t="s">
        <v>1795</v>
      </c>
      <c r="J4344" t="s">
        <v>1796</v>
      </c>
      <c r="K4344" t="s">
        <v>7557</v>
      </c>
    </row>
    <row r="4345" spans="1:11" ht="20" customHeight="1">
      <c r="A4345" t="s">
        <v>7556</v>
      </c>
      <c r="B4345" t="s">
        <v>1797</v>
      </c>
      <c r="C4345">
        <v>379.2300109863281</v>
      </c>
      <c r="D4345">
        <v>382.2300109863281</v>
      </c>
      <c r="E4345">
        <v>377.8500061035156</v>
      </c>
      <c r="F4345">
        <v>380.5400085449219</v>
      </c>
      <c r="G4345">
        <v>362.9649353027344</v>
      </c>
      <c r="H4345">
        <v>74427200</v>
      </c>
      <c r="I4345" t="s">
        <v>1798</v>
      </c>
      <c r="J4345" t="s">
        <v>1799</v>
      </c>
      <c r="K4345" t="s">
        <v>7557</v>
      </c>
    </row>
    <row r="4346" spans="1:11" ht="20" customHeight="1">
      <c r="A4346" t="s">
        <v>7556</v>
      </c>
      <c r="B4346" t="s">
        <v>1800</v>
      </c>
      <c r="C4346">
        <v>383.25</v>
      </c>
      <c r="D4346">
        <v>387.4100036621094</v>
      </c>
      <c r="E4346">
        <v>382.6900024414062</v>
      </c>
      <c r="F4346">
        <v>386.2300109863281</v>
      </c>
      <c r="G4346">
        <v>368.3921813964844</v>
      </c>
      <c r="H4346">
        <v>78167400</v>
      </c>
      <c r="I4346" t="s">
        <v>1801</v>
      </c>
      <c r="J4346" t="s">
        <v>1802</v>
      </c>
      <c r="K4346" t="s">
        <v>7557</v>
      </c>
    </row>
    <row r="4347" spans="1:11" ht="20" customHeight="1">
      <c r="A4347" t="s">
        <v>7556</v>
      </c>
      <c r="B4347" t="s">
        <v>1803</v>
      </c>
      <c r="C4347">
        <v>383.0499877929688</v>
      </c>
      <c r="D4347">
        <v>386.2099914550781</v>
      </c>
      <c r="E4347">
        <v>374.7699890136719</v>
      </c>
      <c r="F4347">
        <v>380.7200012207031</v>
      </c>
      <c r="G4347">
        <v>363.1366271972656</v>
      </c>
      <c r="H4347">
        <v>100120900</v>
      </c>
      <c r="I4347" t="s">
        <v>1804</v>
      </c>
      <c r="J4347" t="s">
        <v>1805</v>
      </c>
      <c r="K4347" t="s">
        <v>7557</v>
      </c>
    </row>
    <row r="4348" spans="1:11" ht="20" customHeight="1">
      <c r="A4348" t="s">
        <v>7556</v>
      </c>
      <c r="B4348" t="s">
        <v>1806</v>
      </c>
      <c r="C4348">
        <v>379.6499938964844</v>
      </c>
      <c r="D4348">
        <v>383.0599975585938</v>
      </c>
      <c r="E4348">
        <v>378.0299987792969</v>
      </c>
      <c r="F4348">
        <v>382.9100036621094</v>
      </c>
      <c r="G4348">
        <v>365.2254638671875</v>
      </c>
      <c r="H4348">
        <v>59857300</v>
      </c>
      <c r="I4348" t="s">
        <v>1807</v>
      </c>
      <c r="J4348" t="s">
        <v>1808</v>
      </c>
      <c r="K4348" t="s">
        <v>7557</v>
      </c>
    </row>
    <row r="4349" spans="1:11" ht="20" customHeight="1">
      <c r="A4349" t="s">
        <v>7556</v>
      </c>
      <c r="B4349" t="s">
        <v>1809</v>
      </c>
      <c r="C4349">
        <v>382.7900085449219</v>
      </c>
      <c r="D4349">
        <v>383.1499938964844</v>
      </c>
      <c r="E4349">
        <v>379.6499938964844</v>
      </c>
      <c r="F4349">
        <v>381.3999938964844</v>
      </c>
      <c r="G4349">
        <v>363.7852478027344</v>
      </c>
      <c r="H4349">
        <v>51638200</v>
      </c>
      <c r="I4349" t="s">
        <v>1810</v>
      </c>
      <c r="J4349" t="s">
        <v>1811</v>
      </c>
      <c r="K4349" t="s">
        <v>7557</v>
      </c>
    </row>
    <row r="4350" spans="1:11" ht="20" customHeight="1">
      <c r="A4350" t="s">
        <v>7556</v>
      </c>
      <c r="B4350" t="s">
        <v>1812</v>
      </c>
      <c r="C4350">
        <v>381.3299865722656</v>
      </c>
      <c r="D4350">
        <v>383.3900146484375</v>
      </c>
      <c r="E4350">
        <v>376.4200134277344</v>
      </c>
      <c r="F4350">
        <v>376.6600036621094</v>
      </c>
      <c r="G4350">
        <v>359.2641906738281</v>
      </c>
      <c r="H4350">
        <v>70911500</v>
      </c>
      <c r="I4350" t="s">
        <v>1813</v>
      </c>
      <c r="J4350" t="s">
        <v>1814</v>
      </c>
      <c r="K4350" t="s">
        <v>7557</v>
      </c>
    </row>
    <row r="4351" spans="1:11" ht="20" customHeight="1">
      <c r="A4351" t="s">
        <v>7556</v>
      </c>
      <c r="B4351" t="s">
        <v>1815</v>
      </c>
      <c r="C4351">
        <v>379.6300048828125</v>
      </c>
      <c r="D4351">
        <v>384.3500061035156</v>
      </c>
      <c r="E4351">
        <v>379.0799865722656</v>
      </c>
      <c r="F4351">
        <v>383.4400024414062</v>
      </c>
      <c r="G4351">
        <v>365.7309875488281</v>
      </c>
      <c r="H4351">
        <v>66970900</v>
      </c>
      <c r="I4351" t="s">
        <v>1816</v>
      </c>
      <c r="J4351" t="s">
        <v>1817</v>
      </c>
      <c r="K4351" t="s">
        <v>7557</v>
      </c>
    </row>
    <row r="4352" spans="1:11" ht="20" customHeight="1">
      <c r="A4352" t="s">
        <v>7556</v>
      </c>
      <c r="B4352" t="s">
        <v>1818</v>
      </c>
      <c r="C4352">
        <v>380.6400146484375</v>
      </c>
      <c r="D4352">
        <v>382.5799865722656</v>
      </c>
      <c r="E4352">
        <v>378.4299926757812</v>
      </c>
      <c r="F4352">
        <v>382.4299926757812</v>
      </c>
      <c r="G4352">
        <v>364.767578125</v>
      </c>
      <c r="H4352">
        <v>84022200</v>
      </c>
      <c r="I4352" t="s">
        <v>1819</v>
      </c>
      <c r="J4352" t="s">
        <v>1820</v>
      </c>
      <c r="K4352" t="s">
        <v>7557</v>
      </c>
    </row>
    <row r="4353" spans="1:11" ht="20" customHeight="1">
      <c r="A4353" t="s">
        <v>7556</v>
      </c>
      <c r="B4353" t="s">
        <v>1821</v>
      </c>
      <c r="C4353">
        <v>384.3699951171875</v>
      </c>
      <c r="D4353">
        <v>386.4299926757812</v>
      </c>
      <c r="E4353">
        <v>377.8299865722656</v>
      </c>
      <c r="F4353">
        <v>380.8200073242188</v>
      </c>
      <c r="G4353">
        <v>363.23193359375</v>
      </c>
      <c r="H4353">
        <v>74850700</v>
      </c>
      <c r="I4353" t="s">
        <v>1822</v>
      </c>
      <c r="J4353" t="s">
        <v>1823</v>
      </c>
      <c r="K4353" t="s">
        <v>7557</v>
      </c>
    </row>
    <row r="4354" spans="1:11" ht="20" customHeight="1">
      <c r="A4354" t="s">
        <v>7556</v>
      </c>
      <c r="B4354" t="s">
        <v>1824</v>
      </c>
      <c r="C4354">
        <v>383.1799926757812</v>
      </c>
      <c r="D4354">
        <v>385.8800048828125</v>
      </c>
      <c r="E4354">
        <v>380</v>
      </c>
      <c r="F4354">
        <v>383.760009765625</v>
      </c>
      <c r="G4354">
        <v>366.0361633300781</v>
      </c>
      <c r="H4354">
        <v>85934100</v>
      </c>
      <c r="I4354" t="s">
        <v>1825</v>
      </c>
      <c r="J4354" t="s">
        <v>1826</v>
      </c>
      <c r="K4354" t="s">
        <v>7557</v>
      </c>
    </row>
    <row r="4355" spans="1:11" ht="20" customHeight="1">
      <c r="A4355" t="s">
        <v>7556</v>
      </c>
      <c r="B4355" t="s">
        <v>1827</v>
      </c>
      <c r="C4355">
        <v>381.7200012207031</v>
      </c>
      <c r="D4355">
        <v>381.8399963378906</v>
      </c>
      <c r="E4355">
        <v>378.760009765625</v>
      </c>
      <c r="F4355">
        <v>379.3800048828125</v>
      </c>
      <c r="G4355">
        <v>361.8584899902344</v>
      </c>
      <c r="H4355">
        <v>76970500</v>
      </c>
      <c r="I4355" t="s">
        <v>1828</v>
      </c>
      <c r="J4355" t="s">
        <v>1829</v>
      </c>
      <c r="K4355" t="s">
        <v>7557</v>
      </c>
    </row>
    <row r="4356" spans="1:11" ht="20" customHeight="1">
      <c r="A4356" t="s">
        <v>7556</v>
      </c>
      <c r="B4356" t="s">
        <v>1830</v>
      </c>
      <c r="C4356">
        <v>382.6099853515625</v>
      </c>
      <c r="D4356">
        <v>389.25</v>
      </c>
      <c r="E4356">
        <v>379.4100036621094</v>
      </c>
      <c r="F4356">
        <v>388.0799865722656</v>
      </c>
      <c r="G4356">
        <v>370.1566772460938</v>
      </c>
      <c r="H4356">
        <v>104189600</v>
      </c>
      <c r="I4356" t="s">
        <v>1831</v>
      </c>
      <c r="J4356" t="s">
        <v>1832</v>
      </c>
      <c r="K4356" t="s">
        <v>7557</v>
      </c>
    </row>
    <row r="4357" spans="1:11" ht="20" customHeight="1">
      <c r="A4357" t="s">
        <v>7556</v>
      </c>
      <c r="B4357" t="s">
        <v>1833</v>
      </c>
      <c r="C4357">
        <v>390.3699951171875</v>
      </c>
      <c r="D4357">
        <v>393.7000122070312</v>
      </c>
      <c r="E4357">
        <v>387.6700134277344</v>
      </c>
      <c r="F4357">
        <v>387.8599853515625</v>
      </c>
      <c r="G4357">
        <v>369.9468383789062</v>
      </c>
      <c r="H4357">
        <v>73978100</v>
      </c>
      <c r="I4357" t="s">
        <v>1834</v>
      </c>
      <c r="J4357" t="s">
        <v>1835</v>
      </c>
      <c r="K4357" t="s">
        <v>7557</v>
      </c>
    </row>
    <row r="4358" spans="1:11" ht="20" customHeight="1">
      <c r="A4358" t="s">
        <v>7556</v>
      </c>
      <c r="B4358" t="s">
        <v>1836</v>
      </c>
      <c r="C4358">
        <v>387.25</v>
      </c>
      <c r="D4358">
        <v>390.6499938964844</v>
      </c>
      <c r="E4358">
        <v>386.2699890136719</v>
      </c>
      <c r="F4358">
        <v>390.5799865722656</v>
      </c>
      <c r="G4358">
        <v>372.541259765625</v>
      </c>
      <c r="H4358">
        <v>65358100</v>
      </c>
      <c r="I4358" t="s">
        <v>1837</v>
      </c>
      <c r="J4358" t="s">
        <v>1838</v>
      </c>
      <c r="K4358" t="s">
        <v>7557</v>
      </c>
    </row>
    <row r="4359" spans="1:11" ht="20" customHeight="1">
      <c r="A4359" t="s">
        <v>7556</v>
      </c>
      <c r="B4359" t="s">
        <v>1839</v>
      </c>
      <c r="C4359">
        <v>392.2300109863281</v>
      </c>
      <c r="D4359">
        <v>395.6000061035156</v>
      </c>
      <c r="E4359">
        <v>391.3800048828125</v>
      </c>
      <c r="F4359">
        <v>395.5199890136719</v>
      </c>
      <c r="G4359">
        <v>377.2529907226562</v>
      </c>
      <c r="H4359">
        <v>68881100</v>
      </c>
      <c r="I4359" t="s">
        <v>1840</v>
      </c>
      <c r="J4359" t="s">
        <v>1841</v>
      </c>
      <c r="K4359" t="s">
        <v>7557</v>
      </c>
    </row>
    <row r="4360" spans="1:11" ht="20" customHeight="1">
      <c r="A4360" t="s">
        <v>7556</v>
      </c>
      <c r="B4360" t="s">
        <v>1842</v>
      </c>
      <c r="C4360">
        <v>396.6700134277344</v>
      </c>
      <c r="D4360">
        <v>398.489990234375</v>
      </c>
      <c r="E4360">
        <v>392.4200134277344</v>
      </c>
      <c r="F4360">
        <v>396.9599914550781</v>
      </c>
      <c r="G4360">
        <v>378.6265563964844</v>
      </c>
      <c r="H4360">
        <v>90157700</v>
      </c>
      <c r="I4360" t="s">
        <v>1843</v>
      </c>
      <c r="J4360" t="s">
        <v>1844</v>
      </c>
      <c r="K4360" t="s">
        <v>7557</v>
      </c>
    </row>
    <row r="4361" spans="1:11" ht="20" customHeight="1">
      <c r="A4361" t="s">
        <v>7556</v>
      </c>
      <c r="B4361" t="s">
        <v>1845</v>
      </c>
      <c r="C4361">
        <v>393.6199951171875</v>
      </c>
      <c r="D4361">
        <v>399.1000061035156</v>
      </c>
      <c r="E4361">
        <v>393.3399963378906</v>
      </c>
      <c r="F4361">
        <v>398.5</v>
      </c>
      <c r="G4361">
        <v>380.095458984375</v>
      </c>
      <c r="H4361">
        <v>63903900</v>
      </c>
      <c r="I4361" t="s">
        <v>1846</v>
      </c>
      <c r="J4361" t="s">
        <v>1847</v>
      </c>
      <c r="K4361" t="s">
        <v>7557</v>
      </c>
    </row>
    <row r="4362" spans="1:11" ht="20" customHeight="1">
      <c r="A4362" t="s">
        <v>7556</v>
      </c>
      <c r="B4362" t="s">
        <v>1848</v>
      </c>
      <c r="C4362">
        <v>398.4800109863281</v>
      </c>
      <c r="D4362">
        <v>400.2300109863281</v>
      </c>
      <c r="E4362">
        <v>397.0599975585938</v>
      </c>
      <c r="F4362">
        <v>397.7699890136719</v>
      </c>
      <c r="G4362">
        <v>379.399169921875</v>
      </c>
      <c r="H4362">
        <v>62677300</v>
      </c>
      <c r="I4362" t="s">
        <v>1849</v>
      </c>
      <c r="J4362" t="s">
        <v>1850</v>
      </c>
      <c r="K4362" t="s">
        <v>7557</v>
      </c>
    </row>
    <row r="4363" spans="1:11" ht="20" customHeight="1">
      <c r="A4363" t="s">
        <v>7556</v>
      </c>
      <c r="B4363" t="s">
        <v>1851</v>
      </c>
      <c r="C4363">
        <v>399.010009765625</v>
      </c>
      <c r="D4363">
        <v>400.1199951171875</v>
      </c>
      <c r="E4363">
        <v>391.2799987792969</v>
      </c>
      <c r="F4363">
        <v>391.489990234375</v>
      </c>
      <c r="G4363">
        <v>373.4091491699219</v>
      </c>
      <c r="H4363">
        <v>99632300</v>
      </c>
      <c r="I4363" t="s">
        <v>1852</v>
      </c>
      <c r="J4363" t="s">
        <v>1853</v>
      </c>
      <c r="K4363" t="s">
        <v>7557</v>
      </c>
    </row>
    <row r="4364" spans="1:11" ht="20" customHeight="1">
      <c r="A4364" t="s">
        <v>7556</v>
      </c>
      <c r="B4364" t="s">
        <v>1854</v>
      </c>
      <c r="C4364">
        <v>389.3599853515625</v>
      </c>
      <c r="D4364">
        <v>391.0799865722656</v>
      </c>
      <c r="E4364">
        <v>387.260009765625</v>
      </c>
      <c r="F4364">
        <v>388.6400146484375</v>
      </c>
      <c r="G4364">
        <v>370.6908569335938</v>
      </c>
      <c r="H4364">
        <v>86958900</v>
      </c>
      <c r="I4364" t="s">
        <v>1855</v>
      </c>
      <c r="J4364" t="s">
        <v>1856</v>
      </c>
      <c r="K4364" t="s">
        <v>7557</v>
      </c>
    </row>
    <row r="4365" spans="1:11" ht="20" customHeight="1">
      <c r="A4365" t="s">
        <v>7556</v>
      </c>
      <c r="B4365" t="s">
        <v>1857</v>
      </c>
      <c r="C4365">
        <v>390.1000061035156</v>
      </c>
      <c r="D4365">
        <v>396.0400085449219</v>
      </c>
      <c r="E4365">
        <v>388.3800048828125</v>
      </c>
      <c r="F4365">
        <v>395.8800048828125</v>
      </c>
      <c r="G4365">
        <v>377.5964660644531</v>
      </c>
      <c r="H4365">
        <v>91806400</v>
      </c>
      <c r="I4365" t="s">
        <v>1858</v>
      </c>
      <c r="J4365" t="s">
        <v>1859</v>
      </c>
      <c r="K4365" t="s">
        <v>7557</v>
      </c>
    </row>
    <row r="4366" spans="1:11" ht="20" customHeight="1">
      <c r="A4366" t="s">
        <v>7556</v>
      </c>
      <c r="B4366" t="s">
        <v>1860</v>
      </c>
      <c r="C4366">
        <v>396.7200012207031</v>
      </c>
      <c r="D4366">
        <v>402.6499938964844</v>
      </c>
      <c r="E4366">
        <v>395.7200012207031</v>
      </c>
      <c r="F4366">
        <v>400.6300048828125</v>
      </c>
      <c r="G4366">
        <v>382.1270751953125</v>
      </c>
      <c r="H4366">
        <v>84178800</v>
      </c>
      <c r="I4366" t="s">
        <v>1861</v>
      </c>
      <c r="J4366" t="s">
        <v>1862</v>
      </c>
      <c r="K4366" t="s">
        <v>7557</v>
      </c>
    </row>
    <row r="4367" spans="1:11" ht="20" customHeight="1">
      <c r="A4367" t="s">
        <v>7556</v>
      </c>
      <c r="B4367" t="s">
        <v>1863</v>
      </c>
      <c r="C4367">
        <v>398.8800048828125</v>
      </c>
      <c r="D4367">
        <v>401.1499938964844</v>
      </c>
      <c r="E4367">
        <v>397.6400146484375</v>
      </c>
      <c r="F4367">
        <v>400.2000122070312</v>
      </c>
      <c r="G4367">
        <v>381.7169494628906</v>
      </c>
      <c r="H4367">
        <v>59524900</v>
      </c>
      <c r="I4367" t="s">
        <v>1864</v>
      </c>
      <c r="J4367" t="s">
        <v>1865</v>
      </c>
      <c r="K4367" t="s">
        <v>7557</v>
      </c>
    </row>
    <row r="4368" spans="1:11" ht="20" customHeight="1">
      <c r="A4368" t="s">
        <v>7556</v>
      </c>
      <c r="B4368" t="s">
        <v>1866</v>
      </c>
      <c r="C4368">
        <v>395.9500122070312</v>
      </c>
      <c r="D4368">
        <v>400.7000122070312</v>
      </c>
      <c r="E4368">
        <v>393.5599975585938</v>
      </c>
      <c r="F4368">
        <v>400.3500061035156</v>
      </c>
      <c r="G4368">
        <v>381.8600463867188</v>
      </c>
      <c r="H4368">
        <v>84800300</v>
      </c>
      <c r="I4368" t="s">
        <v>1867</v>
      </c>
      <c r="J4368" t="s">
        <v>1868</v>
      </c>
      <c r="K4368" t="s">
        <v>7557</v>
      </c>
    </row>
    <row r="4369" spans="1:11" ht="20" customHeight="1">
      <c r="A4369" t="s">
        <v>7556</v>
      </c>
      <c r="B4369" t="s">
        <v>1869</v>
      </c>
      <c r="C4369">
        <v>403.1300048828125</v>
      </c>
      <c r="D4369">
        <v>404.9200134277344</v>
      </c>
      <c r="E4369">
        <v>400.0299987792969</v>
      </c>
      <c r="F4369">
        <v>404.75</v>
      </c>
      <c r="G4369">
        <v>386.0567932128906</v>
      </c>
      <c r="H4369">
        <v>72287400</v>
      </c>
      <c r="I4369" t="s">
        <v>1870</v>
      </c>
      <c r="J4369" t="s">
        <v>1871</v>
      </c>
      <c r="K4369" t="s">
        <v>7557</v>
      </c>
    </row>
    <row r="4370" spans="1:11" ht="20" customHeight="1">
      <c r="A4370" t="s">
        <v>7556</v>
      </c>
      <c r="B4370" t="s">
        <v>1872</v>
      </c>
      <c r="C4370">
        <v>403.6600036621094</v>
      </c>
      <c r="D4370">
        <v>408.1600036621094</v>
      </c>
      <c r="E4370">
        <v>403.4400024414062</v>
      </c>
      <c r="F4370">
        <v>405.6799926757812</v>
      </c>
      <c r="G4370">
        <v>386.9437866210938</v>
      </c>
      <c r="H4370">
        <v>68346200</v>
      </c>
      <c r="I4370" t="s">
        <v>1873</v>
      </c>
      <c r="J4370" t="s">
        <v>1874</v>
      </c>
      <c r="K4370" t="s">
        <v>7557</v>
      </c>
    </row>
    <row r="4371" spans="1:11" ht="20" customHeight="1">
      <c r="A4371" t="s">
        <v>7556</v>
      </c>
      <c r="B4371" t="s">
        <v>1875</v>
      </c>
      <c r="C4371">
        <v>402.7999877929688</v>
      </c>
      <c r="D4371">
        <v>405.1300048828125</v>
      </c>
      <c r="E4371">
        <v>400.2799987792969</v>
      </c>
      <c r="F4371">
        <v>400.5899963378906</v>
      </c>
      <c r="G4371">
        <v>382.0889282226562</v>
      </c>
      <c r="H4371">
        <v>74202000</v>
      </c>
      <c r="I4371" t="s">
        <v>1876</v>
      </c>
      <c r="J4371" t="s">
        <v>1877</v>
      </c>
      <c r="K4371" t="s">
        <v>7557</v>
      </c>
    </row>
    <row r="4372" spans="1:11" ht="20" customHeight="1">
      <c r="A4372" t="s">
        <v>7556</v>
      </c>
      <c r="B4372" t="s">
        <v>1878</v>
      </c>
      <c r="C4372">
        <v>401.1300048828125</v>
      </c>
      <c r="D4372">
        <v>406.5299987792969</v>
      </c>
      <c r="E4372">
        <v>400.7699890136719</v>
      </c>
      <c r="F4372">
        <v>406.4800109863281</v>
      </c>
      <c r="G4372">
        <v>387.7068786621094</v>
      </c>
      <c r="H4372">
        <v>86811800</v>
      </c>
      <c r="I4372" t="s">
        <v>1879</v>
      </c>
      <c r="J4372" t="s">
        <v>1880</v>
      </c>
      <c r="K4372" t="s">
        <v>7557</v>
      </c>
    </row>
    <row r="4373" spans="1:11" ht="20" customHeight="1">
      <c r="A4373" t="s">
        <v>7556</v>
      </c>
      <c r="B4373" t="s">
        <v>1881</v>
      </c>
      <c r="C4373">
        <v>405.2099914550781</v>
      </c>
      <c r="D4373">
        <v>413.6700134277344</v>
      </c>
      <c r="E4373">
        <v>402.3500061035156</v>
      </c>
      <c r="F4373">
        <v>410.7999877929688</v>
      </c>
      <c r="G4373">
        <v>391.8273010253906</v>
      </c>
      <c r="H4373">
        <v>101459200</v>
      </c>
      <c r="I4373" t="s">
        <v>1882</v>
      </c>
      <c r="J4373" t="s">
        <v>1883</v>
      </c>
      <c r="K4373" t="s">
        <v>7557</v>
      </c>
    </row>
    <row r="4374" spans="1:11" ht="20" customHeight="1">
      <c r="A4374" t="s">
        <v>7556</v>
      </c>
      <c r="B4374" t="s">
        <v>1884</v>
      </c>
      <c r="C4374">
        <v>414.8599853515625</v>
      </c>
      <c r="D4374">
        <v>418.3099975585938</v>
      </c>
      <c r="E4374">
        <v>412.8800048828125</v>
      </c>
      <c r="F4374">
        <v>416.7799987792969</v>
      </c>
      <c r="G4374">
        <v>397.5312194824219</v>
      </c>
      <c r="H4374">
        <v>101654500</v>
      </c>
      <c r="I4374" t="s">
        <v>1885</v>
      </c>
      <c r="J4374" t="s">
        <v>1886</v>
      </c>
      <c r="K4374" t="s">
        <v>7557</v>
      </c>
    </row>
    <row r="4375" spans="1:11" ht="20" customHeight="1">
      <c r="A4375" t="s">
        <v>7556</v>
      </c>
      <c r="B4375" t="s">
        <v>1887</v>
      </c>
      <c r="C4375">
        <v>411.5899963378906</v>
      </c>
      <c r="D4375">
        <v>416.9700012207031</v>
      </c>
      <c r="E4375">
        <v>411.0899963378906</v>
      </c>
      <c r="F4375">
        <v>412.3500061035156</v>
      </c>
      <c r="G4375">
        <v>393.3058166503906</v>
      </c>
      <c r="H4375">
        <v>94736800</v>
      </c>
      <c r="I4375" t="s">
        <v>1888</v>
      </c>
      <c r="J4375" t="s">
        <v>1889</v>
      </c>
      <c r="K4375" t="s">
        <v>7557</v>
      </c>
    </row>
    <row r="4376" spans="1:11" ht="20" customHeight="1">
      <c r="A4376" t="s">
        <v>7556</v>
      </c>
      <c r="B4376" t="s">
        <v>1890</v>
      </c>
      <c r="C4376">
        <v>409.7900085449219</v>
      </c>
      <c r="D4376">
        <v>411.2900085449219</v>
      </c>
      <c r="E4376">
        <v>408.1000061035156</v>
      </c>
      <c r="F4376">
        <v>409.8299865722656</v>
      </c>
      <c r="G4376">
        <v>390.9021606445312</v>
      </c>
      <c r="H4376">
        <v>60295300</v>
      </c>
      <c r="I4376" t="s">
        <v>1891</v>
      </c>
      <c r="J4376" t="s">
        <v>1892</v>
      </c>
      <c r="K4376" t="s">
        <v>7557</v>
      </c>
    </row>
    <row r="4377" spans="1:11" ht="20" customHeight="1">
      <c r="A4377" t="s">
        <v>7556</v>
      </c>
      <c r="B4377" t="s">
        <v>1893</v>
      </c>
      <c r="C4377">
        <v>408.8699951171875</v>
      </c>
      <c r="D4377">
        <v>416.489990234375</v>
      </c>
      <c r="E4377">
        <v>407.5700073242188</v>
      </c>
      <c r="F4377">
        <v>415.1900024414062</v>
      </c>
      <c r="G4377">
        <v>396.0146484375</v>
      </c>
      <c r="H4377">
        <v>90990700</v>
      </c>
      <c r="I4377" t="s">
        <v>1894</v>
      </c>
      <c r="J4377" t="s">
        <v>1895</v>
      </c>
      <c r="K4377" t="s">
        <v>7557</v>
      </c>
    </row>
    <row r="4378" spans="1:11" ht="20" customHeight="1">
      <c r="A4378" t="s">
        <v>7556</v>
      </c>
      <c r="B4378" t="s">
        <v>1896</v>
      </c>
      <c r="C4378">
        <v>413.1300048828125</v>
      </c>
      <c r="D4378">
        <v>414.5299987792969</v>
      </c>
      <c r="E4378">
        <v>409.9299926757812</v>
      </c>
      <c r="F4378">
        <v>410.6499938964844</v>
      </c>
      <c r="G4378">
        <v>391.6842651367188</v>
      </c>
      <c r="H4378">
        <v>76227500</v>
      </c>
      <c r="I4378" t="s">
        <v>1897</v>
      </c>
      <c r="J4378" t="s">
        <v>1898</v>
      </c>
      <c r="K4378" t="s">
        <v>7557</v>
      </c>
    </row>
    <row r="4379" spans="1:11" ht="20" customHeight="1">
      <c r="A4379" t="s">
        <v>7556</v>
      </c>
      <c r="B4379" t="s">
        <v>1899</v>
      </c>
      <c r="C4379">
        <v>414.4100036621094</v>
      </c>
      <c r="D4379">
        <v>414.5700073242188</v>
      </c>
      <c r="E4379">
        <v>405.8099975585938</v>
      </c>
      <c r="F4379">
        <v>407.0899963378906</v>
      </c>
      <c r="G4379">
        <v>388.2886657714844</v>
      </c>
      <c r="H4379">
        <v>78694900</v>
      </c>
      <c r="I4379" t="s">
        <v>1900</v>
      </c>
      <c r="J4379" t="s">
        <v>1901</v>
      </c>
      <c r="K4379" t="s">
        <v>7557</v>
      </c>
    </row>
    <row r="4380" spans="1:11" ht="20" customHeight="1">
      <c r="A4380" t="s">
        <v>7556</v>
      </c>
      <c r="B4380" t="s">
        <v>1902</v>
      </c>
      <c r="C4380">
        <v>405.8599853515625</v>
      </c>
      <c r="D4380">
        <v>408.4400024414062</v>
      </c>
      <c r="E4380">
        <v>405.010009765625</v>
      </c>
      <c r="F4380">
        <v>408.0400085449219</v>
      </c>
      <c r="G4380">
        <v>389.19482421875</v>
      </c>
      <c r="H4380">
        <v>70769700</v>
      </c>
      <c r="I4380" t="s">
        <v>1903</v>
      </c>
      <c r="J4380" t="s">
        <v>1904</v>
      </c>
      <c r="K4380" t="s">
        <v>7557</v>
      </c>
    </row>
    <row r="4381" spans="1:11" ht="20" customHeight="1">
      <c r="A4381" t="s">
        <v>7556</v>
      </c>
      <c r="B4381" t="s">
        <v>1905</v>
      </c>
      <c r="C4381">
        <v>408.7200012207031</v>
      </c>
      <c r="D4381">
        <v>412.9700012207031</v>
      </c>
      <c r="E4381">
        <v>408.239990234375</v>
      </c>
      <c r="F4381">
        <v>412.8299865722656</v>
      </c>
      <c r="G4381">
        <v>393.7635498046875</v>
      </c>
      <c r="H4381">
        <v>64913500</v>
      </c>
      <c r="I4381" t="s">
        <v>1906</v>
      </c>
      <c r="J4381" t="s">
        <v>1907</v>
      </c>
      <c r="K4381" t="s">
        <v>7557</v>
      </c>
    </row>
    <row r="4382" spans="1:11" ht="20" customHeight="1">
      <c r="A4382" t="s">
        <v>7556</v>
      </c>
      <c r="B4382" t="s">
        <v>1908</v>
      </c>
      <c r="C4382">
        <v>411.239990234375</v>
      </c>
      <c r="D4382">
        <v>415.0499877929688</v>
      </c>
      <c r="E4382">
        <v>408.510009765625</v>
      </c>
      <c r="F4382">
        <v>412.6400146484375</v>
      </c>
      <c r="G4382">
        <v>393.5823669433594</v>
      </c>
      <c r="H4382">
        <v>88389300</v>
      </c>
      <c r="I4382" t="s">
        <v>1909</v>
      </c>
      <c r="J4382" t="s">
        <v>1910</v>
      </c>
      <c r="K4382" t="s">
        <v>7557</v>
      </c>
    </row>
    <row r="4383" spans="1:11" ht="20" customHeight="1">
      <c r="A4383" t="s">
        <v>7556</v>
      </c>
      <c r="B4383" t="s">
        <v>1911</v>
      </c>
      <c r="C4383">
        <v>410.3500061035156</v>
      </c>
      <c r="D4383">
        <v>414.0599975585938</v>
      </c>
      <c r="E4383">
        <v>409.4700012207031</v>
      </c>
      <c r="F4383">
        <v>413.9800109863281</v>
      </c>
      <c r="G4383">
        <v>394.8605346679688</v>
      </c>
      <c r="H4383">
        <v>61555700</v>
      </c>
      <c r="I4383" t="s">
        <v>1912</v>
      </c>
      <c r="J4383" t="s">
        <v>1913</v>
      </c>
      <c r="K4383" t="s">
        <v>7557</v>
      </c>
    </row>
    <row r="4384" spans="1:11" ht="20" customHeight="1">
      <c r="A4384" t="s">
        <v>7556</v>
      </c>
      <c r="B4384" t="s">
        <v>1914</v>
      </c>
      <c r="C4384">
        <v>408.7900085449219</v>
      </c>
      <c r="D4384">
        <v>412.9100036621094</v>
      </c>
      <c r="E4384">
        <v>408.1400146484375</v>
      </c>
      <c r="F4384">
        <v>408.2799987792969</v>
      </c>
      <c r="G4384">
        <v>389.4237670898438</v>
      </c>
      <c r="H4384">
        <v>76431500</v>
      </c>
      <c r="I4384" t="s">
        <v>1915</v>
      </c>
      <c r="J4384" t="s">
        <v>1916</v>
      </c>
      <c r="K4384" t="s">
        <v>7557</v>
      </c>
    </row>
    <row r="4385" spans="1:11" ht="20" customHeight="1">
      <c r="A4385" t="s">
        <v>7556</v>
      </c>
      <c r="B4385" t="s">
        <v>1917</v>
      </c>
      <c r="C4385">
        <v>406.0599975585938</v>
      </c>
      <c r="D4385">
        <v>407.510009765625</v>
      </c>
      <c r="E4385">
        <v>404.0499877929688</v>
      </c>
      <c r="F4385">
        <v>407.260009765625</v>
      </c>
      <c r="G4385">
        <v>388.4508361816406</v>
      </c>
      <c r="H4385">
        <v>89257800</v>
      </c>
      <c r="I4385" t="s">
        <v>1918</v>
      </c>
      <c r="J4385" t="s">
        <v>1919</v>
      </c>
      <c r="K4385" t="s">
        <v>7557</v>
      </c>
    </row>
    <row r="4386" spans="1:11" ht="20" customHeight="1">
      <c r="A4386" t="s">
        <v>7556</v>
      </c>
      <c r="B4386" t="s">
        <v>1920</v>
      </c>
      <c r="C4386">
        <v>403.0599975585938</v>
      </c>
      <c r="D4386">
        <v>404.1600036621094</v>
      </c>
      <c r="E4386">
        <v>398.8200073242188</v>
      </c>
      <c r="F4386">
        <v>399.0899963378906</v>
      </c>
      <c r="G4386">
        <v>380.658203125</v>
      </c>
      <c r="H4386">
        <v>82655900</v>
      </c>
      <c r="I4386" t="s">
        <v>1921</v>
      </c>
      <c r="J4386" t="s">
        <v>1922</v>
      </c>
      <c r="K4386" t="s">
        <v>7557</v>
      </c>
    </row>
    <row r="4387" spans="1:11" ht="20" customHeight="1">
      <c r="A4387" t="s">
        <v>7556</v>
      </c>
      <c r="B4387" t="s">
        <v>1923</v>
      </c>
      <c r="C4387">
        <v>399.5199890136719</v>
      </c>
      <c r="D4387">
        <v>401.1300048828125</v>
      </c>
      <c r="E4387">
        <v>397.0199890136719</v>
      </c>
      <c r="F4387">
        <v>398.5400085449219</v>
      </c>
      <c r="G4387">
        <v>380.1336364746094</v>
      </c>
      <c r="H4387">
        <v>83742300</v>
      </c>
      <c r="I4387" t="s">
        <v>1924</v>
      </c>
      <c r="J4387" t="s">
        <v>1925</v>
      </c>
      <c r="K4387" t="s">
        <v>7557</v>
      </c>
    </row>
    <row r="4388" spans="1:11" ht="20" customHeight="1">
      <c r="A4388" t="s">
        <v>7556</v>
      </c>
      <c r="B4388" t="s">
        <v>1926</v>
      </c>
      <c r="C4388">
        <v>401.5599975585938</v>
      </c>
      <c r="D4388">
        <v>402.2000122070312</v>
      </c>
      <c r="E4388">
        <v>396.25</v>
      </c>
      <c r="F4388">
        <v>400.6600036621094</v>
      </c>
      <c r="G4388">
        <v>382.1557312011719</v>
      </c>
      <c r="H4388">
        <v>96242400</v>
      </c>
      <c r="I4388" t="s">
        <v>1927</v>
      </c>
      <c r="J4388" t="s">
        <v>1928</v>
      </c>
      <c r="K4388" t="s">
        <v>7557</v>
      </c>
    </row>
    <row r="4389" spans="1:11" ht="20" customHeight="1">
      <c r="A4389" t="s">
        <v>7556</v>
      </c>
      <c r="B4389" t="s">
        <v>1929</v>
      </c>
      <c r="C4389">
        <v>395.4200134277344</v>
      </c>
      <c r="D4389">
        <v>397.25</v>
      </c>
      <c r="E4389">
        <v>393.6400146484375</v>
      </c>
      <c r="F4389">
        <v>396.3800048828125</v>
      </c>
      <c r="G4389">
        <v>378.0733337402344</v>
      </c>
      <c r="H4389">
        <v>108194400</v>
      </c>
      <c r="I4389" t="s">
        <v>1930</v>
      </c>
      <c r="J4389" t="s">
        <v>1931</v>
      </c>
      <c r="K4389" t="s">
        <v>7557</v>
      </c>
    </row>
    <row r="4390" spans="1:11" ht="20" customHeight="1">
      <c r="A4390" t="s">
        <v>7556</v>
      </c>
      <c r="B4390" t="s">
        <v>1932</v>
      </c>
      <c r="C4390">
        <v>399.8699951171875</v>
      </c>
      <c r="D4390">
        <v>401.2900085449219</v>
      </c>
      <c r="E4390">
        <v>396.75</v>
      </c>
      <c r="F4390">
        <v>397.7300109863281</v>
      </c>
      <c r="G4390">
        <v>379.3609924316406</v>
      </c>
      <c r="H4390">
        <v>80444700</v>
      </c>
      <c r="I4390" t="s">
        <v>1933</v>
      </c>
      <c r="J4390" t="s">
        <v>1934</v>
      </c>
      <c r="K4390" t="s">
        <v>7557</v>
      </c>
    </row>
    <row r="4391" spans="1:11" ht="20" customHeight="1">
      <c r="A4391" t="s">
        <v>7556</v>
      </c>
      <c r="B4391" t="s">
        <v>1935</v>
      </c>
      <c r="C4391">
        <v>397.2300109863281</v>
      </c>
      <c r="D4391">
        <v>399.2799987792969</v>
      </c>
      <c r="E4391">
        <v>396.1499938964844</v>
      </c>
      <c r="F4391">
        <v>396.260009765625</v>
      </c>
      <c r="G4391">
        <v>377.9588928222656</v>
      </c>
      <c r="H4391">
        <v>96438600</v>
      </c>
      <c r="I4391" t="s">
        <v>1936</v>
      </c>
      <c r="J4391" t="s">
        <v>1937</v>
      </c>
      <c r="K4391" t="s">
        <v>7557</v>
      </c>
    </row>
    <row r="4392" spans="1:11" ht="20" customHeight="1">
      <c r="A4392" t="s">
        <v>7556</v>
      </c>
      <c r="B4392" t="s">
        <v>1938</v>
      </c>
      <c r="C4392">
        <v>395.4100036621094</v>
      </c>
      <c r="D4392">
        <v>396.6900024414062</v>
      </c>
      <c r="E4392">
        <v>393.3800048828125</v>
      </c>
      <c r="F4392">
        <v>394.739990234375</v>
      </c>
      <c r="G4392">
        <v>376.5090637207031</v>
      </c>
      <c r="H4392">
        <v>99706800</v>
      </c>
      <c r="I4392" t="s">
        <v>1939</v>
      </c>
      <c r="J4392" t="s">
        <v>1940</v>
      </c>
      <c r="K4392" t="s">
        <v>7557</v>
      </c>
    </row>
    <row r="4393" spans="1:11" ht="20" customHeight="1">
      <c r="A4393" t="s">
        <v>7556</v>
      </c>
      <c r="B4393" t="s">
        <v>1941</v>
      </c>
      <c r="C4393">
        <v>392.6799926757812</v>
      </c>
      <c r="D4393">
        <v>398.6900024414062</v>
      </c>
      <c r="E4393">
        <v>392.3299865722656</v>
      </c>
      <c r="F4393">
        <v>397.8099975585938</v>
      </c>
      <c r="G4393">
        <v>379.4372863769531</v>
      </c>
      <c r="H4393">
        <v>85127800</v>
      </c>
      <c r="I4393" t="s">
        <v>1942</v>
      </c>
      <c r="J4393" t="s">
        <v>1943</v>
      </c>
      <c r="K4393" t="s">
        <v>7557</v>
      </c>
    </row>
    <row r="4394" spans="1:11" ht="20" customHeight="1">
      <c r="A4394" t="s">
        <v>7556</v>
      </c>
      <c r="B4394" t="s">
        <v>1944</v>
      </c>
      <c r="C4394">
        <v>399.7099914550781</v>
      </c>
      <c r="D4394">
        <v>404.4500122070312</v>
      </c>
      <c r="E4394">
        <v>399.0299987792969</v>
      </c>
      <c r="F4394">
        <v>404.1900024414062</v>
      </c>
      <c r="G4394">
        <v>385.5226440429688</v>
      </c>
      <c r="H4394">
        <v>90120000</v>
      </c>
      <c r="I4394" t="s">
        <v>1945</v>
      </c>
      <c r="J4394" t="s">
        <v>1946</v>
      </c>
      <c r="K4394" t="s">
        <v>7557</v>
      </c>
    </row>
    <row r="4395" spans="1:11" ht="20" customHeight="1">
      <c r="A4395" t="s">
        <v>7556</v>
      </c>
      <c r="B4395" t="s">
        <v>1947</v>
      </c>
      <c r="C4395">
        <v>405.0499877929688</v>
      </c>
      <c r="D4395">
        <v>407.4500122070312</v>
      </c>
      <c r="E4395">
        <v>404.010009765625</v>
      </c>
      <c r="F4395">
        <v>404.4700012207031</v>
      </c>
      <c r="G4395">
        <v>385.7897644042969</v>
      </c>
      <c r="H4395">
        <v>72795900</v>
      </c>
      <c r="I4395" t="s">
        <v>1948</v>
      </c>
      <c r="J4395" t="s">
        <v>1949</v>
      </c>
      <c r="K4395" t="s">
        <v>7557</v>
      </c>
    </row>
    <row r="4396" spans="1:11" ht="20" customHeight="1">
      <c r="A4396" t="s">
        <v>7556</v>
      </c>
      <c r="B4396" t="s">
        <v>1950</v>
      </c>
      <c r="C4396">
        <v>404.4200134277344</v>
      </c>
      <c r="D4396">
        <v>404.6700134277344</v>
      </c>
      <c r="E4396">
        <v>397.6300048828125</v>
      </c>
      <c r="F4396">
        <v>398.2699890136719</v>
      </c>
      <c r="G4396">
        <v>379.8760681152344</v>
      </c>
      <c r="H4396">
        <v>108310600</v>
      </c>
      <c r="I4396" t="s">
        <v>1951</v>
      </c>
      <c r="J4396" t="s">
        <v>1952</v>
      </c>
      <c r="K4396" t="s">
        <v>7557</v>
      </c>
    </row>
    <row r="4397" spans="1:11" ht="20" customHeight="1">
      <c r="A4397" t="s">
        <v>7556</v>
      </c>
      <c r="B4397" t="s">
        <v>1953</v>
      </c>
      <c r="C4397">
        <v>398.3900146484375</v>
      </c>
      <c r="D4397">
        <v>399.7099914550781</v>
      </c>
      <c r="E4397">
        <v>396.5899963378906</v>
      </c>
      <c r="F4397">
        <v>398.9200134277344</v>
      </c>
      <c r="G4397">
        <v>380.49609375</v>
      </c>
      <c r="H4397">
        <v>74746600</v>
      </c>
      <c r="I4397" t="s">
        <v>1954</v>
      </c>
      <c r="J4397" t="s">
        <v>1955</v>
      </c>
      <c r="K4397" t="s">
        <v>7557</v>
      </c>
    </row>
    <row r="4398" spans="1:11" ht="20" customHeight="1">
      <c r="A4398" t="s">
        <v>7556</v>
      </c>
      <c r="B4398" t="s">
        <v>1956</v>
      </c>
      <c r="C4398">
        <v>399.739990234375</v>
      </c>
      <c r="D4398">
        <v>401.4800109863281</v>
      </c>
      <c r="E4398">
        <v>390.5299987792969</v>
      </c>
      <c r="F4398">
        <v>391.5599975585938</v>
      </c>
      <c r="G4398">
        <v>373.4759826660156</v>
      </c>
      <c r="H4398">
        <v>111945300</v>
      </c>
      <c r="I4398" t="s">
        <v>1957</v>
      </c>
      <c r="J4398" t="s">
        <v>1958</v>
      </c>
      <c r="K4398" t="s">
        <v>7557</v>
      </c>
    </row>
    <row r="4399" spans="1:11" ht="20" customHeight="1">
      <c r="A4399" t="s">
        <v>7556</v>
      </c>
      <c r="B4399" t="s">
        <v>1959</v>
      </c>
      <c r="C4399">
        <v>390.989990234375</v>
      </c>
      <c r="D4399">
        <v>393.1600036621094</v>
      </c>
      <c r="E4399">
        <v>384.3200073242188</v>
      </c>
      <c r="F4399">
        <v>385.9100036621094</v>
      </c>
      <c r="G4399">
        <v>368.0869445800781</v>
      </c>
      <c r="H4399">
        <v>189253000</v>
      </c>
      <c r="I4399" t="s">
        <v>1960</v>
      </c>
      <c r="J4399" t="s">
        <v>1961</v>
      </c>
      <c r="K4399" t="s">
        <v>7557</v>
      </c>
    </row>
    <row r="4400" spans="1:11" ht="20" customHeight="1">
      <c r="A4400" t="s">
        <v>7556</v>
      </c>
      <c r="B4400" t="s">
        <v>1962</v>
      </c>
      <c r="C4400">
        <v>381.8099975585938</v>
      </c>
      <c r="D4400">
        <v>390.3900146484375</v>
      </c>
      <c r="E4400">
        <v>380.6499938964844</v>
      </c>
      <c r="F4400">
        <v>385.3599853515625</v>
      </c>
      <c r="G4400">
        <v>367.5623168945312</v>
      </c>
      <c r="H4400">
        <v>157790000</v>
      </c>
      <c r="I4400" t="s">
        <v>1963</v>
      </c>
      <c r="J4400" t="s">
        <v>1964</v>
      </c>
      <c r="K4400" t="s">
        <v>7557</v>
      </c>
    </row>
    <row r="4401" spans="1:11" ht="20" customHeight="1">
      <c r="A4401" t="s">
        <v>7556</v>
      </c>
      <c r="B4401" t="s">
        <v>1965</v>
      </c>
      <c r="C4401">
        <v>390.5</v>
      </c>
      <c r="D4401">
        <v>393.4500122070312</v>
      </c>
      <c r="E4401">
        <v>387.0499877929688</v>
      </c>
      <c r="F4401">
        <v>391.7300109863281</v>
      </c>
      <c r="G4401">
        <v>373.6380615234375</v>
      </c>
      <c r="H4401">
        <v>149752400</v>
      </c>
      <c r="I4401" t="s">
        <v>1966</v>
      </c>
      <c r="J4401" t="s">
        <v>1967</v>
      </c>
      <c r="K4401" t="s">
        <v>7557</v>
      </c>
    </row>
    <row r="4402" spans="1:11" ht="20" customHeight="1">
      <c r="A4402" t="s">
        <v>7556</v>
      </c>
      <c r="B4402" t="s">
        <v>1968</v>
      </c>
      <c r="C4402">
        <v>385.8900146484375</v>
      </c>
      <c r="D4402">
        <v>389.489990234375</v>
      </c>
      <c r="E4402">
        <v>383.7099914550781</v>
      </c>
      <c r="F4402">
        <v>389.2799987792969</v>
      </c>
      <c r="G4402">
        <v>371.3013000488281</v>
      </c>
      <c r="H4402">
        <v>172996900</v>
      </c>
      <c r="I4402" t="s">
        <v>1969</v>
      </c>
      <c r="J4402" t="s">
        <v>1970</v>
      </c>
      <c r="K4402" t="s">
        <v>7557</v>
      </c>
    </row>
    <row r="4403" spans="1:11" ht="20" customHeight="1">
      <c r="A4403" t="s">
        <v>7556</v>
      </c>
      <c r="B4403" t="s">
        <v>1971</v>
      </c>
      <c r="C4403">
        <v>386.8200073242188</v>
      </c>
      <c r="D4403">
        <v>396.4700012207031</v>
      </c>
      <c r="E4403">
        <v>386.2900085449219</v>
      </c>
      <c r="F4403">
        <v>396.1099853515625</v>
      </c>
      <c r="G4403">
        <v>377.8157653808594</v>
      </c>
      <c r="H4403">
        <v>143254200</v>
      </c>
      <c r="I4403" t="s">
        <v>1972</v>
      </c>
      <c r="J4403" t="s">
        <v>1973</v>
      </c>
      <c r="K4403" t="s">
        <v>7557</v>
      </c>
    </row>
    <row r="4404" spans="1:11" ht="20" customHeight="1">
      <c r="A4404" t="s">
        <v>7556</v>
      </c>
      <c r="B4404" t="s">
        <v>1974</v>
      </c>
      <c r="C4404">
        <v>393.2200012207031</v>
      </c>
      <c r="D4404">
        <v>394.3999938964844</v>
      </c>
      <c r="E4404">
        <v>388.5499877929688</v>
      </c>
      <c r="F4404">
        <v>389.989990234375</v>
      </c>
      <c r="G4404">
        <v>373.3980407714844</v>
      </c>
      <c r="H4404">
        <v>140553400</v>
      </c>
      <c r="I4404" t="s">
        <v>1975</v>
      </c>
      <c r="J4404" t="s">
        <v>1976</v>
      </c>
      <c r="K4404" t="s">
        <v>7557</v>
      </c>
    </row>
    <row r="4405" spans="1:11" ht="20" customHeight="1">
      <c r="A4405" t="s">
        <v>7556</v>
      </c>
      <c r="B4405" t="s">
        <v>1977</v>
      </c>
      <c r="C4405">
        <v>390.7999877929688</v>
      </c>
      <c r="D4405">
        <v>394.1700134277344</v>
      </c>
      <c r="E4405">
        <v>390.0700073242188</v>
      </c>
      <c r="F4405">
        <v>393.739990234375</v>
      </c>
      <c r="G4405">
        <v>376.9885559082031</v>
      </c>
      <c r="H4405">
        <v>93055800</v>
      </c>
      <c r="I4405" t="s">
        <v>1978</v>
      </c>
      <c r="J4405" t="s">
        <v>1979</v>
      </c>
      <c r="K4405" t="s">
        <v>7557</v>
      </c>
    </row>
    <row r="4406" spans="1:11" ht="20" customHeight="1">
      <c r="A4406" t="s">
        <v>7556</v>
      </c>
      <c r="B4406" t="s">
        <v>1980</v>
      </c>
      <c r="C4406">
        <v>397.239990234375</v>
      </c>
      <c r="D4406">
        <v>399.4100036621094</v>
      </c>
      <c r="E4406">
        <v>395.5799865722656</v>
      </c>
      <c r="F4406">
        <v>398.9100036621094</v>
      </c>
      <c r="G4406">
        <v>381.9385986328125</v>
      </c>
      <c r="H4406">
        <v>91524200</v>
      </c>
      <c r="I4406" t="s">
        <v>1981</v>
      </c>
      <c r="J4406" t="s">
        <v>1982</v>
      </c>
      <c r="K4406" t="s">
        <v>7557</v>
      </c>
    </row>
    <row r="4407" spans="1:11" ht="20" customHeight="1">
      <c r="A4407" t="s">
        <v>7556</v>
      </c>
      <c r="B4407" t="s">
        <v>1983</v>
      </c>
      <c r="C4407">
        <v>398.7300109863281</v>
      </c>
      <c r="D4407">
        <v>402.489990234375</v>
      </c>
      <c r="E4407">
        <v>392.0700073242188</v>
      </c>
      <c r="F4407">
        <v>392.1099853515625</v>
      </c>
      <c r="G4407">
        <v>375.4279174804688</v>
      </c>
      <c r="H4407">
        <v>111746600</v>
      </c>
      <c r="I4407" t="s">
        <v>1984</v>
      </c>
      <c r="J4407" t="s">
        <v>1985</v>
      </c>
      <c r="K4407" t="s">
        <v>7557</v>
      </c>
    </row>
    <row r="4408" spans="1:11" ht="20" customHeight="1">
      <c r="A4408" t="s">
        <v>7556</v>
      </c>
      <c r="B4408" t="s">
        <v>1986</v>
      </c>
      <c r="C4408">
        <v>395.0899963378906</v>
      </c>
      <c r="D4408">
        <v>399.2900085449219</v>
      </c>
      <c r="E4408">
        <v>390.3500061035156</v>
      </c>
      <c r="F4408">
        <v>393.1700134277344</v>
      </c>
      <c r="G4408">
        <v>376.44287109375</v>
      </c>
      <c r="H4408">
        <v>119351300</v>
      </c>
      <c r="I4408" t="s">
        <v>1987</v>
      </c>
      <c r="J4408" t="s">
        <v>1988</v>
      </c>
      <c r="K4408" t="s">
        <v>7557</v>
      </c>
    </row>
    <row r="4409" spans="1:11" ht="20" customHeight="1">
      <c r="A4409" t="s">
        <v>7556</v>
      </c>
      <c r="B4409" t="s">
        <v>1989</v>
      </c>
      <c r="C4409">
        <v>391.8399963378906</v>
      </c>
      <c r="D4409">
        <v>395.8399963378906</v>
      </c>
      <c r="E4409">
        <v>389.3999938964844</v>
      </c>
      <c r="F4409">
        <v>395.75</v>
      </c>
      <c r="G4409">
        <v>378.9131164550781</v>
      </c>
      <c r="H4409">
        <v>107682400</v>
      </c>
      <c r="I4409" t="s">
        <v>1990</v>
      </c>
      <c r="J4409" t="s">
        <v>1991</v>
      </c>
      <c r="K4409" t="s">
        <v>7557</v>
      </c>
    </row>
    <row r="4410" spans="1:11" ht="20" customHeight="1">
      <c r="A4410" t="s">
        <v>7556</v>
      </c>
      <c r="B4410" t="s">
        <v>1992</v>
      </c>
      <c r="C4410">
        <v>398.1199951171875</v>
      </c>
      <c r="D4410">
        <v>398.9200134277344</v>
      </c>
      <c r="E4410">
        <v>395.5599975585938</v>
      </c>
      <c r="F4410">
        <v>396.489990234375</v>
      </c>
      <c r="G4410">
        <v>379.62158203125</v>
      </c>
      <c r="H4410">
        <v>74010400</v>
      </c>
      <c r="I4410" t="s">
        <v>1993</v>
      </c>
      <c r="J4410" t="s">
        <v>1994</v>
      </c>
      <c r="K4410" t="s">
        <v>7557</v>
      </c>
    </row>
    <row r="4411" spans="1:11" ht="20" customHeight="1">
      <c r="A4411" t="s">
        <v>7556</v>
      </c>
      <c r="B4411" t="s">
        <v>1995</v>
      </c>
      <c r="C4411">
        <v>395.7699890136719</v>
      </c>
      <c r="D4411">
        <v>396.489990234375</v>
      </c>
      <c r="E4411">
        <v>393.6900024414062</v>
      </c>
      <c r="F4411">
        <v>395.6000061035156</v>
      </c>
      <c r="G4411">
        <v>378.7694396972656</v>
      </c>
      <c r="H4411">
        <v>62871700</v>
      </c>
      <c r="I4411" t="s">
        <v>1996</v>
      </c>
      <c r="J4411" t="s">
        <v>1997</v>
      </c>
      <c r="K4411" t="s">
        <v>7557</v>
      </c>
    </row>
    <row r="4412" spans="1:11" ht="20" customHeight="1">
      <c r="A4412" t="s">
        <v>7556</v>
      </c>
      <c r="B4412" t="s">
        <v>1998</v>
      </c>
      <c r="C4412">
        <v>399.9299926757812</v>
      </c>
      <c r="D4412">
        <v>401.6000061035156</v>
      </c>
      <c r="E4412">
        <v>398.6799926757812</v>
      </c>
      <c r="F4412">
        <v>401.3500061035156</v>
      </c>
      <c r="G4412">
        <v>384.2748413085938</v>
      </c>
      <c r="H4412">
        <v>77497900</v>
      </c>
      <c r="I4412" t="s">
        <v>1999</v>
      </c>
      <c r="J4412" t="s">
        <v>2000</v>
      </c>
      <c r="K4412" t="s">
        <v>7557</v>
      </c>
    </row>
    <row r="4413" spans="1:11" ht="20" customHeight="1">
      <c r="A4413" t="s">
        <v>7556</v>
      </c>
      <c r="B4413" t="s">
        <v>2001</v>
      </c>
      <c r="C4413">
        <v>404.0899963378906</v>
      </c>
      <c r="D4413">
        <v>404.3500061035156</v>
      </c>
      <c r="E4413">
        <v>401.760009765625</v>
      </c>
      <c r="F4413">
        <v>403.7000122070312</v>
      </c>
      <c r="G4413">
        <v>386.5248718261719</v>
      </c>
      <c r="H4413">
        <v>69840000</v>
      </c>
      <c r="I4413" t="s">
        <v>2002</v>
      </c>
      <c r="J4413" t="s">
        <v>2003</v>
      </c>
      <c r="K4413" t="s">
        <v>7557</v>
      </c>
    </row>
    <row r="4414" spans="1:11" ht="20" customHeight="1">
      <c r="A4414" t="s">
        <v>7556</v>
      </c>
      <c r="B4414" t="s">
        <v>2004</v>
      </c>
      <c r="C4414">
        <v>404.6600036621094</v>
      </c>
      <c r="D4414">
        <v>409.7000122070312</v>
      </c>
      <c r="E4414">
        <v>404.5499877929688</v>
      </c>
      <c r="F4414">
        <v>409.3900146484375</v>
      </c>
      <c r="G4414">
        <v>391.9727783203125</v>
      </c>
      <c r="H4414">
        <v>112062600</v>
      </c>
      <c r="I4414" t="s">
        <v>2005</v>
      </c>
      <c r="J4414" t="s">
        <v>2006</v>
      </c>
      <c r="K4414" t="s">
        <v>7557</v>
      </c>
    </row>
    <row r="4415" spans="1:11" ht="20" customHeight="1">
      <c r="A4415" t="s">
        <v>7556</v>
      </c>
      <c r="B4415" t="s">
        <v>2007</v>
      </c>
      <c r="C4415">
        <v>408.8500061035156</v>
      </c>
      <c r="D4415">
        <v>411.3699951171875</v>
      </c>
      <c r="E4415">
        <v>408.4400024414062</v>
      </c>
      <c r="F4415">
        <v>410.9500122070312</v>
      </c>
      <c r="G4415">
        <v>393.4664001464844</v>
      </c>
      <c r="H4415">
        <v>67391100</v>
      </c>
      <c r="I4415" t="s">
        <v>2008</v>
      </c>
      <c r="J4415" t="s">
        <v>2009</v>
      </c>
      <c r="K4415" t="s">
        <v>7557</v>
      </c>
    </row>
    <row r="4416" spans="1:11" ht="20" customHeight="1">
      <c r="A4416" t="s">
        <v>7556</v>
      </c>
      <c r="B4416" t="s">
        <v>2010</v>
      </c>
      <c r="C4416">
        <v>411.6199951171875</v>
      </c>
      <c r="D4416">
        <v>411.9200134277344</v>
      </c>
      <c r="E4416">
        <v>407.239990234375</v>
      </c>
      <c r="F4416">
        <v>408.6700134277344</v>
      </c>
      <c r="G4416">
        <v>391.2833862304688</v>
      </c>
      <c r="H4416">
        <v>66601500</v>
      </c>
      <c r="I4416" t="s">
        <v>2011</v>
      </c>
      <c r="J4416" t="s">
        <v>2012</v>
      </c>
      <c r="K4416" t="s">
        <v>7557</v>
      </c>
    </row>
    <row r="4417" spans="1:11" ht="20" customHeight="1">
      <c r="A4417" t="s">
        <v>7556</v>
      </c>
      <c r="B4417" t="s">
        <v>2013</v>
      </c>
      <c r="C4417">
        <v>407.9100036621094</v>
      </c>
      <c r="D4417">
        <v>408.7000122070312</v>
      </c>
      <c r="E4417">
        <v>405.8800048828125</v>
      </c>
      <c r="F4417">
        <v>407.6000061035156</v>
      </c>
      <c r="G4417">
        <v>390.2589111328125</v>
      </c>
      <c r="H4417">
        <v>65200200</v>
      </c>
      <c r="I4417" t="s">
        <v>2014</v>
      </c>
      <c r="J4417" t="s">
        <v>2015</v>
      </c>
      <c r="K4417" t="s">
        <v>7557</v>
      </c>
    </row>
    <row r="4418" spans="1:11" ht="20" customHeight="1">
      <c r="A4418" t="s">
        <v>7556</v>
      </c>
      <c r="B4418" t="s">
        <v>2016</v>
      </c>
      <c r="C4418">
        <v>406.7699890136719</v>
      </c>
      <c r="D4418">
        <v>409.4800109863281</v>
      </c>
      <c r="E4418">
        <v>405.6799926757812</v>
      </c>
      <c r="F4418">
        <v>409.1900024414062</v>
      </c>
      <c r="G4418">
        <v>391.7812805175781</v>
      </c>
      <c r="H4418">
        <v>63743300</v>
      </c>
      <c r="I4418" t="s">
        <v>2017</v>
      </c>
      <c r="J4418" t="s">
        <v>2018</v>
      </c>
      <c r="K4418" t="s">
        <v>7557</v>
      </c>
    </row>
    <row r="4419" spans="1:11" ht="20" customHeight="1">
      <c r="A4419" t="s">
        <v>7556</v>
      </c>
      <c r="B4419" t="s">
        <v>2019</v>
      </c>
      <c r="C4419">
        <v>406.6099853515625</v>
      </c>
      <c r="D4419">
        <v>409.6900024414062</v>
      </c>
      <c r="E4419">
        <v>405.9700012207031</v>
      </c>
      <c r="F4419">
        <v>409.6099853515625</v>
      </c>
      <c r="G4419">
        <v>392.1834106445312</v>
      </c>
      <c r="H4419">
        <v>63681000</v>
      </c>
      <c r="I4419" t="s">
        <v>2020</v>
      </c>
      <c r="J4419" t="s">
        <v>2021</v>
      </c>
      <c r="K4419" t="s">
        <v>7557</v>
      </c>
    </row>
    <row r="4420" spans="1:11" ht="20" customHeight="1">
      <c r="A4420" t="s">
        <v>7556</v>
      </c>
      <c r="B4420" t="s">
        <v>2022</v>
      </c>
      <c r="C4420">
        <v>410.260009765625</v>
      </c>
      <c r="D4420">
        <v>411.1799926757812</v>
      </c>
      <c r="E4420">
        <v>408.9200134277344</v>
      </c>
      <c r="F4420">
        <v>409.7200012207031</v>
      </c>
      <c r="G4420">
        <v>392.2886962890625</v>
      </c>
      <c r="H4420">
        <v>59297900</v>
      </c>
      <c r="I4420" t="s">
        <v>2023</v>
      </c>
      <c r="J4420" t="s">
        <v>2024</v>
      </c>
      <c r="K4420" t="s">
        <v>7557</v>
      </c>
    </row>
    <row r="4421" spans="1:11" ht="20" customHeight="1">
      <c r="A4421" t="s">
        <v>7556</v>
      </c>
      <c r="B4421" t="s">
        <v>2025</v>
      </c>
      <c r="C4421">
        <v>411.8699951171875</v>
      </c>
      <c r="D4421">
        <v>412.1700134277344</v>
      </c>
      <c r="E4421">
        <v>407.4400024414062</v>
      </c>
      <c r="F4421">
        <v>408.0499877929688</v>
      </c>
      <c r="G4421">
        <v>390.6897583007812</v>
      </c>
      <c r="H4421">
        <v>86420400</v>
      </c>
      <c r="I4421" t="s">
        <v>2026</v>
      </c>
      <c r="J4421" t="s">
        <v>2027</v>
      </c>
      <c r="K4421" t="s">
        <v>7557</v>
      </c>
    </row>
    <row r="4422" spans="1:11" ht="20" customHeight="1">
      <c r="A4422" t="s">
        <v>7556</v>
      </c>
      <c r="B4422" t="s">
        <v>2028</v>
      </c>
      <c r="C4422">
        <v>409.1799926757812</v>
      </c>
      <c r="D4422">
        <v>413.8399963378906</v>
      </c>
      <c r="E4422">
        <v>407.989990234375</v>
      </c>
      <c r="F4422">
        <v>413.4700012207031</v>
      </c>
      <c r="G4422">
        <v>395.8791809082031</v>
      </c>
      <c r="H4422">
        <v>85814800</v>
      </c>
      <c r="I4422" t="s">
        <v>2029</v>
      </c>
      <c r="J4422" t="s">
        <v>2030</v>
      </c>
      <c r="K4422" t="s">
        <v>7557</v>
      </c>
    </row>
    <row r="4423" spans="1:11" ht="20" customHeight="1">
      <c r="A4423" t="s">
        <v>7556</v>
      </c>
      <c r="B4423" t="s">
        <v>2031</v>
      </c>
      <c r="C4423">
        <v>412.8099975585938</v>
      </c>
      <c r="D4423">
        <v>415.0899963378906</v>
      </c>
      <c r="E4423">
        <v>410.0599975585938</v>
      </c>
      <c r="F4423">
        <v>412.4599914550781</v>
      </c>
      <c r="G4423">
        <v>394.9121704101562</v>
      </c>
      <c r="H4423">
        <v>78161500</v>
      </c>
      <c r="I4423" t="s">
        <v>2032</v>
      </c>
      <c r="J4423" t="s">
        <v>2033</v>
      </c>
      <c r="K4423" t="s">
        <v>7557</v>
      </c>
    </row>
    <row r="4424" spans="1:11" ht="20" customHeight="1">
      <c r="A4424" t="s">
        <v>7556</v>
      </c>
      <c r="B4424" t="s">
        <v>2034</v>
      </c>
      <c r="C4424">
        <v>412.3699951171875</v>
      </c>
      <c r="D4424">
        <v>413.9599914550781</v>
      </c>
      <c r="E4424">
        <v>411.0899963378906</v>
      </c>
      <c r="F4424">
        <v>413.9400024414062</v>
      </c>
      <c r="G4424">
        <v>396.3291931152344</v>
      </c>
      <c r="H4424">
        <v>66436400</v>
      </c>
      <c r="I4424" t="s">
        <v>2035</v>
      </c>
      <c r="J4424" t="s">
        <v>2036</v>
      </c>
      <c r="K4424" t="s">
        <v>7557</v>
      </c>
    </row>
    <row r="4425" spans="1:11" ht="20" customHeight="1">
      <c r="A4425" t="s">
        <v>7556</v>
      </c>
      <c r="B4425" t="s">
        <v>2037</v>
      </c>
      <c r="C4425">
        <v>415.5799865722656</v>
      </c>
      <c r="D4425">
        <v>415.7200012207031</v>
      </c>
      <c r="E4425">
        <v>412.7799987792969</v>
      </c>
      <c r="F4425">
        <v>414.2099914550781</v>
      </c>
      <c r="G4425">
        <v>396.5877075195312</v>
      </c>
      <c r="H4425">
        <v>63560000</v>
      </c>
      <c r="I4425" t="s">
        <v>2038</v>
      </c>
      <c r="J4425" t="s">
        <v>2039</v>
      </c>
      <c r="K4425" t="s">
        <v>7557</v>
      </c>
    </row>
    <row r="4426" spans="1:11" ht="20" customHeight="1">
      <c r="A4426" t="s">
        <v>7556</v>
      </c>
      <c r="B4426" t="s">
        <v>2040</v>
      </c>
      <c r="C4426">
        <v>412.2200012207031</v>
      </c>
      <c r="D4426">
        <v>415.0799865722656</v>
      </c>
      <c r="E4426">
        <v>412.1600036621094</v>
      </c>
      <c r="F4426">
        <v>414.1400146484375</v>
      </c>
      <c r="G4426">
        <v>396.5206909179688</v>
      </c>
      <c r="H4426">
        <v>55227300</v>
      </c>
      <c r="I4426" t="s">
        <v>2041</v>
      </c>
      <c r="J4426" t="s">
        <v>2042</v>
      </c>
      <c r="K4426" t="s">
        <v>7557</v>
      </c>
    </row>
    <row r="4427" spans="1:11" ht="20" customHeight="1">
      <c r="A4427" t="s">
        <v>7556</v>
      </c>
      <c r="B4427" t="s">
        <v>2043</v>
      </c>
      <c r="C4427">
        <v>411.2099914550781</v>
      </c>
      <c r="D4427">
        <v>413.7000122070312</v>
      </c>
      <c r="E4427">
        <v>410.2699890136719</v>
      </c>
      <c r="F4427">
        <v>411.8800048828125</v>
      </c>
      <c r="G4427">
        <v>394.3568420410156</v>
      </c>
      <c r="H4427">
        <v>75840400</v>
      </c>
      <c r="I4427" t="s">
        <v>2044</v>
      </c>
      <c r="J4427" t="s">
        <v>2045</v>
      </c>
      <c r="K4427" t="s">
        <v>7557</v>
      </c>
    </row>
    <row r="4428" spans="1:11" ht="20" customHeight="1">
      <c r="A4428" t="s">
        <v>7556</v>
      </c>
      <c r="B4428" t="s">
        <v>2046</v>
      </c>
      <c r="C4428">
        <v>412.1900024414062</v>
      </c>
      <c r="D4428">
        <v>412.6799926757812</v>
      </c>
      <c r="E4428">
        <v>410.1700134277344</v>
      </c>
      <c r="F4428">
        <v>412.2000122070312</v>
      </c>
      <c r="G4428">
        <v>394.6632080078125</v>
      </c>
      <c r="H4428">
        <v>73457400</v>
      </c>
      <c r="I4428" t="s">
        <v>2047</v>
      </c>
      <c r="J4428" t="s">
        <v>2048</v>
      </c>
      <c r="K4428" t="s">
        <v>7557</v>
      </c>
    </row>
    <row r="4429" spans="1:11" ht="20" customHeight="1">
      <c r="A4429" t="s">
        <v>7556</v>
      </c>
      <c r="B4429" t="s">
        <v>2049</v>
      </c>
      <c r="C4429">
        <v>411.989990234375</v>
      </c>
      <c r="D4429">
        <v>413.0700073242188</v>
      </c>
      <c r="E4429">
        <v>410.6000061035156</v>
      </c>
      <c r="F4429">
        <v>412.6300048828125</v>
      </c>
      <c r="G4429">
        <v>395.074951171875</v>
      </c>
      <c r="H4429">
        <v>64332100</v>
      </c>
      <c r="I4429" t="s">
        <v>2050</v>
      </c>
      <c r="J4429" t="s">
        <v>2051</v>
      </c>
      <c r="K4429" t="s">
        <v>7557</v>
      </c>
    </row>
    <row r="4430" spans="1:11" ht="20" customHeight="1">
      <c r="A4430" t="s">
        <v>7556</v>
      </c>
      <c r="B4430" t="s">
        <v>2052</v>
      </c>
      <c r="C4430">
        <v>410.5799865722656</v>
      </c>
      <c r="D4430">
        <v>411.1600036621094</v>
      </c>
      <c r="E4430">
        <v>406.0199890136719</v>
      </c>
      <c r="F4430">
        <v>406.0799865722656</v>
      </c>
      <c r="G4430">
        <v>388.8035583496094</v>
      </c>
      <c r="H4430">
        <v>97766700</v>
      </c>
      <c r="I4430" t="s">
        <v>2053</v>
      </c>
      <c r="J4430" t="s">
        <v>2054</v>
      </c>
      <c r="K4430" t="s">
        <v>7557</v>
      </c>
    </row>
    <row r="4431" spans="1:11" ht="20" customHeight="1">
      <c r="A4431" t="s">
        <v>7556</v>
      </c>
      <c r="B4431" t="s">
        <v>2055</v>
      </c>
      <c r="C4431">
        <v>406.7200012207031</v>
      </c>
      <c r="D4431">
        <v>407.8399963378906</v>
      </c>
      <c r="E4431">
        <v>403.7799987792969</v>
      </c>
      <c r="F4431">
        <v>404.3599853515625</v>
      </c>
      <c r="G4431">
        <v>387.15673828125</v>
      </c>
      <c r="H4431">
        <v>80447000</v>
      </c>
      <c r="I4431" t="s">
        <v>2056</v>
      </c>
      <c r="J4431" t="s">
        <v>2057</v>
      </c>
      <c r="K4431" t="s">
        <v>7557</v>
      </c>
    </row>
    <row r="4432" spans="1:11" ht="20" customHeight="1">
      <c r="A4432" t="s">
        <v>7556</v>
      </c>
      <c r="B4432" t="s">
        <v>2058</v>
      </c>
      <c r="C4432">
        <v>407</v>
      </c>
      <c r="D4432">
        <v>412.6900024414062</v>
      </c>
      <c r="E4432">
        <v>406.739990234375</v>
      </c>
      <c r="F4432">
        <v>412.4100036621094</v>
      </c>
      <c r="G4432">
        <v>394.8642272949219</v>
      </c>
      <c r="H4432">
        <v>92968400</v>
      </c>
      <c r="I4432" t="s">
        <v>2059</v>
      </c>
      <c r="J4432" t="s">
        <v>2060</v>
      </c>
      <c r="K4432" t="s">
        <v>7557</v>
      </c>
    </row>
    <row r="4433" spans="1:11" ht="20" customHeight="1">
      <c r="A4433" t="s">
        <v>7556</v>
      </c>
      <c r="B4433" t="s">
        <v>2061</v>
      </c>
      <c r="C4433">
        <v>411.489990234375</v>
      </c>
      <c r="D4433">
        <v>415.9400024414062</v>
      </c>
      <c r="E4433">
        <v>411.4299926757812</v>
      </c>
      <c r="F4433">
        <v>415.9299926757812</v>
      </c>
      <c r="G4433">
        <v>398.2345581054688</v>
      </c>
      <c r="H4433">
        <v>89433100</v>
      </c>
      <c r="I4433" t="s">
        <v>2062</v>
      </c>
      <c r="J4433" t="s">
        <v>2063</v>
      </c>
      <c r="K4433" t="s">
        <v>7557</v>
      </c>
    </row>
    <row r="4434" spans="1:11" ht="20" customHeight="1">
      <c r="A4434" t="s">
        <v>7556</v>
      </c>
      <c r="B4434" t="s">
        <v>2064</v>
      </c>
      <c r="C4434">
        <v>415.4700012207031</v>
      </c>
      <c r="D4434">
        <v>417.6199951171875</v>
      </c>
      <c r="E4434">
        <v>415.2699890136719</v>
      </c>
      <c r="F4434">
        <v>415.510009765625</v>
      </c>
      <c r="G4434">
        <v>397.8324279785156</v>
      </c>
      <c r="H4434">
        <v>62122300</v>
      </c>
      <c r="I4434" t="s">
        <v>2065</v>
      </c>
      <c r="J4434" t="s">
        <v>2066</v>
      </c>
      <c r="K4434" t="s">
        <v>7557</v>
      </c>
    </row>
    <row r="4435" spans="1:11" ht="20" customHeight="1">
      <c r="A4435" t="s">
        <v>7556</v>
      </c>
      <c r="B4435" t="s">
        <v>2067</v>
      </c>
      <c r="C4435">
        <v>414.7699890136719</v>
      </c>
      <c r="D4435">
        <v>414.8200073242188</v>
      </c>
      <c r="E4435">
        <v>407.8200073242188</v>
      </c>
      <c r="F4435">
        <v>410.8399963378906</v>
      </c>
      <c r="G4435">
        <v>393.3610534667969</v>
      </c>
      <c r="H4435">
        <v>103998500</v>
      </c>
      <c r="I4435" t="s">
        <v>2068</v>
      </c>
      <c r="J4435" t="s">
        <v>2069</v>
      </c>
      <c r="K4435" t="s">
        <v>7557</v>
      </c>
    </row>
    <row r="4436" spans="1:11" ht="20" customHeight="1">
      <c r="A4436" t="s">
        <v>7556</v>
      </c>
      <c r="B4436" t="s">
        <v>2070</v>
      </c>
      <c r="C4436">
        <v>411.3599853515625</v>
      </c>
      <c r="D4436">
        <v>413.8699951171875</v>
      </c>
      <c r="E4436">
        <v>407.7699890136719</v>
      </c>
      <c r="F4436">
        <v>408.0199890136719</v>
      </c>
      <c r="G4436">
        <v>390.6610717773438</v>
      </c>
      <c r="H4436">
        <v>91531800</v>
      </c>
      <c r="I4436" t="s">
        <v>2071</v>
      </c>
      <c r="J4436" t="s">
        <v>2072</v>
      </c>
      <c r="K4436" t="s">
        <v>7557</v>
      </c>
    </row>
    <row r="4437" spans="1:11" ht="20" customHeight="1">
      <c r="A4437" t="s">
        <v>7556</v>
      </c>
      <c r="B4437" t="s">
        <v>2073</v>
      </c>
      <c r="C4437">
        <v>406.9299926757812</v>
      </c>
      <c r="D4437">
        <v>407.2699890136719</v>
      </c>
      <c r="E4437">
        <v>403.739990234375</v>
      </c>
      <c r="F4437">
        <v>405.1300048828125</v>
      </c>
      <c r="G4437">
        <v>387.8939819335938</v>
      </c>
      <c r="H4437">
        <v>94901900</v>
      </c>
      <c r="I4437" t="s">
        <v>2074</v>
      </c>
      <c r="J4437" t="s">
        <v>2075</v>
      </c>
      <c r="K4437" t="s">
        <v>7557</v>
      </c>
    </row>
    <row r="4438" spans="1:11" ht="20" customHeight="1">
      <c r="A4438" t="s">
        <v>7556</v>
      </c>
      <c r="B4438" t="s">
        <v>2076</v>
      </c>
      <c r="C4438">
        <v>408.9100036621094</v>
      </c>
      <c r="D4438">
        <v>413.7200012207031</v>
      </c>
      <c r="E4438">
        <v>408.6400146484375</v>
      </c>
      <c r="F4438">
        <v>412.6300048828125</v>
      </c>
      <c r="G4438">
        <v>395.074951171875</v>
      </c>
      <c r="H4438">
        <v>87891800</v>
      </c>
      <c r="I4438" t="s">
        <v>2077</v>
      </c>
      <c r="J4438" t="s">
        <v>2078</v>
      </c>
      <c r="K4438" t="s">
        <v>7557</v>
      </c>
    </row>
    <row r="4439" spans="1:11" ht="20" customHeight="1">
      <c r="A4439" t="s">
        <v>7556</v>
      </c>
      <c r="B4439" t="s">
        <v>2079</v>
      </c>
      <c r="C4439">
        <v>412.9700012207031</v>
      </c>
      <c r="D4439">
        <v>413.239990234375</v>
      </c>
      <c r="E4439">
        <v>411.2799987792969</v>
      </c>
      <c r="F4439">
        <v>412.739990234375</v>
      </c>
      <c r="G4439">
        <v>395.1802368164062</v>
      </c>
      <c r="H4439">
        <v>50046800</v>
      </c>
      <c r="I4439" t="s">
        <v>2080</v>
      </c>
      <c r="J4439" t="s">
        <v>2081</v>
      </c>
      <c r="K4439" t="s">
        <v>7557</v>
      </c>
    </row>
    <row r="4440" spans="1:11" ht="20" customHeight="1">
      <c r="A4440" t="s">
        <v>7556</v>
      </c>
      <c r="B4440" t="s">
        <v>2082</v>
      </c>
      <c r="C4440">
        <v>411.1300048828125</v>
      </c>
      <c r="D4440">
        <v>412.0899963378906</v>
      </c>
      <c r="E4440">
        <v>410.6900024414062</v>
      </c>
      <c r="F4440">
        <v>410.9299926757812</v>
      </c>
      <c r="G4440">
        <v>393.4472351074219</v>
      </c>
      <c r="H4440">
        <v>49220100</v>
      </c>
      <c r="I4440" t="s">
        <v>2083</v>
      </c>
      <c r="J4440" t="s">
        <v>2084</v>
      </c>
      <c r="K4440" t="s">
        <v>7557</v>
      </c>
    </row>
    <row r="4441" spans="1:11" ht="20" customHeight="1">
      <c r="A4441" t="s">
        <v>7556</v>
      </c>
      <c r="B4441" t="s">
        <v>2085</v>
      </c>
      <c r="C4441">
        <v>413.8800048828125</v>
      </c>
      <c r="D4441">
        <v>414.5400085449219</v>
      </c>
      <c r="E4441">
        <v>408.8699951171875</v>
      </c>
      <c r="F4441">
        <v>412.8500061035156</v>
      </c>
      <c r="G4441">
        <v>395.2855529785156</v>
      </c>
      <c r="H4441">
        <v>96142900</v>
      </c>
      <c r="I4441" t="s">
        <v>2086</v>
      </c>
      <c r="J4441" t="s">
        <v>2087</v>
      </c>
      <c r="K4441" t="s">
        <v>7557</v>
      </c>
    </row>
    <row r="4442" spans="1:11" ht="20" customHeight="1">
      <c r="A4442" t="s">
        <v>7556</v>
      </c>
      <c r="B4442" t="s">
        <v>2088</v>
      </c>
      <c r="C4442">
        <v>411.9500122070312</v>
      </c>
      <c r="D4442">
        <v>412.4299926757812</v>
      </c>
      <c r="E4442">
        <v>409.9700012207031</v>
      </c>
      <c r="F4442">
        <v>412.1300048828125</v>
      </c>
      <c r="G4442">
        <v>394.5962219238281</v>
      </c>
      <c r="H4442">
        <v>70157100</v>
      </c>
      <c r="I4442" t="s">
        <v>2089</v>
      </c>
      <c r="J4442" t="s">
        <v>2090</v>
      </c>
      <c r="K4442" t="s">
        <v>7557</v>
      </c>
    </row>
    <row r="4443" spans="1:11" ht="20" customHeight="1">
      <c r="A4443" t="s">
        <v>7556</v>
      </c>
      <c r="B4443" t="s">
        <v>2091</v>
      </c>
      <c r="C4443">
        <v>413.4200134277344</v>
      </c>
      <c r="D4443">
        <v>413.6400146484375</v>
      </c>
      <c r="E4443">
        <v>409.0700073242188</v>
      </c>
      <c r="F4443">
        <v>411.5899963378906</v>
      </c>
      <c r="G4443">
        <v>394.0791625976562</v>
      </c>
      <c r="H4443">
        <v>70481500</v>
      </c>
      <c r="I4443" t="s">
        <v>2092</v>
      </c>
      <c r="J4443" t="s">
        <v>2093</v>
      </c>
      <c r="K4443" t="s">
        <v>7557</v>
      </c>
    </row>
    <row r="4444" spans="1:11" ht="20" customHeight="1">
      <c r="A4444" t="s">
        <v>7556</v>
      </c>
      <c r="B4444" t="s">
        <v>2094</v>
      </c>
      <c r="C4444">
        <v>412.2200012207031</v>
      </c>
      <c r="D4444">
        <v>413.4299926757812</v>
      </c>
      <c r="E4444">
        <v>410.2300109863281</v>
      </c>
      <c r="F4444">
        <v>413.010009765625</v>
      </c>
      <c r="G4444">
        <v>395.4387512207031</v>
      </c>
      <c r="H4444">
        <v>54289400</v>
      </c>
      <c r="I4444" t="s">
        <v>2095</v>
      </c>
      <c r="J4444" t="s">
        <v>2096</v>
      </c>
      <c r="K4444" t="s">
        <v>7557</v>
      </c>
    </row>
    <row r="4445" spans="1:11" ht="20" customHeight="1">
      <c r="A4445" t="s">
        <v>7556</v>
      </c>
      <c r="B4445" t="s">
        <v>2097</v>
      </c>
      <c r="C4445">
        <v>411.8599853515625</v>
      </c>
      <c r="D4445">
        <v>412.8200073242188</v>
      </c>
      <c r="E4445">
        <v>410.239990234375</v>
      </c>
      <c r="F4445">
        <v>410.25</v>
      </c>
      <c r="G4445">
        <v>392.796142578125</v>
      </c>
      <c r="H4445">
        <v>57705500</v>
      </c>
      <c r="I4445" t="s">
        <v>2098</v>
      </c>
      <c r="J4445" t="s">
        <v>2099</v>
      </c>
      <c r="K4445" t="s">
        <v>7557</v>
      </c>
    </row>
    <row r="4446" spans="1:11" ht="20" customHeight="1">
      <c r="A4446" t="s">
        <v>7556</v>
      </c>
      <c r="B4446" t="s">
        <v>2100</v>
      </c>
      <c r="C4446">
        <v>412.3500061035156</v>
      </c>
      <c r="D4446">
        <v>415.8599853515625</v>
      </c>
      <c r="E4446">
        <v>410.6400146484375</v>
      </c>
      <c r="F4446">
        <v>415.2300109863281</v>
      </c>
      <c r="G4446">
        <v>397.5642395019531</v>
      </c>
      <c r="H4446">
        <v>87287000</v>
      </c>
      <c r="I4446" t="s">
        <v>2101</v>
      </c>
      <c r="J4446" t="s">
        <v>2102</v>
      </c>
      <c r="K4446" t="s">
        <v>7557</v>
      </c>
    </row>
    <row r="4447" spans="1:11" ht="20" customHeight="1">
      <c r="A4447" t="s">
        <v>7556</v>
      </c>
      <c r="B4447" t="s">
        <v>2103</v>
      </c>
      <c r="C4447">
        <v>414.8999938964844</v>
      </c>
      <c r="D4447">
        <v>419.6700134277344</v>
      </c>
      <c r="E4447">
        <v>414.6700134277344</v>
      </c>
      <c r="F4447">
        <v>419.2300109863281</v>
      </c>
      <c r="G4447">
        <v>401.3941040039062</v>
      </c>
      <c r="H4447">
        <v>97177200</v>
      </c>
      <c r="I4447" t="s">
        <v>2104</v>
      </c>
      <c r="J4447" t="s">
        <v>2105</v>
      </c>
      <c r="K4447" t="s">
        <v>7557</v>
      </c>
    </row>
    <row r="4448" spans="1:11" ht="20" customHeight="1">
      <c r="A4448" t="s">
        <v>7556</v>
      </c>
      <c r="B4448" t="s">
        <v>2106</v>
      </c>
      <c r="C4448">
        <v>420.1700134277344</v>
      </c>
      <c r="D4448">
        <v>420.7200012207031</v>
      </c>
      <c r="E4448">
        <v>417.3500061035156</v>
      </c>
      <c r="F4448">
        <v>418.6199951171875</v>
      </c>
      <c r="G4448">
        <v>400.8100891113281</v>
      </c>
      <c r="H4448">
        <v>103793300</v>
      </c>
      <c r="I4448" t="s">
        <v>2107</v>
      </c>
      <c r="J4448" t="s">
        <v>2108</v>
      </c>
      <c r="K4448" t="s">
        <v>7557</v>
      </c>
    </row>
    <row r="4449" spans="1:11" ht="20" customHeight="1">
      <c r="A4449" t="s">
        <v>7556</v>
      </c>
      <c r="B4449" t="s">
        <v>2109</v>
      </c>
      <c r="C4449">
        <v>418.6400146484375</v>
      </c>
      <c r="D4449">
        <v>420.3900146484375</v>
      </c>
      <c r="E4449">
        <v>417.3500061035156</v>
      </c>
      <c r="F4449">
        <v>418.7900085449219</v>
      </c>
      <c r="G4449">
        <v>400.9729309082031</v>
      </c>
      <c r="H4449">
        <v>60745400</v>
      </c>
      <c r="I4449" t="s">
        <v>2110</v>
      </c>
      <c r="J4449" t="s">
        <v>2111</v>
      </c>
      <c r="K4449" t="s">
        <v>7557</v>
      </c>
    </row>
    <row r="4450" spans="1:11" ht="20" customHeight="1">
      <c r="A4450" t="s">
        <v>7556</v>
      </c>
      <c r="B4450" t="s">
        <v>2112</v>
      </c>
      <c r="C4450">
        <v>417.0799865722656</v>
      </c>
      <c r="D4450">
        <v>418.7200012207031</v>
      </c>
      <c r="E4450">
        <v>413.6799926757812</v>
      </c>
      <c r="F4450">
        <v>414.0899963378906</v>
      </c>
      <c r="G4450">
        <v>396.4728393554688</v>
      </c>
      <c r="H4450">
        <v>86383500</v>
      </c>
      <c r="I4450" t="s">
        <v>2113</v>
      </c>
      <c r="J4450" t="s">
        <v>2114</v>
      </c>
      <c r="K4450" t="s">
        <v>7557</v>
      </c>
    </row>
    <row r="4451" spans="1:11" ht="20" customHeight="1">
      <c r="A4451" t="s">
        <v>7556</v>
      </c>
      <c r="B4451" t="s">
        <v>2115</v>
      </c>
      <c r="C4451">
        <v>412.4200134277344</v>
      </c>
      <c r="D4451">
        <v>412.8200073242188</v>
      </c>
      <c r="E4451">
        <v>409.8800048828125</v>
      </c>
      <c r="F4451">
        <v>411.0899963378906</v>
      </c>
      <c r="G4451">
        <v>393.6003723144531</v>
      </c>
      <c r="H4451">
        <v>89213700</v>
      </c>
      <c r="I4451" t="s">
        <v>2116</v>
      </c>
      <c r="J4451" t="s">
        <v>2117</v>
      </c>
      <c r="K4451" t="s">
        <v>7557</v>
      </c>
    </row>
    <row r="4452" spans="1:11" ht="20" customHeight="1">
      <c r="A4452" t="s">
        <v>7556</v>
      </c>
      <c r="B4452" t="s">
        <v>2118</v>
      </c>
      <c r="C4452">
        <v>414.739990234375</v>
      </c>
      <c r="D4452">
        <v>416.1600036621094</v>
      </c>
      <c r="E4452">
        <v>412.4100036621094</v>
      </c>
      <c r="F4452">
        <v>414.6499938964844</v>
      </c>
      <c r="G4452">
        <v>397.0089721679688</v>
      </c>
      <c r="H4452">
        <v>90961600</v>
      </c>
      <c r="I4452" t="s">
        <v>2119</v>
      </c>
      <c r="J4452" t="s">
        <v>2120</v>
      </c>
      <c r="K4452" t="s">
        <v>7557</v>
      </c>
    </row>
    <row r="4453" spans="1:11" ht="20" customHeight="1">
      <c r="A4453" t="s">
        <v>7556</v>
      </c>
      <c r="B4453" t="s">
        <v>2121</v>
      </c>
      <c r="C4453">
        <v>415.3299865722656</v>
      </c>
      <c r="D4453">
        <v>420.7699890136719</v>
      </c>
      <c r="E4453">
        <v>415.25</v>
      </c>
      <c r="F4453">
        <v>420.0199890136719</v>
      </c>
      <c r="G4453">
        <v>402.1504821777344</v>
      </c>
      <c r="H4453">
        <v>93830000</v>
      </c>
      <c r="I4453" t="s">
        <v>2122</v>
      </c>
      <c r="J4453" t="s">
        <v>2123</v>
      </c>
      <c r="K4453" t="s">
        <v>7557</v>
      </c>
    </row>
    <row r="4454" spans="1:11" ht="20" customHeight="1">
      <c r="A4454" t="s">
        <v>7556</v>
      </c>
      <c r="B4454" t="s">
        <v>2124</v>
      </c>
      <c r="C4454">
        <v>422.0299987792969</v>
      </c>
      <c r="D4454">
        <v>422.5799865722656</v>
      </c>
      <c r="E4454">
        <v>418.739990234375</v>
      </c>
      <c r="F4454">
        <v>420.1799926757812</v>
      </c>
      <c r="G4454">
        <v>402.3036804199219</v>
      </c>
      <c r="H4454">
        <v>72216000</v>
      </c>
      <c r="I4454" t="s">
        <v>2125</v>
      </c>
      <c r="J4454" t="s">
        <v>2126</v>
      </c>
      <c r="K4454" t="s">
        <v>7557</v>
      </c>
    </row>
    <row r="4455" spans="1:11" ht="20" customHeight="1">
      <c r="A4455" t="s">
        <v>7556</v>
      </c>
      <c r="B4455" t="s">
        <v>2127</v>
      </c>
      <c r="C4455">
        <v>418.2799987792969</v>
      </c>
      <c r="D4455">
        <v>419.2200012207031</v>
      </c>
      <c r="E4455">
        <v>416.2200012207031</v>
      </c>
      <c r="F4455">
        <v>417.8500061035156</v>
      </c>
      <c r="G4455">
        <v>400.0729064941406</v>
      </c>
      <c r="H4455">
        <v>110811800</v>
      </c>
      <c r="I4455" t="s">
        <v>2128</v>
      </c>
      <c r="J4455" t="s">
        <v>2129</v>
      </c>
      <c r="K4455" t="s">
        <v>7557</v>
      </c>
    </row>
    <row r="4456" spans="1:11" ht="20" customHeight="1">
      <c r="A4456" t="s">
        <v>7556</v>
      </c>
      <c r="B4456" t="s">
        <v>2130</v>
      </c>
      <c r="C4456">
        <v>418.0899963378906</v>
      </c>
      <c r="D4456">
        <v>422.9200134277344</v>
      </c>
      <c r="E4456">
        <v>416.7900085449219</v>
      </c>
      <c r="F4456">
        <v>421.8200073242188</v>
      </c>
      <c r="G4456">
        <v>403.8739624023438</v>
      </c>
      <c r="H4456">
        <v>88865000</v>
      </c>
      <c r="I4456" t="s">
        <v>2131</v>
      </c>
      <c r="J4456" t="s">
        <v>2132</v>
      </c>
      <c r="K4456" t="s">
        <v>7557</v>
      </c>
    </row>
    <row r="4457" spans="1:11" ht="20" customHeight="1">
      <c r="A4457" t="s">
        <v>7556</v>
      </c>
      <c r="B4457" t="s">
        <v>2133</v>
      </c>
      <c r="C4457">
        <v>424.5</v>
      </c>
      <c r="D4457">
        <v>428.739990234375</v>
      </c>
      <c r="E4457">
        <v>423.9500122070312</v>
      </c>
      <c r="F4457">
        <v>427.9200134277344</v>
      </c>
      <c r="G4457">
        <v>409.7143859863281</v>
      </c>
      <c r="H4457">
        <v>91426200</v>
      </c>
      <c r="I4457" t="s">
        <v>2134</v>
      </c>
      <c r="J4457" t="s">
        <v>2135</v>
      </c>
      <c r="K4457" t="s">
        <v>7557</v>
      </c>
    </row>
    <row r="4458" spans="1:11" ht="20" customHeight="1">
      <c r="A4458" t="s">
        <v>7556</v>
      </c>
      <c r="B4458" t="s">
        <v>2136</v>
      </c>
      <c r="C4458">
        <v>428.2799987792969</v>
      </c>
      <c r="D4458">
        <v>429.6199951171875</v>
      </c>
      <c r="E4458">
        <v>426.3699951171875</v>
      </c>
      <c r="F4458">
        <v>427.1000061035156</v>
      </c>
      <c r="G4458">
        <v>408.9293212890625</v>
      </c>
      <c r="H4458">
        <v>65460200</v>
      </c>
      <c r="I4458" t="s">
        <v>2137</v>
      </c>
      <c r="J4458" t="s">
        <v>2138</v>
      </c>
      <c r="K4458" t="s">
        <v>7557</v>
      </c>
    </row>
    <row r="4459" spans="1:11" ht="20" customHeight="1">
      <c r="A4459" t="s">
        <v>7556</v>
      </c>
      <c r="B4459" t="s">
        <v>2139</v>
      </c>
      <c r="C4459">
        <v>426.6700134277344</v>
      </c>
      <c r="D4459">
        <v>428.5799865722656</v>
      </c>
      <c r="E4459">
        <v>425.989990234375</v>
      </c>
      <c r="F4459">
        <v>428.0299987792969</v>
      </c>
      <c r="G4459">
        <v>409.8197326660156</v>
      </c>
      <c r="H4459">
        <v>64022200</v>
      </c>
      <c r="I4459" t="s">
        <v>2140</v>
      </c>
      <c r="J4459" t="s">
        <v>2141</v>
      </c>
      <c r="K4459" t="s">
        <v>7557</v>
      </c>
    </row>
    <row r="4460" spans="1:11" ht="20" customHeight="1">
      <c r="A4460" t="s">
        <v>7556</v>
      </c>
      <c r="B4460" t="s">
        <v>2142</v>
      </c>
      <c r="C4460">
        <v>428.4400024414062</v>
      </c>
      <c r="D4460">
        <v>429.6199951171875</v>
      </c>
      <c r="E4460">
        <v>426.1099853515625</v>
      </c>
      <c r="F4460">
        <v>426.5499877929688</v>
      </c>
      <c r="G4460">
        <v>408.4026489257812</v>
      </c>
      <c r="H4460">
        <v>85373300</v>
      </c>
      <c r="I4460" t="s">
        <v>2143</v>
      </c>
      <c r="J4460" t="s">
        <v>2144</v>
      </c>
      <c r="K4460" t="s">
        <v>7557</v>
      </c>
    </row>
    <row r="4461" spans="1:11" ht="20" customHeight="1">
      <c r="A4461" t="s">
        <v>7556</v>
      </c>
      <c r="B4461" t="s">
        <v>2145</v>
      </c>
      <c r="C4461">
        <v>426.6199951171875</v>
      </c>
      <c r="D4461">
        <v>429.6000061035156</v>
      </c>
      <c r="E4461">
        <v>425.8200073242188</v>
      </c>
      <c r="F4461">
        <v>429.1300048828125</v>
      </c>
      <c r="G4461">
        <v>410.8729553222656</v>
      </c>
      <c r="H4461">
        <v>61952800</v>
      </c>
      <c r="I4461" t="s">
        <v>2146</v>
      </c>
      <c r="J4461" t="s">
        <v>2147</v>
      </c>
      <c r="K4461" t="s">
        <v>7557</v>
      </c>
    </row>
    <row r="4462" spans="1:11" ht="20" customHeight="1">
      <c r="A4462" t="s">
        <v>7556</v>
      </c>
      <c r="B4462" t="s">
        <v>2148</v>
      </c>
      <c r="C4462">
        <v>429.9599914550781</v>
      </c>
      <c r="D4462">
        <v>431.989990234375</v>
      </c>
      <c r="E4462">
        <v>428.8699951171875</v>
      </c>
      <c r="F4462">
        <v>429.8999938964844</v>
      </c>
      <c r="G4462">
        <v>411.6101989746094</v>
      </c>
      <c r="H4462">
        <v>85742800</v>
      </c>
      <c r="I4462" t="s">
        <v>2149</v>
      </c>
      <c r="J4462" t="s">
        <v>2150</v>
      </c>
      <c r="K4462" t="s">
        <v>7557</v>
      </c>
    </row>
    <row r="4463" spans="1:11" ht="20" customHeight="1">
      <c r="A4463" t="s">
        <v>7556</v>
      </c>
      <c r="B4463" t="s">
        <v>2151</v>
      </c>
      <c r="C4463">
        <v>430.9200134277344</v>
      </c>
      <c r="D4463">
        <v>433.8800048828125</v>
      </c>
      <c r="E4463">
        <v>430.1700134277344</v>
      </c>
      <c r="F4463">
        <v>433.7999877929688</v>
      </c>
      <c r="G4463">
        <v>415.3441772460938</v>
      </c>
      <c r="H4463">
        <v>76104300</v>
      </c>
      <c r="I4463" t="s">
        <v>2152</v>
      </c>
      <c r="J4463" t="s">
        <v>2153</v>
      </c>
      <c r="K4463" t="s">
        <v>7557</v>
      </c>
    </row>
    <row r="4464" spans="1:11" ht="20" customHeight="1">
      <c r="A4464" t="s">
        <v>7556</v>
      </c>
      <c r="B4464" t="s">
        <v>2154</v>
      </c>
      <c r="C4464">
        <v>435.3200073242188</v>
      </c>
      <c r="D4464">
        <v>437.3299865722656</v>
      </c>
      <c r="E4464">
        <v>434.6300048828125</v>
      </c>
      <c r="F4464">
        <v>436.6600036621094</v>
      </c>
      <c r="G4464">
        <v>418.08251953125</v>
      </c>
      <c r="H4464">
        <v>95899700</v>
      </c>
      <c r="I4464" t="s">
        <v>2155</v>
      </c>
      <c r="J4464" t="s">
        <v>2156</v>
      </c>
      <c r="K4464" t="s">
        <v>7557</v>
      </c>
    </row>
    <row r="4465" spans="1:11" ht="20" customHeight="1">
      <c r="A4465" t="s">
        <v>7556</v>
      </c>
      <c r="B4465" t="s">
        <v>2157</v>
      </c>
      <c r="C4465">
        <v>437.010009765625</v>
      </c>
      <c r="D4465">
        <v>439.0599975585938</v>
      </c>
      <c r="E4465">
        <v>433.5899963378906</v>
      </c>
      <c r="F4465">
        <v>437.1799926757812</v>
      </c>
      <c r="G4465">
        <v>418.5804443359375</v>
      </c>
      <c r="H4465">
        <v>100612100</v>
      </c>
      <c r="I4465" t="s">
        <v>2158</v>
      </c>
      <c r="J4465" t="s">
        <v>2159</v>
      </c>
      <c r="K4465" t="s">
        <v>7557</v>
      </c>
    </row>
    <row r="4466" spans="1:11" ht="20" customHeight="1">
      <c r="A4466" t="s">
        <v>7556</v>
      </c>
      <c r="B4466" t="s">
        <v>2160</v>
      </c>
      <c r="C4466">
        <v>436.3299865722656</v>
      </c>
      <c r="D4466">
        <v>443.8999938964844</v>
      </c>
      <c r="E4466">
        <v>436.2300109863281</v>
      </c>
      <c r="F4466">
        <v>442.6000061035156</v>
      </c>
      <c r="G4466">
        <v>423.7698364257812</v>
      </c>
      <c r="H4466">
        <v>110303100</v>
      </c>
      <c r="I4466" t="s">
        <v>2161</v>
      </c>
      <c r="J4466" t="s">
        <v>2162</v>
      </c>
      <c r="K4466" t="s">
        <v>7557</v>
      </c>
    </row>
    <row r="4467" spans="1:11" ht="20" customHeight="1">
      <c r="A4467" t="s">
        <v>7556</v>
      </c>
      <c r="B4467" t="s">
        <v>2163</v>
      </c>
      <c r="C4467">
        <v>443.0199890136719</v>
      </c>
      <c r="D4467">
        <v>443.6099853515625</v>
      </c>
      <c r="E4467">
        <v>438.9700012207031</v>
      </c>
      <c r="F4467">
        <v>439.4599914550781</v>
      </c>
      <c r="G4467">
        <v>422.3263854980469</v>
      </c>
      <c r="H4467">
        <v>114165800</v>
      </c>
      <c r="I4467" t="s">
        <v>2164</v>
      </c>
      <c r="J4467" t="s">
        <v>2165</v>
      </c>
      <c r="K4467" t="s">
        <v>7557</v>
      </c>
    </row>
    <row r="4468" spans="1:11" ht="20" customHeight="1">
      <c r="A4468" t="s">
        <v>7556</v>
      </c>
      <c r="B4468" t="s">
        <v>2166</v>
      </c>
      <c r="C4468">
        <v>437.4500122070312</v>
      </c>
      <c r="D4468">
        <v>438.3699951171875</v>
      </c>
      <c r="E4468">
        <v>435.0299987792969</v>
      </c>
      <c r="F4468">
        <v>437.1799926757812</v>
      </c>
      <c r="G4468">
        <v>420.1352844238281</v>
      </c>
      <c r="H4468">
        <v>76160400</v>
      </c>
      <c r="I4468" t="s">
        <v>2167</v>
      </c>
      <c r="J4468" t="s">
        <v>2168</v>
      </c>
      <c r="K4468" t="s">
        <v>7557</v>
      </c>
    </row>
    <row r="4469" spans="1:11" ht="20" customHeight="1">
      <c r="A4469" t="s">
        <v>7556</v>
      </c>
      <c r="B4469" t="s">
        <v>2169</v>
      </c>
      <c r="C4469">
        <v>436.1600036621094</v>
      </c>
      <c r="D4469">
        <v>436.989990234375</v>
      </c>
      <c r="E4469">
        <v>434.3299865722656</v>
      </c>
      <c r="F4469">
        <v>434.9400024414062</v>
      </c>
      <c r="G4469">
        <v>417.9826049804688</v>
      </c>
      <c r="H4469">
        <v>76982300</v>
      </c>
      <c r="I4469" t="s">
        <v>2170</v>
      </c>
      <c r="J4469" t="s">
        <v>2171</v>
      </c>
      <c r="K4469" t="s">
        <v>7557</v>
      </c>
    </row>
    <row r="4470" spans="1:11" ht="20" customHeight="1">
      <c r="A4470" t="s">
        <v>7556</v>
      </c>
      <c r="B4470" t="s">
        <v>2172</v>
      </c>
      <c r="C4470">
        <v>433.9500122070312</v>
      </c>
      <c r="D4470">
        <v>436.6199951171875</v>
      </c>
      <c r="E4470">
        <v>433.6000061035156</v>
      </c>
      <c r="F4470">
        <v>436.510009765625</v>
      </c>
      <c r="G4470">
        <v>419.4914245605469</v>
      </c>
      <c r="H4470">
        <v>70637200</v>
      </c>
      <c r="I4470" t="s">
        <v>2173</v>
      </c>
      <c r="J4470" t="s">
        <v>2174</v>
      </c>
      <c r="K4470" t="s">
        <v>7557</v>
      </c>
    </row>
    <row r="4471" spans="1:11" ht="20" customHeight="1">
      <c r="A4471" t="s">
        <v>7556</v>
      </c>
      <c r="B4471" t="s">
        <v>2175</v>
      </c>
      <c r="C4471">
        <v>432.9299926757812</v>
      </c>
      <c r="D4471">
        <v>435.0599975585938</v>
      </c>
      <c r="E4471">
        <v>432.4700012207031</v>
      </c>
      <c r="F4471">
        <v>433.2099914550781</v>
      </c>
      <c r="G4471">
        <v>416.3201293945312</v>
      </c>
      <c r="H4471">
        <v>92074500</v>
      </c>
      <c r="I4471" t="s">
        <v>2176</v>
      </c>
      <c r="J4471" t="s">
        <v>2177</v>
      </c>
      <c r="K4471" t="s">
        <v>7557</v>
      </c>
    </row>
    <row r="4472" spans="1:11" ht="20" customHeight="1">
      <c r="A4472" t="s">
        <v>7556</v>
      </c>
      <c r="B4472" t="s">
        <v>2178</v>
      </c>
      <c r="C4472">
        <v>432.6199951171875</v>
      </c>
      <c r="D4472">
        <v>434.6099853515625</v>
      </c>
      <c r="E4472">
        <v>431.1900024414062</v>
      </c>
      <c r="F4472">
        <v>431.4400024414062</v>
      </c>
      <c r="G4472">
        <v>414.6191101074219</v>
      </c>
      <c r="H4472">
        <v>72823600</v>
      </c>
      <c r="I4472" t="s">
        <v>2179</v>
      </c>
      <c r="J4472" t="s">
        <v>2180</v>
      </c>
      <c r="K4472" t="s">
        <v>7557</v>
      </c>
    </row>
    <row r="4473" spans="1:11" ht="20" customHeight="1">
      <c r="A4473" t="s">
        <v>7556</v>
      </c>
      <c r="B4473" t="s">
        <v>2181</v>
      </c>
      <c r="C4473">
        <v>432.3500061035156</v>
      </c>
      <c r="D4473">
        <v>436.8099975585938</v>
      </c>
      <c r="E4473">
        <v>431.8800048828125</v>
      </c>
      <c r="F4473">
        <v>436.1700134277344</v>
      </c>
      <c r="G4473">
        <v>419.1647033691406</v>
      </c>
      <c r="H4473">
        <v>72813700</v>
      </c>
      <c r="I4473" t="s">
        <v>2182</v>
      </c>
      <c r="J4473" t="s">
        <v>2183</v>
      </c>
      <c r="K4473" t="s">
        <v>7557</v>
      </c>
    </row>
    <row r="4474" spans="1:11" ht="20" customHeight="1">
      <c r="A4474" t="s">
        <v>7556</v>
      </c>
      <c r="B4474" t="s">
        <v>2184</v>
      </c>
      <c r="C4474">
        <v>435.0499877929688</v>
      </c>
      <c r="D4474">
        <v>437.4400024414062</v>
      </c>
      <c r="E4474">
        <v>434.4100036621094</v>
      </c>
      <c r="F4474">
        <v>436.3900146484375</v>
      </c>
      <c r="G4474">
        <v>419.3761596679688</v>
      </c>
      <c r="H4474">
        <v>75636000</v>
      </c>
      <c r="I4474" t="s">
        <v>2185</v>
      </c>
      <c r="J4474" t="s">
        <v>2186</v>
      </c>
      <c r="K4474" t="s">
        <v>7557</v>
      </c>
    </row>
    <row r="4475" spans="1:11" ht="20" customHeight="1">
      <c r="A4475" t="s">
        <v>7556</v>
      </c>
      <c r="B4475" t="s">
        <v>2187</v>
      </c>
      <c r="C4475">
        <v>435.9599914550781</v>
      </c>
      <c r="D4475">
        <v>438.2799987792969</v>
      </c>
      <c r="E4475">
        <v>435.5400085449219</v>
      </c>
      <c r="F4475">
        <v>438.1099853515625</v>
      </c>
      <c r="G4475">
        <v>421.0290832519531</v>
      </c>
      <c r="H4475">
        <v>67882300</v>
      </c>
      <c r="I4475" t="s">
        <v>2188</v>
      </c>
      <c r="J4475" t="s">
        <v>2189</v>
      </c>
      <c r="K4475" t="s">
        <v>7557</v>
      </c>
    </row>
    <row r="4476" spans="1:11" ht="20" customHeight="1">
      <c r="A4476" t="s">
        <v>7556</v>
      </c>
      <c r="B4476" t="s">
        <v>2190</v>
      </c>
      <c r="C4476">
        <v>441.4400024414062</v>
      </c>
      <c r="D4476">
        <v>444.2999877929688</v>
      </c>
      <c r="E4476">
        <v>441.1099853515625</v>
      </c>
      <c r="F4476">
        <v>443.2799987792969</v>
      </c>
      <c r="G4476">
        <v>425.9974670410156</v>
      </c>
      <c r="H4476">
        <v>104964000</v>
      </c>
      <c r="I4476" t="s">
        <v>2191</v>
      </c>
      <c r="J4476" t="s">
        <v>2192</v>
      </c>
      <c r="K4476" t="s">
        <v>7557</v>
      </c>
    </row>
    <row r="4477" spans="1:11" ht="20" customHeight="1">
      <c r="A4477" t="s">
        <v>7556</v>
      </c>
      <c r="B4477" t="s">
        <v>2193</v>
      </c>
      <c r="C4477">
        <v>442.9200134277344</v>
      </c>
      <c r="D4477">
        <v>444.0799865722656</v>
      </c>
      <c r="E4477">
        <v>442.6300048828125</v>
      </c>
      <c r="F4477">
        <v>443.7900085449219</v>
      </c>
      <c r="G4477">
        <v>426.4876098632812</v>
      </c>
      <c r="H4477">
        <v>32793400</v>
      </c>
      <c r="I4477" t="s">
        <v>2194</v>
      </c>
      <c r="J4477" t="s">
        <v>2195</v>
      </c>
      <c r="K4477" t="s">
        <v>7557</v>
      </c>
    </row>
    <row r="4478" spans="1:11" ht="20" customHeight="1">
      <c r="A4478" t="s">
        <v>7556</v>
      </c>
      <c r="B4478" t="s">
        <v>2196</v>
      </c>
      <c r="C4478">
        <v>441.9100036621094</v>
      </c>
      <c r="D4478">
        <v>443.8900146484375</v>
      </c>
      <c r="E4478">
        <v>441.8999938964844</v>
      </c>
      <c r="F4478">
        <v>443.1300048828125</v>
      </c>
      <c r="G4478">
        <v>425.8533020019531</v>
      </c>
      <c r="H4478">
        <v>58418400</v>
      </c>
      <c r="I4478" t="s">
        <v>2197</v>
      </c>
      <c r="J4478" t="s">
        <v>2198</v>
      </c>
      <c r="K4478" t="s">
        <v>7557</v>
      </c>
    </row>
    <row r="4479" spans="1:11" ht="20" customHeight="1">
      <c r="A4479" t="s">
        <v>7556</v>
      </c>
      <c r="B4479" t="s">
        <v>2199</v>
      </c>
      <c r="C4479">
        <v>439.4200134277344</v>
      </c>
      <c r="D4479">
        <v>440.1000061035156</v>
      </c>
      <c r="E4479">
        <v>437.0599975585938</v>
      </c>
      <c r="F4479">
        <v>439.6600036621094</v>
      </c>
      <c r="G4479">
        <v>422.5186157226562</v>
      </c>
      <c r="H4479">
        <v>80658300</v>
      </c>
      <c r="I4479" t="s">
        <v>2200</v>
      </c>
      <c r="J4479" t="s">
        <v>2201</v>
      </c>
      <c r="K4479" t="s">
        <v>7557</v>
      </c>
    </row>
    <row r="4480" spans="1:11" ht="20" customHeight="1">
      <c r="A4480" t="s">
        <v>7556</v>
      </c>
      <c r="B4480" t="s">
        <v>2202</v>
      </c>
      <c r="C4480">
        <v>438.6300048828125</v>
      </c>
      <c r="D4480">
        <v>442.6400146484375</v>
      </c>
      <c r="E4480">
        <v>438.2999877929688</v>
      </c>
      <c r="F4480">
        <v>438.5499877929688</v>
      </c>
      <c r="G4480">
        <v>421.451904296875</v>
      </c>
      <c r="H4480">
        <v>86134200</v>
      </c>
      <c r="I4480" t="s">
        <v>2203</v>
      </c>
      <c r="J4480" t="s">
        <v>2204</v>
      </c>
      <c r="K4480" t="s">
        <v>7557</v>
      </c>
    </row>
    <row r="4481" spans="1:11" ht="20" customHeight="1">
      <c r="A4481" t="s">
        <v>7556</v>
      </c>
      <c r="B4481" t="s">
        <v>2205</v>
      </c>
      <c r="C4481">
        <v>438.1799926757812</v>
      </c>
      <c r="D4481">
        <v>439.8399963378906</v>
      </c>
      <c r="E4481">
        <v>437.5899963378906</v>
      </c>
      <c r="F4481">
        <v>439.6600036621094</v>
      </c>
      <c r="G4481">
        <v>422.5186157226562</v>
      </c>
      <c r="H4481">
        <v>62443500</v>
      </c>
      <c r="I4481" t="s">
        <v>2206</v>
      </c>
      <c r="J4481" t="s">
        <v>2207</v>
      </c>
      <c r="K4481" t="s">
        <v>7557</v>
      </c>
    </row>
    <row r="4482" spans="1:11" ht="20" customHeight="1">
      <c r="A4482" t="s">
        <v>7556</v>
      </c>
      <c r="B4482" t="s">
        <v>2208</v>
      </c>
      <c r="C4482">
        <v>440.4500122070312</v>
      </c>
      <c r="D4482">
        <v>442.9700012207031</v>
      </c>
      <c r="E4482">
        <v>439.4400024414062</v>
      </c>
      <c r="F4482">
        <v>442.4599914550781</v>
      </c>
      <c r="G4482">
        <v>425.2094421386719</v>
      </c>
      <c r="H4482">
        <v>64463800</v>
      </c>
      <c r="I4482" t="s">
        <v>2209</v>
      </c>
      <c r="J4482" t="s">
        <v>2210</v>
      </c>
      <c r="K4482" t="s">
        <v>7557</v>
      </c>
    </row>
    <row r="4483" spans="1:11" ht="20" customHeight="1">
      <c r="A4483" t="s">
        <v>7556</v>
      </c>
      <c r="B4483" t="s">
        <v>2211</v>
      </c>
      <c r="C4483">
        <v>446.3900146484375</v>
      </c>
      <c r="D4483">
        <v>447.4800109863281</v>
      </c>
      <c r="E4483">
        <v>444.9100036621094</v>
      </c>
      <c r="F4483">
        <v>446.0199890136719</v>
      </c>
      <c r="G4483">
        <v>428.6306457519531</v>
      </c>
      <c r="H4483">
        <v>91924500</v>
      </c>
      <c r="I4483" t="s">
        <v>2212</v>
      </c>
      <c r="J4483" t="s">
        <v>2213</v>
      </c>
      <c r="K4483" t="s">
        <v>7557</v>
      </c>
    </row>
    <row r="4484" spans="1:11" ht="20" customHeight="1">
      <c r="A4484" t="s">
        <v>7556</v>
      </c>
      <c r="B4484" t="s">
        <v>2214</v>
      </c>
      <c r="C4484">
        <v>447.8999938964844</v>
      </c>
      <c r="D4484">
        <v>450.3800048828125</v>
      </c>
      <c r="E4484">
        <v>447.4500122070312</v>
      </c>
      <c r="F4484">
        <v>449.5599975585938</v>
      </c>
      <c r="G4484">
        <v>432.0326538085938</v>
      </c>
      <c r="H4484">
        <v>72425200</v>
      </c>
      <c r="I4484" t="s">
        <v>2215</v>
      </c>
      <c r="J4484" t="s">
        <v>2216</v>
      </c>
      <c r="K4484" t="s">
        <v>7557</v>
      </c>
    </row>
    <row r="4485" spans="1:11" ht="20" customHeight="1">
      <c r="A4485" t="s">
        <v>7556</v>
      </c>
      <c r="B4485" t="s">
        <v>2217</v>
      </c>
      <c r="C4485">
        <v>450.4800109863281</v>
      </c>
      <c r="D4485">
        <v>451.3599853515625</v>
      </c>
      <c r="E4485">
        <v>448.489990234375</v>
      </c>
      <c r="F4485">
        <v>449.2799987792969</v>
      </c>
      <c r="G4485">
        <v>431.7636108398438</v>
      </c>
      <c r="H4485">
        <v>69815800</v>
      </c>
      <c r="I4485" t="s">
        <v>2218</v>
      </c>
      <c r="J4485" t="s">
        <v>2219</v>
      </c>
      <c r="K4485" t="s">
        <v>7557</v>
      </c>
    </row>
    <row r="4486" spans="1:11" ht="20" customHeight="1">
      <c r="A4486" t="s">
        <v>7556</v>
      </c>
      <c r="B4486" t="s">
        <v>2220</v>
      </c>
      <c r="C4486">
        <v>449.1300048828125</v>
      </c>
      <c r="D4486">
        <v>451.9299926757812</v>
      </c>
      <c r="E4486">
        <v>449.0799865722656</v>
      </c>
      <c r="F4486">
        <v>450.8399963378906</v>
      </c>
      <c r="G4486">
        <v>433.2627258300781</v>
      </c>
      <c r="H4486">
        <v>52680200</v>
      </c>
      <c r="I4486" t="s">
        <v>2221</v>
      </c>
      <c r="J4486" t="s">
        <v>2222</v>
      </c>
      <c r="K4486" t="s">
        <v>7557</v>
      </c>
    </row>
    <row r="4487" spans="1:11" ht="20" customHeight="1">
      <c r="A4487" t="s">
        <v>7556</v>
      </c>
      <c r="B4487" t="s">
        <v>2223</v>
      </c>
      <c r="C4487">
        <v>450.5</v>
      </c>
      <c r="D4487">
        <v>454.8599853515625</v>
      </c>
      <c r="E4487">
        <v>450.0499877929688</v>
      </c>
      <c r="F4487">
        <v>454.1900024414062</v>
      </c>
      <c r="G4487">
        <v>436.4821166992188</v>
      </c>
      <c r="H4487">
        <v>80668200</v>
      </c>
      <c r="I4487" t="s">
        <v>2224</v>
      </c>
      <c r="J4487" t="s">
        <v>2225</v>
      </c>
      <c r="K4487" t="s">
        <v>7557</v>
      </c>
    </row>
    <row r="4488" spans="1:11" ht="20" customHeight="1">
      <c r="A4488" t="s">
        <v>7556</v>
      </c>
      <c r="B4488" t="s">
        <v>2226</v>
      </c>
      <c r="C4488">
        <v>455.010009765625</v>
      </c>
      <c r="D4488">
        <v>456.4299926757812</v>
      </c>
      <c r="E4488">
        <v>454.1099853515625</v>
      </c>
      <c r="F4488">
        <v>455.2000122070312</v>
      </c>
      <c r="G4488">
        <v>437.4527282714844</v>
      </c>
      <c r="H4488">
        <v>65891700</v>
      </c>
      <c r="I4488" t="s">
        <v>2227</v>
      </c>
      <c r="J4488" t="s">
        <v>2228</v>
      </c>
      <c r="K4488" t="s">
        <v>7557</v>
      </c>
    </row>
    <row r="4489" spans="1:11" ht="20" customHeight="1">
      <c r="A4489" t="s">
        <v>7556</v>
      </c>
      <c r="B4489" t="s">
        <v>2229</v>
      </c>
      <c r="C4489">
        <v>454.1700134277344</v>
      </c>
      <c r="D4489">
        <v>455.1000061035156</v>
      </c>
      <c r="E4489">
        <v>451.4400024414062</v>
      </c>
      <c r="F4489">
        <v>452.1799926757812</v>
      </c>
      <c r="G4489">
        <v>434.5504760742188</v>
      </c>
      <c r="H4489">
        <v>70591600</v>
      </c>
      <c r="I4489" t="s">
        <v>2230</v>
      </c>
      <c r="J4489" t="s">
        <v>2231</v>
      </c>
      <c r="K4489" t="s">
        <v>7557</v>
      </c>
    </row>
    <row r="4490" spans="1:11" ht="20" customHeight="1">
      <c r="A4490" t="s">
        <v>7556</v>
      </c>
      <c r="B4490" t="s">
        <v>2232</v>
      </c>
      <c r="C4490">
        <v>453.9599914550781</v>
      </c>
      <c r="D4490">
        <v>454.1700134277344</v>
      </c>
      <c r="E4490">
        <v>452.1700134277344</v>
      </c>
      <c r="F4490">
        <v>452.1799926757812</v>
      </c>
      <c r="G4490">
        <v>434.5504760742188</v>
      </c>
      <c r="H4490">
        <v>71275600</v>
      </c>
      <c r="I4490" t="s">
        <v>2233</v>
      </c>
      <c r="J4490" t="s">
        <v>2234</v>
      </c>
      <c r="K4490" t="s">
        <v>7557</v>
      </c>
    </row>
    <row r="4491" spans="1:11" ht="20" customHeight="1">
      <c r="A4491" t="s">
        <v>7556</v>
      </c>
      <c r="B4491" t="s">
        <v>2235</v>
      </c>
      <c r="C4491">
        <v>453.3699951171875</v>
      </c>
      <c r="D4491">
        <v>455.0400085449219</v>
      </c>
      <c r="E4491">
        <v>452.2999877929688</v>
      </c>
      <c r="F4491">
        <v>454.2000122070312</v>
      </c>
      <c r="G4491">
        <v>436.4917602539062</v>
      </c>
      <c r="H4491">
        <v>54023400</v>
      </c>
      <c r="I4491" t="s">
        <v>2236</v>
      </c>
      <c r="J4491" t="s">
        <v>2237</v>
      </c>
      <c r="K4491" t="s">
        <v>7557</v>
      </c>
    </row>
    <row r="4492" spans="1:11" ht="20" customHeight="1">
      <c r="A4492" t="s">
        <v>7556</v>
      </c>
      <c r="B4492" t="s">
        <v>2238</v>
      </c>
      <c r="C4492">
        <v>453.9200134277344</v>
      </c>
      <c r="D4492">
        <v>456.739990234375</v>
      </c>
      <c r="E4492">
        <v>453.8699951171875</v>
      </c>
      <c r="F4492">
        <v>455.4400024414062</v>
      </c>
      <c r="G4492">
        <v>437.683349609375</v>
      </c>
      <c r="H4492">
        <v>55191200</v>
      </c>
      <c r="I4492" t="s">
        <v>2239</v>
      </c>
      <c r="J4492" t="s">
        <v>2240</v>
      </c>
      <c r="K4492" t="s">
        <v>7557</v>
      </c>
    </row>
    <row r="4493" spans="1:11" ht="20" customHeight="1">
      <c r="A4493" t="s">
        <v>7556</v>
      </c>
      <c r="B4493" t="s">
        <v>2241</v>
      </c>
      <c r="C4493">
        <v>454.4700012207031</v>
      </c>
      <c r="D4493">
        <v>456.989990234375</v>
      </c>
      <c r="E4493">
        <v>453.3800048828125</v>
      </c>
      <c r="F4493">
        <v>455.510009765625</v>
      </c>
      <c r="G4493">
        <v>437.7506713867188</v>
      </c>
      <c r="H4493">
        <v>71052900</v>
      </c>
      <c r="I4493" t="s">
        <v>2242</v>
      </c>
      <c r="J4493" t="s">
        <v>2243</v>
      </c>
      <c r="K4493" t="s">
        <v>7557</v>
      </c>
    </row>
    <row r="4494" spans="1:11" ht="20" customHeight="1">
      <c r="A4494" t="s">
        <v>7556</v>
      </c>
      <c r="B4494" t="s">
        <v>2244</v>
      </c>
      <c r="C4494">
        <v>459.0199890136719</v>
      </c>
      <c r="D4494">
        <v>459.4400024414062</v>
      </c>
      <c r="E4494">
        <v>451.5499877929688</v>
      </c>
      <c r="F4494">
        <v>452.489990234375</v>
      </c>
      <c r="G4494">
        <v>434.8484191894531</v>
      </c>
      <c r="H4494">
        <v>92194400</v>
      </c>
      <c r="I4494" t="s">
        <v>2245</v>
      </c>
      <c r="J4494" t="s">
        <v>2246</v>
      </c>
      <c r="K4494" t="s">
        <v>7557</v>
      </c>
    </row>
    <row r="4495" spans="1:11" ht="20" customHeight="1">
      <c r="A4495" t="s">
        <v>7556</v>
      </c>
      <c r="B4495" t="s">
        <v>2247</v>
      </c>
      <c r="C4495">
        <v>455.8800048828125</v>
      </c>
      <c r="D4495">
        <v>457.7799987792969</v>
      </c>
      <c r="E4495">
        <v>452.489990234375</v>
      </c>
      <c r="F4495">
        <v>456.9200134277344</v>
      </c>
      <c r="G4495">
        <v>439.105712890625</v>
      </c>
      <c r="H4495">
        <v>80011800</v>
      </c>
      <c r="I4495" t="s">
        <v>2248</v>
      </c>
      <c r="J4495" t="s">
        <v>2249</v>
      </c>
      <c r="K4495" t="s">
        <v>7557</v>
      </c>
    </row>
    <row r="4496" spans="1:11" ht="20" customHeight="1">
      <c r="A4496" t="s">
        <v>7556</v>
      </c>
      <c r="B4496" t="s">
        <v>2250</v>
      </c>
      <c r="C4496">
        <v>457.4100036621094</v>
      </c>
      <c r="D4496">
        <v>458.1600036621094</v>
      </c>
      <c r="E4496">
        <v>456.0499877929688</v>
      </c>
      <c r="F4496">
        <v>457.7900085449219</v>
      </c>
      <c r="G4496">
        <v>439.9417724609375</v>
      </c>
      <c r="H4496">
        <v>62040400</v>
      </c>
      <c r="I4496" t="s">
        <v>2251</v>
      </c>
      <c r="J4496" t="s">
        <v>2252</v>
      </c>
      <c r="K4496" t="s">
        <v>7557</v>
      </c>
    </row>
    <row r="4497" spans="1:11" ht="20" customHeight="1">
      <c r="A4497" t="s">
        <v>7556</v>
      </c>
      <c r="B4497" t="s">
        <v>2253</v>
      </c>
      <c r="C4497">
        <v>456.2699890136719</v>
      </c>
      <c r="D4497">
        <v>457.25</v>
      </c>
      <c r="E4497">
        <v>455.489990234375</v>
      </c>
      <c r="F4497">
        <v>456.4800109863281</v>
      </c>
      <c r="G4497">
        <v>438.6828002929688</v>
      </c>
      <c r="H4497">
        <v>55291500</v>
      </c>
      <c r="I4497" t="s">
        <v>2254</v>
      </c>
      <c r="J4497" t="s">
        <v>2255</v>
      </c>
      <c r="K4497" t="s">
        <v>7557</v>
      </c>
    </row>
    <row r="4498" spans="1:11" ht="20" customHeight="1">
      <c r="A4498" t="s">
        <v>7556</v>
      </c>
      <c r="B4498" t="s">
        <v>2256</v>
      </c>
      <c r="C4498">
        <v>453.25</v>
      </c>
      <c r="D4498">
        <v>453.5199890136719</v>
      </c>
      <c r="E4498">
        <v>449.3500061035156</v>
      </c>
      <c r="F4498">
        <v>450.1300048828125</v>
      </c>
      <c r="G4498">
        <v>432.5804138183594</v>
      </c>
      <c r="H4498">
        <v>93933400</v>
      </c>
      <c r="I4498" t="s">
        <v>2257</v>
      </c>
      <c r="J4498" t="s">
        <v>2258</v>
      </c>
      <c r="K4498" t="s">
        <v>7557</v>
      </c>
    </row>
    <row r="4499" spans="1:11" ht="20" customHeight="1">
      <c r="A4499" t="s">
        <v>7556</v>
      </c>
      <c r="B4499" t="s">
        <v>2259</v>
      </c>
      <c r="C4499">
        <v>448.0400085449219</v>
      </c>
      <c r="D4499">
        <v>450.7900085449219</v>
      </c>
      <c r="E4499">
        <v>447.3699951171875</v>
      </c>
      <c r="F4499">
        <v>448.8399963378906</v>
      </c>
      <c r="G4499">
        <v>431.3406677246094</v>
      </c>
      <c r="H4499">
        <v>64276100</v>
      </c>
      <c r="I4499" t="s">
        <v>2260</v>
      </c>
      <c r="J4499" t="s">
        <v>2261</v>
      </c>
      <c r="K4499" t="s">
        <v>7557</v>
      </c>
    </row>
    <row r="4500" spans="1:11" ht="20" customHeight="1">
      <c r="A4500" t="s">
        <v>7556</v>
      </c>
      <c r="B4500" t="s">
        <v>2262</v>
      </c>
      <c r="C4500">
        <v>450.7200012207031</v>
      </c>
      <c r="D4500">
        <v>452.8999938964844</v>
      </c>
      <c r="E4500">
        <v>446.2699890136719</v>
      </c>
      <c r="F4500">
        <v>446.8099975585938</v>
      </c>
      <c r="G4500">
        <v>429.389892578125</v>
      </c>
      <c r="H4500">
        <v>100128900</v>
      </c>
      <c r="I4500" t="s">
        <v>2263</v>
      </c>
      <c r="J4500" t="s">
        <v>2264</v>
      </c>
      <c r="K4500" t="s">
        <v>7557</v>
      </c>
    </row>
    <row r="4501" spans="1:11" ht="20" customHeight="1">
      <c r="A4501" t="s">
        <v>7556</v>
      </c>
      <c r="B4501" t="s">
        <v>2265</v>
      </c>
      <c r="C4501">
        <v>448.7099914550781</v>
      </c>
      <c r="D4501">
        <v>450.8699951171875</v>
      </c>
      <c r="E4501">
        <v>447.989990234375</v>
      </c>
      <c r="F4501">
        <v>450.7099914550781</v>
      </c>
      <c r="G4501">
        <v>433.1377868652344</v>
      </c>
      <c r="H4501">
        <v>58357500</v>
      </c>
      <c r="I4501" t="s">
        <v>2266</v>
      </c>
      <c r="J4501" t="s">
        <v>2267</v>
      </c>
      <c r="K4501" t="s">
        <v>7557</v>
      </c>
    </row>
    <row r="4502" spans="1:11" ht="20" customHeight="1">
      <c r="A4502" t="s">
        <v>7556</v>
      </c>
      <c r="B4502" t="s">
        <v>2268</v>
      </c>
      <c r="C4502">
        <v>448.0799865722656</v>
      </c>
      <c r="D4502">
        <v>450.7000122070312</v>
      </c>
      <c r="E4502">
        <v>445.2699890136719</v>
      </c>
      <c r="F4502">
        <v>448.75</v>
      </c>
      <c r="G4502">
        <v>431.2542419433594</v>
      </c>
      <c r="H4502">
        <v>71361300</v>
      </c>
      <c r="I4502" t="s">
        <v>2269</v>
      </c>
      <c r="J4502" t="s">
        <v>2270</v>
      </c>
      <c r="K4502" t="s">
        <v>7557</v>
      </c>
    </row>
    <row r="4503" spans="1:11" ht="20" customHeight="1">
      <c r="A4503" t="s">
        <v>7556</v>
      </c>
      <c r="B4503" t="s">
        <v>2271</v>
      </c>
      <c r="C4503">
        <v>449.0299987792969</v>
      </c>
      <c r="D4503">
        <v>449.2000122070312</v>
      </c>
      <c r="E4503">
        <v>444.9599914550781</v>
      </c>
      <c r="F4503">
        <v>445.75</v>
      </c>
      <c r="G4503">
        <v>428.3712158203125</v>
      </c>
      <c r="H4503">
        <v>78789600</v>
      </c>
      <c r="I4503" t="s">
        <v>2272</v>
      </c>
      <c r="J4503" t="s">
        <v>2273</v>
      </c>
      <c r="K4503" t="s">
        <v>7557</v>
      </c>
    </row>
    <row r="4504" spans="1:11" ht="20" customHeight="1">
      <c r="A4504" t="s">
        <v>7556</v>
      </c>
      <c r="B4504" t="s">
        <v>2274</v>
      </c>
      <c r="C4504">
        <v>448.1900024414062</v>
      </c>
      <c r="D4504">
        <v>451.7000122070312</v>
      </c>
      <c r="E4504">
        <v>444.7000122070312</v>
      </c>
      <c r="F4504">
        <v>445.9100036621094</v>
      </c>
      <c r="G4504">
        <v>428.5249633789062</v>
      </c>
      <c r="H4504">
        <v>93005500</v>
      </c>
      <c r="I4504" t="s">
        <v>2275</v>
      </c>
      <c r="J4504" t="s">
        <v>2276</v>
      </c>
      <c r="K4504" t="s">
        <v>7557</v>
      </c>
    </row>
    <row r="4505" spans="1:11" ht="20" customHeight="1">
      <c r="A4505" t="s">
        <v>7556</v>
      </c>
      <c r="B4505" t="s">
        <v>2277</v>
      </c>
      <c r="C4505">
        <v>443.9700012207031</v>
      </c>
      <c r="D4505">
        <v>446.7000122070312</v>
      </c>
      <c r="E4505">
        <v>443.3500061035156</v>
      </c>
      <c r="F4505">
        <v>445.6499938964844</v>
      </c>
      <c r="G4505">
        <v>428.2750854492188</v>
      </c>
      <c r="H4505">
        <v>68690900</v>
      </c>
      <c r="I4505" t="s">
        <v>2278</v>
      </c>
      <c r="J4505" t="s">
        <v>2279</v>
      </c>
      <c r="K4505" t="s">
        <v>7557</v>
      </c>
    </row>
    <row r="4506" spans="1:11" ht="20" customHeight="1">
      <c r="A4506" t="s">
        <v>7556</v>
      </c>
      <c r="B4506" t="s">
        <v>2280</v>
      </c>
      <c r="C4506">
        <v>444.7000122070312</v>
      </c>
      <c r="D4506">
        <v>448.1099853515625</v>
      </c>
      <c r="E4506">
        <v>444.3800048828125</v>
      </c>
      <c r="F4506">
        <v>448.1099853515625</v>
      </c>
      <c r="G4506">
        <v>430.6392211914062</v>
      </c>
      <c r="H4506">
        <v>47867400</v>
      </c>
      <c r="I4506" t="s">
        <v>2281</v>
      </c>
      <c r="J4506" t="s">
        <v>2282</v>
      </c>
      <c r="K4506" t="s">
        <v>7557</v>
      </c>
    </row>
    <row r="4507" spans="1:11" ht="20" customHeight="1">
      <c r="A4507" t="s">
        <v>7556</v>
      </c>
      <c r="B4507" t="s">
        <v>2283</v>
      </c>
      <c r="C4507">
        <v>446.2699890136719</v>
      </c>
      <c r="D4507">
        <v>446.6400146484375</v>
      </c>
      <c r="E4507">
        <v>442.2999877929688</v>
      </c>
      <c r="F4507">
        <v>442.8900146484375</v>
      </c>
      <c r="G4507">
        <v>425.6226806640625</v>
      </c>
      <c r="H4507">
        <v>75707500</v>
      </c>
      <c r="I4507" t="s">
        <v>2284</v>
      </c>
      <c r="J4507" t="s">
        <v>2285</v>
      </c>
      <c r="K4507" t="s">
        <v>7557</v>
      </c>
    </row>
    <row r="4508" spans="1:11" ht="20" customHeight="1">
      <c r="A4508" t="s">
        <v>7556</v>
      </c>
      <c r="B4508" t="s">
        <v>2286</v>
      </c>
      <c r="C4508">
        <v>442.4599914550781</v>
      </c>
      <c r="D4508">
        <v>444.1799926757812</v>
      </c>
      <c r="E4508">
        <v>439.5299987792969</v>
      </c>
      <c r="F4508">
        <v>439.6400146484375</v>
      </c>
      <c r="G4508">
        <v>422.4994201660156</v>
      </c>
      <c r="H4508">
        <v>80107200</v>
      </c>
      <c r="I4508" t="s">
        <v>2287</v>
      </c>
      <c r="J4508" t="s">
        <v>2288</v>
      </c>
      <c r="K4508" t="s">
        <v>7557</v>
      </c>
    </row>
    <row r="4509" spans="1:11" ht="20" customHeight="1">
      <c r="A4509" t="s">
        <v>7556</v>
      </c>
      <c r="B4509" t="s">
        <v>2289</v>
      </c>
      <c r="C4509">
        <v>441.1600036621094</v>
      </c>
      <c r="D4509">
        <v>441.4299926757812</v>
      </c>
      <c r="E4509">
        <v>435.75</v>
      </c>
      <c r="F4509">
        <v>436.2900085449219</v>
      </c>
      <c r="G4509">
        <v>419.2799987792969</v>
      </c>
      <c r="H4509">
        <v>95711300</v>
      </c>
      <c r="I4509" t="s">
        <v>2290</v>
      </c>
      <c r="J4509" t="s">
        <v>2291</v>
      </c>
      <c r="K4509" t="s">
        <v>7557</v>
      </c>
    </row>
    <row r="4510" spans="1:11" ht="20" customHeight="1">
      <c r="A4510" t="s">
        <v>7556</v>
      </c>
      <c r="B4510" t="s">
        <v>2292</v>
      </c>
      <c r="C4510">
        <v>433.3699951171875</v>
      </c>
      <c r="D4510">
        <v>437.5700073242188</v>
      </c>
      <c r="E4510">
        <v>433.010009765625</v>
      </c>
      <c r="F4510">
        <v>436.5</v>
      </c>
      <c r="G4510">
        <v>419.4818115234375</v>
      </c>
      <c r="H4510">
        <v>98852000</v>
      </c>
      <c r="I4510" t="s">
        <v>2293</v>
      </c>
      <c r="J4510" t="s">
        <v>2294</v>
      </c>
      <c r="K4510" t="s">
        <v>7557</v>
      </c>
    </row>
    <row r="4511" spans="1:11" ht="20" customHeight="1">
      <c r="A4511" t="s">
        <v>7556</v>
      </c>
      <c r="B4511" t="s">
        <v>2295</v>
      </c>
      <c r="C4511">
        <v>437.5499877929688</v>
      </c>
      <c r="D4511">
        <v>440.1099853515625</v>
      </c>
      <c r="E4511">
        <v>435.3200073242188</v>
      </c>
      <c r="F4511">
        <v>439.3399963378906</v>
      </c>
      <c r="G4511">
        <v>422.2110595703125</v>
      </c>
      <c r="H4511">
        <v>68719000</v>
      </c>
      <c r="I4511" t="s">
        <v>2296</v>
      </c>
      <c r="J4511" t="s">
        <v>2297</v>
      </c>
      <c r="K4511" t="s">
        <v>7557</v>
      </c>
    </row>
    <row r="4512" spans="1:11" ht="20" customHeight="1">
      <c r="A4512" t="s">
        <v>7556</v>
      </c>
      <c r="B4512" t="s">
        <v>2298</v>
      </c>
      <c r="C4512">
        <v>441.1799926757812</v>
      </c>
      <c r="D4512">
        <v>441.1799926757812</v>
      </c>
      <c r="E4512">
        <v>437.5700073242188</v>
      </c>
      <c r="F4512">
        <v>438.1499938964844</v>
      </c>
      <c r="G4512">
        <v>421.0675354003906</v>
      </c>
      <c r="H4512">
        <v>64994200</v>
      </c>
      <c r="I4512" t="s">
        <v>2299</v>
      </c>
      <c r="J4512" t="s">
        <v>2300</v>
      </c>
      <c r="K4512" t="s">
        <v>7557</v>
      </c>
    </row>
    <row r="4513" spans="1:11" ht="20" customHeight="1">
      <c r="A4513" t="s">
        <v>7556</v>
      </c>
      <c r="B4513" t="s">
        <v>2301</v>
      </c>
      <c r="C4513">
        <v>439.25</v>
      </c>
      <c r="D4513">
        <v>443.6700134277344</v>
      </c>
      <c r="E4513">
        <v>439.1000061035156</v>
      </c>
      <c r="F4513">
        <v>443.0299987792969</v>
      </c>
      <c r="G4513">
        <v>425.7572631835938</v>
      </c>
      <c r="H4513">
        <v>68441000</v>
      </c>
      <c r="I4513" t="s">
        <v>2302</v>
      </c>
      <c r="J4513" t="s">
        <v>2303</v>
      </c>
      <c r="K4513" t="s">
        <v>7557</v>
      </c>
    </row>
    <row r="4514" spans="1:11" ht="20" customHeight="1">
      <c r="A4514" t="s">
        <v>7556</v>
      </c>
      <c r="B4514" t="s">
        <v>2304</v>
      </c>
      <c r="C4514">
        <v>444.6900024414062</v>
      </c>
      <c r="D4514">
        <v>445.2200012207031</v>
      </c>
      <c r="E4514">
        <v>436.8599853515625</v>
      </c>
      <c r="F4514">
        <v>436.8900146484375</v>
      </c>
      <c r="G4514">
        <v>419.8566589355469</v>
      </c>
      <c r="H4514">
        <v>88517300</v>
      </c>
      <c r="I4514" t="s">
        <v>2305</v>
      </c>
      <c r="J4514" t="s">
        <v>2306</v>
      </c>
      <c r="K4514" t="s">
        <v>7557</v>
      </c>
    </row>
    <row r="4515" spans="1:11" ht="20" customHeight="1">
      <c r="A4515" t="s">
        <v>7556</v>
      </c>
      <c r="B4515" t="s">
        <v>2307</v>
      </c>
      <c r="C4515">
        <v>438.6799926757812</v>
      </c>
      <c r="D4515">
        <v>441.2999877929688</v>
      </c>
      <c r="E4515">
        <v>435</v>
      </c>
      <c r="F4515">
        <v>439.9700012207031</v>
      </c>
      <c r="G4515">
        <v>422.8165283203125</v>
      </c>
      <c r="H4515">
        <v>102325100</v>
      </c>
      <c r="I4515" t="s">
        <v>2308</v>
      </c>
      <c r="J4515" t="s">
        <v>2309</v>
      </c>
      <c r="K4515" t="s">
        <v>7557</v>
      </c>
    </row>
    <row r="4516" spans="1:11" ht="20" customHeight="1">
      <c r="A4516" t="s">
        <v>7556</v>
      </c>
      <c r="B4516" t="s">
        <v>2310</v>
      </c>
      <c r="C4516">
        <v>442.239990234375</v>
      </c>
      <c r="D4516">
        <v>443.3999938964844</v>
      </c>
      <c r="E4516">
        <v>439.9700012207031</v>
      </c>
      <c r="F4516">
        <v>442.760009765625</v>
      </c>
      <c r="G4516">
        <v>425.4977416992188</v>
      </c>
      <c r="H4516">
        <v>61595400</v>
      </c>
      <c r="I4516" t="s">
        <v>2311</v>
      </c>
      <c r="J4516" t="s">
        <v>2312</v>
      </c>
      <c r="K4516" t="s">
        <v>7557</v>
      </c>
    </row>
    <row r="4517" spans="1:11" ht="20" customHeight="1">
      <c r="A4517" t="s">
        <v>7556</v>
      </c>
      <c r="B4517" t="s">
        <v>2313</v>
      </c>
      <c r="C4517">
        <v>442.6499938964844</v>
      </c>
      <c r="D4517">
        <v>449.4500122070312</v>
      </c>
      <c r="E4517">
        <v>442.4599914550781</v>
      </c>
      <c r="F4517">
        <v>449.1600036621094</v>
      </c>
      <c r="G4517">
        <v>431.6482543945312</v>
      </c>
      <c r="H4517">
        <v>83081900</v>
      </c>
      <c r="I4517" t="s">
        <v>2314</v>
      </c>
      <c r="J4517" t="s">
        <v>2315</v>
      </c>
      <c r="K4517" t="s">
        <v>7557</v>
      </c>
    </row>
    <row r="4518" spans="1:11" ht="20" customHeight="1">
      <c r="A4518" t="s">
        <v>7556</v>
      </c>
      <c r="B4518" t="s">
        <v>2316</v>
      </c>
      <c r="C4518">
        <v>449.510009765625</v>
      </c>
      <c r="D4518">
        <v>451.6700134277344</v>
      </c>
      <c r="E4518">
        <v>448.7799987792969</v>
      </c>
      <c r="F4518">
        <v>451.010009765625</v>
      </c>
      <c r="G4518">
        <v>433.4261474609375</v>
      </c>
      <c r="H4518">
        <v>69053900</v>
      </c>
      <c r="I4518" t="s">
        <v>2317</v>
      </c>
      <c r="J4518" t="s">
        <v>2318</v>
      </c>
      <c r="K4518" t="s">
        <v>7557</v>
      </c>
    </row>
    <row r="4519" spans="1:11" ht="20" customHeight="1">
      <c r="A4519" t="s">
        <v>7556</v>
      </c>
      <c r="B4519" t="s">
        <v>2319</v>
      </c>
      <c r="C4519">
        <v>451.6499938964844</v>
      </c>
      <c r="D4519">
        <v>452.8299865722656</v>
      </c>
      <c r="E4519">
        <v>450.1600036621094</v>
      </c>
      <c r="F4519">
        <v>450.3500061035156</v>
      </c>
      <c r="G4519">
        <v>432.7919006347656</v>
      </c>
      <c r="H4519">
        <v>66084600</v>
      </c>
      <c r="I4519" t="s">
        <v>2320</v>
      </c>
      <c r="J4519" t="s">
        <v>2321</v>
      </c>
      <c r="K4519" t="s">
        <v>7557</v>
      </c>
    </row>
    <row r="4520" spans="1:11" ht="20" customHeight="1">
      <c r="A4520" t="s">
        <v>7556</v>
      </c>
      <c r="B4520" t="s">
        <v>2322</v>
      </c>
      <c r="C4520">
        <v>453.1700134277344</v>
      </c>
      <c r="D4520">
        <v>453.6700134277344</v>
      </c>
      <c r="E4520">
        <v>449.6799926757812</v>
      </c>
      <c r="F4520">
        <v>451.1900024414062</v>
      </c>
      <c r="G4520">
        <v>433.5990905761719</v>
      </c>
      <c r="H4520">
        <v>58944100</v>
      </c>
      <c r="I4520" t="s">
        <v>2323</v>
      </c>
      <c r="J4520" t="s">
        <v>2324</v>
      </c>
      <c r="K4520" t="s">
        <v>7557</v>
      </c>
    </row>
    <row r="4521" spans="1:11" ht="20" customHeight="1">
      <c r="A4521" t="s">
        <v>7556</v>
      </c>
      <c r="B4521" t="s">
        <v>2325</v>
      </c>
      <c r="C4521">
        <v>450.7300109863281</v>
      </c>
      <c r="D4521">
        <v>451.0599975585938</v>
      </c>
      <c r="E4521">
        <v>449.1700134277344</v>
      </c>
      <c r="F4521">
        <v>449.239990234375</v>
      </c>
      <c r="G4521">
        <v>431.7251892089844</v>
      </c>
      <c r="H4521">
        <v>55166200</v>
      </c>
      <c r="I4521" t="s">
        <v>2326</v>
      </c>
      <c r="J4521" t="s">
        <v>2327</v>
      </c>
      <c r="K4521" t="s">
        <v>7557</v>
      </c>
    </row>
    <row r="4522" spans="1:11" ht="20" customHeight="1">
      <c r="A4522" t="s">
        <v>7556</v>
      </c>
      <c r="B4522" t="s">
        <v>2328</v>
      </c>
      <c r="C4522">
        <v>448.3999938964844</v>
      </c>
      <c r="D4522">
        <v>448.510009765625</v>
      </c>
      <c r="E4522">
        <v>443.8099975585938</v>
      </c>
      <c r="F4522">
        <v>446.2200012207031</v>
      </c>
      <c r="G4522">
        <v>428.8228759765625</v>
      </c>
      <c r="H4522">
        <v>70758500</v>
      </c>
      <c r="I4522" t="s">
        <v>2329</v>
      </c>
      <c r="J4522" t="s">
        <v>2330</v>
      </c>
      <c r="K4522" t="s">
        <v>7557</v>
      </c>
    </row>
    <row r="4523" spans="1:11" ht="20" customHeight="1">
      <c r="A4523" t="s">
        <v>7556</v>
      </c>
      <c r="B4523" t="s">
        <v>2331</v>
      </c>
      <c r="C4523">
        <v>443.1099853515625</v>
      </c>
      <c r="D4523">
        <v>445.5499877929688</v>
      </c>
      <c r="E4523">
        <v>442.75</v>
      </c>
      <c r="F4523">
        <v>444.8500061035156</v>
      </c>
      <c r="G4523">
        <v>427.5062866210938</v>
      </c>
      <c r="H4523">
        <v>70355400</v>
      </c>
      <c r="I4523" t="s">
        <v>2332</v>
      </c>
      <c r="J4523" t="s">
        <v>2333</v>
      </c>
      <c r="K4523" t="s">
        <v>7557</v>
      </c>
    </row>
    <row r="4524" spans="1:11" ht="20" customHeight="1">
      <c r="A4524" t="s">
        <v>7556</v>
      </c>
      <c r="B4524" t="s">
        <v>2334</v>
      </c>
      <c r="C4524">
        <v>444.8999938964844</v>
      </c>
      <c r="D4524">
        <v>447.1099853515625</v>
      </c>
      <c r="E4524">
        <v>444.5299987792969</v>
      </c>
      <c r="F4524">
        <v>445.5199890136719</v>
      </c>
      <c r="G4524">
        <v>428.1502075195312</v>
      </c>
      <c r="H4524">
        <v>61659700</v>
      </c>
      <c r="I4524" t="s">
        <v>2335</v>
      </c>
      <c r="J4524" t="s">
        <v>2336</v>
      </c>
      <c r="K4524" t="s">
        <v>7557</v>
      </c>
    </row>
    <row r="4525" spans="1:11" ht="20" customHeight="1">
      <c r="A4525" t="s">
        <v>7556</v>
      </c>
      <c r="B4525" t="s">
        <v>2337</v>
      </c>
      <c r="C4525">
        <v>448.239990234375</v>
      </c>
      <c r="D4525">
        <v>448.7699890136719</v>
      </c>
      <c r="E4525">
        <v>446.4700012207031</v>
      </c>
      <c r="F4525">
        <v>448.4500122070312</v>
      </c>
      <c r="G4525">
        <v>430.9658813476562</v>
      </c>
      <c r="H4525">
        <v>60180100</v>
      </c>
      <c r="I4525" t="s">
        <v>2338</v>
      </c>
      <c r="J4525" t="s">
        <v>2339</v>
      </c>
      <c r="K4525" t="s">
        <v>7557</v>
      </c>
    </row>
    <row r="4526" spans="1:11" ht="20" customHeight="1">
      <c r="A4526" t="s">
        <v>7556</v>
      </c>
      <c r="B4526" t="s">
        <v>2340</v>
      </c>
      <c r="C4526">
        <v>446.9500122070312</v>
      </c>
      <c r="D4526">
        <v>448.5299987792969</v>
      </c>
      <c r="E4526">
        <v>445.3900146484375</v>
      </c>
      <c r="F4526">
        <v>445.989990234375</v>
      </c>
      <c r="G4526">
        <v>428.601806640625</v>
      </c>
      <c r="H4526">
        <v>67565400</v>
      </c>
      <c r="I4526" t="s">
        <v>2341</v>
      </c>
      <c r="J4526" t="s">
        <v>2342</v>
      </c>
      <c r="K4526" t="s">
        <v>7557</v>
      </c>
    </row>
    <row r="4527" spans="1:11" ht="20" customHeight="1">
      <c r="A4527" t="s">
        <v>7556</v>
      </c>
      <c r="B4527" t="s">
        <v>2343</v>
      </c>
      <c r="C4527">
        <v>446.2200012207031</v>
      </c>
      <c r="D4527">
        <v>447.7099914550781</v>
      </c>
      <c r="E4527">
        <v>445.0799865722656</v>
      </c>
      <c r="F4527">
        <v>446.510009765625</v>
      </c>
      <c r="G4527">
        <v>429.1015625</v>
      </c>
      <c r="H4527">
        <v>60199300</v>
      </c>
      <c r="I4527" t="s">
        <v>2344</v>
      </c>
      <c r="J4527" t="s">
        <v>2345</v>
      </c>
      <c r="K4527" t="s">
        <v>7557</v>
      </c>
    </row>
    <row r="4528" spans="1:11" ht="20" customHeight="1">
      <c r="A4528" t="s">
        <v>7556</v>
      </c>
      <c r="B4528" t="s">
        <v>2346</v>
      </c>
      <c r="C4528">
        <v>449.0700073242188</v>
      </c>
      <c r="D4528">
        <v>451.0799865722656</v>
      </c>
      <c r="E4528">
        <v>447.7200012207031</v>
      </c>
      <c r="F4528">
        <v>450.3599853515625</v>
      </c>
      <c r="G4528">
        <v>432.8014831542969</v>
      </c>
      <c r="H4528">
        <v>83430800</v>
      </c>
      <c r="I4528" t="s">
        <v>2347</v>
      </c>
      <c r="J4528" t="s">
        <v>2348</v>
      </c>
      <c r="K4528" t="s">
        <v>7557</v>
      </c>
    </row>
    <row r="4529" spans="1:11" ht="20" customHeight="1">
      <c r="A4529" t="s">
        <v>7556</v>
      </c>
      <c r="B4529" t="s">
        <v>2349</v>
      </c>
      <c r="C4529">
        <v>447.1400146484375</v>
      </c>
      <c r="D4529">
        <v>447.4800109863281</v>
      </c>
      <c r="E4529">
        <v>442.9200134277344</v>
      </c>
      <c r="F4529">
        <v>443.3699951171875</v>
      </c>
      <c r="G4529">
        <v>427.5868835449219</v>
      </c>
      <c r="H4529">
        <v>111848900</v>
      </c>
      <c r="I4529" t="s">
        <v>2350</v>
      </c>
      <c r="J4529" t="s">
        <v>2351</v>
      </c>
      <c r="K4529" t="s">
        <v>7557</v>
      </c>
    </row>
    <row r="4530" spans="1:11" ht="20" customHeight="1">
      <c r="A4530" t="s">
        <v>7556</v>
      </c>
      <c r="B4530" t="s">
        <v>2352</v>
      </c>
      <c r="C4530">
        <v>443.0499877929688</v>
      </c>
      <c r="D4530">
        <v>444.9700012207031</v>
      </c>
      <c r="E4530">
        <v>442.5599975585938</v>
      </c>
      <c r="F4530">
        <v>443.6300048828125</v>
      </c>
      <c r="G4530">
        <v>427.8377380371094</v>
      </c>
      <c r="H4530">
        <v>55752200</v>
      </c>
      <c r="I4530" t="s">
        <v>2353</v>
      </c>
      <c r="J4530" t="s">
        <v>2354</v>
      </c>
      <c r="K4530" t="s">
        <v>7557</v>
      </c>
    </row>
    <row r="4531" spans="1:11" ht="20" customHeight="1">
      <c r="A4531" t="s">
        <v>7556</v>
      </c>
      <c r="B4531" t="s">
        <v>2355</v>
      </c>
      <c r="C4531">
        <v>442.6799926757812</v>
      </c>
      <c r="D4531">
        <v>443.2900085449219</v>
      </c>
      <c r="E4531">
        <v>439.9400024414062</v>
      </c>
      <c r="F4531">
        <v>442.7099914550781</v>
      </c>
      <c r="G4531">
        <v>426.9503784179688</v>
      </c>
      <c r="H4531">
        <v>66514600</v>
      </c>
      <c r="I4531" t="s">
        <v>2356</v>
      </c>
      <c r="J4531" t="s">
        <v>2357</v>
      </c>
      <c r="K4531" t="s">
        <v>7557</v>
      </c>
    </row>
    <row r="4532" spans="1:11" ht="20" customHeight="1">
      <c r="A4532" t="s">
        <v>7556</v>
      </c>
      <c r="B4532" t="s">
        <v>2358</v>
      </c>
      <c r="C4532">
        <v>444.010009765625</v>
      </c>
      <c r="D4532">
        <v>444.4400024414062</v>
      </c>
      <c r="E4532">
        <v>438.4299926757812</v>
      </c>
      <c r="F4532">
        <v>438.6400146484375</v>
      </c>
      <c r="G4532">
        <v>423.0253295898438</v>
      </c>
      <c r="H4532">
        <v>82562600</v>
      </c>
      <c r="I4532" t="s">
        <v>2359</v>
      </c>
      <c r="J4532" t="s">
        <v>2360</v>
      </c>
      <c r="K4532" t="s">
        <v>7557</v>
      </c>
    </row>
    <row r="4533" spans="1:11" ht="20" customHeight="1">
      <c r="A4533" t="s">
        <v>7556</v>
      </c>
      <c r="B4533" t="s">
        <v>2361</v>
      </c>
      <c r="C4533">
        <v>435.7000122070312</v>
      </c>
      <c r="D4533">
        <v>435.9700012207031</v>
      </c>
      <c r="E4533">
        <v>431.2300109863281</v>
      </c>
      <c r="F4533">
        <v>431.3900146484375</v>
      </c>
      <c r="G4533">
        <v>416.0333862304688</v>
      </c>
      <c r="H4533">
        <v>104095800</v>
      </c>
      <c r="I4533" t="s">
        <v>2362</v>
      </c>
      <c r="J4533" t="s">
        <v>2363</v>
      </c>
      <c r="K4533" t="s">
        <v>7557</v>
      </c>
    </row>
    <row r="4534" spans="1:11" ht="20" customHeight="1">
      <c r="A4534" t="s">
        <v>7556</v>
      </c>
      <c r="B4534" t="s">
        <v>2364</v>
      </c>
      <c r="C4534">
        <v>432.4500122070312</v>
      </c>
      <c r="D4534">
        <v>434.1000061035156</v>
      </c>
      <c r="E4534">
        <v>429.989990234375</v>
      </c>
      <c r="F4534">
        <v>430.4200134277344</v>
      </c>
      <c r="G4534">
        <v>415.0979309082031</v>
      </c>
      <c r="H4534">
        <v>100829700</v>
      </c>
      <c r="I4534" t="s">
        <v>2365</v>
      </c>
      <c r="J4534" t="s">
        <v>2366</v>
      </c>
      <c r="K4534" t="s">
        <v>7557</v>
      </c>
    </row>
    <row r="4535" spans="1:11" ht="20" customHeight="1">
      <c r="A4535" t="s">
        <v>7556</v>
      </c>
      <c r="B4535" t="s">
        <v>2367</v>
      </c>
      <c r="C4535">
        <v>429.1700134277344</v>
      </c>
      <c r="D4535">
        <v>432.2699890136719</v>
      </c>
      <c r="E4535">
        <v>428.7200012207031</v>
      </c>
      <c r="F4535">
        <v>432.2300109863281</v>
      </c>
      <c r="G4535">
        <v>416.843505859375</v>
      </c>
      <c r="H4535">
        <v>70874500</v>
      </c>
      <c r="I4535" t="s">
        <v>2368</v>
      </c>
      <c r="J4535" t="s">
        <v>2369</v>
      </c>
      <c r="K4535" t="s">
        <v>7557</v>
      </c>
    </row>
    <row r="4536" spans="1:11" ht="20" customHeight="1">
      <c r="A4536" t="s">
        <v>7556</v>
      </c>
      <c r="B4536" t="s">
        <v>2370</v>
      </c>
      <c r="C4536">
        <v>429.0899963378906</v>
      </c>
      <c r="D4536">
        <v>429.8200073242188</v>
      </c>
      <c r="E4536">
        <v>425.0199890136719</v>
      </c>
      <c r="F4536">
        <v>425.8800048828125</v>
      </c>
      <c r="G4536">
        <v>410.7195434570312</v>
      </c>
      <c r="H4536">
        <v>96168400</v>
      </c>
      <c r="I4536" t="s">
        <v>2371</v>
      </c>
      <c r="J4536" t="s">
        <v>2372</v>
      </c>
      <c r="K4536" t="s">
        <v>7557</v>
      </c>
    </row>
    <row r="4537" spans="1:11" ht="20" customHeight="1">
      <c r="A4537" t="s">
        <v>7556</v>
      </c>
      <c r="B4537" t="s">
        <v>2373</v>
      </c>
      <c r="C4537">
        <v>427.0899963378906</v>
      </c>
      <c r="D4537">
        <v>427.6700134277344</v>
      </c>
      <c r="E4537">
        <v>422.2900085449219</v>
      </c>
      <c r="F4537">
        <v>426.0499877929688</v>
      </c>
      <c r="G4537">
        <v>410.8834838867188</v>
      </c>
      <c r="H4537">
        <v>104705800</v>
      </c>
      <c r="I4537" t="s">
        <v>2374</v>
      </c>
      <c r="J4537" t="s">
        <v>2375</v>
      </c>
      <c r="K4537" t="s">
        <v>7557</v>
      </c>
    </row>
    <row r="4538" spans="1:11" ht="20" customHeight="1">
      <c r="A4538" t="s">
        <v>7556</v>
      </c>
      <c r="B4538" t="s">
        <v>2376</v>
      </c>
      <c r="C4538">
        <v>425.4800109863281</v>
      </c>
      <c r="D4538">
        <v>430.25</v>
      </c>
      <c r="E4538">
        <v>424.8699951171875</v>
      </c>
      <c r="F4538">
        <v>428.5199890136719</v>
      </c>
      <c r="G4538">
        <v>413.2655639648438</v>
      </c>
      <c r="H4538">
        <v>92258300</v>
      </c>
      <c r="I4538" t="s">
        <v>2377</v>
      </c>
      <c r="J4538" t="s">
        <v>2378</v>
      </c>
      <c r="K4538" t="s">
        <v>7557</v>
      </c>
    </row>
    <row r="4539" spans="1:11" ht="20" customHeight="1">
      <c r="A4539" t="s">
        <v>7556</v>
      </c>
      <c r="B4539" t="s">
        <v>2379</v>
      </c>
      <c r="C4539">
        <v>431.6700134277344</v>
      </c>
      <c r="D4539">
        <v>431.8500061035156</v>
      </c>
      <c r="E4539">
        <v>425.9100036621094</v>
      </c>
      <c r="F4539">
        <v>427.4800109863281</v>
      </c>
      <c r="G4539">
        <v>412.2625427246094</v>
      </c>
      <c r="H4539">
        <v>115111300</v>
      </c>
      <c r="I4539" t="s">
        <v>2380</v>
      </c>
      <c r="J4539" t="s">
        <v>2381</v>
      </c>
      <c r="K4539" t="s">
        <v>7557</v>
      </c>
    </row>
    <row r="4540" spans="1:11" ht="20" customHeight="1">
      <c r="A4540" t="s">
        <v>7556</v>
      </c>
      <c r="B4540" t="s">
        <v>2382</v>
      </c>
      <c r="C4540">
        <v>426.6199951171875</v>
      </c>
      <c r="D4540">
        <v>428.6000061035156</v>
      </c>
      <c r="E4540">
        <v>424.4599914550781</v>
      </c>
      <c r="F4540">
        <v>427.3099975585938</v>
      </c>
      <c r="G4540">
        <v>412.0986022949219</v>
      </c>
      <c r="H4540">
        <v>83798600</v>
      </c>
      <c r="I4540" t="s">
        <v>2383</v>
      </c>
      <c r="J4540" t="s">
        <v>2384</v>
      </c>
      <c r="K4540" t="s">
        <v>7557</v>
      </c>
    </row>
    <row r="4541" spans="1:11" ht="20" customHeight="1">
      <c r="A4541" t="s">
        <v>7556</v>
      </c>
      <c r="B4541" t="s">
        <v>2385</v>
      </c>
      <c r="C4541">
        <v>425.0599975585938</v>
      </c>
      <c r="D4541">
        <v>427.3699951171875</v>
      </c>
      <c r="E4541">
        <v>420.1799926757812</v>
      </c>
      <c r="F4541">
        <v>421.5899963378906</v>
      </c>
      <c r="G4541">
        <v>406.5822448730469</v>
      </c>
      <c r="H4541">
        <v>103760600</v>
      </c>
      <c r="I4541" t="s">
        <v>2386</v>
      </c>
      <c r="J4541" t="s">
        <v>2387</v>
      </c>
      <c r="K4541" t="s">
        <v>7557</v>
      </c>
    </row>
    <row r="4542" spans="1:11" ht="20" customHeight="1">
      <c r="A4542" t="s">
        <v>7556</v>
      </c>
      <c r="B4542" t="s">
        <v>2388</v>
      </c>
      <c r="C4542">
        <v>422.0700073242188</v>
      </c>
      <c r="D4542">
        <v>425.4299926757812</v>
      </c>
      <c r="E4542">
        <v>420.5599975585938</v>
      </c>
      <c r="F4542">
        <v>424.6600036621094</v>
      </c>
      <c r="G4542">
        <v>409.54296875</v>
      </c>
      <c r="H4542">
        <v>87453000</v>
      </c>
      <c r="I4542" t="s">
        <v>2389</v>
      </c>
      <c r="J4542" t="s">
        <v>2390</v>
      </c>
      <c r="K4542" t="s">
        <v>7557</v>
      </c>
    </row>
    <row r="4543" spans="1:11" ht="20" customHeight="1">
      <c r="A4543" t="s">
        <v>7556</v>
      </c>
      <c r="B4543" t="s">
        <v>2391</v>
      </c>
      <c r="C4543">
        <v>424.3599853515625</v>
      </c>
      <c r="D4543">
        <v>425.3699951171875</v>
      </c>
      <c r="E4543">
        <v>421.1700134277344</v>
      </c>
      <c r="F4543">
        <v>424.5</v>
      </c>
      <c r="G4543">
        <v>409.388671875</v>
      </c>
      <c r="H4543">
        <v>70142700</v>
      </c>
      <c r="I4543" t="s">
        <v>2392</v>
      </c>
      <c r="J4543" t="s">
        <v>2393</v>
      </c>
      <c r="K4543" t="s">
        <v>7557</v>
      </c>
    </row>
    <row r="4544" spans="1:11" ht="20" customHeight="1">
      <c r="A4544" t="s">
        <v>7556</v>
      </c>
      <c r="B4544" t="s">
        <v>2394</v>
      </c>
      <c r="C4544">
        <v>421.9700012207031</v>
      </c>
      <c r="D4544">
        <v>431.1300048828125</v>
      </c>
      <c r="E4544">
        <v>420.6000061035156</v>
      </c>
      <c r="F4544">
        <v>429.5400085449219</v>
      </c>
      <c r="G4544">
        <v>414.2492065429688</v>
      </c>
      <c r="H4544">
        <v>113273300</v>
      </c>
      <c r="I4544" t="s">
        <v>2395</v>
      </c>
      <c r="J4544" t="s">
        <v>2396</v>
      </c>
      <c r="K4544" t="s">
        <v>7557</v>
      </c>
    </row>
    <row r="4545" spans="1:11" ht="20" customHeight="1">
      <c r="A4545" t="s">
        <v>7556</v>
      </c>
      <c r="B4545" t="s">
        <v>2397</v>
      </c>
      <c r="C4545">
        <v>427.5799865722656</v>
      </c>
      <c r="D4545">
        <v>432.8800048828125</v>
      </c>
      <c r="E4545">
        <v>427.010009765625</v>
      </c>
      <c r="F4545">
        <v>432.2900085449219</v>
      </c>
      <c r="G4545">
        <v>416.9014282226562</v>
      </c>
      <c r="H4545">
        <v>80374400</v>
      </c>
      <c r="I4545" t="s">
        <v>2398</v>
      </c>
      <c r="J4545" t="s">
        <v>2399</v>
      </c>
      <c r="K4545" t="s">
        <v>7557</v>
      </c>
    </row>
    <row r="4546" spans="1:11" ht="20" customHeight="1">
      <c r="A4546" t="s">
        <v>7556</v>
      </c>
      <c r="B4546" t="s">
        <v>2400</v>
      </c>
      <c r="C4546">
        <v>432.9400024414062</v>
      </c>
      <c r="D4546">
        <v>437.2200012207031</v>
      </c>
      <c r="E4546">
        <v>432.5299987792969</v>
      </c>
      <c r="F4546">
        <v>434.5400085449219</v>
      </c>
      <c r="G4546">
        <v>419.0712585449219</v>
      </c>
      <c r="H4546">
        <v>78607300</v>
      </c>
      <c r="I4546" t="s">
        <v>2401</v>
      </c>
      <c r="J4546" t="s">
        <v>2402</v>
      </c>
      <c r="K4546" t="s">
        <v>7557</v>
      </c>
    </row>
    <row r="4547" spans="1:11" ht="20" customHeight="1">
      <c r="A4547" t="s">
        <v>7556</v>
      </c>
      <c r="B4547" t="s">
        <v>2403</v>
      </c>
      <c r="C4547">
        <v>435.6400146484375</v>
      </c>
      <c r="D4547">
        <v>436.5799865722656</v>
      </c>
      <c r="E4547">
        <v>433.1799926757812</v>
      </c>
      <c r="F4547">
        <v>436.3200073242188</v>
      </c>
      <c r="G4547">
        <v>420.7879028320312</v>
      </c>
      <c r="H4547">
        <v>62451700</v>
      </c>
      <c r="I4547" t="s">
        <v>2404</v>
      </c>
      <c r="J4547" t="s">
        <v>2405</v>
      </c>
      <c r="K4547" t="s">
        <v>7557</v>
      </c>
    </row>
    <row r="4548" spans="1:11" ht="20" customHeight="1">
      <c r="A4548" t="s">
        <v>7556</v>
      </c>
      <c r="B4548" t="s">
        <v>2406</v>
      </c>
      <c r="C4548">
        <v>436.9500122070312</v>
      </c>
      <c r="D4548">
        <v>437.3399963378906</v>
      </c>
      <c r="E4548">
        <v>431.2300109863281</v>
      </c>
      <c r="F4548">
        <v>433.6600036621094</v>
      </c>
      <c r="G4548">
        <v>418.22265625</v>
      </c>
      <c r="H4548">
        <v>81154200</v>
      </c>
      <c r="I4548" t="s">
        <v>2407</v>
      </c>
      <c r="J4548" t="s">
        <v>2408</v>
      </c>
      <c r="K4548" t="s">
        <v>7557</v>
      </c>
    </row>
    <row r="4549" spans="1:11" ht="20" customHeight="1">
      <c r="A4549" t="s">
        <v>7556</v>
      </c>
      <c r="B4549" t="s">
        <v>2409</v>
      </c>
      <c r="C4549">
        <v>435.2099914550781</v>
      </c>
      <c r="D4549">
        <v>436.4500122070312</v>
      </c>
      <c r="E4549">
        <v>429.8800048828125</v>
      </c>
      <c r="F4549">
        <v>431.5</v>
      </c>
      <c r="G4549">
        <v>416.1394958496094</v>
      </c>
      <c r="H4549">
        <v>95143100</v>
      </c>
      <c r="I4549" t="s">
        <v>2410</v>
      </c>
      <c r="J4549" t="s">
        <v>2411</v>
      </c>
      <c r="K4549" t="s">
        <v>7557</v>
      </c>
    </row>
    <row r="4550" spans="1:11" ht="20" customHeight="1">
      <c r="A4550" t="s">
        <v>7556</v>
      </c>
      <c r="B4550" t="s">
        <v>2412</v>
      </c>
      <c r="C4550">
        <v>433.8200073242188</v>
      </c>
      <c r="D4550">
        <v>437.1400146484375</v>
      </c>
      <c r="E4550">
        <v>433.5700073242188</v>
      </c>
      <c r="F4550">
        <v>436.0400085449219</v>
      </c>
      <c r="G4550">
        <v>420.5178527832031</v>
      </c>
      <c r="H4550">
        <v>75433200</v>
      </c>
      <c r="I4550" t="s">
        <v>2413</v>
      </c>
      <c r="J4550" t="s">
        <v>2414</v>
      </c>
      <c r="K4550" t="s">
        <v>7557</v>
      </c>
    </row>
    <row r="4551" spans="1:11" ht="20" customHeight="1">
      <c r="A4551" t="s">
        <v>7556</v>
      </c>
      <c r="B4551" t="s">
        <v>2415</v>
      </c>
      <c r="C4551">
        <v>432.8099975585938</v>
      </c>
      <c r="D4551">
        <v>438.1400146484375</v>
      </c>
      <c r="E4551">
        <v>432.4500122070312</v>
      </c>
      <c r="F4551">
        <v>436.0199890136719</v>
      </c>
      <c r="G4551">
        <v>420.4985961914062</v>
      </c>
      <c r="H4551">
        <v>75324700</v>
      </c>
      <c r="I4551" t="s">
        <v>2416</v>
      </c>
      <c r="J4551" t="s">
        <v>2417</v>
      </c>
      <c r="K4551" t="s">
        <v>7557</v>
      </c>
    </row>
    <row r="4552" spans="1:11" ht="20" customHeight="1">
      <c r="A4552" t="s">
        <v>7556</v>
      </c>
      <c r="B4552" t="s">
        <v>2418</v>
      </c>
      <c r="C4552">
        <v>434.1900024414062</v>
      </c>
      <c r="D4552">
        <v>435.1799926757812</v>
      </c>
      <c r="E4552">
        <v>429.0899963378906</v>
      </c>
      <c r="F4552">
        <v>430.2099914550781</v>
      </c>
      <c r="G4552">
        <v>414.8953552246094</v>
      </c>
      <c r="H4552">
        <v>93559800</v>
      </c>
      <c r="I4552" t="s">
        <v>2419</v>
      </c>
      <c r="J4552" t="s">
        <v>2420</v>
      </c>
      <c r="K4552" t="s">
        <v>7557</v>
      </c>
    </row>
    <row r="4553" spans="1:11" ht="20" customHeight="1">
      <c r="A4553" t="s">
        <v>7556</v>
      </c>
      <c r="B4553" t="s">
        <v>2421</v>
      </c>
      <c r="C4553">
        <v>430.9500122070312</v>
      </c>
      <c r="D4553">
        <v>432.8200073242188</v>
      </c>
      <c r="E4553">
        <v>425.7300109863281</v>
      </c>
      <c r="F4553">
        <v>426.4299926757812</v>
      </c>
      <c r="G4553">
        <v>411.2499694824219</v>
      </c>
      <c r="H4553">
        <v>121323000</v>
      </c>
      <c r="I4553" t="s">
        <v>2422</v>
      </c>
      <c r="J4553" t="s">
        <v>2423</v>
      </c>
      <c r="K4553" t="s">
        <v>7557</v>
      </c>
    </row>
    <row r="4554" spans="1:11" ht="20" customHeight="1">
      <c r="A4554" t="s">
        <v>7556</v>
      </c>
      <c r="B4554" t="s">
        <v>2424</v>
      </c>
      <c r="C4554">
        <v>425.9800109863281</v>
      </c>
      <c r="D4554">
        <v>426.5400085449219</v>
      </c>
      <c r="E4554">
        <v>421.0799865722656</v>
      </c>
      <c r="F4554">
        <v>421.1900024414062</v>
      </c>
      <c r="G4554">
        <v>406.1964721679688</v>
      </c>
      <c r="H4554">
        <v>123919900</v>
      </c>
      <c r="I4554" t="s">
        <v>2425</v>
      </c>
      <c r="J4554" t="s">
        <v>2426</v>
      </c>
      <c r="K4554" t="s">
        <v>7557</v>
      </c>
    </row>
    <row r="4555" spans="1:11" ht="20" customHeight="1">
      <c r="A4555" t="s">
        <v>7556</v>
      </c>
      <c r="B4555" t="s">
        <v>2427</v>
      </c>
      <c r="C4555">
        <v>419.6099853515625</v>
      </c>
      <c r="D4555">
        <v>424.4500122070312</v>
      </c>
      <c r="E4555">
        <v>417.7999877929688</v>
      </c>
      <c r="F4555">
        <v>420.4599914550781</v>
      </c>
      <c r="G4555">
        <v>405.4924621582031</v>
      </c>
      <c r="H4555">
        <v>92035100</v>
      </c>
      <c r="I4555" t="s">
        <v>2428</v>
      </c>
      <c r="J4555" t="s">
        <v>2429</v>
      </c>
      <c r="K4555" t="s">
        <v>7557</v>
      </c>
    </row>
    <row r="4556" spans="1:11" ht="20" customHeight="1">
      <c r="A4556" t="s">
        <v>7556</v>
      </c>
      <c r="B4556" t="s">
        <v>2430</v>
      </c>
      <c r="C4556">
        <v>422.6499938964844</v>
      </c>
      <c r="D4556">
        <v>424.8200073242188</v>
      </c>
      <c r="E4556">
        <v>420.739990234375</v>
      </c>
      <c r="F4556">
        <v>423.6300048828125</v>
      </c>
      <c r="G4556">
        <v>408.5496826171875</v>
      </c>
      <c r="H4556">
        <v>78564200</v>
      </c>
      <c r="I4556" t="s">
        <v>2431</v>
      </c>
      <c r="J4556" t="s">
        <v>2432</v>
      </c>
      <c r="K4556" t="s">
        <v>7557</v>
      </c>
    </row>
    <row r="4557" spans="1:11" ht="20" customHeight="1">
      <c r="A4557" t="s">
        <v>7556</v>
      </c>
      <c r="B4557" t="s">
        <v>2433</v>
      </c>
      <c r="C4557">
        <v>421.8900146484375</v>
      </c>
      <c r="D4557">
        <v>421.9200134277344</v>
      </c>
      <c r="E4557">
        <v>417.0199890136719</v>
      </c>
      <c r="F4557">
        <v>417.5499877929688</v>
      </c>
      <c r="G4557">
        <v>402.68603515625</v>
      </c>
      <c r="H4557">
        <v>94223200</v>
      </c>
      <c r="I4557" t="s">
        <v>2434</v>
      </c>
      <c r="J4557" t="s">
        <v>2435</v>
      </c>
      <c r="K4557" t="s">
        <v>7557</v>
      </c>
    </row>
    <row r="4558" spans="1:11" ht="20" customHeight="1">
      <c r="A4558" t="s">
        <v>7556</v>
      </c>
      <c r="B4558" t="s">
        <v>2436</v>
      </c>
      <c r="C4558">
        <v>416.4500122070312</v>
      </c>
      <c r="D4558">
        <v>417.3299865722656</v>
      </c>
      <c r="E4558">
        <v>411.6000061035156</v>
      </c>
      <c r="F4558">
        <v>412.5499877929688</v>
      </c>
      <c r="G4558">
        <v>397.8639831542969</v>
      </c>
      <c r="H4558">
        <v>115156800</v>
      </c>
      <c r="I4558" t="s">
        <v>2437</v>
      </c>
      <c r="J4558" t="s">
        <v>2438</v>
      </c>
      <c r="K4558" t="s">
        <v>7557</v>
      </c>
    </row>
    <row r="4559" spans="1:11" ht="20" customHeight="1">
      <c r="A4559" t="s">
        <v>7556</v>
      </c>
      <c r="B4559" t="s">
        <v>2439</v>
      </c>
      <c r="C4559">
        <v>414.1900024414062</v>
      </c>
      <c r="D4559">
        <v>414.6000061035156</v>
      </c>
      <c r="E4559">
        <v>409.2099914550781</v>
      </c>
      <c r="F4559">
        <v>410.6799926757812</v>
      </c>
      <c r="G4559">
        <v>396.0606079101562</v>
      </c>
      <c r="H4559">
        <v>107367700</v>
      </c>
      <c r="I4559" t="s">
        <v>2440</v>
      </c>
      <c r="J4559" t="s">
        <v>2441</v>
      </c>
      <c r="K4559" t="s">
        <v>7557</v>
      </c>
    </row>
    <row r="4560" spans="1:11" ht="20" customHeight="1">
      <c r="A4560" t="s">
        <v>7556</v>
      </c>
      <c r="B4560" t="s">
        <v>2442</v>
      </c>
      <c r="C4560">
        <v>413.5599975585938</v>
      </c>
      <c r="D4560">
        <v>416.6799926757812</v>
      </c>
      <c r="E4560">
        <v>412.2200012207031</v>
      </c>
      <c r="F4560">
        <v>415.5899963378906</v>
      </c>
      <c r="G4560">
        <v>400.7958374023438</v>
      </c>
      <c r="H4560">
        <v>86562700</v>
      </c>
      <c r="I4560" t="s">
        <v>2443</v>
      </c>
      <c r="J4560" t="s">
        <v>2444</v>
      </c>
      <c r="K4560" t="s">
        <v>7557</v>
      </c>
    </row>
    <row r="4561" spans="1:11" ht="20" customHeight="1">
      <c r="A4561" t="s">
        <v>7556</v>
      </c>
      <c r="B4561" t="s">
        <v>2445</v>
      </c>
      <c r="C4561">
        <v>416.1799926757812</v>
      </c>
      <c r="D4561">
        <v>418.5299987792969</v>
      </c>
      <c r="E4561">
        <v>414.2099914550781</v>
      </c>
      <c r="F4561">
        <v>418.2000122070312</v>
      </c>
      <c r="G4561">
        <v>403.3129272460938</v>
      </c>
      <c r="H4561">
        <v>79665200</v>
      </c>
      <c r="I4561" t="s">
        <v>2446</v>
      </c>
      <c r="J4561" t="s">
        <v>2447</v>
      </c>
      <c r="K4561" t="s">
        <v>7557</v>
      </c>
    </row>
    <row r="4562" spans="1:11" ht="20" customHeight="1">
      <c r="A4562" t="s">
        <v>7556</v>
      </c>
      <c r="B4562" t="s">
        <v>2448</v>
      </c>
      <c r="C4562">
        <v>419.2000122070312</v>
      </c>
      <c r="D4562">
        <v>423.5</v>
      </c>
      <c r="E4562">
        <v>418.6499938964844</v>
      </c>
      <c r="F4562">
        <v>422.6600036621094</v>
      </c>
      <c r="G4562">
        <v>407.6141357421875</v>
      </c>
      <c r="H4562">
        <v>98068100</v>
      </c>
      <c r="I4562" t="s">
        <v>2449</v>
      </c>
      <c r="J4562" t="s">
        <v>2450</v>
      </c>
      <c r="K4562" t="s">
        <v>7557</v>
      </c>
    </row>
    <row r="4563" spans="1:11" ht="20" customHeight="1">
      <c r="A4563" t="s">
        <v>7556</v>
      </c>
      <c r="B4563" t="s">
        <v>2451</v>
      </c>
      <c r="C4563">
        <v>426.5799865722656</v>
      </c>
      <c r="D4563">
        <v>430.9200134277344</v>
      </c>
      <c r="E4563">
        <v>426.5599975585938</v>
      </c>
      <c r="F4563">
        <v>430.760009765625</v>
      </c>
      <c r="G4563">
        <v>415.4258422851562</v>
      </c>
      <c r="H4563">
        <v>94938900</v>
      </c>
      <c r="I4563" t="s">
        <v>2452</v>
      </c>
      <c r="J4563" t="s">
        <v>2453</v>
      </c>
      <c r="K4563" t="s">
        <v>7557</v>
      </c>
    </row>
    <row r="4564" spans="1:11" ht="20" customHeight="1">
      <c r="A4564" t="s">
        <v>7556</v>
      </c>
      <c r="B4564" t="s">
        <v>2454</v>
      </c>
      <c r="C4564">
        <v>433.1400146484375</v>
      </c>
      <c r="D4564">
        <v>436.2900085449219</v>
      </c>
      <c r="E4564">
        <v>433.010009765625</v>
      </c>
      <c r="F4564">
        <v>434.6900024414062</v>
      </c>
      <c r="G4564">
        <v>419.2159423828125</v>
      </c>
      <c r="H4564">
        <v>100167800</v>
      </c>
      <c r="I4564" t="s">
        <v>2455</v>
      </c>
      <c r="J4564" t="s">
        <v>2456</v>
      </c>
      <c r="K4564" t="s">
        <v>7557</v>
      </c>
    </row>
    <row r="4565" spans="1:11" ht="20" customHeight="1">
      <c r="A4565" t="s">
        <v>7556</v>
      </c>
      <c r="B4565" t="s">
        <v>2457</v>
      </c>
      <c r="C4565">
        <v>435.4700012207031</v>
      </c>
      <c r="D4565">
        <v>436.1499938964844</v>
      </c>
      <c r="E4565">
        <v>433.6799926757812</v>
      </c>
      <c r="F4565">
        <v>435.6900024414062</v>
      </c>
      <c r="G4565">
        <v>420.1803588867188</v>
      </c>
      <c r="H4565">
        <v>67831700</v>
      </c>
      <c r="I4565" t="s">
        <v>2458</v>
      </c>
      <c r="J4565" t="s">
        <v>2459</v>
      </c>
      <c r="K4565" t="s">
        <v>7557</v>
      </c>
    </row>
    <row r="4566" spans="1:11" ht="20" customHeight="1">
      <c r="A4566" t="s">
        <v>7556</v>
      </c>
      <c r="B4566" t="s">
        <v>2460</v>
      </c>
      <c r="C4566">
        <v>435.6900024414062</v>
      </c>
      <c r="D4566">
        <v>437.5899963378906</v>
      </c>
      <c r="E4566">
        <v>434.510009765625</v>
      </c>
      <c r="F4566">
        <v>436.9299926757812</v>
      </c>
      <c r="G4566">
        <v>421.3761901855469</v>
      </c>
      <c r="H4566">
        <v>64256100</v>
      </c>
      <c r="I4566" t="s">
        <v>2461</v>
      </c>
      <c r="J4566" t="s">
        <v>2462</v>
      </c>
      <c r="K4566" t="s">
        <v>7557</v>
      </c>
    </row>
    <row r="4567" spans="1:11" ht="20" customHeight="1">
      <c r="A4567" t="s">
        <v>7556</v>
      </c>
      <c r="B4567" t="s">
        <v>2463</v>
      </c>
      <c r="C4567">
        <v>437.5499877929688</v>
      </c>
      <c r="D4567">
        <v>438.0899963378906</v>
      </c>
      <c r="E4567">
        <v>434.8699951171875</v>
      </c>
      <c r="F4567">
        <v>437.25</v>
      </c>
      <c r="G4567">
        <v>421.684814453125</v>
      </c>
      <c r="H4567">
        <v>61746000</v>
      </c>
      <c r="I4567" t="s">
        <v>2464</v>
      </c>
      <c r="J4567" t="s">
        <v>2465</v>
      </c>
      <c r="K4567" t="s">
        <v>7557</v>
      </c>
    </row>
    <row r="4568" spans="1:11" ht="20" customHeight="1">
      <c r="A4568" t="s">
        <v>7556</v>
      </c>
      <c r="B4568" t="s">
        <v>2466</v>
      </c>
      <c r="C4568">
        <v>438.4299926757812</v>
      </c>
      <c r="D4568">
        <v>438.4700012207031</v>
      </c>
      <c r="E4568">
        <v>433.3999938964844</v>
      </c>
      <c r="F4568">
        <v>433.8399963378906</v>
      </c>
      <c r="G4568">
        <v>418.3961791992188</v>
      </c>
      <c r="H4568">
        <v>83174400</v>
      </c>
      <c r="I4568" t="s">
        <v>2467</v>
      </c>
      <c r="J4568" t="s">
        <v>2468</v>
      </c>
      <c r="K4568" t="s">
        <v>7557</v>
      </c>
    </row>
    <row r="4569" spans="1:11" ht="20" customHeight="1">
      <c r="A4569" t="s">
        <v>7556</v>
      </c>
      <c r="B4569" t="s">
        <v>2469</v>
      </c>
      <c r="C4569">
        <v>435.9800109863281</v>
      </c>
      <c r="D4569">
        <v>440.9299926757812</v>
      </c>
      <c r="E4569">
        <v>433.8299865722656</v>
      </c>
      <c r="F4569">
        <v>440.6099853515625</v>
      </c>
      <c r="G4569">
        <v>424.9252014160156</v>
      </c>
      <c r="H4569">
        <v>89462200</v>
      </c>
      <c r="I4569" t="s">
        <v>2470</v>
      </c>
      <c r="J4569" t="s">
        <v>2471</v>
      </c>
      <c r="K4569" t="s">
        <v>7557</v>
      </c>
    </row>
    <row r="4570" spans="1:11" ht="20" customHeight="1">
      <c r="A4570" t="s">
        <v>7556</v>
      </c>
      <c r="B4570" t="s">
        <v>2472</v>
      </c>
      <c r="C4570">
        <v>439.2300109863281</v>
      </c>
      <c r="D4570">
        <v>441.3299865722656</v>
      </c>
      <c r="E4570">
        <v>438.4200134277344</v>
      </c>
      <c r="F4570">
        <v>440.1900024414062</v>
      </c>
      <c r="G4570">
        <v>424.5201110839844</v>
      </c>
      <c r="H4570">
        <v>52236100</v>
      </c>
      <c r="I4570" t="s">
        <v>2473</v>
      </c>
      <c r="J4570" t="s">
        <v>2474</v>
      </c>
      <c r="K4570" t="s">
        <v>7557</v>
      </c>
    </row>
    <row r="4571" spans="1:11" ht="20" customHeight="1">
      <c r="A4571" t="s">
        <v>7556</v>
      </c>
      <c r="B4571" t="s">
        <v>2475</v>
      </c>
      <c r="C4571">
        <v>446.3200073242188</v>
      </c>
      <c r="D4571">
        <v>450.0599975585938</v>
      </c>
      <c r="E4571">
        <v>446.0899963378906</v>
      </c>
      <c r="F4571">
        <v>448.7300109863281</v>
      </c>
      <c r="G4571">
        <v>432.7561645507812</v>
      </c>
      <c r="H4571">
        <v>97176900</v>
      </c>
      <c r="I4571" t="s">
        <v>2476</v>
      </c>
      <c r="J4571" t="s">
        <v>2477</v>
      </c>
      <c r="K4571" t="s">
        <v>7557</v>
      </c>
    </row>
    <row r="4572" spans="1:11" ht="20" customHeight="1">
      <c r="A4572" t="s">
        <v>7556</v>
      </c>
      <c r="B4572" t="s">
        <v>2478</v>
      </c>
      <c r="C4572">
        <v>450.1099853515625</v>
      </c>
      <c r="D4572">
        <v>451.3800048828125</v>
      </c>
      <c r="E4572">
        <v>448.7999877929688</v>
      </c>
      <c r="F4572">
        <v>449.6799926757812</v>
      </c>
      <c r="G4572">
        <v>433.6722717285156</v>
      </c>
      <c r="H4572">
        <v>77327600</v>
      </c>
      <c r="I4572" t="s">
        <v>2479</v>
      </c>
      <c r="J4572" t="s">
        <v>2480</v>
      </c>
      <c r="K4572" t="s">
        <v>7557</v>
      </c>
    </row>
    <row r="4573" spans="1:11" ht="20" customHeight="1">
      <c r="A4573" t="s">
        <v>7556</v>
      </c>
      <c r="B4573" t="s">
        <v>2481</v>
      </c>
      <c r="C4573">
        <v>449.2200012207031</v>
      </c>
      <c r="D4573">
        <v>450.5599975585938</v>
      </c>
      <c r="E4573">
        <v>448.1199951171875</v>
      </c>
      <c r="F4573">
        <v>450.2300109863281</v>
      </c>
      <c r="G4573">
        <v>434.2027893066406</v>
      </c>
      <c r="H4573">
        <v>66665800</v>
      </c>
      <c r="I4573" t="s">
        <v>2482</v>
      </c>
      <c r="J4573" t="s">
        <v>2483</v>
      </c>
      <c r="K4573" t="s">
        <v>7557</v>
      </c>
    </row>
    <row r="4574" spans="1:11" ht="20" customHeight="1">
      <c r="A4574" t="s">
        <v>7556</v>
      </c>
      <c r="B4574" t="s">
        <v>2484</v>
      </c>
      <c r="C4574">
        <v>450.239990234375</v>
      </c>
      <c r="D4574">
        <v>451.4200134277344</v>
      </c>
      <c r="E4574">
        <v>449.2900085449219</v>
      </c>
      <c r="F4574">
        <v>450.7900085449219</v>
      </c>
      <c r="G4574">
        <v>434.7428283691406</v>
      </c>
      <c r="H4574">
        <v>83133200</v>
      </c>
      <c r="I4574" t="s">
        <v>2485</v>
      </c>
      <c r="J4574" t="s">
        <v>2486</v>
      </c>
      <c r="K4574" t="s">
        <v>7557</v>
      </c>
    </row>
    <row r="4575" spans="1:11" ht="20" customHeight="1">
      <c r="A4575" t="s">
        <v>7556</v>
      </c>
      <c r="B4575" t="s">
        <v>2487</v>
      </c>
      <c r="C4575">
        <v>450.5299987792969</v>
      </c>
      <c r="D4575">
        <v>455.1300048828125</v>
      </c>
      <c r="E4575">
        <v>450.5199890136719</v>
      </c>
      <c r="F4575">
        <v>454.260009765625</v>
      </c>
      <c r="G4575">
        <v>438.0893249511719</v>
      </c>
      <c r="H4575">
        <v>69936200</v>
      </c>
      <c r="I4575" t="s">
        <v>2488</v>
      </c>
      <c r="J4575" t="s">
        <v>2489</v>
      </c>
      <c r="K4575" t="s">
        <v>7557</v>
      </c>
    </row>
    <row r="4576" spans="1:11" ht="20" customHeight="1">
      <c r="A4576" t="s">
        <v>7556</v>
      </c>
      <c r="B4576" t="s">
        <v>2490</v>
      </c>
      <c r="C4576">
        <v>453.1799926757812</v>
      </c>
      <c r="D4576">
        <v>454.1300048828125</v>
      </c>
      <c r="E4576">
        <v>451.9599914550781</v>
      </c>
      <c r="F4576">
        <v>453.2699890136719</v>
      </c>
      <c r="G4576">
        <v>437.1344909667969</v>
      </c>
      <c r="H4576">
        <v>49244600</v>
      </c>
      <c r="I4576" t="s">
        <v>2491</v>
      </c>
      <c r="J4576" t="s">
        <v>2492</v>
      </c>
      <c r="K4576" t="s">
        <v>7557</v>
      </c>
    </row>
    <row r="4577" spans="1:11" ht="20" customHeight="1">
      <c r="A4577" t="s">
        <v>7556</v>
      </c>
      <c r="B4577" t="s">
        <v>2493</v>
      </c>
      <c r="C4577">
        <v>454.9800109863281</v>
      </c>
      <c r="D4577">
        <v>456.3800048828125</v>
      </c>
      <c r="E4577">
        <v>453.8900146484375</v>
      </c>
      <c r="F4577">
        <v>455.0199890136719</v>
      </c>
      <c r="G4577">
        <v>438.8221740722656</v>
      </c>
      <c r="H4577">
        <v>59394900</v>
      </c>
      <c r="I4577" t="s">
        <v>2494</v>
      </c>
      <c r="J4577" t="s">
        <v>2495</v>
      </c>
      <c r="K4577" t="s">
        <v>7557</v>
      </c>
    </row>
    <row r="4578" spans="1:11" ht="20" customHeight="1">
      <c r="A4578" t="s">
        <v>7556</v>
      </c>
      <c r="B4578" t="s">
        <v>2496</v>
      </c>
      <c r="C4578">
        <v>455.0700073242188</v>
      </c>
      <c r="D4578">
        <v>455.5</v>
      </c>
      <c r="E4578">
        <v>454.7300109863281</v>
      </c>
      <c r="F4578">
        <v>455.2999877929688</v>
      </c>
      <c r="G4578">
        <v>439.0922241210938</v>
      </c>
      <c r="H4578">
        <v>29737400</v>
      </c>
      <c r="I4578" t="s">
        <v>2497</v>
      </c>
      <c r="J4578" t="s">
        <v>2498</v>
      </c>
      <c r="K4578" t="s">
        <v>7557</v>
      </c>
    </row>
    <row r="4579" spans="1:11" ht="20" customHeight="1">
      <c r="A4579" t="s">
        <v>7556</v>
      </c>
      <c r="B4579" t="s">
        <v>2499</v>
      </c>
      <c r="C4579">
        <v>454.6499938964844</v>
      </c>
      <c r="D4579">
        <v>455.489990234375</v>
      </c>
      <c r="E4579">
        <v>454.0799865722656</v>
      </c>
      <c r="F4579">
        <v>454.4800109863281</v>
      </c>
      <c r="G4579">
        <v>438.3014831542969</v>
      </c>
      <c r="H4579">
        <v>50506000</v>
      </c>
      <c r="I4579" t="s">
        <v>2500</v>
      </c>
      <c r="J4579" t="s">
        <v>2501</v>
      </c>
      <c r="K4579" t="s">
        <v>7557</v>
      </c>
    </row>
    <row r="4580" spans="1:11" ht="20" customHeight="1">
      <c r="A4580" t="s">
        <v>7556</v>
      </c>
      <c r="B4580" t="s">
        <v>2502</v>
      </c>
      <c r="C4580">
        <v>454.0799865722656</v>
      </c>
      <c r="D4580">
        <v>456.2699890136719</v>
      </c>
      <c r="E4580">
        <v>453.5</v>
      </c>
      <c r="F4580">
        <v>454.9299926757812</v>
      </c>
      <c r="G4580">
        <v>438.7353820800781</v>
      </c>
      <c r="H4580">
        <v>62115000</v>
      </c>
      <c r="I4580" t="s">
        <v>2503</v>
      </c>
      <c r="J4580" t="s">
        <v>2504</v>
      </c>
      <c r="K4580" t="s">
        <v>7557</v>
      </c>
    </row>
    <row r="4581" spans="1:11" ht="20" customHeight="1">
      <c r="A4581" t="s">
        <v>7556</v>
      </c>
      <c r="B4581" t="s">
        <v>2505</v>
      </c>
      <c r="C4581">
        <v>457.1499938964844</v>
      </c>
      <c r="D4581">
        <v>458.3200073242188</v>
      </c>
      <c r="E4581">
        <v>454.2000122070312</v>
      </c>
      <c r="F4581">
        <v>454.6099853515625</v>
      </c>
      <c r="G4581">
        <v>438.4268188476562</v>
      </c>
      <c r="H4581">
        <v>63146000</v>
      </c>
      <c r="I4581" t="s">
        <v>2506</v>
      </c>
      <c r="J4581" t="s">
        <v>2507</v>
      </c>
      <c r="K4581" t="s">
        <v>7557</v>
      </c>
    </row>
    <row r="4582" spans="1:11" ht="20" customHeight="1">
      <c r="A4582" t="s">
        <v>7556</v>
      </c>
      <c r="B4582" t="s">
        <v>2508</v>
      </c>
      <c r="C4582">
        <v>455.4800109863281</v>
      </c>
      <c r="D4582">
        <v>456.760009765625</v>
      </c>
      <c r="E4582">
        <v>453.3399963378906</v>
      </c>
      <c r="F4582">
        <v>456.3999938964844</v>
      </c>
      <c r="G4582">
        <v>440.1530456542969</v>
      </c>
      <c r="H4582">
        <v>79752700</v>
      </c>
      <c r="I4582" t="s">
        <v>2509</v>
      </c>
      <c r="J4582" t="s">
        <v>2510</v>
      </c>
      <c r="K4582" t="s">
        <v>7557</v>
      </c>
    </row>
    <row r="4583" spans="1:11" ht="20" customHeight="1">
      <c r="A4583" t="s">
        <v>7556</v>
      </c>
      <c r="B4583" t="s">
        <v>2511</v>
      </c>
      <c r="C4583">
        <v>455.7699890136719</v>
      </c>
      <c r="D4583">
        <v>459.6499938964844</v>
      </c>
      <c r="E4583">
        <v>455.1600036621094</v>
      </c>
      <c r="F4583">
        <v>459.1000061035156</v>
      </c>
      <c r="G4583">
        <v>442.7570190429688</v>
      </c>
      <c r="H4583">
        <v>89183400</v>
      </c>
      <c r="I4583" t="s">
        <v>2512</v>
      </c>
      <c r="J4583" t="s">
        <v>2513</v>
      </c>
      <c r="K4583" t="s">
        <v>7557</v>
      </c>
    </row>
    <row r="4584" spans="1:11" ht="20" customHeight="1">
      <c r="A4584" t="s">
        <v>7556</v>
      </c>
      <c r="B4584" t="s">
        <v>2514</v>
      </c>
      <c r="C4584">
        <v>455.6000061035156</v>
      </c>
      <c r="D4584">
        <v>459.1199951171875</v>
      </c>
      <c r="E4584">
        <v>454.3399963378906</v>
      </c>
      <c r="F4584">
        <v>456.6900024414062</v>
      </c>
      <c r="G4584">
        <v>440.4327392578125</v>
      </c>
      <c r="H4584">
        <v>72430900</v>
      </c>
      <c r="I4584" t="s">
        <v>2515</v>
      </c>
      <c r="J4584" t="s">
        <v>2516</v>
      </c>
      <c r="K4584" t="s">
        <v>7557</v>
      </c>
    </row>
    <row r="4585" spans="1:11" ht="20" customHeight="1">
      <c r="A4585" t="s">
        <v>7556</v>
      </c>
      <c r="B4585" t="s">
        <v>2517</v>
      </c>
      <c r="C4585">
        <v>455.260009765625</v>
      </c>
      <c r="D4585">
        <v>457.5899963378906</v>
      </c>
      <c r="E4585">
        <v>454.8699951171875</v>
      </c>
      <c r="F4585">
        <v>456.6000061035156</v>
      </c>
      <c r="G4585">
        <v>440.3460083007812</v>
      </c>
      <c r="H4585">
        <v>69793500</v>
      </c>
      <c r="I4585" t="s">
        <v>2518</v>
      </c>
      <c r="J4585" t="s">
        <v>2519</v>
      </c>
      <c r="K4585" t="s">
        <v>7557</v>
      </c>
    </row>
    <row r="4586" spans="1:11" ht="20" customHeight="1">
      <c r="A4586" t="s">
        <v>7556</v>
      </c>
      <c r="B4586" t="s">
        <v>2520</v>
      </c>
      <c r="C4586">
        <v>458.8099975585938</v>
      </c>
      <c r="D4586">
        <v>458.8399963378906</v>
      </c>
      <c r="E4586">
        <v>454.3099975585938</v>
      </c>
      <c r="F4586">
        <v>454.760009765625</v>
      </c>
      <c r="G4586">
        <v>438.5714416503906</v>
      </c>
      <c r="H4586">
        <v>69124700</v>
      </c>
      <c r="I4586" t="s">
        <v>2521</v>
      </c>
      <c r="J4586" t="s">
        <v>2522</v>
      </c>
      <c r="K4586" t="s">
        <v>7557</v>
      </c>
    </row>
    <row r="4587" spans="1:11" ht="20" customHeight="1">
      <c r="A4587" t="s">
        <v>7556</v>
      </c>
      <c r="B4587" t="s">
        <v>2523</v>
      </c>
      <c r="C4587">
        <v>456.9100036621094</v>
      </c>
      <c r="D4587">
        <v>458.8999938964844</v>
      </c>
      <c r="E4587">
        <v>456.2900085449219</v>
      </c>
      <c r="F4587">
        <v>458.2300109863281</v>
      </c>
      <c r="G4587">
        <v>441.9179992675781</v>
      </c>
      <c r="H4587">
        <v>66995400</v>
      </c>
      <c r="I4587" t="s">
        <v>2524</v>
      </c>
      <c r="J4587" t="s">
        <v>2525</v>
      </c>
      <c r="K4587" t="s">
        <v>7557</v>
      </c>
    </row>
    <row r="4588" spans="1:11" ht="20" customHeight="1">
      <c r="A4588" t="s">
        <v>7556</v>
      </c>
      <c r="B4588" t="s">
        <v>2526</v>
      </c>
      <c r="C4588">
        <v>457.4599914550781</v>
      </c>
      <c r="D4588">
        <v>460.75</v>
      </c>
      <c r="E4588">
        <v>457.2099914550781</v>
      </c>
      <c r="F4588">
        <v>460.2000122070312</v>
      </c>
      <c r="G4588">
        <v>443.8178405761719</v>
      </c>
      <c r="H4588">
        <v>83194400</v>
      </c>
      <c r="I4588" t="s">
        <v>2527</v>
      </c>
      <c r="J4588" t="s">
        <v>2528</v>
      </c>
      <c r="K4588" t="s">
        <v>7557</v>
      </c>
    </row>
    <row r="4589" spans="1:11" ht="20" customHeight="1">
      <c r="A4589" t="s">
        <v>7556</v>
      </c>
      <c r="B4589" t="s">
        <v>2529</v>
      </c>
      <c r="C4589">
        <v>459.6900024414062</v>
      </c>
      <c r="D4589">
        <v>462.1700134277344</v>
      </c>
      <c r="E4589">
        <v>459.4700012207031</v>
      </c>
      <c r="F4589">
        <v>461.989990234375</v>
      </c>
      <c r="G4589">
        <v>445.5440673828125</v>
      </c>
      <c r="H4589">
        <v>65002200</v>
      </c>
      <c r="I4589" t="s">
        <v>2530</v>
      </c>
      <c r="J4589" t="s">
        <v>2531</v>
      </c>
      <c r="K4589" t="s">
        <v>7557</v>
      </c>
    </row>
    <row r="4590" spans="1:11" ht="20" customHeight="1">
      <c r="A4590" t="s">
        <v>7556</v>
      </c>
      <c r="B4590" t="s">
        <v>2532</v>
      </c>
      <c r="C4590">
        <v>461.6300048828125</v>
      </c>
      <c r="D4590">
        <v>464.2000122070312</v>
      </c>
      <c r="E4590">
        <v>460.6000061035156</v>
      </c>
      <c r="F4590">
        <v>464.1000061035156</v>
      </c>
      <c r="G4590">
        <v>447.5789489746094</v>
      </c>
      <c r="H4590">
        <v>68327600</v>
      </c>
      <c r="I4590" t="s">
        <v>2533</v>
      </c>
      <c r="J4590" t="s">
        <v>2534</v>
      </c>
      <c r="K4590" t="s">
        <v>7557</v>
      </c>
    </row>
    <row r="4591" spans="1:11" ht="20" customHeight="1">
      <c r="A4591" t="s">
        <v>7556</v>
      </c>
      <c r="B4591" t="s">
        <v>2535</v>
      </c>
      <c r="C4591">
        <v>464.489990234375</v>
      </c>
      <c r="D4591">
        <v>470.760009765625</v>
      </c>
      <c r="E4591">
        <v>464.1199951171875</v>
      </c>
      <c r="F4591">
        <v>470.5</v>
      </c>
      <c r="G4591">
        <v>453.7511901855469</v>
      </c>
      <c r="H4591">
        <v>93278000</v>
      </c>
      <c r="I4591" t="s">
        <v>2536</v>
      </c>
      <c r="J4591" t="s">
        <v>2537</v>
      </c>
      <c r="K4591" t="s">
        <v>7557</v>
      </c>
    </row>
    <row r="4592" spans="1:11" ht="20" customHeight="1">
      <c r="A4592" t="s">
        <v>7556</v>
      </c>
      <c r="B4592" t="s">
        <v>2538</v>
      </c>
      <c r="C4592">
        <v>472.5</v>
      </c>
      <c r="D4592">
        <v>473.7300109863281</v>
      </c>
      <c r="E4592">
        <v>469.25</v>
      </c>
      <c r="F4592">
        <v>472.010009765625</v>
      </c>
      <c r="G4592">
        <v>455.2073974609375</v>
      </c>
      <c r="H4592">
        <v>119026000</v>
      </c>
      <c r="I4592" t="s">
        <v>2539</v>
      </c>
      <c r="J4592" t="s">
        <v>2540</v>
      </c>
      <c r="K4592" t="s">
        <v>7557</v>
      </c>
    </row>
    <row r="4593" spans="1:11" ht="20" customHeight="1">
      <c r="A4593" t="s">
        <v>7556</v>
      </c>
      <c r="B4593" t="s">
        <v>2541</v>
      </c>
      <c r="C4593">
        <v>469.489990234375</v>
      </c>
      <c r="D4593">
        <v>470.7000122070312</v>
      </c>
      <c r="E4593">
        <v>467.4299926757812</v>
      </c>
      <c r="F4593">
        <v>469.3299865722656</v>
      </c>
      <c r="G4593">
        <v>454.4579162597656</v>
      </c>
      <c r="H4593">
        <v>141553700</v>
      </c>
      <c r="I4593" t="s">
        <v>2542</v>
      </c>
      <c r="J4593" t="s">
        <v>2543</v>
      </c>
      <c r="K4593" t="s">
        <v>7557</v>
      </c>
    </row>
    <row r="4594" spans="1:11" ht="20" customHeight="1">
      <c r="A4594" t="s">
        <v>7556</v>
      </c>
      <c r="B4594" t="s">
        <v>2544</v>
      </c>
      <c r="C4594">
        <v>470.9800109863281</v>
      </c>
      <c r="D4594">
        <v>472.9800109863281</v>
      </c>
      <c r="E4594">
        <v>469.8900146484375</v>
      </c>
      <c r="F4594">
        <v>471.9700012207031</v>
      </c>
      <c r="G4594">
        <v>457.0142517089844</v>
      </c>
      <c r="H4594">
        <v>70375300</v>
      </c>
      <c r="I4594" t="s">
        <v>2545</v>
      </c>
      <c r="J4594" t="s">
        <v>2546</v>
      </c>
      <c r="K4594" t="s">
        <v>7557</v>
      </c>
    </row>
    <row r="4595" spans="1:11" ht="20" customHeight="1">
      <c r="A4595" t="s">
        <v>7556</v>
      </c>
      <c r="B4595" t="s">
        <v>2547</v>
      </c>
      <c r="C4595">
        <v>472.5299987792969</v>
      </c>
      <c r="D4595">
        <v>474.9200134277344</v>
      </c>
      <c r="E4595">
        <v>472.4500122070312</v>
      </c>
      <c r="F4595">
        <v>474.8399963378906</v>
      </c>
      <c r="G4595">
        <v>459.7932739257812</v>
      </c>
      <c r="H4595">
        <v>55761800</v>
      </c>
      <c r="I4595" t="s">
        <v>2548</v>
      </c>
      <c r="J4595" t="s">
        <v>2549</v>
      </c>
      <c r="K4595" t="s">
        <v>7557</v>
      </c>
    </row>
    <row r="4596" spans="1:11" ht="20" customHeight="1">
      <c r="A4596" t="s">
        <v>7556</v>
      </c>
      <c r="B4596" t="s">
        <v>2550</v>
      </c>
      <c r="C4596">
        <v>473.9599914550781</v>
      </c>
      <c r="D4596">
        <v>475.8999938964844</v>
      </c>
      <c r="E4596">
        <v>467.8200073242188</v>
      </c>
      <c r="F4596">
        <v>468.260009765625</v>
      </c>
      <c r="G4596">
        <v>453.4218444824219</v>
      </c>
      <c r="H4596">
        <v>102921000</v>
      </c>
      <c r="I4596" t="s">
        <v>2551</v>
      </c>
      <c r="J4596" t="s">
        <v>2552</v>
      </c>
      <c r="K4596" t="s">
        <v>7557</v>
      </c>
    </row>
    <row r="4597" spans="1:11" ht="20" customHeight="1">
      <c r="A4597" t="s">
        <v>7556</v>
      </c>
      <c r="B4597" t="s">
        <v>2553</v>
      </c>
      <c r="C4597">
        <v>471.3299865722656</v>
      </c>
      <c r="D4597">
        <v>472.9800109863281</v>
      </c>
      <c r="E4597">
        <v>468.8399963378906</v>
      </c>
      <c r="F4597">
        <v>472.7000122070312</v>
      </c>
      <c r="G4597">
        <v>457.72119140625</v>
      </c>
      <c r="H4597">
        <v>86667500</v>
      </c>
      <c r="I4597" t="s">
        <v>2554</v>
      </c>
      <c r="J4597" t="s">
        <v>2555</v>
      </c>
      <c r="K4597" t="s">
        <v>7557</v>
      </c>
    </row>
    <row r="4598" spans="1:11" ht="20" customHeight="1">
      <c r="A4598" t="s">
        <v>7556</v>
      </c>
      <c r="B4598" t="s">
        <v>2556</v>
      </c>
      <c r="C4598">
        <v>473.8599853515625</v>
      </c>
      <c r="D4598">
        <v>475.3800048828125</v>
      </c>
      <c r="E4598">
        <v>471.7000122070312</v>
      </c>
      <c r="F4598">
        <v>473.6499938964844</v>
      </c>
      <c r="G4598">
        <v>458.6410217285156</v>
      </c>
      <c r="H4598">
        <v>67160400</v>
      </c>
      <c r="I4598" t="s">
        <v>2557</v>
      </c>
      <c r="J4598" t="s">
        <v>2558</v>
      </c>
      <c r="K4598" t="s">
        <v>7557</v>
      </c>
    </row>
    <row r="4599" spans="1:11" ht="20" customHeight="1">
      <c r="A4599" t="s">
        <v>7556</v>
      </c>
      <c r="B4599" t="s">
        <v>2559</v>
      </c>
      <c r="C4599">
        <v>474.0700073242188</v>
      </c>
      <c r="D4599">
        <v>476.5799865722656</v>
      </c>
      <c r="E4599">
        <v>473.989990234375</v>
      </c>
      <c r="F4599">
        <v>475.6499938964844</v>
      </c>
      <c r="G4599">
        <v>460.5776672363281</v>
      </c>
      <c r="H4599">
        <v>55387000</v>
      </c>
      <c r="I4599" t="s">
        <v>2560</v>
      </c>
      <c r="J4599" t="s">
        <v>2561</v>
      </c>
      <c r="K4599" t="s">
        <v>7557</v>
      </c>
    </row>
    <row r="4600" spans="1:11" ht="20" customHeight="1">
      <c r="A4600" t="s">
        <v>7556</v>
      </c>
      <c r="B4600" t="s">
        <v>2562</v>
      </c>
      <c r="C4600">
        <v>475.4400024414062</v>
      </c>
      <c r="D4600">
        <v>476.6600036621094</v>
      </c>
      <c r="E4600">
        <v>474.8900146484375</v>
      </c>
      <c r="F4600">
        <v>476.510009765625</v>
      </c>
      <c r="G4600">
        <v>461.4104614257812</v>
      </c>
      <c r="H4600">
        <v>68000300</v>
      </c>
      <c r="I4600" t="s">
        <v>2563</v>
      </c>
      <c r="J4600" t="s">
        <v>2564</v>
      </c>
      <c r="K4600" t="s">
        <v>7557</v>
      </c>
    </row>
    <row r="4601" spans="1:11" ht="20" customHeight="1">
      <c r="A4601" t="s">
        <v>7556</v>
      </c>
      <c r="B4601" t="s">
        <v>2565</v>
      </c>
      <c r="C4601">
        <v>476.8800048828125</v>
      </c>
      <c r="D4601">
        <v>477.5499877929688</v>
      </c>
      <c r="E4601">
        <v>476.260009765625</v>
      </c>
      <c r="F4601">
        <v>476.6900024414062</v>
      </c>
      <c r="G4601">
        <v>461.584716796875</v>
      </c>
      <c r="H4601">
        <v>77158100</v>
      </c>
      <c r="I4601" t="s">
        <v>2566</v>
      </c>
      <c r="J4601" t="s">
        <v>2567</v>
      </c>
      <c r="K4601" t="s">
        <v>7557</v>
      </c>
    </row>
    <row r="4602" spans="1:11" ht="20" customHeight="1">
      <c r="A4602" t="s">
        <v>7556</v>
      </c>
      <c r="B4602" t="s">
        <v>2568</v>
      </c>
      <c r="C4602">
        <v>476.489990234375</v>
      </c>
      <c r="D4602">
        <v>477.0299987792969</v>
      </c>
      <c r="E4602">
        <v>473.2999877929688</v>
      </c>
      <c r="F4602">
        <v>475.3099975585938</v>
      </c>
      <c r="G4602">
        <v>460.2484130859375</v>
      </c>
      <c r="H4602">
        <v>122283100</v>
      </c>
      <c r="I4602" t="s">
        <v>2569</v>
      </c>
      <c r="J4602" t="s">
        <v>2570</v>
      </c>
      <c r="K4602" t="s">
        <v>7557</v>
      </c>
    </row>
    <row r="4603" spans="1:11" ht="20" customHeight="1">
      <c r="A4603" t="s">
        <v>7556</v>
      </c>
      <c r="B4603" t="s">
        <v>2571</v>
      </c>
      <c r="C4603">
        <v>472.1600036621094</v>
      </c>
      <c r="D4603">
        <v>473.6700134277344</v>
      </c>
      <c r="E4603">
        <v>470.489990234375</v>
      </c>
      <c r="F4603">
        <v>472.6499938964844</v>
      </c>
      <c r="G4603">
        <v>457.6726989746094</v>
      </c>
      <c r="H4603">
        <v>123623700</v>
      </c>
      <c r="I4603" t="s">
        <v>2572</v>
      </c>
      <c r="J4603" t="s">
        <v>2573</v>
      </c>
      <c r="K4603" t="s">
        <v>7557</v>
      </c>
    </row>
    <row r="4604" spans="1:11" ht="20" customHeight="1">
      <c r="A4604" t="s">
        <v>7556</v>
      </c>
      <c r="B4604" t="s">
        <v>2574</v>
      </c>
      <c r="C4604">
        <v>470.4299926757812</v>
      </c>
      <c r="D4604">
        <v>471.1900024414062</v>
      </c>
      <c r="E4604">
        <v>468.1700134277344</v>
      </c>
      <c r="F4604">
        <v>468.7900085449219</v>
      </c>
      <c r="G4604">
        <v>453.93505859375</v>
      </c>
      <c r="H4604">
        <v>103585900</v>
      </c>
      <c r="I4604" t="s">
        <v>2575</v>
      </c>
      <c r="J4604" t="s">
        <v>2576</v>
      </c>
      <c r="K4604" t="s">
        <v>7557</v>
      </c>
    </row>
    <row r="4605" spans="1:11" ht="20" customHeight="1">
      <c r="A4605" t="s">
        <v>7556</v>
      </c>
      <c r="B4605" t="s">
        <v>2577</v>
      </c>
      <c r="C4605">
        <v>468.2999877929688</v>
      </c>
      <c r="D4605">
        <v>470.9599914550781</v>
      </c>
      <c r="E4605">
        <v>467.0499877929688</v>
      </c>
      <c r="F4605">
        <v>467.2799987792969</v>
      </c>
      <c r="G4605">
        <v>452.472900390625</v>
      </c>
      <c r="H4605">
        <v>84232200</v>
      </c>
      <c r="I4605" t="s">
        <v>2578</v>
      </c>
      <c r="J4605" t="s">
        <v>2579</v>
      </c>
      <c r="K4605" t="s">
        <v>7557</v>
      </c>
    </row>
    <row r="4606" spans="1:11" ht="20" customHeight="1">
      <c r="A4606" t="s">
        <v>7556</v>
      </c>
      <c r="B4606" t="s">
        <v>2580</v>
      </c>
      <c r="C4606">
        <v>467.489990234375</v>
      </c>
      <c r="D4606">
        <v>470.4400024414062</v>
      </c>
      <c r="E4606">
        <v>466.4299926757812</v>
      </c>
      <c r="F4606">
        <v>467.9200134277344</v>
      </c>
      <c r="G4606">
        <v>453.0926513671875</v>
      </c>
      <c r="H4606">
        <v>86118900</v>
      </c>
      <c r="I4606" t="s">
        <v>2581</v>
      </c>
      <c r="J4606" t="s">
        <v>2582</v>
      </c>
      <c r="K4606" t="s">
        <v>7557</v>
      </c>
    </row>
    <row r="4607" spans="1:11" ht="20" customHeight="1">
      <c r="A4607" t="s">
        <v>7556</v>
      </c>
      <c r="B4607" t="s">
        <v>2583</v>
      </c>
      <c r="C4607">
        <v>468.4299926757812</v>
      </c>
      <c r="D4607">
        <v>474.75</v>
      </c>
      <c r="E4607">
        <v>468.2999877929688</v>
      </c>
      <c r="F4607">
        <v>474.6000061035156</v>
      </c>
      <c r="G4607">
        <v>459.5609436035156</v>
      </c>
      <c r="H4607">
        <v>74879100</v>
      </c>
      <c r="I4607" t="s">
        <v>2584</v>
      </c>
      <c r="J4607" t="s">
        <v>2585</v>
      </c>
      <c r="K4607" t="s">
        <v>7557</v>
      </c>
    </row>
    <row r="4608" spans="1:11" ht="20" customHeight="1">
      <c r="A4608" t="s">
        <v>7556</v>
      </c>
      <c r="B4608" t="s">
        <v>2586</v>
      </c>
      <c r="C4608">
        <v>471.8699951171875</v>
      </c>
      <c r="D4608">
        <v>474.9299926757812</v>
      </c>
      <c r="E4608">
        <v>471.3500061035156</v>
      </c>
      <c r="F4608">
        <v>473.8800048828125</v>
      </c>
      <c r="G4608">
        <v>458.8637390136719</v>
      </c>
      <c r="H4608">
        <v>65931400</v>
      </c>
      <c r="I4608" t="s">
        <v>2587</v>
      </c>
      <c r="J4608" t="s">
        <v>2588</v>
      </c>
      <c r="K4608" t="s">
        <v>7557</v>
      </c>
    </row>
    <row r="4609" spans="1:11" ht="20" customHeight="1">
      <c r="A4609" t="s">
        <v>7556</v>
      </c>
      <c r="B4609" t="s">
        <v>2589</v>
      </c>
      <c r="C4609">
        <v>474.1600036621094</v>
      </c>
      <c r="D4609">
        <v>477.4500122070312</v>
      </c>
      <c r="E4609">
        <v>473.8699951171875</v>
      </c>
      <c r="F4609">
        <v>476.5599975585938</v>
      </c>
      <c r="G4609">
        <v>461.4588012695312</v>
      </c>
      <c r="H4609">
        <v>67310600</v>
      </c>
      <c r="I4609" t="s">
        <v>2590</v>
      </c>
      <c r="J4609" t="s">
        <v>2591</v>
      </c>
      <c r="K4609" t="s">
        <v>7557</v>
      </c>
    </row>
    <row r="4610" spans="1:11" ht="20" customHeight="1">
      <c r="A4610" t="s">
        <v>7556</v>
      </c>
      <c r="B4610" t="s">
        <v>2592</v>
      </c>
      <c r="C4610">
        <v>477.5899963378906</v>
      </c>
      <c r="D4610">
        <v>478.1199951171875</v>
      </c>
      <c r="E4610">
        <v>472.260009765625</v>
      </c>
      <c r="F4610">
        <v>476.3500061035156</v>
      </c>
      <c r="G4610">
        <v>461.2554626464844</v>
      </c>
      <c r="H4610">
        <v>77940700</v>
      </c>
      <c r="I4610" t="s">
        <v>2593</v>
      </c>
      <c r="J4610" t="s">
        <v>2594</v>
      </c>
      <c r="K4610" t="s">
        <v>7557</v>
      </c>
    </row>
    <row r="4611" spans="1:11" ht="20" customHeight="1">
      <c r="A4611" t="s">
        <v>7556</v>
      </c>
      <c r="B4611" t="s">
        <v>2595</v>
      </c>
      <c r="C4611">
        <v>477.8399963378906</v>
      </c>
      <c r="D4611">
        <v>478.6000061035156</v>
      </c>
      <c r="E4611">
        <v>475.2300109863281</v>
      </c>
      <c r="F4611">
        <v>476.6799926757812</v>
      </c>
      <c r="G4611">
        <v>461.5750122070312</v>
      </c>
      <c r="H4611">
        <v>58026400</v>
      </c>
      <c r="I4611" t="s">
        <v>2596</v>
      </c>
      <c r="J4611" t="s">
        <v>2597</v>
      </c>
      <c r="K4611" t="s">
        <v>7557</v>
      </c>
    </row>
    <row r="4612" spans="1:11" ht="20" customHeight="1">
      <c r="A4612" t="s">
        <v>7556</v>
      </c>
      <c r="B4612" t="s">
        <v>2598</v>
      </c>
      <c r="C4612">
        <v>475.260009765625</v>
      </c>
      <c r="D4612">
        <v>476.6099853515625</v>
      </c>
      <c r="E4612">
        <v>473.0599975585938</v>
      </c>
      <c r="F4612">
        <v>474.9299926757812</v>
      </c>
      <c r="G4612">
        <v>459.8804931640625</v>
      </c>
      <c r="H4612">
        <v>85014900</v>
      </c>
      <c r="I4612" t="s">
        <v>2599</v>
      </c>
      <c r="J4612" t="s">
        <v>2600</v>
      </c>
      <c r="K4612" t="s">
        <v>7557</v>
      </c>
    </row>
    <row r="4613" spans="1:11" ht="20" customHeight="1">
      <c r="A4613" t="s">
        <v>7556</v>
      </c>
      <c r="B4613" t="s">
        <v>2601</v>
      </c>
      <c r="C4613">
        <v>471.8200073242188</v>
      </c>
      <c r="D4613">
        <v>472.7900085449219</v>
      </c>
      <c r="E4613">
        <v>469.8699951171875</v>
      </c>
      <c r="F4613">
        <v>472.2900085449219</v>
      </c>
      <c r="G4613">
        <v>457.3240966796875</v>
      </c>
      <c r="H4613">
        <v>68843900</v>
      </c>
      <c r="I4613" t="s">
        <v>2602</v>
      </c>
      <c r="J4613" t="s">
        <v>2603</v>
      </c>
      <c r="K4613" t="s">
        <v>7557</v>
      </c>
    </row>
    <row r="4614" spans="1:11" ht="20" customHeight="1">
      <c r="A4614" t="s">
        <v>7556</v>
      </c>
      <c r="B4614" t="s">
        <v>2604</v>
      </c>
      <c r="C4614">
        <v>474.010009765625</v>
      </c>
      <c r="D4614">
        <v>477.0599975585938</v>
      </c>
      <c r="E4614">
        <v>472.4200134277344</v>
      </c>
      <c r="F4614">
        <v>476.489990234375</v>
      </c>
      <c r="G4614">
        <v>461.3910522460938</v>
      </c>
      <c r="H4614">
        <v>91856200</v>
      </c>
      <c r="I4614" t="s">
        <v>2605</v>
      </c>
      <c r="J4614" t="s">
        <v>2606</v>
      </c>
      <c r="K4614" t="s">
        <v>7557</v>
      </c>
    </row>
    <row r="4615" spans="1:11" ht="20" customHeight="1">
      <c r="A4615" t="s">
        <v>7556</v>
      </c>
      <c r="B4615" t="s">
        <v>2607</v>
      </c>
      <c r="C4615">
        <v>477.6499938964844</v>
      </c>
      <c r="D4615">
        <v>482.7200012207031</v>
      </c>
      <c r="E4615">
        <v>476.5400085449219</v>
      </c>
      <c r="F4615">
        <v>482.4299926757812</v>
      </c>
      <c r="G4615">
        <v>467.142822265625</v>
      </c>
      <c r="H4615">
        <v>110834500</v>
      </c>
      <c r="I4615" t="s">
        <v>2608</v>
      </c>
      <c r="J4615" t="s">
        <v>2609</v>
      </c>
      <c r="K4615" t="s">
        <v>7557</v>
      </c>
    </row>
    <row r="4616" spans="1:11" ht="20" customHeight="1">
      <c r="A4616" t="s">
        <v>7556</v>
      </c>
      <c r="B4616" t="s">
        <v>2610</v>
      </c>
      <c r="C4616">
        <v>484.010009765625</v>
      </c>
      <c r="D4616">
        <v>485.2200012207031</v>
      </c>
      <c r="E4616">
        <v>482.7799987792969</v>
      </c>
      <c r="F4616">
        <v>483.4500122070312</v>
      </c>
      <c r="G4616">
        <v>468.1304931640625</v>
      </c>
      <c r="H4616">
        <v>75844900</v>
      </c>
      <c r="I4616" t="s">
        <v>2611</v>
      </c>
      <c r="J4616" t="s">
        <v>2612</v>
      </c>
      <c r="K4616" t="s">
        <v>7557</v>
      </c>
    </row>
    <row r="4617" spans="1:11" ht="20" customHeight="1">
      <c r="A4617" t="s">
        <v>7556</v>
      </c>
      <c r="B4617" t="s">
        <v>2613</v>
      </c>
      <c r="C4617">
        <v>484.010009765625</v>
      </c>
      <c r="D4617">
        <v>485.1099853515625</v>
      </c>
      <c r="E4617">
        <v>482.8900146484375</v>
      </c>
      <c r="F4617">
        <v>484.8599853515625</v>
      </c>
      <c r="G4617">
        <v>469.4958190917969</v>
      </c>
      <c r="H4617">
        <v>49945300</v>
      </c>
      <c r="I4617" t="s">
        <v>2614</v>
      </c>
      <c r="J4617" t="s">
        <v>2615</v>
      </c>
      <c r="K4617" t="s">
        <v>7557</v>
      </c>
    </row>
    <row r="4618" spans="1:11" ht="20" customHeight="1">
      <c r="A4618" t="s">
        <v>7556</v>
      </c>
      <c r="B4618" t="s">
        <v>2616</v>
      </c>
      <c r="C4618">
        <v>487.8099975585938</v>
      </c>
      <c r="D4618">
        <v>488.7699890136719</v>
      </c>
      <c r="E4618">
        <v>484.8800048828125</v>
      </c>
      <c r="F4618">
        <v>485.3900146484375</v>
      </c>
      <c r="G4618">
        <v>470.0090026855469</v>
      </c>
      <c r="H4618">
        <v>81765000</v>
      </c>
      <c r="I4618" t="s">
        <v>2617</v>
      </c>
      <c r="J4618" t="s">
        <v>2618</v>
      </c>
      <c r="K4618" t="s">
        <v>7557</v>
      </c>
    </row>
    <row r="4619" spans="1:11" ht="20" customHeight="1">
      <c r="A4619" t="s">
        <v>7556</v>
      </c>
      <c r="B4619" t="s">
        <v>2619</v>
      </c>
      <c r="C4619">
        <v>487.5799865722656</v>
      </c>
      <c r="D4619">
        <v>488.3099975585938</v>
      </c>
      <c r="E4619">
        <v>485.3900146484375</v>
      </c>
      <c r="F4619">
        <v>488.0299987792969</v>
      </c>
      <c r="G4619">
        <v>472.5653991699219</v>
      </c>
      <c r="H4619">
        <v>72525000</v>
      </c>
      <c r="I4619" t="s">
        <v>2620</v>
      </c>
      <c r="J4619" t="s">
        <v>2621</v>
      </c>
      <c r="K4619" t="s">
        <v>7557</v>
      </c>
    </row>
    <row r="4620" spans="1:11" ht="20" customHeight="1">
      <c r="A4620" t="s">
        <v>7556</v>
      </c>
      <c r="B4620" t="s">
        <v>2622</v>
      </c>
      <c r="C4620">
        <v>487.5899963378906</v>
      </c>
      <c r="D4620">
        <v>489.1199951171875</v>
      </c>
      <c r="E4620">
        <v>486.5400085449219</v>
      </c>
      <c r="F4620">
        <v>487.4100036621094</v>
      </c>
      <c r="G4620">
        <v>471.9650573730469</v>
      </c>
      <c r="H4620">
        <v>76641600</v>
      </c>
      <c r="I4620" t="s">
        <v>2623</v>
      </c>
      <c r="J4620" t="s">
        <v>2624</v>
      </c>
      <c r="K4620" t="s">
        <v>7557</v>
      </c>
    </row>
    <row r="4621" spans="1:11" ht="20" customHeight="1">
      <c r="A4621" t="s">
        <v>7556</v>
      </c>
      <c r="B4621" t="s">
        <v>2625</v>
      </c>
      <c r="C4621">
        <v>487.7300109863281</v>
      </c>
      <c r="D4621">
        <v>491.4200134277344</v>
      </c>
      <c r="E4621">
        <v>487.1700134277344</v>
      </c>
      <c r="F4621">
        <v>491.2699890136719</v>
      </c>
      <c r="G4621">
        <v>475.7026672363281</v>
      </c>
      <c r="H4621">
        <v>61322800</v>
      </c>
      <c r="I4621" t="s">
        <v>2626</v>
      </c>
      <c r="J4621" t="s">
        <v>2627</v>
      </c>
      <c r="K4621" t="s">
        <v>7557</v>
      </c>
    </row>
    <row r="4622" spans="1:11" ht="20" customHeight="1">
      <c r="A4622" t="s">
        <v>7556</v>
      </c>
      <c r="B4622" t="s">
        <v>2628</v>
      </c>
      <c r="C4622">
        <v>490.5599975585938</v>
      </c>
      <c r="D4622">
        <v>491.6199951171875</v>
      </c>
      <c r="E4622">
        <v>490.1099853515625</v>
      </c>
      <c r="F4622">
        <v>490.8900146484375</v>
      </c>
      <c r="G4622">
        <v>475.334716796875</v>
      </c>
      <c r="H4622">
        <v>58618400</v>
      </c>
      <c r="I4622" t="s">
        <v>2629</v>
      </c>
      <c r="J4622" t="s">
        <v>2630</v>
      </c>
      <c r="K4622" t="s">
        <v>7557</v>
      </c>
    </row>
    <row r="4623" spans="1:11" ht="20" customHeight="1">
      <c r="A4623" t="s">
        <v>7556</v>
      </c>
      <c r="B4623" t="s">
        <v>2631</v>
      </c>
      <c r="C4623">
        <v>488.6199951171875</v>
      </c>
      <c r="D4623">
        <v>489.0799865722656</v>
      </c>
      <c r="E4623">
        <v>482.8599853515625</v>
      </c>
      <c r="F4623">
        <v>482.8800048828125</v>
      </c>
      <c r="G4623">
        <v>467.5785827636719</v>
      </c>
      <c r="H4623">
        <v>126011100</v>
      </c>
      <c r="I4623" t="s">
        <v>2632</v>
      </c>
      <c r="J4623" t="s">
        <v>2633</v>
      </c>
      <c r="K4623" t="s">
        <v>7557</v>
      </c>
    </row>
    <row r="4624" spans="1:11" ht="20" customHeight="1">
      <c r="A4624" t="s">
        <v>7556</v>
      </c>
      <c r="B4624" t="s">
        <v>2634</v>
      </c>
      <c r="C4624">
        <v>484.6300048828125</v>
      </c>
      <c r="D4624">
        <v>489.2300109863281</v>
      </c>
      <c r="E4624">
        <v>483.7999877929688</v>
      </c>
      <c r="F4624">
        <v>489.2000122070312</v>
      </c>
      <c r="G4624">
        <v>473.6982727050781</v>
      </c>
      <c r="H4624">
        <v>91891600</v>
      </c>
      <c r="I4624" t="s">
        <v>2635</v>
      </c>
      <c r="J4624" t="s">
        <v>2636</v>
      </c>
      <c r="K4624" t="s">
        <v>7557</v>
      </c>
    </row>
    <row r="4625" spans="1:11" ht="20" customHeight="1">
      <c r="A4625" t="s">
        <v>7556</v>
      </c>
      <c r="B4625" t="s">
        <v>2637</v>
      </c>
      <c r="C4625">
        <v>489.6499938964844</v>
      </c>
      <c r="D4625">
        <v>496.0499877929688</v>
      </c>
      <c r="E4625">
        <v>489.2999877929688</v>
      </c>
      <c r="F4625">
        <v>494.3500061035156</v>
      </c>
      <c r="G4625">
        <v>478.6850891113281</v>
      </c>
      <c r="H4625">
        <v>99228200</v>
      </c>
      <c r="I4625" t="s">
        <v>2638</v>
      </c>
      <c r="J4625" t="s">
        <v>2639</v>
      </c>
      <c r="K4625" t="s">
        <v>7557</v>
      </c>
    </row>
    <row r="4626" spans="1:11" ht="20" customHeight="1">
      <c r="A4626" t="s">
        <v>7556</v>
      </c>
      <c r="B4626" t="s">
        <v>2640</v>
      </c>
      <c r="C4626">
        <v>493.7000122070312</v>
      </c>
      <c r="D4626">
        <v>494.3800048828125</v>
      </c>
      <c r="E4626">
        <v>490.2300109863281</v>
      </c>
      <c r="F4626">
        <v>492.5499877929688</v>
      </c>
      <c r="G4626">
        <v>476.942138671875</v>
      </c>
      <c r="H4626">
        <v>75757100</v>
      </c>
      <c r="I4626" t="s">
        <v>2641</v>
      </c>
      <c r="J4626" t="s">
        <v>2642</v>
      </c>
      <c r="K4626" t="s">
        <v>7557</v>
      </c>
    </row>
    <row r="4627" spans="1:11" ht="20" customHeight="1">
      <c r="A4627" t="s">
        <v>7556</v>
      </c>
      <c r="B4627" t="s">
        <v>2643</v>
      </c>
      <c r="C4627">
        <v>493.5199890136719</v>
      </c>
      <c r="D4627">
        <v>494.3200073242188</v>
      </c>
      <c r="E4627">
        <v>492.0499877929688</v>
      </c>
      <c r="F4627">
        <v>493.9800109863281</v>
      </c>
      <c r="G4627">
        <v>478.3268432617188</v>
      </c>
      <c r="H4627">
        <v>55918600</v>
      </c>
      <c r="I4627" t="s">
        <v>2644</v>
      </c>
      <c r="J4627" t="s">
        <v>2645</v>
      </c>
      <c r="K4627" t="s">
        <v>7557</v>
      </c>
    </row>
    <row r="4628" spans="1:11" ht="20" customHeight="1">
      <c r="A4628" t="s">
        <v>7556</v>
      </c>
      <c r="B4628" t="s">
        <v>2646</v>
      </c>
      <c r="C4628">
        <v>496.2900085449219</v>
      </c>
      <c r="D4628">
        <v>498.5299987792969</v>
      </c>
      <c r="E4628">
        <v>495.3599853515625</v>
      </c>
      <c r="F4628">
        <v>498.1000061035156</v>
      </c>
      <c r="G4628">
        <v>482.3162841796875</v>
      </c>
      <c r="H4628">
        <v>70556500</v>
      </c>
      <c r="I4628" t="s">
        <v>2647</v>
      </c>
      <c r="J4628" t="s">
        <v>2648</v>
      </c>
      <c r="K4628" t="s">
        <v>7557</v>
      </c>
    </row>
    <row r="4629" spans="1:11" ht="20" customHeight="1">
      <c r="A4629" t="s">
        <v>7556</v>
      </c>
      <c r="B4629" t="s">
        <v>2649</v>
      </c>
      <c r="C4629">
        <v>498.1000061035156</v>
      </c>
      <c r="D4629">
        <v>498.7099914550781</v>
      </c>
      <c r="E4629">
        <v>497.260009765625</v>
      </c>
      <c r="F4629">
        <v>498.3200073242188</v>
      </c>
      <c r="G4629">
        <v>482.5293273925781</v>
      </c>
      <c r="H4629">
        <v>52343600</v>
      </c>
      <c r="I4629" t="s">
        <v>2650</v>
      </c>
      <c r="J4629" t="s">
        <v>2651</v>
      </c>
      <c r="K4629" t="s">
        <v>7557</v>
      </c>
    </row>
    <row r="4630" spans="1:11" ht="20" customHeight="1">
      <c r="A4630" t="s">
        <v>7556</v>
      </c>
      <c r="B4630" t="s">
        <v>2652</v>
      </c>
      <c r="C4630">
        <v>498.8399963378906</v>
      </c>
      <c r="D4630">
        <v>501.6499938964844</v>
      </c>
      <c r="E4630">
        <v>498.489990234375</v>
      </c>
      <c r="F4630">
        <v>501.2000122070312</v>
      </c>
      <c r="G4630">
        <v>485.3180236816406</v>
      </c>
      <c r="H4630">
        <v>63979400</v>
      </c>
      <c r="I4630" t="s">
        <v>2653</v>
      </c>
      <c r="J4630" t="s">
        <v>2654</v>
      </c>
      <c r="K4630" t="s">
        <v>7557</v>
      </c>
    </row>
    <row r="4631" spans="1:11" ht="20" customHeight="1">
      <c r="A4631" t="s">
        <v>7556</v>
      </c>
      <c r="B4631" t="s">
        <v>2655</v>
      </c>
      <c r="C4631">
        <v>501.1700134277344</v>
      </c>
      <c r="D4631">
        <v>503.5</v>
      </c>
      <c r="E4631">
        <v>500.239990234375</v>
      </c>
      <c r="F4631">
        <v>500.9800109863281</v>
      </c>
      <c r="G4631">
        <v>485.1050109863281</v>
      </c>
      <c r="H4631">
        <v>56502300</v>
      </c>
      <c r="I4631" t="s">
        <v>2656</v>
      </c>
      <c r="J4631" t="s">
        <v>2657</v>
      </c>
      <c r="K4631" t="s">
        <v>7557</v>
      </c>
    </row>
    <row r="4632" spans="1:11" ht="20" customHeight="1">
      <c r="A4632" t="s">
        <v>7556</v>
      </c>
      <c r="B4632" t="s">
        <v>2658</v>
      </c>
      <c r="C4632">
        <v>494.5299987792969</v>
      </c>
      <c r="D4632">
        <v>497.0899963378906</v>
      </c>
      <c r="E4632">
        <v>490.7200012207031</v>
      </c>
      <c r="F4632">
        <v>494.0799865722656</v>
      </c>
      <c r="G4632">
        <v>478.4236450195312</v>
      </c>
      <c r="H4632">
        <v>113099200</v>
      </c>
      <c r="I4632" t="s">
        <v>2659</v>
      </c>
      <c r="J4632" t="s">
        <v>2660</v>
      </c>
      <c r="K4632" t="s">
        <v>7557</v>
      </c>
    </row>
    <row r="4633" spans="1:11" ht="20" customHeight="1">
      <c r="A4633" t="s">
        <v>7556</v>
      </c>
      <c r="B4633" t="s">
        <v>2661</v>
      </c>
      <c r="C4633">
        <v>496.7900085449219</v>
      </c>
      <c r="D4633">
        <v>499.0700073242188</v>
      </c>
      <c r="E4633">
        <v>494.3999938964844</v>
      </c>
      <c r="F4633">
        <v>498.5700073242188</v>
      </c>
      <c r="G4633">
        <v>482.7713928222656</v>
      </c>
      <c r="H4633">
        <v>68387800</v>
      </c>
      <c r="I4633" t="s">
        <v>2662</v>
      </c>
      <c r="J4633" t="s">
        <v>2663</v>
      </c>
      <c r="K4633" t="s">
        <v>7557</v>
      </c>
    </row>
    <row r="4634" spans="1:11" ht="20" customHeight="1">
      <c r="A4634" t="s">
        <v>7556</v>
      </c>
      <c r="B4634" t="s">
        <v>2664</v>
      </c>
      <c r="C4634">
        <v>499.2900085449219</v>
      </c>
      <c r="D4634">
        <v>502.2000122070312</v>
      </c>
      <c r="E4634">
        <v>498.7999877929688</v>
      </c>
      <c r="F4634">
        <v>502.010009765625</v>
      </c>
      <c r="G4634">
        <v>486.1023864746094</v>
      </c>
      <c r="H4634">
        <v>61683000</v>
      </c>
      <c r="I4634" t="s">
        <v>2665</v>
      </c>
      <c r="J4634" t="s">
        <v>2666</v>
      </c>
      <c r="K4634" t="s">
        <v>7557</v>
      </c>
    </row>
    <row r="4635" spans="1:11" ht="20" customHeight="1">
      <c r="A4635" t="s">
        <v>7556</v>
      </c>
      <c r="B4635" t="s">
        <v>2667</v>
      </c>
      <c r="C4635">
        <v>501.7000122070312</v>
      </c>
      <c r="D4635">
        <v>502.8699951171875</v>
      </c>
      <c r="E4635">
        <v>498.75</v>
      </c>
      <c r="F4635">
        <v>499.510009765625</v>
      </c>
      <c r="G4635">
        <v>483.681640625</v>
      </c>
      <c r="H4635">
        <v>75532900</v>
      </c>
      <c r="I4635" t="s">
        <v>2668</v>
      </c>
      <c r="J4635" t="s">
        <v>2669</v>
      </c>
      <c r="K4635" t="s">
        <v>7557</v>
      </c>
    </row>
    <row r="4636" spans="1:11" ht="20" customHeight="1">
      <c r="A4636" t="s">
        <v>7556</v>
      </c>
      <c r="B4636" t="s">
        <v>2670</v>
      </c>
      <c r="C4636">
        <v>497.7200012207031</v>
      </c>
      <c r="D4636">
        <v>498.4100036621094</v>
      </c>
      <c r="E4636">
        <v>494.4500122070312</v>
      </c>
      <c r="F4636">
        <v>496.760009765625</v>
      </c>
      <c r="G4636">
        <v>481.0187377929688</v>
      </c>
      <c r="H4636">
        <v>71736700</v>
      </c>
      <c r="I4636" t="s">
        <v>2671</v>
      </c>
      <c r="J4636" t="s">
        <v>2672</v>
      </c>
      <c r="K4636" t="s">
        <v>7557</v>
      </c>
    </row>
    <row r="4637" spans="1:11" ht="20" customHeight="1">
      <c r="A4637" t="s">
        <v>7556</v>
      </c>
      <c r="B4637" t="s">
        <v>2673</v>
      </c>
      <c r="C4637">
        <v>495.4200134277344</v>
      </c>
      <c r="D4637">
        <v>497.3699951171875</v>
      </c>
      <c r="E4637">
        <v>493.5599975585938</v>
      </c>
      <c r="F4637">
        <v>497.2099914550781</v>
      </c>
      <c r="G4637">
        <v>481.4544982910156</v>
      </c>
      <c r="H4637">
        <v>59293400</v>
      </c>
      <c r="I4637" t="s">
        <v>2674</v>
      </c>
      <c r="J4637" t="s">
        <v>2675</v>
      </c>
      <c r="K4637" t="s">
        <v>7557</v>
      </c>
    </row>
    <row r="4638" spans="1:11" ht="20" customHeight="1">
      <c r="A4638" t="s">
        <v>7556</v>
      </c>
      <c r="B4638" t="s">
        <v>2676</v>
      </c>
      <c r="C4638">
        <v>504.010009765625</v>
      </c>
      <c r="D4638">
        <v>508.489990234375</v>
      </c>
      <c r="E4638">
        <v>503.0199890136719</v>
      </c>
      <c r="F4638">
        <v>507.5</v>
      </c>
      <c r="G4638">
        <v>491.41845703125</v>
      </c>
      <c r="H4638">
        <v>76402500</v>
      </c>
      <c r="I4638" t="s">
        <v>2677</v>
      </c>
      <c r="J4638" t="s">
        <v>2678</v>
      </c>
      <c r="K4638" t="s">
        <v>7557</v>
      </c>
    </row>
    <row r="4639" spans="1:11" ht="20" customHeight="1">
      <c r="A4639" t="s">
        <v>7556</v>
      </c>
      <c r="B4639" t="s">
        <v>2679</v>
      </c>
      <c r="C4639">
        <v>509.2699890136719</v>
      </c>
      <c r="D4639">
        <v>510.1300048828125</v>
      </c>
      <c r="E4639">
        <v>507.1000061035156</v>
      </c>
      <c r="F4639">
        <v>507.8500061035156</v>
      </c>
      <c r="G4639">
        <v>491.75732421875</v>
      </c>
      <c r="H4639">
        <v>61321800</v>
      </c>
      <c r="I4639" t="s">
        <v>2680</v>
      </c>
      <c r="J4639" t="s">
        <v>2681</v>
      </c>
      <c r="K4639" t="s">
        <v>7557</v>
      </c>
    </row>
    <row r="4640" spans="1:11" ht="20" customHeight="1">
      <c r="A4640" t="s">
        <v>7556</v>
      </c>
      <c r="B4640" t="s">
        <v>2682</v>
      </c>
      <c r="C4640">
        <v>508.2999877929688</v>
      </c>
      <c r="D4640">
        <v>508.75</v>
      </c>
      <c r="E4640">
        <v>505.8599853515625</v>
      </c>
      <c r="F4640">
        <v>505.989990234375</v>
      </c>
      <c r="G4640">
        <v>489.9562377929688</v>
      </c>
      <c r="H4640">
        <v>50386700</v>
      </c>
      <c r="I4640" t="s">
        <v>2683</v>
      </c>
      <c r="J4640" t="s">
        <v>2684</v>
      </c>
      <c r="K4640" t="s">
        <v>7557</v>
      </c>
    </row>
    <row r="4641" spans="1:11" ht="20" customHeight="1">
      <c r="A4641" t="s">
        <v>7556</v>
      </c>
      <c r="B4641" t="s">
        <v>2685</v>
      </c>
      <c r="C4641">
        <v>506.7000122070312</v>
      </c>
      <c r="D4641">
        <v>507.1600036621094</v>
      </c>
      <c r="E4641">
        <v>504.75</v>
      </c>
      <c r="F4641">
        <v>506.9299926757812</v>
      </c>
      <c r="G4641">
        <v>490.866455078125</v>
      </c>
      <c r="H4641">
        <v>48854500</v>
      </c>
      <c r="I4641" t="s">
        <v>2686</v>
      </c>
      <c r="J4641" t="s">
        <v>2687</v>
      </c>
      <c r="K4641" t="s">
        <v>7557</v>
      </c>
    </row>
    <row r="4642" spans="1:11" ht="20" customHeight="1">
      <c r="A4642" t="s">
        <v>7556</v>
      </c>
      <c r="B4642" t="s">
        <v>2688</v>
      </c>
      <c r="C4642">
        <v>505.3299865722656</v>
      </c>
      <c r="D4642">
        <v>506.8599853515625</v>
      </c>
      <c r="E4642">
        <v>504.9599914550781</v>
      </c>
      <c r="F4642">
        <v>506.260009765625</v>
      </c>
      <c r="G4642">
        <v>490.2176818847656</v>
      </c>
      <c r="H4642">
        <v>56506600</v>
      </c>
      <c r="I4642" t="s">
        <v>2689</v>
      </c>
      <c r="J4642" t="s">
        <v>2690</v>
      </c>
      <c r="K4642" t="s">
        <v>7557</v>
      </c>
    </row>
    <row r="4643" spans="1:11" ht="20" customHeight="1">
      <c r="A4643" t="s">
        <v>7556</v>
      </c>
      <c r="B4643" t="s">
        <v>2691</v>
      </c>
      <c r="C4643">
        <v>508.0700073242188</v>
      </c>
      <c r="D4643">
        <v>509.739990234375</v>
      </c>
      <c r="E4643">
        <v>505.3500061035156</v>
      </c>
      <c r="F4643">
        <v>508.0799865722656</v>
      </c>
      <c r="G4643">
        <v>491.9800109863281</v>
      </c>
      <c r="H4643">
        <v>83924800</v>
      </c>
      <c r="I4643" t="s">
        <v>2692</v>
      </c>
      <c r="J4643" t="s">
        <v>2693</v>
      </c>
      <c r="K4643" t="s">
        <v>7557</v>
      </c>
    </row>
    <row r="4644" spans="1:11" ht="20" customHeight="1">
      <c r="A4644" t="s">
        <v>7556</v>
      </c>
      <c r="B4644" t="s">
        <v>2694</v>
      </c>
      <c r="C4644">
        <v>508.9800109863281</v>
      </c>
      <c r="D4644">
        <v>513.2899780273438</v>
      </c>
      <c r="E4644">
        <v>508.5599975585938</v>
      </c>
      <c r="F4644">
        <v>512.8499755859375</v>
      </c>
      <c r="G4644">
        <v>496.5989074707031</v>
      </c>
      <c r="H4644">
        <v>76844800</v>
      </c>
      <c r="I4644" t="s">
        <v>2695</v>
      </c>
      <c r="J4644" t="s">
        <v>2696</v>
      </c>
      <c r="K4644" t="s">
        <v>7557</v>
      </c>
    </row>
    <row r="4645" spans="1:11" ht="20" customHeight="1">
      <c r="A4645" t="s">
        <v>7556</v>
      </c>
      <c r="B4645" t="s">
        <v>2697</v>
      </c>
      <c r="C4645">
        <v>512.030029296875</v>
      </c>
      <c r="D4645">
        <v>514.2000122070312</v>
      </c>
      <c r="E4645">
        <v>512</v>
      </c>
      <c r="F4645">
        <v>512.2999877929688</v>
      </c>
      <c r="G4645">
        <v>496.0662536621094</v>
      </c>
      <c r="H4645">
        <v>49799300</v>
      </c>
      <c r="I4645" t="s">
        <v>2698</v>
      </c>
      <c r="J4645" t="s">
        <v>2699</v>
      </c>
      <c r="K4645" t="s">
        <v>7557</v>
      </c>
    </row>
    <row r="4646" spans="1:11" ht="20" customHeight="1">
      <c r="A4646" t="s">
        <v>7556</v>
      </c>
      <c r="B4646" t="s">
        <v>2700</v>
      </c>
      <c r="C4646">
        <v>510.239990234375</v>
      </c>
      <c r="D4646">
        <v>510.7000122070312</v>
      </c>
      <c r="E4646">
        <v>504.9100036621094</v>
      </c>
      <c r="F4646">
        <v>507.1799926757812</v>
      </c>
      <c r="G4646">
        <v>491.1085510253906</v>
      </c>
      <c r="H4646">
        <v>72855600</v>
      </c>
      <c r="I4646" t="s">
        <v>2701</v>
      </c>
      <c r="J4646" t="s">
        <v>2702</v>
      </c>
      <c r="K4646" t="s">
        <v>7557</v>
      </c>
    </row>
    <row r="4647" spans="1:11" ht="20" customHeight="1">
      <c r="A4647" t="s">
        <v>7556</v>
      </c>
      <c r="B4647" t="s">
        <v>2703</v>
      </c>
      <c r="C4647">
        <v>510.5499877929688</v>
      </c>
      <c r="D4647">
        <v>512.0700073242188</v>
      </c>
      <c r="E4647">
        <v>508.4200134277344</v>
      </c>
      <c r="F4647">
        <v>509.75</v>
      </c>
      <c r="G4647">
        <v>493.5971374511719</v>
      </c>
      <c r="H4647">
        <v>68382400</v>
      </c>
      <c r="I4647" t="s">
        <v>2704</v>
      </c>
      <c r="J4647" t="s">
        <v>2705</v>
      </c>
      <c r="K4647" t="s">
        <v>7557</v>
      </c>
    </row>
    <row r="4648" spans="1:11" ht="20" customHeight="1">
      <c r="A4648" t="s">
        <v>7556</v>
      </c>
      <c r="B4648" t="s">
        <v>2706</v>
      </c>
      <c r="C4648">
        <v>513.1400146484375</v>
      </c>
      <c r="D4648">
        <v>515.8900146484375</v>
      </c>
      <c r="E4648">
        <v>509.8099975585938</v>
      </c>
      <c r="F4648">
        <v>514.8099975585938</v>
      </c>
      <c r="G4648">
        <v>498.4967346191406</v>
      </c>
      <c r="H4648">
        <v>58652100</v>
      </c>
      <c r="I4648" t="s">
        <v>2707</v>
      </c>
      <c r="J4648" t="s">
        <v>2708</v>
      </c>
      <c r="K4648" t="s">
        <v>7557</v>
      </c>
    </row>
    <row r="4649" spans="1:11" ht="20" customHeight="1">
      <c r="A4649" t="s">
        <v>7556</v>
      </c>
      <c r="B4649" t="s">
        <v>2709</v>
      </c>
      <c r="C4649">
        <v>515.4600219726562</v>
      </c>
      <c r="D4649">
        <v>518.219970703125</v>
      </c>
      <c r="E4649">
        <v>511.1300048828125</v>
      </c>
      <c r="F4649">
        <v>511.7200012207031</v>
      </c>
      <c r="G4649">
        <v>495.5046997070312</v>
      </c>
      <c r="H4649">
        <v>86532500</v>
      </c>
      <c r="I4649" t="s">
        <v>2710</v>
      </c>
      <c r="J4649" t="s">
        <v>2711</v>
      </c>
      <c r="K4649" t="s">
        <v>7557</v>
      </c>
    </row>
    <row r="4650" spans="1:11" ht="20" customHeight="1">
      <c r="A4650" t="s">
        <v>7556</v>
      </c>
      <c r="B4650" t="s">
        <v>2712</v>
      </c>
      <c r="C4650">
        <v>510.4800109863281</v>
      </c>
      <c r="D4650">
        <v>511.8800048828125</v>
      </c>
      <c r="E4650">
        <v>508.5</v>
      </c>
      <c r="F4650">
        <v>511.2799987792969</v>
      </c>
      <c r="G4650">
        <v>495.0786437988281</v>
      </c>
      <c r="H4650">
        <v>62557200</v>
      </c>
      <c r="I4650" t="s">
        <v>2713</v>
      </c>
      <c r="J4650" t="s">
        <v>2714</v>
      </c>
      <c r="K4650" t="s">
        <v>7557</v>
      </c>
    </row>
    <row r="4651" spans="1:11" ht="20" customHeight="1">
      <c r="A4651" t="s">
        <v>7556</v>
      </c>
      <c r="B4651" t="s">
        <v>2715</v>
      </c>
      <c r="C4651">
        <v>513.4500122070312</v>
      </c>
      <c r="D4651">
        <v>517.3800048828125</v>
      </c>
      <c r="E4651">
        <v>510.8599853515625</v>
      </c>
      <c r="F4651">
        <v>516.780029296875</v>
      </c>
      <c r="G4651">
        <v>500.4043579101562</v>
      </c>
      <c r="H4651">
        <v>73114400</v>
      </c>
      <c r="I4651" t="s">
        <v>2716</v>
      </c>
      <c r="J4651" t="s">
        <v>2717</v>
      </c>
      <c r="K4651" t="s">
        <v>7557</v>
      </c>
    </row>
    <row r="4652" spans="1:11" ht="20" customHeight="1">
      <c r="A4652" t="s">
        <v>7556</v>
      </c>
      <c r="B4652" t="s">
        <v>2718</v>
      </c>
      <c r="C4652">
        <v>517.1099853515625</v>
      </c>
      <c r="D4652">
        <v>517.2899780273438</v>
      </c>
      <c r="E4652">
        <v>514.489990234375</v>
      </c>
      <c r="F4652">
        <v>515.969970703125</v>
      </c>
      <c r="G4652">
        <v>499.6199645996094</v>
      </c>
      <c r="H4652">
        <v>55104100</v>
      </c>
      <c r="I4652" t="s">
        <v>2719</v>
      </c>
      <c r="J4652" t="s">
        <v>2720</v>
      </c>
      <c r="K4652" t="s">
        <v>7557</v>
      </c>
    </row>
    <row r="4653" spans="1:11" ht="20" customHeight="1">
      <c r="A4653" t="s">
        <v>7556</v>
      </c>
      <c r="B4653" t="s">
        <v>2721</v>
      </c>
      <c r="C4653">
        <v>516.969970703125</v>
      </c>
      <c r="D4653">
        <v>517.1300048828125</v>
      </c>
      <c r="E4653">
        <v>511.8200073242188</v>
      </c>
      <c r="F4653">
        <v>514.9500122070312</v>
      </c>
      <c r="G4653">
        <v>498.6323852539062</v>
      </c>
      <c r="H4653">
        <v>110171800</v>
      </c>
      <c r="I4653" t="s">
        <v>2722</v>
      </c>
      <c r="J4653" t="s">
        <v>2723</v>
      </c>
      <c r="K4653" t="s">
        <v>7557</v>
      </c>
    </row>
    <row r="4654" spans="1:11" ht="20" customHeight="1">
      <c r="A4654" t="s">
        <v>7556</v>
      </c>
      <c r="B4654" t="s">
        <v>2724</v>
      </c>
      <c r="C4654">
        <v>510.2099914550781</v>
      </c>
      <c r="D4654">
        <v>511.7000122070312</v>
      </c>
      <c r="E4654">
        <v>508.1199951171875</v>
      </c>
      <c r="F4654">
        <v>509.8299865722656</v>
      </c>
      <c r="G4654">
        <v>495.2084045410156</v>
      </c>
      <c r="H4654">
        <v>107646300</v>
      </c>
      <c r="I4654" t="s">
        <v>2725</v>
      </c>
      <c r="J4654" t="s">
        <v>2726</v>
      </c>
      <c r="K4654" t="s">
        <v>7557</v>
      </c>
    </row>
    <row r="4655" spans="1:11" ht="20" customHeight="1">
      <c r="A4655" t="s">
        <v>7556</v>
      </c>
      <c r="B4655" t="s">
        <v>2727</v>
      </c>
      <c r="C4655">
        <v>514</v>
      </c>
      <c r="D4655">
        <v>515.47998046875</v>
      </c>
      <c r="E4655">
        <v>512.4400024414062</v>
      </c>
      <c r="F4655">
        <v>512.8599853515625</v>
      </c>
      <c r="G4655">
        <v>498.1514892578125</v>
      </c>
      <c r="H4655">
        <v>88893300</v>
      </c>
      <c r="I4655" t="s">
        <v>2728</v>
      </c>
      <c r="J4655" t="s">
        <v>2729</v>
      </c>
      <c r="K4655" t="s">
        <v>7557</v>
      </c>
    </row>
    <row r="4656" spans="1:11" ht="20" customHeight="1">
      <c r="A4656" t="s">
        <v>7556</v>
      </c>
      <c r="B4656" t="s">
        <v>2730</v>
      </c>
      <c r="C4656">
        <v>512.1500244140625</v>
      </c>
      <c r="D4656">
        <v>516</v>
      </c>
      <c r="E4656">
        <v>511.1199951171875</v>
      </c>
      <c r="F4656">
        <v>515.7100219726562</v>
      </c>
      <c r="G4656">
        <v>500.9197998046875</v>
      </c>
      <c r="H4656">
        <v>60755300</v>
      </c>
      <c r="I4656" t="s">
        <v>2731</v>
      </c>
      <c r="J4656" t="s">
        <v>2732</v>
      </c>
      <c r="K4656" t="s">
        <v>7557</v>
      </c>
    </row>
    <row r="4657" spans="1:11" ht="20" customHeight="1">
      <c r="A4657" t="s">
        <v>7556</v>
      </c>
      <c r="B4657" t="s">
        <v>2733</v>
      </c>
      <c r="C4657">
        <v>515.77001953125</v>
      </c>
      <c r="D4657">
        <v>520.6199951171875</v>
      </c>
      <c r="E4657">
        <v>515.0800170898438</v>
      </c>
      <c r="F4657">
        <v>520.47998046875</v>
      </c>
      <c r="G4657">
        <v>505.5530700683594</v>
      </c>
      <c r="H4657">
        <v>69594600</v>
      </c>
      <c r="I4657" t="s">
        <v>2734</v>
      </c>
      <c r="J4657" t="s">
        <v>2735</v>
      </c>
      <c r="K4657" t="s">
        <v>7557</v>
      </c>
    </row>
    <row r="4658" spans="1:11" ht="20" customHeight="1">
      <c r="A4658" t="s">
        <v>7556</v>
      </c>
      <c r="B4658" t="s">
        <v>2736</v>
      </c>
      <c r="C4658">
        <v>523.3900146484375</v>
      </c>
      <c r="D4658">
        <v>524.1099853515625</v>
      </c>
      <c r="E4658">
        <v>521.9099731445312</v>
      </c>
      <c r="F4658">
        <v>522.2000122070312</v>
      </c>
      <c r="G4658">
        <v>507.2236328125</v>
      </c>
      <c r="H4658">
        <v>60256100</v>
      </c>
      <c r="I4658" t="s">
        <v>2737</v>
      </c>
      <c r="J4658" t="s">
        <v>2738</v>
      </c>
      <c r="K4658" t="s">
        <v>7557</v>
      </c>
    </row>
    <row r="4659" spans="1:11" ht="20" customHeight="1">
      <c r="A4659" t="s">
        <v>7556</v>
      </c>
      <c r="B4659" t="s">
        <v>2739</v>
      </c>
      <c r="C4659">
        <v>522.1099853515625</v>
      </c>
      <c r="D4659">
        <v>522.6099853515625</v>
      </c>
      <c r="E4659">
        <v>520.969970703125</v>
      </c>
      <c r="F4659">
        <v>521.2100219726562</v>
      </c>
      <c r="G4659">
        <v>506.2620849609375</v>
      </c>
      <c r="H4659">
        <v>79070800</v>
      </c>
      <c r="I4659" t="s">
        <v>2740</v>
      </c>
      <c r="J4659" t="s">
        <v>2741</v>
      </c>
      <c r="K4659" t="s">
        <v>7557</v>
      </c>
    </row>
    <row r="4660" spans="1:11" ht="20" customHeight="1">
      <c r="A4660" t="s">
        <v>7556</v>
      </c>
      <c r="B4660" t="s">
        <v>2742</v>
      </c>
      <c r="C4660">
        <v>519.7999877929688</v>
      </c>
      <c r="D4660">
        <v>520.9500122070312</v>
      </c>
      <c r="E4660">
        <v>519.6099853515625</v>
      </c>
      <c r="F4660">
        <v>519.77001953125</v>
      </c>
      <c r="G4660">
        <v>504.8633117675781</v>
      </c>
      <c r="H4660">
        <v>48512100</v>
      </c>
      <c r="I4660" t="s">
        <v>2743</v>
      </c>
      <c r="J4660" t="s">
        <v>2744</v>
      </c>
      <c r="K4660" t="s">
        <v>7557</v>
      </c>
    </row>
    <row r="4661" spans="1:11" ht="20" customHeight="1">
      <c r="A4661" t="s">
        <v>7556</v>
      </c>
      <c r="B4661" t="s">
        <v>2745</v>
      </c>
      <c r="C4661">
        <v>521.22998046875</v>
      </c>
      <c r="D4661">
        <v>521.5800170898438</v>
      </c>
      <c r="E4661">
        <v>518.4000244140625</v>
      </c>
      <c r="F4661">
        <v>518.8099975585938</v>
      </c>
      <c r="G4661">
        <v>503.930908203125</v>
      </c>
      <c r="H4661">
        <v>65463700</v>
      </c>
      <c r="I4661" t="s">
        <v>2746</v>
      </c>
      <c r="J4661" t="s">
        <v>2747</v>
      </c>
      <c r="K4661" t="s">
        <v>7557</v>
      </c>
    </row>
    <row r="4662" spans="1:11" ht="20" customHeight="1">
      <c r="A4662" t="s">
        <v>7556</v>
      </c>
      <c r="B4662" t="s">
        <v>2748</v>
      </c>
      <c r="C4662">
        <v>521.7100219726562</v>
      </c>
      <c r="D4662">
        <v>523.2100219726562</v>
      </c>
      <c r="E4662">
        <v>519.489990234375</v>
      </c>
      <c r="F4662">
        <v>523.1699829101562</v>
      </c>
      <c r="G4662">
        <v>508.165771484375</v>
      </c>
      <c r="H4662">
        <v>82999800</v>
      </c>
      <c r="I4662" t="s">
        <v>2749</v>
      </c>
      <c r="J4662" t="s">
        <v>2750</v>
      </c>
      <c r="K4662" t="s">
        <v>7557</v>
      </c>
    </row>
    <row r="4663" spans="1:11" ht="20" customHeight="1">
      <c r="A4663" t="s">
        <v>7556</v>
      </c>
      <c r="B4663" t="s">
        <v>2751</v>
      </c>
      <c r="C4663">
        <v>523.2100219726562</v>
      </c>
      <c r="D4663">
        <v>524.6099853515625</v>
      </c>
      <c r="E4663">
        <v>522.780029296875</v>
      </c>
      <c r="F4663">
        <v>523.0700073242188</v>
      </c>
      <c r="G4663">
        <v>508.0686950683594</v>
      </c>
      <c r="H4663">
        <v>96294900</v>
      </c>
      <c r="I4663" t="s">
        <v>2752</v>
      </c>
      <c r="J4663" t="s">
        <v>2753</v>
      </c>
      <c r="K4663" t="s">
        <v>7557</v>
      </c>
    </row>
    <row r="4664" spans="1:11" ht="20" customHeight="1">
      <c r="A4664" t="s">
        <v>7556</v>
      </c>
      <c r="B4664" t="s">
        <v>2754</v>
      </c>
      <c r="C4664">
        <v>523.8300170898438</v>
      </c>
      <c r="D4664">
        <v>524.3800048828125</v>
      </c>
      <c r="E4664">
        <v>520.969970703125</v>
      </c>
      <c r="F4664">
        <v>522.1599731445312</v>
      </c>
      <c r="G4664">
        <v>507.1847229003906</v>
      </c>
      <c r="H4664">
        <v>62477500</v>
      </c>
      <c r="I4664" t="s">
        <v>2755</v>
      </c>
      <c r="J4664" t="s">
        <v>2756</v>
      </c>
      <c r="K4664" t="s">
        <v>7557</v>
      </c>
    </row>
    <row r="4665" spans="1:11" ht="20" customHeight="1">
      <c r="A4665" t="s">
        <v>7556</v>
      </c>
      <c r="B4665" t="s">
        <v>2757</v>
      </c>
      <c r="C4665">
        <v>518.239990234375</v>
      </c>
      <c r="D4665">
        <v>518.97998046875</v>
      </c>
      <c r="E4665">
        <v>516.47998046875</v>
      </c>
      <c r="F4665">
        <v>518.8400268554688</v>
      </c>
      <c r="G4665">
        <v>503.9600830078125</v>
      </c>
      <c r="H4665">
        <v>74230300</v>
      </c>
      <c r="I4665" t="s">
        <v>2758</v>
      </c>
      <c r="J4665" t="s">
        <v>2759</v>
      </c>
      <c r="K4665" t="s">
        <v>7557</v>
      </c>
    </row>
    <row r="4666" spans="1:11" ht="20" customHeight="1">
      <c r="A4666" t="s">
        <v>7556</v>
      </c>
      <c r="B4666" t="s">
        <v>2760</v>
      </c>
      <c r="C4666">
        <v>517.719970703125</v>
      </c>
      <c r="D4666">
        <v>520.9500122070312</v>
      </c>
      <c r="E4666">
        <v>517.6699829101562</v>
      </c>
      <c r="F4666">
        <v>519.4099731445312</v>
      </c>
      <c r="G4666">
        <v>504.5136413574219</v>
      </c>
      <c r="H4666">
        <v>59155800</v>
      </c>
      <c r="I4666" t="s">
        <v>2761</v>
      </c>
      <c r="J4666" t="s">
        <v>2762</v>
      </c>
      <c r="K4666" t="s">
        <v>7557</v>
      </c>
    </row>
    <row r="4667" spans="1:11" ht="20" customHeight="1">
      <c r="A4667" t="s">
        <v>7556</v>
      </c>
      <c r="B4667" t="s">
        <v>2763</v>
      </c>
      <c r="C4667">
        <v>523.52001953125</v>
      </c>
      <c r="D4667">
        <v>523.8699951171875</v>
      </c>
      <c r="E4667">
        <v>512.760009765625</v>
      </c>
      <c r="F4667">
        <v>513.0700073242188</v>
      </c>
      <c r="G4667">
        <v>498.35546875</v>
      </c>
      <c r="H4667">
        <v>96858100</v>
      </c>
      <c r="I4667" t="s">
        <v>2764</v>
      </c>
      <c r="J4667" t="s">
        <v>2765</v>
      </c>
      <c r="K4667" t="s">
        <v>7557</v>
      </c>
    </row>
    <row r="4668" spans="1:11" ht="20" customHeight="1">
      <c r="A4668" t="s">
        <v>7556</v>
      </c>
      <c r="B4668" t="s">
        <v>2766</v>
      </c>
      <c r="C4668">
        <v>514.4600219726562</v>
      </c>
      <c r="D4668">
        <v>520.4400024414062</v>
      </c>
      <c r="E4668">
        <v>514.010009765625</v>
      </c>
      <c r="F4668">
        <v>518.4299926757812</v>
      </c>
      <c r="G4668">
        <v>503.5617370605469</v>
      </c>
      <c r="H4668">
        <v>74546500</v>
      </c>
      <c r="I4668" t="s">
        <v>2767</v>
      </c>
      <c r="J4668" t="s">
        <v>2768</v>
      </c>
      <c r="K4668" t="s">
        <v>7557</v>
      </c>
    </row>
    <row r="4669" spans="1:11" ht="20" customHeight="1">
      <c r="A4669" t="s">
        <v>7556</v>
      </c>
      <c r="B4669" t="s">
        <v>2769</v>
      </c>
      <c r="C4669">
        <v>519.1500244140625</v>
      </c>
      <c r="D4669">
        <v>520.1799926757812</v>
      </c>
      <c r="E4669">
        <v>517.8900146484375</v>
      </c>
      <c r="F4669">
        <v>518.719970703125</v>
      </c>
      <c r="G4669">
        <v>503.8434753417969</v>
      </c>
      <c r="H4669">
        <v>48401800</v>
      </c>
      <c r="I4669" t="s">
        <v>2770</v>
      </c>
      <c r="J4669" t="s">
        <v>2771</v>
      </c>
      <c r="K4669" t="s">
        <v>7557</v>
      </c>
    </row>
    <row r="4670" spans="1:11" ht="20" customHeight="1">
      <c r="A4670" t="s">
        <v>7556</v>
      </c>
      <c r="B4670" t="s">
        <v>2772</v>
      </c>
      <c r="C4670">
        <v>520.5</v>
      </c>
      <c r="D4670">
        <v>520.75</v>
      </c>
      <c r="E4670">
        <v>514.3499755859375</v>
      </c>
      <c r="F4670">
        <v>519.3200073242188</v>
      </c>
      <c r="G4670">
        <v>504.4263000488281</v>
      </c>
      <c r="H4670">
        <v>68049200</v>
      </c>
      <c r="I4670" t="s">
        <v>2773</v>
      </c>
      <c r="J4670" t="s">
        <v>2774</v>
      </c>
      <c r="K4670" t="s">
        <v>7557</v>
      </c>
    </row>
    <row r="4671" spans="1:11" ht="20" customHeight="1">
      <c r="A4671" t="s">
        <v>7556</v>
      </c>
      <c r="B4671" t="s">
        <v>2775</v>
      </c>
      <c r="C4671">
        <v>513.47998046875</v>
      </c>
      <c r="D4671">
        <v>516.1599731445312</v>
      </c>
      <c r="E4671">
        <v>512.0900268554688</v>
      </c>
      <c r="F4671">
        <v>514.1199951171875</v>
      </c>
      <c r="G4671">
        <v>499.3754272460938</v>
      </c>
      <c r="H4671">
        <v>82652800</v>
      </c>
      <c r="I4671" t="s">
        <v>2776</v>
      </c>
      <c r="J4671" t="s">
        <v>2777</v>
      </c>
      <c r="K4671" t="s">
        <v>7557</v>
      </c>
    </row>
    <row r="4672" spans="1:11" ht="20" customHeight="1">
      <c r="A4672" t="s">
        <v>7556</v>
      </c>
      <c r="B4672" t="s">
        <v>2778</v>
      </c>
      <c r="C4672">
        <v>515.6799926757812</v>
      </c>
      <c r="D4672">
        <v>519.47998046875</v>
      </c>
      <c r="E4672">
        <v>512.0800170898438</v>
      </c>
      <c r="F4672">
        <v>518</v>
      </c>
      <c r="G4672">
        <v>503.1441650390625</v>
      </c>
      <c r="H4672">
        <v>70099000</v>
      </c>
      <c r="I4672" t="s">
        <v>2779</v>
      </c>
      <c r="J4672" t="s">
        <v>2780</v>
      </c>
      <c r="K4672" t="s">
        <v>7557</v>
      </c>
    </row>
    <row r="4673" spans="1:11" ht="20" customHeight="1">
      <c r="A4673" t="s">
        <v>7556</v>
      </c>
      <c r="B4673" t="s">
        <v>2781</v>
      </c>
      <c r="C4673">
        <v>514.3699951171875</v>
      </c>
      <c r="D4673">
        <v>515.8200073242188</v>
      </c>
      <c r="E4673">
        <v>509.0799865722656</v>
      </c>
      <c r="F4673">
        <v>510.8500061035156</v>
      </c>
      <c r="G4673">
        <v>496.1991577148438</v>
      </c>
      <c r="H4673">
        <v>92561100</v>
      </c>
      <c r="I4673" t="s">
        <v>2782</v>
      </c>
      <c r="J4673" t="s">
        <v>2783</v>
      </c>
      <c r="K4673" t="s">
        <v>7557</v>
      </c>
    </row>
    <row r="4674" spans="1:11" ht="20" customHeight="1">
      <c r="A4674" t="s">
        <v>7556</v>
      </c>
      <c r="B4674" t="s">
        <v>2784</v>
      </c>
      <c r="C4674">
        <v>515.1300048828125</v>
      </c>
      <c r="D4674">
        <v>515.2999877929688</v>
      </c>
      <c r="E4674">
        <v>503.5799865722656</v>
      </c>
      <c r="F4674">
        <v>504.4500122070312</v>
      </c>
      <c r="G4674">
        <v>489.9827575683594</v>
      </c>
      <c r="H4674">
        <v>92101400</v>
      </c>
      <c r="I4674" t="s">
        <v>2785</v>
      </c>
      <c r="J4674" t="s">
        <v>2786</v>
      </c>
      <c r="K4674" t="s">
        <v>7557</v>
      </c>
    </row>
    <row r="4675" spans="1:11" ht="20" customHeight="1">
      <c r="A4675" t="s">
        <v>7556</v>
      </c>
      <c r="B4675" t="s">
        <v>2787</v>
      </c>
      <c r="C4675">
        <v>504.9400024414062</v>
      </c>
      <c r="D4675">
        <v>506.5</v>
      </c>
      <c r="E4675">
        <v>502.2099914550781</v>
      </c>
      <c r="F4675">
        <v>503.5299987792969</v>
      </c>
      <c r="G4675">
        <v>489.0890808105469</v>
      </c>
      <c r="H4675">
        <v>73484000</v>
      </c>
      <c r="I4675" t="s">
        <v>2788</v>
      </c>
      <c r="J4675" t="s">
        <v>2789</v>
      </c>
      <c r="K4675" t="s">
        <v>7557</v>
      </c>
    </row>
    <row r="4676" spans="1:11" ht="20" customHeight="1">
      <c r="A4676" t="s">
        <v>7556</v>
      </c>
      <c r="B4676" t="s">
        <v>2790</v>
      </c>
      <c r="C4676">
        <v>506.0499877929688</v>
      </c>
      <c r="D4676">
        <v>506.2200012207031</v>
      </c>
      <c r="E4676">
        <v>499.1199951171875</v>
      </c>
      <c r="F4676">
        <v>500.5499877929688</v>
      </c>
      <c r="G4676">
        <v>486.194580078125</v>
      </c>
      <c r="H4676">
        <v>75910300</v>
      </c>
      <c r="I4676" t="s">
        <v>2791</v>
      </c>
      <c r="J4676" t="s">
        <v>2792</v>
      </c>
      <c r="K4676" t="s">
        <v>7557</v>
      </c>
    </row>
    <row r="4677" spans="1:11" ht="20" customHeight="1">
      <c r="A4677" t="s">
        <v>7556</v>
      </c>
      <c r="B4677" t="s">
        <v>2793</v>
      </c>
      <c r="C4677">
        <v>501.9800109863281</v>
      </c>
      <c r="D4677">
        <v>504.1300048828125</v>
      </c>
      <c r="E4677">
        <v>498.5599975585938</v>
      </c>
      <c r="F4677">
        <v>499.5199890136719</v>
      </c>
      <c r="G4677">
        <v>485.194091796875</v>
      </c>
      <c r="H4677">
        <v>74548100</v>
      </c>
      <c r="I4677" t="s">
        <v>2794</v>
      </c>
      <c r="J4677" t="s">
        <v>2795</v>
      </c>
      <c r="K4677" t="s">
        <v>7557</v>
      </c>
    </row>
    <row r="4678" spans="1:11" ht="20" customHeight="1">
      <c r="A4678" t="s">
        <v>7556</v>
      </c>
      <c r="B4678" t="s">
        <v>2796</v>
      </c>
      <c r="C4678">
        <v>499.4400024414062</v>
      </c>
      <c r="D4678">
        <v>500.4599914550781</v>
      </c>
      <c r="E4678">
        <v>493.8599853515625</v>
      </c>
      <c r="F4678">
        <v>495.1600036621094</v>
      </c>
      <c r="G4678">
        <v>480.9591674804688</v>
      </c>
      <c r="H4678">
        <v>102212600</v>
      </c>
      <c r="I4678" t="s">
        <v>2797</v>
      </c>
      <c r="J4678" t="s">
        <v>2798</v>
      </c>
      <c r="K4678" t="s">
        <v>7557</v>
      </c>
    </row>
    <row r="4679" spans="1:11" ht="20" customHeight="1">
      <c r="A4679" t="s">
        <v>7556</v>
      </c>
      <c r="B4679" t="s">
        <v>2799</v>
      </c>
      <c r="C4679">
        <v>497.8299865722656</v>
      </c>
      <c r="D4679">
        <v>502.3800048828125</v>
      </c>
      <c r="E4679">
        <v>495.4299926757812</v>
      </c>
      <c r="F4679">
        <v>499.7200012207031</v>
      </c>
      <c r="G4679">
        <v>485.3883972167969</v>
      </c>
      <c r="H4679">
        <v>67961000</v>
      </c>
      <c r="I4679" t="s">
        <v>2800</v>
      </c>
      <c r="J4679" t="s">
        <v>2801</v>
      </c>
      <c r="K4679" t="s">
        <v>7557</v>
      </c>
    </row>
    <row r="4680" spans="1:11" ht="20" customHeight="1">
      <c r="A4680" t="s">
        <v>7556</v>
      </c>
      <c r="B4680" t="s">
        <v>2802</v>
      </c>
      <c r="C4680">
        <v>501.7799987792969</v>
      </c>
      <c r="D4680">
        <v>506.0899963378906</v>
      </c>
      <c r="E4680">
        <v>499.5299987792969</v>
      </c>
      <c r="F4680">
        <v>505.6499938964844</v>
      </c>
      <c r="G4680">
        <v>491.1483459472656</v>
      </c>
      <c r="H4680">
        <v>64633600</v>
      </c>
      <c r="I4680" t="s">
        <v>2803</v>
      </c>
      <c r="J4680" t="s">
        <v>2804</v>
      </c>
      <c r="K4680" t="s">
        <v>7557</v>
      </c>
    </row>
    <row r="4681" spans="1:11" ht="20" customHeight="1">
      <c r="A4681" t="s">
        <v>7556</v>
      </c>
      <c r="B4681" t="s">
        <v>2805</v>
      </c>
      <c r="C4681">
        <v>506.5599975585938</v>
      </c>
      <c r="D4681">
        <v>507.3699951171875</v>
      </c>
      <c r="E4681">
        <v>503.1300048828125</v>
      </c>
      <c r="F4681">
        <v>505.4100036621094</v>
      </c>
      <c r="G4681">
        <v>490.9151916503906</v>
      </c>
      <c r="H4681">
        <v>55928100</v>
      </c>
      <c r="I4681" t="s">
        <v>2806</v>
      </c>
      <c r="J4681" t="s">
        <v>2807</v>
      </c>
      <c r="K4681" t="s">
        <v>7557</v>
      </c>
    </row>
    <row r="4682" spans="1:11" ht="20" customHeight="1">
      <c r="A4682" t="s">
        <v>7556</v>
      </c>
      <c r="B4682" t="s">
        <v>2808</v>
      </c>
      <c r="C4682">
        <v>499.1799926757812</v>
      </c>
      <c r="D4682">
        <v>504.2699890136719</v>
      </c>
      <c r="E4682">
        <v>497.489990234375</v>
      </c>
      <c r="F4682">
        <v>503.489990234375</v>
      </c>
      <c r="G4682">
        <v>489.0502014160156</v>
      </c>
      <c r="H4682">
        <v>69122400</v>
      </c>
      <c r="I4682" t="s">
        <v>2809</v>
      </c>
      <c r="J4682" t="s">
        <v>2810</v>
      </c>
      <c r="K4682" t="s">
        <v>7557</v>
      </c>
    </row>
    <row r="4683" spans="1:11" ht="20" customHeight="1">
      <c r="A4683" t="s">
        <v>7556</v>
      </c>
      <c r="B4683" t="s">
        <v>2811</v>
      </c>
      <c r="C4683">
        <v>506.3500061035156</v>
      </c>
      <c r="D4683">
        <v>509.8800048828125</v>
      </c>
      <c r="E4683">
        <v>505.7000122070312</v>
      </c>
      <c r="F4683">
        <v>508.260009765625</v>
      </c>
      <c r="G4683">
        <v>493.6834716796875</v>
      </c>
      <c r="H4683">
        <v>64306100</v>
      </c>
      <c r="I4683" t="s">
        <v>2812</v>
      </c>
      <c r="J4683" t="s">
        <v>2813</v>
      </c>
      <c r="K4683" t="s">
        <v>7557</v>
      </c>
    </row>
    <row r="4684" spans="1:11" ht="20" customHeight="1">
      <c r="A4684" t="s">
        <v>7556</v>
      </c>
      <c r="B4684" t="s">
        <v>2814</v>
      </c>
      <c r="C4684">
        <v>510.0899963378906</v>
      </c>
      <c r="D4684">
        <v>510.75</v>
      </c>
      <c r="E4684">
        <v>507.25</v>
      </c>
      <c r="F4684">
        <v>510.0599975585938</v>
      </c>
      <c r="G4684">
        <v>495.4317932128906</v>
      </c>
      <c r="H4684">
        <v>46415400</v>
      </c>
      <c r="I4684" t="s">
        <v>2815</v>
      </c>
      <c r="J4684" t="s">
        <v>2816</v>
      </c>
      <c r="K4684" t="s">
        <v>7557</v>
      </c>
    </row>
    <row r="4685" spans="1:11" ht="20" customHeight="1">
      <c r="A4685" t="s">
        <v>7556</v>
      </c>
      <c r="B4685" t="s">
        <v>2817</v>
      </c>
      <c r="C4685">
        <v>508.5599975585938</v>
      </c>
      <c r="D4685">
        <v>509.5599975585938</v>
      </c>
      <c r="E4685">
        <v>501.9800109863281</v>
      </c>
      <c r="F4685">
        <v>501.9800109863281</v>
      </c>
      <c r="G4685">
        <v>487.5835571289062</v>
      </c>
      <c r="H4685">
        <v>77483600</v>
      </c>
      <c r="I4685" t="s">
        <v>2818</v>
      </c>
      <c r="J4685" t="s">
        <v>2819</v>
      </c>
      <c r="K4685" t="s">
        <v>7557</v>
      </c>
    </row>
    <row r="4686" spans="1:11" ht="20" customHeight="1">
      <c r="A4686" t="s">
        <v>7556</v>
      </c>
      <c r="B4686" t="s">
        <v>2820</v>
      </c>
      <c r="C4686">
        <v>501.3800048828125</v>
      </c>
      <c r="D4686">
        <v>508.1900024414062</v>
      </c>
      <c r="E4686">
        <v>499.8699951171875</v>
      </c>
      <c r="F4686">
        <v>500.3500061035156</v>
      </c>
      <c r="G4686">
        <v>486.0003356933594</v>
      </c>
      <c r="H4686">
        <v>80242800</v>
      </c>
      <c r="I4686" t="s">
        <v>2821</v>
      </c>
      <c r="J4686" t="s">
        <v>2822</v>
      </c>
      <c r="K4686" t="s">
        <v>7557</v>
      </c>
    </row>
    <row r="4687" spans="1:11" ht="20" customHeight="1">
      <c r="A4687" t="s">
        <v>7556</v>
      </c>
      <c r="B4687" t="s">
        <v>2823</v>
      </c>
      <c r="C4687">
        <v>504.1499938964844</v>
      </c>
      <c r="D4687">
        <v>505.8900146484375</v>
      </c>
      <c r="E4687">
        <v>499.5499877929688</v>
      </c>
      <c r="F4687">
        <v>505.0299987792969</v>
      </c>
      <c r="G4687">
        <v>490.5461120605469</v>
      </c>
      <c r="H4687">
        <v>62550200</v>
      </c>
      <c r="I4687" t="s">
        <v>2824</v>
      </c>
      <c r="J4687" t="s">
        <v>2825</v>
      </c>
      <c r="K4687" t="s">
        <v>7557</v>
      </c>
    </row>
    <row r="4688" spans="1:11" ht="20" customHeight="1">
      <c r="A4688" t="s">
        <v>7556</v>
      </c>
      <c r="B4688" t="s">
        <v>2826</v>
      </c>
      <c r="C4688">
        <v>511.1600036621094</v>
      </c>
      <c r="D4688">
        <v>512.5499877929688</v>
      </c>
      <c r="E4688">
        <v>508.5599975585938</v>
      </c>
      <c r="F4688">
        <v>511.2900085449219</v>
      </c>
      <c r="G4688">
        <v>496.6265869140625</v>
      </c>
      <c r="H4688">
        <v>72756700</v>
      </c>
      <c r="I4688" t="s">
        <v>2827</v>
      </c>
      <c r="J4688" t="s">
        <v>2828</v>
      </c>
      <c r="K4688" t="s">
        <v>7557</v>
      </c>
    </row>
    <row r="4689" spans="1:11" ht="20" customHeight="1">
      <c r="A4689" t="s">
        <v>7556</v>
      </c>
      <c r="B4689" t="s">
        <v>2829</v>
      </c>
      <c r="C4689">
        <v>513.75</v>
      </c>
      <c r="D4689">
        <v>516.6099853515625</v>
      </c>
      <c r="E4689">
        <v>513.2999877929688</v>
      </c>
      <c r="F4689">
        <v>516.5700073242188</v>
      </c>
      <c r="G4689">
        <v>501.7550964355469</v>
      </c>
      <c r="H4689">
        <v>47264700</v>
      </c>
      <c r="I4689" t="s">
        <v>2830</v>
      </c>
      <c r="J4689" t="s">
        <v>2831</v>
      </c>
      <c r="K4689" t="s">
        <v>7557</v>
      </c>
    </row>
    <row r="4690" spans="1:11" ht="20" customHeight="1">
      <c r="A4690" t="s">
        <v>7556</v>
      </c>
      <c r="B4690" t="s">
        <v>2832</v>
      </c>
      <c r="C4690">
        <v>517.5599975585938</v>
      </c>
      <c r="D4690">
        <v>518.5700073242188</v>
      </c>
      <c r="E4690">
        <v>516.4500122070312</v>
      </c>
      <c r="F4690">
        <v>517.1400146484375</v>
      </c>
      <c r="G4690">
        <v>502.3088073730469</v>
      </c>
      <c r="H4690">
        <v>52561300</v>
      </c>
      <c r="I4690" t="s">
        <v>2833</v>
      </c>
      <c r="J4690" t="s">
        <v>2834</v>
      </c>
      <c r="K4690" t="s">
        <v>7557</v>
      </c>
    </row>
    <row r="4691" spans="1:11" ht="20" customHeight="1">
      <c r="A4691" t="s">
        <v>7556</v>
      </c>
      <c r="B4691" t="s">
        <v>2835</v>
      </c>
      <c r="C4691">
        <v>515.260009765625</v>
      </c>
      <c r="D4691">
        <v>517.739990234375</v>
      </c>
      <c r="E4691">
        <v>515.1400146484375</v>
      </c>
      <c r="F4691">
        <v>517.1900024414062</v>
      </c>
      <c r="G4691">
        <v>502.3572998046875</v>
      </c>
      <c r="H4691">
        <v>42047200</v>
      </c>
      <c r="I4691" t="s">
        <v>2836</v>
      </c>
      <c r="J4691" t="s">
        <v>2837</v>
      </c>
      <c r="K4691" t="s">
        <v>7557</v>
      </c>
    </row>
    <row r="4692" spans="1:11" ht="20" customHeight="1">
      <c r="A4692" t="s">
        <v>7556</v>
      </c>
      <c r="B4692" t="s">
        <v>2838</v>
      </c>
      <c r="C4692">
        <v>517.3800048828125</v>
      </c>
      <c r="D4692">
        <v>520.2100219726562</v>
      </c>
      <c r="E4692">
        <v>516.7100219726562</v>
      </c>
      <c r="F4692">
        <v>520.1699829101562</v>
      </c>
      <c r="G4692">
        <v>505.2517700195312</v>
      </c>
      <c r="H4692">
        <v>43643700</v>
      </c>
      <c r="I4692" t="s">
        <v>2839</v>
      </c>
      <c r="J4692" t="s">
        <v>2840</v>
      </c>
      <c r="K4692" t="s">
        <v>7557</v>
      </c>
    </row>
    <row r="4693" spans="1:11" ht="20" customHeight="1">
      <c r="A4693" t="s">
        <v>7556</v>
      </c>
      <c r="B4693" t="s">
        <v>2841</v>
      </c>
      <c r="C4693">
        <v>521.8099975585938</v>
      </c>
      <c r="D4693">
        <v>522.6400146484375</v>
      </c>
      <c r="E4693">
        <v>519.5900268554688</v>
      </c>
      <c r="F4693">
        <v>520.8400268554688</v>
      </c>
      <c r="G4693">
        <v>505.9027099609375</v>
      </c>
      <c r="H4693">
        <v>52233200</v>
      </c>
      <c r="I4693" t="s">
        <v>2842</v>
      </c>
      <c r="J4693" t="s">
        <v>2843</v>
      </c>
      <c r="K4693" t="s">
        <v>7557</v>
      </c>
    </row>
    <row r="4694" spans="1:11" ht="20" customHeight="1">
      <c r="A4694" t="s">
        <v>7556</v>
      </c>
      <c r="B4694" t="s">
        <v>2844</v>
      </c>
      <c r="C4694">
        <v>522.5599975585938</v>
      </c>
      <c r="D4694">
        <v>522.6699829101562</v>
      </c>
      <c r="E4694">
        <v>519.739990234375</v>
      </c>
      <c r="F4694">
        <v>520.9099731445312</v>
      </c>
      <c r="G4694">
        <v>505.9706420898438</v>
      </c>
      <c r="H4694">
        <v>36716400</v>
      </c>
      <c r="I4694" t="s">
        <v>2845</v>
      </c>
      <c r="J4694" t="s">
        <v>2846</v>
      </c>
      <c r="K4694" t="s">
        <v>7557</v>
      </c>
    </row>
    <row r="4695" spans="1:11" ht="20" customHeight="1">
      <c r="A4695" t="s">
        <v>7556</v>
      </c>
      <c r="B4695" t="s">
        <v>2847</v>
      </c>
      <c r="C4695">
        <v>521.1099853515625</v>
      </c>
      <c r="D4695">
        <v>523.8300170898438</v>
      </c>
      <c r="E4695">
        <v>520.5599975585938</v>
      </c>
      <c r="F4695">
        <v>523.2999877929688</v>
      </c>
      <c r="G4695">
        <v>508.2920532226562</v>
      </c>
      <c r="H4695">
        <v>57535900</v>
      </c>
      <c r="I4695" t="s">
        <v>2848</v>
      </c>
      <c r="J4695" t="s">
        <v>2849</v>
      </c>
      <c r="K4695" t="s">
        <v>7557</v>
      </c>
    </row>
    <row r="4696" spans="1:11" ht="20" customHeight="1">
      <c r="A4696" t="s">
        <v>7556</v>
      </c>
      <c r="B4696" t="s">
        <v>2850</v>
      </c>
      <c r="C4696">
        <v>525.8300170898438</v>
      </c>
      <c r="D4696">
        <v>530.0800170898438</v>
      </c>
      <c r="E4696">
        <v>525.1799926757812</v>
      </c>
      <c r="F4696">
        <v>529.780029296875</v>
      </c>
      <c r="G4696">
        <v>514.5863037109375</v>
      </c>
      <c r="H4696">
        <v>59504900</v>
      </c>
      <c r="I4696" t="s">
        <v>2851</v>
      </c>
      <c r="J4696" t="s">
        <v>2852</v>
      </c>
      <c r="K4696" t="s">
        <v>7557</v>
      </c>
    </row>
    <row r="4697" spans="1:11" ht="20" customHeight="1">
      <c r="A4697" t="s">
        <v>7556</v>
      </c>
      <c r="B4697" t="s">
        <v>2853</v>
      </c>
      <c r="C4697">
        <v>529.8800048828125</v>
      </c>
      <c r="D4697">
        <v>531.52001953125</v>
      </c>
      <c r="E4697">
        <v>528.5399780273438</v>
      </c>
      <c r="F4697">
        <v>528.6900024414062</v>
      </c>
      <c r="G4697">
        <v>513.5275268554688</v>
      </c>
      <c r="H4697">
        <v>50244800</v>
      </c>
      <c r="I4697" t="s">
        <v>2854</v>
      </c>
      <c r="J4697" t="s">
        <v>2855</v>
      </c>
      <c r="K4697" t="s">
        <v>7557</v>
      </c>
    </row>
    <row r="4698" spans="1:11" ht="20" customHeight="1">
      <c r="A4698" t="s">
        <v>7556</v>
      </c>
      <c r="B4698" t="s">
        <v>2856</v>
      </c>
      <c r="C4698">
        <v>528.8099975585938</v>
      </c>
      <c r="D4698">
        <v>529.52001953125</v>
      </c>
      <c r="E4698">
        <v>527.3200073242188</v>
      </c>
      <c r="F4698">
        <v>529.4500122070312</v>
      </c>
      <c r="G4698">
        <v>514.2658081054688</v>
      </c>
      <c r="H4698">
        <v>59187600</v>
      </c>
      <c r="I4698" t="s">
        <v>2857</v>
      </c>
      <c r="J4698" t="s">
        <v>2858</v>
      </c>
      <c r="K4698" t="s">
        <v>7557</v>
      </c>
    </row>
    <row r="4699" spans="1:11" ht="20" customHeight="1">
      <c r="A4699" t="s">
        <v>7556</v>
      </c>
      <c r="B4699" t="s">
        <v>2859</v>
      </c>
      <c r="C4699">
        <v>529.5700073242188</v>
      </c>
      <c r="D4699">
        <v>531.5599975585938</v>
      </c>
      <c r="E4699">
        <v>529.1699829101562</v>
      </c>
      <c r="F4699">
        <v>530.0599975585938</v>
      </c>
      <c r="G4699">
        <v>514.858154296875</v>
      </c>
      <c r="H4699">
        <v>37764200</v>
      </c>
      <c r="I4699" t="s">
        <v>2860</v>
      </c>
      <c r="J4699" t="s">
        <v>2861</v>
      </c>
      <c r="K4699" t="s">
        <v>7557</v>
      </c>
    </row>
    <row r="4700" spans="1:11" ht="20" customHeight="1">
      <c r="A4700" t="s">
        <v>7556</v>
      </c>
      <c r="B4700" t="s">
        <v>2862</v>
      </c>
      <c r="C4700">
        <v>529.280029296875</v>
      </c>
      <c r="D4700">
        <v>531.52001953125</v>
      </c>
      <c r="E4700">
        <v>529.0700073242188</v>
      </c>
      <c r="F4700">
        <v>531.3599853515625</v>
      </c>
      <c r="G4700">
        <v>516.1210327148438</v>
      </c>
      <c r="H4700">
        <v>33437000</v>
      </c>
      <c r="I4700" t="s">
        <v>2863</v>
      </c>
      <c r="J4700" t="s">
        <v>2864</v>
      </c>
      <c r="K4700" t="s">
        <v>7557</v>
      </c>
    </row>
    <row r="4701" spans="1:11" ht="20" customHeight="1">
      <c r="A4701" t="s">
        <v>7556</v>
      </c>
      <c r="B4701" t="s">
        <v>2865</v>
      </c>
      <c r="C4701">
        <v>530.6500244140625</v>
      </c>
      <c r="D4701">
        <v>531.3800048828125</v>
      </c>
      <c r="E4701">
        <v>527.5999755859375</v>
      </c>
      <c r="F4701">
        <v>529.8300170898438</v>
      </c>
      <c r="G4701">
        <v>514.6348876953125</v>
      </c>
      <c r="H4701">
        <v>48390000</v>
      </c>
      <c r="I4701" t="s">
        <v>2866</v>
      </c>
      <c r="J4701" t="s">
        <v>2867</v>
      </c>
      <c r="K4701" t="s">
        <v>7557</v>
      </c>
    </row>
    <row r="4702" spans="1:11" ht="20" customHeight="1">
      <c r="A4702" t="s">
        <v>7556</v>
      </c>
      <c r="B4702" t="s">
        <v>2868</v>
      </c>
      <c r="C4702">
        <v>532.9600219726562</v>
      </c>
      <c r="D4702">
        <v>533.0700073242188</v>
      </c>
      <c r="E4702">
        <v>524.719970703125</v>
      </c>
      <c r="F4702">
        <v>525.9600219726562</v>
      </c>
      <c r="G4702">
        <v>510.8758544921875</v>
      </c>
      <c r="H4702">
        <v>57211200</v>
      </c>
      <c r="I4702" t="s">
        <v>2869</v>
      </c>
      <c r="J4702" t="s">
        <v>2870</v>
      </c>
      <c r="K4702" t="s">
        <v>7557</v>
      </c>
    </row>
    <row r="4703" spans="1:11" ht="20" customHeight="1">
      <c r="A4703" t="s">
        <v>7556</v>
      </c>
      <c r="B4703" t="s">
        <v>2871</v>
      </c>
      <c r="C4703">
        <v>527.8499755859375</v>
      </c>
      <c r="D4703">
        <v>530.27001953125</v>
      </c>
      <c r="E4703">
        <v>526.8800048828125</v>
      </c>
      <c r="F4703">
        <v>529.4400024414062</v>
      </c>
      <c r="G4703">
        <v>514.2560424804688</v>
      </c>
      <c r="H4703">
        <v>41291100</v>
      </c>
      <c r="I4703" t="s">
        <v>2872</v>
      </c>
      <c r="J4703" t="s">
        <v>2873</v>
      </c>
      <c r="K4703" t="s">
        <v>7557</v>
      </c>
    </row>
    <row r="4704" spans="1:11" ht="20" customHeight="1">
      <c r="A4704" t="s">
        <v>7556</v>
      </c>
      <c r="B4704" t="s">
        <v>2874</v>
      </c>
      <c r="C4704">
        <v>530.27001953125</v>
      </c>
      <c r="D4704">
        <v>530.510009765625</v>
      </c>
      <c r="E4704">
        <v>527.1099853515625</v>
      </c>
      <c r="F4704">
        <v>529.8099975585938</v>
      </c>
      <c r="G4704">
        <v>514.6154174804688</v>
      </c>
      <c r="H4704">
        <v>36269600</v>
      </c>
      <c r="I4704" t="s">
        <v>2875</v>
      </c>
      <c r="J4704" t="s">
        <v>2876</v>
      </c>
      <c r="K4704" t="s">
        <v>7557</v>
      </c>
    </row>
    <row r="4705" spans="1:11" ht="20" customHeight="1">
      <c r="A4705" t="s">
        <v>7556</v>
      </c>
      <c r="B4705" t="s">
        <v>2877</v>
      </c>
      <c r="C4705">
        <v>525.6799926757812</v>
      </c>
      <c r="D4705">
        <v>527.3099975585938</v>
      </c>
      <c r="E4705">
        <v>525.3699951171875</v>
      </c>
      <c r="F4705">
        <v>526.0999755859375</v>
      </c>
      <c r="G4705">
        <v>511.0117492675781</v>
      </c>
      <c r="H4705">
        <v>45190300</v>
      </c>
      <c r="I4705" t="s">
        <v>2878</v>
      </c>
      <c r="J4705" t="s">
        <v>2879</v>
      </c>
      <c r="K4705" t="s">
        <v>7557</v>
      </c>
    </row>
    <row r="4706" spans="1:11" ht="20" customHeight="1">
      <c r="A4706" t="s">
        <v>7556</v>
      </c>
      <c r="B4706" t="s">
        <v>2880</v>
      </c>
      <c r="C4706">
        <v>524.52001953125</v>
      </c>
      <c r="D4706">
        <v>525.2000122070312</v>
      </c>
      <c r="E4706">
        <v>521.3300170898438</v>
      </c>
      <c r="F4706">
        <v>522.6099853515625</v>
      </c>
      <c r="G4706">
        <v>507.621826171875</v>
      </c>
      <c r="H4706">
        <v>46377600</v>
      </c>
      <c r="I4706" t="s">
        <v>2881</v>
      </c>
      <c r="J4706" t="s">
        <v>2882</v>
      </c>
      <c r="K4706" t="s">
        <v>7557</v>
      </c>
    </row>
    <row r="4707" spans="1:11" ht="20" customHeight="1">
      <c r="A4707" t="s">
        <v>7556</v>
      </c>
      <c r="B4707" t="s">
        <v>2883</v>
      </c>
      <c r="C4707">
        <v>523.5900268554688</v>
      </c>
      <c r="D4707">
        <v>527.5</v>
      </c>
      <c r="E4707">
        <v>518.3599853515625</v>
      </c>
      <c r="F4707">
        <v>527.3699951171875</v>
      </c>
      <c r="G4707">
        <v>512.2454223632812</v>
      </c>
      <c r="H4707">
        <v>90785800</v>
      </c>
      <c r="I4707" t="s">
        <v>2884</v>
      </c>
      <c r="J4707" t="s">
        <v>2885</v>
      </c>
      <c r="K4707" t="s">
        <v>7557</v>
      </c>
    </row>
    <row r="4708" spans="1:11" ht="20" customHeight="1">
      <c r="A4708" t="s">
        <v>7556</v>
      </c>
      <c r="B4708" t="s">
        <v>2886</v>
      </c>
      <c r="C4708">
        <v>529.02001953125</v>
      </c>
      <c r="D4708">
        <v>529.3099975585938</v>
      </c>
      <c r="E4708">
        <v>522.5999755859375</v>
      </c>
      <c r="F4708">
        <v>527.7999877929688</v>
      </c>
      <c r="G4708">
        <v>512.6630249023438</v>
      </c>
      <c r="H4708">
        <v>46835700</v>
      </c>
      <c r="I4708" t="s">
        <v>2887</v>
      </c>
      <c r="J4708" t="s">
        <v>2888</v>
      </c>
      <c r="K4708" t="s">
        <v>7557</v>
      </c>
    </row>
    <row r="4709" spans="1:11" ht="20" customHeight="1">
      <c r="A4709" t="s">
        <v>7556</v>
      </c>
      <c r="B4709" t="s">
        <v>2889</v>
      </c>
      <c r="C4709">
        <v>526.4600219726562</v>
      </c>
      <c r="D4709">
        <v>529.1500244140625</v>
      </c>
      <c r="E4709">
        <v>524.9600219726562</v>
      </c>
      <c r="F4709">
        <v>528.3900146484375</v>
      </c>
      <c r="G4709">
        <v>513.2361450195312</v>
      </c>
      <c r="H4709">
        <v>34632700</v>
      </c>
      <c r="I4709" t="s">
        <v>2890</v>
      </c>
      <c r="J4709" t="s">
        <v>2891</v>
      </c>
      <c r="K4709" t="s">
        <v>7557</v>
      </c>
    </row>
    <row r="4710" spans="1:11" ht="20" customHeight="1">
      <c r="A4710" t="s">
        <v>7556</v>
      </c>
      <c r="B4710" t="s">
        <v>2892</v>
      </c>
      <c r="C4710">
        <v>530.77001953125</v>
      </c>
      <c r="D4710">
        <v>534.6900024414062</v>
      </c>
      <c r="E4710">
        <v>528.72998046875</v>
      </c>
      <c r="F4710">
        <v>534.6699829101562</v>
      </c>
      <c r="G4710">
        <v>519.3359985351562</v>
      </c>
      <c r="H4710">
        <v>47610400</v>
      </c>
      <c r="I4710" t="s">
        <v>2893</v>
      </c>
      <c r="J4710" t="s">
        <v>2894</v>
      </c>
      <c r="K4710" t="s">
        <v>7557</v>
      </c>
    </row>
    <row r="4711" spans="1:11" ht="20" customHeight="1">
      <c r="A4711" t="s">
        <v>7556</v>
      </c>
      <c r="B4711" t="s">
        <v>2895</v>
      </c>
      <c r="C4711">
        <v>534.97998046875</v>
      </c>
      <c r="D4711">
        <v>535.4199829101562</v>
      </c>
      <c r="E4711">
        <v>532.6799926757812</v>
      </c>
      <c r="F4711">
        <v>534.6599731445312</v>
      </c>
      <c r="G4711">
        <v>519.3263549804688</v>
      </c>
      <c r="H4711">
        <v>30808500</v>
      </c>
      <c r="I4711" t="s">
        <v>2896</v>
      </c>
      <c r="J4711" t="s">
        <v>2897</v>
      </c>
      <c r="K4711" t="s">
        <v>7557</v>
      </c>
    </row>
    <row r="4712" spans="1:11" ht="20" customHeight="1">
      <c r="A4712" t="s">
        <v>7556</v>
      </c>
      <c r="B4712" t="s">
        <v>2898</v>
      </c>
      <c r="C4712">
        <v>533.6599731445312</v>
      </c>
      <c r="D4712">
        <v>536.8900146484375</v>
      </c>
      <c r="E4712">
        <v>532.5399780273438</v>
      </c>
      <c r="F4712">
        <v>534.010009765625</v>
      </c>
      <c r="G4712">
        <v>518.6949462890625</v>
      </c>
      <c r="H4712">
        <v>43224500</v>
      </c>
      <c r="I4712" t="s">
        <v>2899</v>
      </c>
      <c r="J4712" t="s">
        <v>2900</v>
      </c>
      <c r="K4712" t="s">
        <v>7557</v>
      </c>
    </row>
    <row r="4713" spans="1:11" ht="20" customHeight="1">
      <c r="A4713" t="s">
        <v>7556</v>
      </c>
      <c r="B4713" t="s">
        <v>2901</v>
      </c>
      <c r="C4713">
        <v>533.1799926757812</v>
      </c>
      <c r="D4713">
        <v>535.989990234375</v>
      </c>
      <c r="E4713">
        <v>532.5700073242188</v>
      </c>
      <c r="F4713">
        <v>535.6599731445312</v>
      </c>
      <c r="G4713">
        <v>520.297607421875</v>
      </c>
      <c r="H4713">
        <v>35686100</v>
      </c>
      <c r="I4713" t="s">
        <v>2902</v>
      </c>
      <c r="J4713" t="s">
        <v>2903</v>
      </c>
      <c r="K4713" t="s">
        <v>7557</v>
      </c>
    </row>
    <row r="4714" spans="1:11" ht="20" customHeight="1">
      <c r="A4714" t="s">
        <v>7556</v>
      </c>
      <c r="B4714" t="s">
        <v>2904</v>
      </c>
      <c r="C4714">
        <v>534.0700073242188</v>
      </c>
      <c r="D4714">
        <v>537.010009765625</v>
      </c>
      <c r="E4714">
        <v>532.0499877929688</v>
      </c>
      <c r="F4714">
        <v>536.9500122070312</v>
      </c>
      <c r="G4714">
        <v>521.5507202148438</v>
      </c>
      <c r="H4714">
        <v>36383400</v>
      </c>
      <c r="I4714" t="s">
        <v>2905</v>
      </c>
      <c r="J4714" t="s">
        <v>2906</v>
      </c>
      <c r="K4714" t="s">
        <v>7557</v>
      </c>
    </row>
    <row r="4715" spans="1:11" ht="20" customHeight="1">
      <c r="A4715" t="s">
        <v>7556</v>
      </c>
      <c r="B4715" t="s">
        <v>2907</v>
      </c>
      <c r="C4715">
        <v>541.6300048828125</v>
      </c>
      <c r="D4715">
        <v>544.1199951171875</v>
      </c>
      <c r="E4715">
        <v>540.2999877929688</v>
      </c>
      <c r="F4715">
        <v>541.3599853515625</v>
      </c>
      <c r="G4715">
        <v>525.8340454101562</v>
      </c>
      <c r="H4715">
        <v>63251300</v>
      </c>
      <c r="I4715" t="s">
        <v>2908</v>
      </c>
      <c r="J4715" t="s">
        <v>2909</v>
      </c>
      <c r="K4715" t="s">
        <v>7557</v>
      </c>
    </row>
    <row r="4716" spans="1:11" ht="20" customHeight="1">
      <c r="A4716" t="s">
        <v>7556</v>
      </c>
      <c r="B4716" t="s">
        <v>2910</v>
      </c>
      <c r="C4716">
        <v>543.1500244140625</v>
      </c>
      <c r="D4716">
        <v>543.3300170898438</v>
      </c>
      <c r="E4716">
        <v>539.5900268554688</v>
      </c>
      <c r="F4716">
        <v>542.4500122070312</v>
      </c>
      <c r="G4716">
        <v>526.8929443359375</v>
      </c>
      <c r="H4716">
        <v>44760900</v>
      </c>
      <c r="I4716" t="s">
        <v>2911</v>
      </c>
      <c r="J4716" t="s">
        <v>2912</v>
      </c>
      <c r="K4716" t="s">
        <v>7557</v>
      </c>
    </row>
    <row r="4717" spans="1:11" ht="20" customHeight="1">
      <c r="A4717" t="s">
        <v>7556</v>
      </c>
      <c r="B4717" t="s">
        <v>2913</v>
      </c>
      <c r="C4717">
        <v>540.8800048828125</v>
      </c>
      <c r="D4717">
        <v>542.8099975585938</v>
      </c>
      <c r="E4717">
        <v>539.8499755859375</v>
      </c>
      <c r="F4717">
        <v>542.780029296875</v>
      </c>
      <c r="G4717">
        <v>527.2135009765625</v>
      </c>
      <c r="H4717">
        <v>40089900</v>
      </c>
      <c r="I4717" t="s">
        <v>2914</v>
      </c>
      <c r="J4717" t="s">
        <v>2915</v>
      </c>
      <c r="K4717" t="s">
        <v>7557</v>
      </c>
    </row>
    <row r="4718" spans="1:11" ht="20" customHeight="1">
      <c r="A4718" t="s">
        <v>7556</v>
      </c>
      <c r="B4718" t="s">
        <v>2916</v>
      </c>
      <c r="C4718">
        <v>542.0800170898438</v>
      </c>
      <c r="D4718">
        <v>548.530029296875</v>
      </c>
      <c r="E4718">
        <v>541.6099853515625</v>
      </c>
      <c r="F4718">
        <v>547.0999755859375</v>
      </c>
      <c r="G4718">
        <v>531.4094848632812</v>
      </c>
      <c r="H4718">
        <v>55839500</v>
      </c>
      <c r="I4718" t="s">
        <v>2917</v>
      </c>
      <c r="J4718" t="s">
        <v>2918</v>
      </c>
      <c r="K4718" t="s">
        <v>7557</v>
      </c>
    </row>
    <row r="4719" spans="1:11" ht="20" customHeight="1">
      <c r="A4719" t="s">
        <v>7556</v>
      </c>
      <c r="B4719" t="s">
        <v>2919</v>
      </c>
      <c r="C4719">
        <v>547.1599731445312</v>
      </c>
      <c r="D4719">
        <v>548.6199951171875</v>
      </c>
      <c r="E4719">
        <v>546.72998046875</v>
      </c>
      <c r="F4719">
        <v>548.489990234375</v>
      </c>
      <c r="G4719">
        <v>532.7596435546875</v>
      </c>
      <c r="H4719">
        <v>41376400</v>
      </c>
      <c r="I4719" t="s">
        <v>2920</v>
      </c>
      <c r="J4719" t="s">
        <v>2921</v>
      </c>
      <c r="K4719" t="s">
        <v>7557</v>
      </c>
    </row>
    <row r="4720" spans="1:11" ht="20" customHeight="1">
      <c r="A4720" t="s">
        <v>7556</v>
      </c>
      <c r="B4720" t="s">
        <v>2922</v>
      </c>
      <c r="C4720">
        <v>549.4400024414062</v>
      </c>
      <c r="D4720">
        <v>550.1199951171875</v>
      </c>
      <c r="E4720">
        <v>545.1799926757812</v>
      </c>
      <c r="F4720">
        <v>547</v>
      </c>
      <c r="G4720">
        <v>531.3123779296875</v>
      </c>
      <c r="H4720">
        <v>70328200</v>
      </c>
      <c r="I4720" t="s">
        <v>2923</v>
      </c>
      <c r="J4720" t="s">
        <v>2924</v>
      </c>
      <c r="K4720" t="s">
        <v>7557</v>
      </c>
    </row>
    <row r="4721" spans="1:11" ht="20" customHeight="1">
      <c r="A4721" t="s">
        <v>7556</v>
      </c>
      <c r="B4721" t="s">
        <v>2925</v>
      </c>
      <c r="C4721">
        <v>544.4000244140625</v>
      </c>
      <c r="D4721">
        <v>545.6500244140625</v>
      </c>
      <c r="E4721">
        <v>543.02001953125</v>
      </c>
      <c r="F4721">
        <v>544.510009765625</v>
      </c>
      <c r="G4721">
        <v>530.60009765625</v>
      </c>
      <c r="H4721">
        <v>64338600</v>
      </c>
      <c r="I4721" t="s">
        <v>2926</v>
      </c>
      <c r="J4721" t="s">
        <v>2927</v>
      </c>
      <c r="K4721" t="s">
        <v>7557</v>
      </c>
    </row>
    <row r="4722" spans="1:11" ht="20" customHeight="1">
      <c r="A4722" t="s">
        <v>7556</v>
      </c>
      <c r="B4722" t="s">
        <v>2928</v>
      </c>
      <c r="C4722">
        <v>544.3300170898438</v>
      </c>
      <c r="D4722">
        <v>546.9500122070312</v>
      </c>
      <c r="E4722">
        <v>542.6199951171875</v>
      </c>
      <c r="F4722">
        <v>542.739990234375</v>
      </c>
      <c r="G4722">
        <v>528.8753051757812</v>
      </c>
      <c r="H4722">
        <v>45528700</v>
      </c>
      <c r="I4722" t="s">
        <v>2929</v>
      </c>
      <c r="J4722" t="s">
        <v>2930</v>
      </c>
      <c r="K4722" t="s">
        <v>7557</v>
      </c>
    </row>
    <row r="4723" spans="1:11" ht="20" customHeight="1">
      <c r="A4723" t="s">
        <v>7556</v>
      </c>
      <c r="B4723" t="s">
        <v>2931</v>
      </c>
      <c r="C4723">
        <v>543.989990234375</v>
      </c>
      <c r="D4723">
        <v>545.2000122070312</v>
      </c>
      <c r="E4723">
        <v>542.4400024414062</v>
      </c>
      <c r="F4723">
        <v>544.8300170898438</v>
      </c>
      <c r="G4723">
        <v>530.9119262695312</v>
      </c>
      <c r="H4723">
        <v>37936200</v>
      </c>
      <c r="I4723" t="s">
        <v>2932</v>
      </c>
      <c r="J4723" t="s">
        <v>2933</v>
      </c>
      <c r="K4723" t="s">
        <v>7557</v>
      </c>
    </row>
    <row r="4724" spans="1:11" ht="20" customHeight="1">
      <c r="A4724" t="s">
        <v>7556</v>
      </c>
      <c r="B4724" t="s">
        <v>2934</v>
      </c>
      <c r="C4724">
        <v>543.6900024414062</v>
      </c>
      <c r="D4724">
        <v>546.239990234375</v>
      </c>
      <c r="E4724">
        <v>543.030029296875</v>
      </c>
      <c r="F4724">
        <v>545.510009765625</v>
      </c>
      <c r="G4724">
        <v>531.574462890625</v>
      </c>
      <c r="H4724">
        <v>38550600</v>
      </c>
      <c r="I4724" t="s">
        <v>2935</v>
      </c>
      <c r="J4724" t="s">
        <v>2936</v>
      </c>
      <c r="K4724" t="s">
        <v>7557</v>
      </c>
    </row>
    <row r="4725" spans="1:11" ht="20" customHeight="1">
      <c r="A4725" t="s">
        <v>7556</v>
      </c>
      <c r="B4725" t="s">
        <v>2937</v>
      </c>
      <c r="C4725">
        <v>545.3699951171875</v>
      </c>
      <c r="D4725">
        <v>546.9600219726562</v>
      </c>
      <c r="E4725">
        <v>544.6099853515625</v>
      </c>
      <c r="F4725">
        <v>546.3699951171875</v>
      </c>
      <c r="G4725">
        <v>532.4125366210938</v>
      </c>
      <c r="H4725">
        <v>35041500</v>
      </c>
      <c r="I4725" t="s">
        <v>2938</v>
      </c>
      <c r="J4725" t="s">
        <v>2939</v>
      </c>
      <c r="K4725" t="s">
        <v>7557</v>
      </c>
    </row>
    <row r="4726" spans="1:11" ht="20" customHeight="1">
      <c r="A4726" t="s">
        <v>7556</v>
      </c>
      <c r="B4726" t="s">
        <v>2940</v>
      </c>
      <c r="C4726">
        <v>547.1599731445312</v>
      </c>
      <c r="D4726">
        <v>550.280029296875</v>
      </c>
      <c r="E4726">
        <v>542.9500122070312</v>
      </c>
      <c r="F4726">
        <v>544.219970703125</v>
      </c>
      <c r="G4726">
        <v>530.3175048828125</v>
      </c>
      <c r="H4726">
        <v>76144500</v>
      </c>
      <c r="I4726" t="s">
        <v>2941</v>
      </c>
      <c r="J4726" t="s">
        <v>2942</v>
      </c>
      <c r="K4726" t="s">
        <v>7557</v>
      </c>
    </row>
    <row r="4727" spans="1:11" ht="20" customHeight="1">
      <c r="A4727" t="s">
        <v>7556</v>
      </c>
      <c r="B4727" t="s">
        <v>2943</v>
      </c>
      <c r="C4727">
        <v>545.6300048828125</v>
      </c>
      <c r="D4727">
        <v>545.8800048828125</v>
      </c>
      <c r="E4727">
        <v>542.52001953125</v>
      </c>
      <c r="F4727">
        <v>545.3400268554688</v>
      </c>
      <c r="G4727">
        <v>531.4089965820312</v>
      </c>
      <c r="H4727">
        <v>40297800</v>
      </c>
      <c r="I4727" t="s">
        <v>2944</v>
      </c>
      <c r="J4727" t="s">
        <v>2945</v>
      </c>
      <c r="K4727" t="s">
        <v>7557</v>
      </c>
    </row>
    <row r="4728" spans="1:11" ht="20" customHeight="1">
      <c r="A4728" t="s">
        <v>7556</v>
      </c>
      <c r="B4728" t="s">
        <v>2946</v>
      </c>
      <c r="C4728">
        <v>543.7000122070312</v>
      </c>
      <c r="D4728">
        <v>549.010009765625</v>
      </c>
      <c r="E4728">
        <v>543.6500244140625</v>
      </c>
      <c r="F4728">
        <v>549.010009765625</v>
      </c>
      <c r="G4728">
        <v>534.9851684570312</v>
      </c>
      <c r="H4728">
        <v>40434800</v>
      </c>
      <c r="I4728" t="s">
        <v>2947</v>
      </c>
      <c r="J4728" t="s">
        <v>2948</v>
      </c>
      <c r="K4728" t="s">
        <v>7557</v>
      </c>
    </row>
    <row r="4729" spans="1:11" ht="20" customHeight="1">
      <c r="A4729" t="s">
        <v>7556</v>
      </c>
      <c r="B4729" t="s">
        <v>2949</v>
      </c>
      <c r="C4729">
        <v>548.6900024414062</v>
      </c>
      <c r="D4729">
        <v>551.8300170898438</v>
      </c>
      <c r="E4729">
        <v>548.6500244140625</v>
      </c>
      <c r="F4729">
        <v>551.4600219726562</v>
      </c>
      <c r="G4729">
        <v>537.37255859375</v>
      </c>
      <c r="H4729">
        <v>32789900</v>
      </c>
      <c r="I4729" t="s">
        <v>2950</v>
      </c>
      <c r="J4729" t="s">
        <v>2951</v>
      </c>
      <c r="K4729" t="s">
        <v>7557</v>
      </c>
    </row>
    <row r="4730" spans="1:11" ht="20" customHeight="1">
      <c r="A4730" t="s">
        <v>7556</v>
      </c>
      <c r="B4730" t="s">
        <v>2952</v>
      </c>
      <c r="C4730">
        <v>551.77001953125</v>
      </c>
      <c r="D4730">
        <v>555.0499877929688</v>
      </c>
      <c r="E4730">
        <v>551.1199951171875</v>
      </c>
      <c r="F4730">
        <v>554.6400146484375</v>
      </c>
      <c r="G4730">
        <v>540.4713134765625</v>
      </c>
      <c r="H4730">
        <v>41488400</v>
      </c>
      <c r="I4730" t="s">
        <v>2953</v>
      </c>
      <c r="J4730" t="s">
        <v>2954</v>
      </c>
      <c r="K4730" t="s">
        <v>7557</v>
      </c>
    </row>
    <row r="4731" spans="1:11" ht="20" customHeight="1">
      <c r="A4731" t="s">
        <v>7556</v>
      </c>
      <c r="B4731" t="s">
        <v>2955</v>
      </c>
      <c r="C4731">
        <v>555.4400024414062</v>
      </c>
      <c r="D4731">
        <v>556.25</v>
      </c>
      <c r="E4731">
        <v>554.1900024414062</v>
      </c>
      <c r="F4731">
        <v>555.280029296875</v>
      </c>
      <c r="G4731">
        <v>541.0950317382812</v>
      </c>
      <c r="H4731">
        <v>36110500</v>
      </c>
      <c r="I4731" t="s">
        <v>2956</v>
      </c>
      <c r="J4731" t="s">
        <v>2957</v>
      </c>
      <c r="K4731" t="s">
        <v>7557</v>
      </c>
    </row>
    <row r="4732" spans="1:11" ht="20" customHeight="1">
      <c r="A4732" t="s">
        <v>7556</v>
      </c>
      <c r="B4732" t="s">
        <v>2958</v>
      </c>
      <c r="C4732">
        <v>556.260009765625</v>
      </c>
      <c r="D4732">
        <v>557.1799926757812</v>
      </c>
      <c r="E4732">
        <v>555.52001953125</v>
      </c>
      <c r="F4732">
        <v>555.8200073242188</v>
      </c>
      <c r="G4732">
        <v>541.6212158203125</v>
      </c>
      <c r="H4732">
        <v>27289700</v>
      </c>
      <c r="I4732" t="s">
        <v>2959</v>
      </c>
      <c r="J4732" t="s">
        <v>2960</v>
      </c>
      <c r="K4732" t="s">
        <v>7557</v>
      </c>
    </row>
    <row r="4733" spans="1:11" ht="20" customHeight="1">
      <c r="A4733" t="s">
        <v>7556</v>
      </c>
      <c r="B4733" t="s">
        <v>2961</v>
      </c>
      <c r="C4733">
        <v>557.0700073242188</v>
      </c>
      <c r="D4733">
        <v>561.6699829101562</v>
      </c>
      <c r="E4733">
        <v>556.77001953125</v>
      </c>
      <c r="F4733">
        <v>561.3200073242188</v>
      </c>
      <c r="G4733">
        <v>546.980712890625</v>
      </c>
      <c r="H4733">
        <v>38701200</v>
      </c>
      <c r="I4733" t="s">
        <v>2962</v>
      </c>
      <c r="J4733" t="s">
        <v>2963</v>
      </c>
      <c r="K4733" t="s">
        <v>7557</v>
      </c>
    </row>
    <row r="4734" spans="1:11" ht="20" customHeight="1">
      <c r="A4734" t="s">
        <v>7556</v>
      </c>
      <c r="B4734" t="s">
        <v>2964</v>
      </c>
      <c r="C4734">
        <v>561.4400024414062</v>
      </c>
      <c r="D4734">
        <v>562.3300170898438</v>
      </c>
      <c r="E4734">
        <v>555.8300170898438</v>
      </c>
      <c r="F4734">
        <v>556.47998046875</v>
      </c>
      <c r="G4734">
        <v>542.2643432617188</v>
      </c>
      <c r="H4734">
        <v>53054200</v>
      </c>
      <c r="I4734" t="s">
        <v>2965</v>
      </c>
      <c r="J4734" t="s">
        <v>2966</v>
      </c>
      <c r="K4734" t="s">
        <v>7557</v>
      </c>
    </row>
    <row r="4735" spans="1:11" ht="20" customHeight="1">
      <c r="A4735" t="s">
        <v>7556</v>
      </c>
      <c r="B4735" t="s">
        <v>2967</v>
      </c>
      <c r="C4735">
        <v>557.6300048828125</v>
      </c>
      <c r="D4735">
        <v>563.6699829101562</v>
      </c>
      <c r="E4735">
        <v>557.1500244140625</v>
      </c>
      <c r="F4735">
        <v>559.989990234375</v>
      </c>
      <c r="G4735">
        <v>545.6846923828125</v>
      </c>
      <c r="H4735">
        <v>53084400</v>
      </c>
      <c r="I4735" t="s">
        <v>2968</v>
      </c>
      <c r="J4735" t="s">
        <v>2969</v>
      </c>
      <c r="K4735" t="s">
        <v>7557</v>
      </c>
    </row>
    <row r="4736" spans="1:11" ht="20" customHeight="1">
      <c r="A4736" t="s">
        <v>7556</v>
      </c>
      <c r="B4736" t="s">
        <v>2970</v>
      </c>
      <c r="C4736">
        <v>562.030029296875</v>
      </c>
      <c r="D4736">
        <v>564.8400268554688</v>
      </c>
      <c r="E4736">
        <v>559.6300048828125</v>
      </c>
      <c r="F4736">
        <v>561.530029296875</v>
      </c>
      <c r="G4736">
        <v>547.185302734375</v>
      </c>
      <c r="H4736">
        <v>40584300</v>
      </c>
      <c r="I4736" t="s">
        <v>2971</v>
      </c>
      <c r="J4736" t="s">
        <v>2972</v>
      </c>
      <c r="K4736" t="s">
        <v>7557</v>
      </c>
    </row>
    <row r="4737" spans="1:11" ht="20" customHeight="1">
      <c r="A4737" t="s">
        <v>7556</v>
      </c>
      <c r="B4737" t="s">
        <v>2973</v>
      </c>
      <c r="C4737">
        <v>562.8699951171875</v>
      </c>
      <c r="D4737">
        <v>565.1599731445312</v>
      </c>
      <c r="E4737">
        <v>562.0999755859375</v>
      </c>
      <c r="F4737">
        <v>564.8599853515625</v>
      </c>
      <c r="G4737">
        <v>550.4302368164062</v>
      </c>
      <c r="H4737">
        <v>36475300</v>
      </c>
      <c r="I4737" t="s">
        <v>2974</v>
      </c>
      <c r="J4737" t="s">
        <v>2975</v>
      </c>
      <c r="K4737" t="s">
        <v>7557</v>
      </c>
    </row>
    <row r="4738" spans="1:11" ht="20" customHeight="1">
      <c r="A4738" t="s">
        <v>7556</v>
      </c>
      <c r="B4738" t="s">
        <v>2976</v>
      </c>
      <c r="C4738">
        <v>558.7999877929688</v>
      </c>
      <c r="D4738">
        <v>560.510009765625</v>
      </c>
      <c r="E4738">
        <v>556.6099853515625</v>
      </c>
      <c r="F4738">
        <v>556.9400024414062</v>
      </c>
      <c r="G4738">
        <v>542.7125244140625</v>
      </c>
      <c r="H4738">
        <v>57119000</v>
      </c>
      <c r="I4738" t="s">
        <v>2977</v>
      </c>
      <c r="J4738" t="s">
        <v>2978</v>
      </c>
      <c r="K4738" t="s">
        <v>7557</v>
      </c>
    </row>
    <row r="4739" spans="1:11" ht="20" customHeight="1">
      <c r="A4739" t="s">
        <v>7556</v>
      </c>
      <c r="B4739" t="s">
        <v>2979</v>
      </c>
      <c r="C4739">
        <v>558.510009765625</v>
      </c>
      <c r="D4739">
        <v>559.52001953125</v>
      </c>
      <c r="E4739">
        <v>550.4299926757812</v>
      </c>
      <c r="F4739">
        <v>552.6599731445312</v>
      </c>
      <c r="G4739">
        <v>538.5418090820312</v>
      </c>
      <c r="H4739">
        <v>56270400</v>
      </c>
      <c r="I4739" t="s">
        <v>2980</v>
      </c>
      <c r="J4739" t="s">
        <v>2981</v>
      </c>
      <c r="K4739" t="s">
        <v>7557</v>
      </c>
    </row>
    <row r="4740" spans="1:11" ht="20" customHeight="1">
      <c r="A4740" t="s">
        <v>7556</v>
      </c>
      <c r="B4740" t="s">
        <v>2982</v>
      </c>
      <c r="C4740">
        <v>552.4199829101562</v>
      </c>
      <c r="D4740">
        <v>554.0800170898438</v>
      </c>
      <c r="E4740">
        <v>547.9099731445312</v>
      </c>
      <c r="F4740">
        <v>548.989990234375</v>
      </c>
      <c r="G4740">
        <v>534.9656982421875</v>
      </c>
      <c r="H4740">
        <v>65509100</v>
      </c>
      <c r="I4740" t="s">
        <v>2983</v>
      </c>
      <c r="J4740" t="s">
        <v>2984</v>
      </c>
      <c r="K4740" t="s">
        <v>7557</v>
      </c>
    </row>
    <row r="4741" spans="1:11" ht="20" customHeight="1">
      <c r="A4741" t="s">
        <v>7556</v>
      </c>
      <c r="B4741" t="s">
        <v>2985</v>
      </c>
      <c r="C4741">
        <v>553</v>
      </c>
      <c r="D4741">
        <v>555.27001953125</v>
      </c>
      <c r="E4741">
        <v>551.02001953125</v>
      </c>
      <c r="F4741">
        <v>554.6500244140625</v>
      </c>
      <c r="G4741">
        <v>540.4810791015625</v>
      </c>
      <c r="H4741">
        <v>43346700</v>
      </c>
      <c r="I4741" t="s">
        <v>2986</v>
      </c>
      <c r="J4741" t="s">
        <v>2987</v>
      </c>
      <c r="K4741" t="s">
        <v>7557</v>
      </c>
    </row>
    <row r="4742" spans="1:11" ht="20" customHeight="1">
      <c r="A4742" t="s">
        <v>7556</v>
      </c>
      <c r="B4742" t="s">
        <v>2988</v>
      </c>
      <c r="C4742">
        <v>554.5399780273438</v>
      </c>
      <c r="D4742">
        <v>556.739990234375</v>
      </c>
      <c r="E4742">
        <v>553.280029296875</v>
      </c>
      <c r="F4742">
        <v>553.780029296875</v>
      </c>
      <c r="G4742">
        <v>539.63330078125</v>
      </c>
      <c r="H4742">
        <v>34439600</v>
      </c>
      <c r="I4742" t="s">
        <v>2989</v>
      </c>
      <c r="J4742" t="s">
        <v>2990</v>
      </c>
      <c r="K4742" t="s">
        <v>7557</v>
      </c>
    </row>
    <row r="4743" spans="1:11" ht="20" customHeight="1">
      <c r="A4743" t="s">
        <v>7556</v>
      </c>
      <c r="B4743" t="s">
        <v>2991</v>
      </c>
      <c r="C4743">
        <v>548.8599853515625</v>
      </c>
      <c r="D4743">
        <v>549.1699829101562</v>
      </c>
      <c r="E4743">
        <v>540.2899780273438</v>
      </c>
      <c r="F4743">
        <v>541.22998046875</v>
      </c>
      <c r="G4743">
        <v>527.40380859375</v>
      </c>
      <c r="H4743">
        <v>74515300</v>
      </c>
      <c r="I4743" t="s">
        <v>2992</v>
      </c>
      <c r="J4743" t="s">
        <v>2993</v>
      </c>
      <c r="K4743" t="s">
        <v>7557</v>
      </c>
    </row>
    <row r="4744" spans="1:11" ht="20" customHeight="1">
      <c r="A4744" t="s">
        <v>7556</v>
      </c>
      <c r="B4744" t="s">
        <v>2994</v>
      </c>
      <c r="C4744">
        <v>541.3499755859375</v>
      </c>
      <c r="D4744">
        <v>547.4600219726562</v>
      </c>
      <c r="E4744">
        <v>537.4500122070312</v>
      </c>
      <c r="F4744">
        <v>538.4099731445312</v>
      </c>
      <c r="G4744">
        <v>524.6558837890625</v>
      </c>
      <c r="H4744">
        <v>61158300</v>
      </c>
      <c r="I4744" t="s">
        <v>2995</v>
      </c>
      <c r="J4744" t="s">
        <v>2996</v>
      </c>
      <c r="K4744" t="s">
        <v>7557</v>
      </c>
    </row>
    <row r="4745" spans="1:11" ht="20" customHeight="1">
      <c r="A4745" t="s">
        <v>7556</v>
      </c>
      <c r="B4745" t="s">
        <v>2997</v>
      </c>
      <c r="C4745">
        <v>542.280029296875</v>
      </c>
      <c r="D4745">
        <v>547.1900024414062</v>
      </c>
      <c r="E4745">
        <v>541.489990234375</v>
      </c>
      <c r="F4745">
        <v>544.4400024414062</v>
      </c>
      <c r="G4745">
        <v>530.5318603515625</v>
      </c>
      <c r="H4745">
        <v>53763800</v>
      </c>
      <c r="I4745" t="s">
        <v>2998</v>
      </c>
      <c r="J4745" t="s">
        <v>2999</v>
      </c>
      <c r="K4745" t="s">
        <v>7557</v>
      </c>
    </row>
    <row r="4746" spans="1:11" ht="20" customHeight="1">
      <c r="A4746" t="s">
        <v>7556</v>
      </c>
      <c r="B4746" t="s">
        <v>3000</v>
      </c>
      <c r="C4746">
        <v>546.02001953125</v>
      </c>
      <c r="D4746">
        <v>547.0499877929688</v>
      </c>
      <c r="E4746">
        <v>542.719970703125</v>
      </c>
      <c r="F4746">
        <v>544.760009765625</v>
      </c>
      <c r="G4746">
        <v>530.8436889648438</v>
      </c>
      <c r="H4746">
        <v>39515800</v>
      </c>
      <c r="I4746" t="s">
        <v>3001</v>
      </c>
      <c r="J4746" t="s">
        <v>3002</v>
      </c>
      <c r="K4746" t="s">
        <v>7557</v>
      </c>
    </row>
    <row r="4747" spans="1:11" ht="20" customHeight="1">
      <c r="A4747" t="s">
        <v>7556</v>
      </c>
      <c r="B4747" t="s">
        <v>3003</v>
      </c>
      <c r="C4747">
        <v>546.260009765625</v>
      </c>
      <c r="D4747">
        <v>547.3400268554688</v>
      </c>
      <c r="E4747">
        <v>538.52001953125</v>
      </c>
      <c r="F4747">
        <v>542</v>
      </c>
      <c r="G4747">
        <v>528.1541748046875</v>
      </c>
      <c r="H4747">
        <v>46853600</v>
      </c>
      <c r="I4747" t="s">
        <v>3004</v>
      </c>
      <c r="J4747" t="s">
        <v>3005</v>
      </c>
      <c r="K4747" t="s">
        <v>7557</v>
      </c>
    </row>
    <row r="4748" spans="1:11" ht="20" customHeight="1">
      <c r="A4748" t="s">
        <v>7556</v>
      </c>
      <c r="B4748" t="s">
        <v>3006</v>
      </c>
      <c r="C4748">
        <v>548.97998046875</v>
      </c>
      <c r="D4748">
        <v>553.5</v>
      </c>
      <c r="E4748">
        <v>547.5800170898438</v>
      </c>
      <c r="F4748">
        <v>550.8099975585938</v>
      </c>
      <c r="G4748">
        <v>536.7391967773438</v>
      </c>
      <c r="H4748">
        <v>65663400</v>
      </c>
      <c r="I4748" t="s">
        <v>3007</v>
      </c>
      <c r="J4748" t="s">
        <v>3008</v>
      </c>
      <c r="K4748" t="s">
        <v>7557</v>
      </c>
    </row>
    <row r="4749" spans="1:11" ht="20" customHeight="1">
      <c r="A4749" t="s">
        <v>7556</v>
      </c>
      <c r="B4749" t="s">
        <v>3009</v>
      </c>
      <c r="C4749">
        <v>552.5700073242188</v>
      </c>
      <c r="D4749">
        <v>554.8699951171875</v>
      </c>
      <c r="E4749">
        <v>539.4299926757812</v>
      </c>
      <c r="F4749">
        <v>543.010009765625</v>
      </c>
      <c r="G4749">
        <v>529.138427734375</v>
      </c>
      <c r="H4749">
        <v>76428700</v>
      </c>
      <c r="I4749" t="s">
        <v>3010</v>
      </c>
      <c r="J4749" t="s">
        <v>3011</v>
      </c>
      <c r="K4749" t="s">
        <v>7557</v>
      </c>
    </row>
    <row r="4750" spans="1:11" ht="20" customHeight="1">
      <c r="A4750" t="s">
        <v>7556</v>
      </c>
      <c r="B4750" t="s">
        <v>3012</v>
      </c>
      <c r="C4750">
        <v>535.75</v>
      </c>
      <c r="D4750">
        <v>536.989990234375</v>
      </c>
      <c r="E4750">
        <v>528.5999755859375</v>
      </c>
      <c r="F4750">
        <v>532.9000244140625</v>
      </c>
      <c r="G4750">
        <v>519.2867431640625</v>
      </c>
      <c r="H4750">
        <v>82789100</v>
      </c>
      <c r="I4750" t="s">
        <v>3013</v>
      </c>
      <c r="J4750" t="s">
        <v>3014</v>
      </c>
      <c r="K4750" t="s">
        <v>7557</v>
      </c>
    </row>
    <row r="4751" spans="1:11" ht="20" customHeight="1">
      <c r="A4751" t="s">
        <v>7556</v>
      </c>
      <c r="B4751" t="s">
        <v>3015</v>
      </c>
      <c r="C4751">
        <v>511.6400146484375</v>
      </c>
      <c r="D4751">
        <v>523.5800170898438</v>
      </c>
      <c r="E4751">
        <v>510.2699890136719</v>
      </c>
      <c r="F4751">
        <v>517.3800048828125</v>
      </c>
      <c r="G4751">
        <v>504.1631469726562</v>
      </c>
      <c r="H4751">
        <v>146267400</v>
      </c>
      <c r="I4751" t="s">
        <v>3016</v>
      </c>
      <c r="J4751" t="s">
        <v>3017</v>
      </c>
      <c r="K4751" t="s">
        <v>7557</v>
      </c>
    </row>
    <row r="4752" spans="1:11" ht="20" customHeight="1">
      <c r="A4752" t="s">
        <v>7556</v>
      </c>
      <c r="B4752" t="s">
        <v>3018</v>
      </c>
      <c r="C4752">
        <v>519.219970703125</v>
      </c>
      <c r="D4752">
        <v>529.75</v>
      </c>
      <c r="E4752">
        <v>517.8699951171875</v>
      </c>
      <c r="F4752">
        <v>522.1500244140625</v>
      </c>
      <c r="G4752">
        <v>508.8113403320312</v>
      </c>
      <c r="H4752">
        <v>84826300</v>
      </c>
      <c r="I4752" t="s">
        <v>3019</v>
      </c>
      <c r="J4752" t="s">
        <v>3020</v>
      </c>
      <c r="K4752" t="s">
        <v>7557</v>
      </c>
    </row>
    <row r="4753" spans="1:11" ht="20" customHeight="1">
      <c r="A4753" t="s">
        <v>7556</v>
      </c>
      <c r="B4753" t="s">
        <v>3021</v>
      </c>
      <c r="C4753">
        <v>528.469970703125</v>
      </c>
      <c r="D4753">
        <v>531.5900268554688</v>
      </c>
      <c r="E4753">
        <v>518.0499877929688</v>
      </c>
      <c r="F4753">
        <v>518.6599731445312</v>
      </c>
      <c r="G4753">
        <v>505.4103698730469</v>
      </c>
      <c r="H4753">
        <v>70698300</v>
      </c>
      <c r="I4753" t="s">
        <v>3022</v>
      </c>
      <c r="J4753" t="s">
        <v>3023</v>
      </c>
      <c r="K4753" t="s">
        <v>7557</v>
      </c>
    </row>
    <row r="4754" spans="1:11" ht="20" customHeight="1">
      <c r="A4754" t="s">
        <v>7556</v>
      </c>
      <c r="B4754" t="s">
        <v>3024</v>
      </c>
      <c r="C4754">
        <v>523.9099731445312</v>
      </c>
      <c r="D4754">
        <v>531.2899780273438</v>
      </c>
      <c r="E4754">
        <v>521.8400268554688</v>
      </c>
      <c r="F4754">
        <v>530.6500244140625</v>
      </c>
      <c r="G4754">
        <v>517.0940551757812</v>
      </c>
      <c r="H4754">
        <v>63276600</v>
      </c>
      <c r="I4754" t="s">
        <v>3025</v>
      </c>
      <c r="J4754" t="s">
        <v>3026</v>
      </c>
      <c r="K4754" t="s">
        <v>7557</v>
      </c>
    </row>
    <row r="4755" spans="1:11" ht="20" customHeight="1">
      <c r="A4755" t="s">
        <v>7556</v>
      </c>
      <c r="B4755" t="s">
        <v>3027</v>
      </c>
      <c r="C4755">
        <v>529.8099975585938</v>
      </c>
      <c r="D4755">
        <v>534.510009765625</v>
      </c>
      <c r="E4755">
        <v>528.5599975585938</v>
      </c>
      <c r="F4755">
        <v>532.989990234375</v>
      </c>
      <c r="G4755">
        <v>519.3744506835938</v>
      </c>
      <c r="H4755">
        <v>45619600</v>
      </c>
      <c r="I4755" t="s">
        <v>3028</v>
      </c>
      <c r="J4755" t="s">
        <v>3029</v>
      </c>
      <c r="K4755" t="s">
        <v>7557</v>
      </c>
    </row>
    <row r="4756" spans="1:11" ht="20" customHeight="1">
      <c r="A4756" t="s">
        <v>7556</v>
      </c>
      <c r="B4756" t="s">
        <v>3030</v>
      </c>
      <c r="C4756">
        <v>534.2100219726562</v>
      </c>
      <c r="D4756">
        <v>535.72998046875</v>
      </c>
      <c r="E4756">
        <v>530.9500122070312</v>
      </c>
      <c r="F4756">
        <v>533.27001953125</v>
      </c>
      <c r="G4756">
        <v>519.6471557617188</v>
      </c>
      <c r="H4756">
        <v>42542100</v>
      </c>
      <c r="I4756" t="s">
        <v>3031</v>
      </c>
      <c r="J4756" t="s">
        <v>3032</v>
      </c>
      <c r="K4756" t="s">
        <v>7557</v>
      </c>
    </row>
    <row r="4757" spans="1:11" ht="20" customHeight="1">
      <c r="A4757" t="s">
        <v>7556</v>
      </c>
      <c r="B4757" t="s">
        <v>3033</v>
      </c>
      <c r="C4757">
        <v>536.530029296875</v>
      </c>
      <c r="D4757">
        <v>542.280029296875</v>
      </c>
      <c r="E4757">
        <v>536.280029296875</v>
      </c>
      <c r="F4757">
        <v>542.0399780273438</v>
      </c>
      <c r="G4757">
        <v>528.193115234375</v>
      </c>
      <c r="H4757">
        <v>52333100</v>
      </c>
      <c r="I4757" t="s">
        <v>3034</v>
      </c>
      <c r="J4757" t="s">
        <v>3035</v>
      </c>
      <c r="K4757" t="s">
        <v>7557</v>
      </c>
    </row>
    <row r="4758" spans="1:11" ht="20" customHeight="1">
      <c r="A4758" t="s">
        <v>7556</v>
      </c>
      <c r="B4758" t="s">
        <v>3036</v>
      </c>
      <c r="C4758">
        <v>542.8499755859375</v>
      </c>
      <c r="D4758">
        <v>544.9600219726562</v>
      </c>
      <c r="E4758">
        <v>540.1199951171875</v>
      </c>
      <c r="F4758">
        <v>543.75</v>
      </c>
      <c r="G4758">
        <v>529.8595581054688</v>
      </c>
      <c r="H4758">
        <v>42446900</v>
      </c>
      <c r="I4758" t="s">
        <v>3037</v>
      </c>
      <c r="J4758" t="s">
        <v>3038</v>
      </c>
      <c r="K4758" t="s">
        <v>7557</v>
      </c>
    </row>
    <row r="4759" spans="1:11" ht="20" customHeight="1">
      <c r="A4759" t="s">
        <v>7556</v>
      </c>
      <c r="B4759" t="s">
        <v>3039</v>
      </c>
      <c r="C4759">
        <v>549.5</v>
      </c>
      <c r="D4759">
        <v>553.3599853515625</v>
      </c>
      <c r="E4759">
        <v>548.8800048828125</v>
      </c>
      <c r="F4759">
        <v>553.0700073242188</v>
      </c>
      <c r="G4759">
        <v>538.9414672851562</v>
      </c>
      <c r="H4759">
        <v>60846800</v>
      </c>
      <c r="I4759" t="s">
        <v>3040</v>
      </c>
      <c r="J4759" t="s">
        <v>3041</v>
      </c>
      <c r="K4759" t="s">
        <v>7557</v>
      </c>
    </row>
    <row r="4760" spans="1:11" ht="20" customHeight="1">
      <c r="A4760" t="s">
        <v>7556</v>
      </c>
      <c r="B4760" t="s">
        <v>3042</v>
      </c>
      <c r="C4760">
        <v>551.4199829101562</v>
      </c>
      <c r="D4760">
        <v>555.02001953125</v>
      </c>
      <c r="E4760">
        <v>551.260009765625</v>
      </c>
      <c r="F4760">
        <v>554.3099975585938</v>
      </c>
      <c r="G4760">
        <v>540.1497802734375</v>
      </c>
      <c r="H4760">
        <v>44430700</v>
      </c>
      <c r="I4760" t="s">
        <v>3043</v>
      </c>
      <c r="J4760" t="s">
        <v>3044</v>
      </c>
      <c r="K4760" t="s">
        <v>7557</v>
      </c>
    </row>
    <row r="4761" spans="1:11" ht="20" customHeight="1">
      <c r="A4761" t="s">
        <v>7556</v>
      </c>
      <c r="B4761" t="s">
        <v>3045</v>
      </c>
      <c r="C4761">
        <v>554.72998046875</v>
      </c>
      <c r="D4761">
        <v>559.6099853515625</v>
      </c>
      <c r="E4761">
        <v>553.8599853515625</v>
      </c>
      <c r="F4761">
        <v>559.6099853515625</v>
      </c>
      <c r="G4761">
        <v>545.314453125</v>
      </c>
      <c r="H4761">
        <v>39121800</v>
      </c>
      <c r="I4761" t="s">
        <v>3046</v>
      </c>
      <c r="J4761" t="s">
        <v>3047</v>
      </c>
      <c r="K4761" t="s">
        <v>7557</v>
      </c>
    </row>
    <row r="4762" spans="1:11" ht="20" customHeight="1">
      <c r="A4762" t="s">
        <v>7556</v>
      </c>
      <c r="B4762" t="s">
        <v>3048</v>
      </c>
      <c r="C4762">
        <v>559.1500244140625</v>
      </c>
      <c r="D4762">
        <v>560.8400268554688</v>
      </c>
      <c r="E4762">
        <v>557.3300170898438</v>
      </c>
      <c r="F4762">
        <v>558.7000122070312</v>
      </c>
      <c r="G4762">
        <v>544.4276123046875</v>
      </c>
      <c r="H4762">
        <v>33732300</v>
      </c>
      <c r="I4762" t="s">
        <v>3049</v>
      </c>
      <c r="J4762" t="s">
        <v>3050</v>
      </c>
      <c r="K4762" t="s">
        <v>7557</v>
      </c>
    </row>
    <row r="4763" spans="1:11" ht="20" customHeight="1">
      <c r="A4763" t="s">
        <v>7556</v>
      </c>
      <c r="B4763" t="s">
        <v>3051</v>
      </c>
      <c r="C4763">
        <v>559.77001953125</v>
      </c>
      <c r="D4763">
        <v>562.1099853515625</v>
      </c>
      <c r="E4763">
        <v>554.72998046875</v>
      </c>
      <c r="F4763">
        <v>560.6199951171875</v>
      </c>
      <c r="G4763">
        <v>546.298583984375</v>
      </c>
      <c r="H4763">
        <v>41514600</v>
      </c>
      <c r="I4763" t="s">
        <v>3052</v>
      </c>
      <c r="J4763" t="s">
        <v>3053</v>
      </c>
      <c r="K4763" t="s">
        <v>7557</v>
      </c>
    </row>
    <row r="4764" spans="1:11" ht="20" customHeight="1">
      <c r="A4764" t="s">
        <v>7556</v>
      </c>
      <c r="B4764" t="s">
        <v>3054</v>
      </c>
      <c r="C4764">
        <v>562.5599975585938</v>
      </c>
      <c r="D4764">
        <v>563.1799926757812</v>
      </c>
      <c r="E4764">
        <v>554.97998046875</v>
      </c>
      <c r="F4764">
        <v>556.219970703125</v>
      </c>
      <c r="G4764">
        <v>542.0108642578125</v>
      </c>
      <c r="H4764">
        <v>56121500</v>
      </c>
      <c r="I4764" t="s">
        <v>3055</v>
      </c>
      <c r="J4764" t="s">
        <v>3056</v>
      </c>
      <c r="K4764" t="s">
        <v>7557</v>
      </c>
    </row>
    <row r="4765" spans="1:11" ht="20" customHeight="1">
      <c r="A4765" t="s">
        <v>7556</v>
      </c>
      <c r="B4765" t="s">
        <v>3057</v>
      </c>
      <c r="C4765">
        <v>559.530029296875</v>
      </c>
      <c r="D4765">
        <v>563.0900268554688</v>
      </c>
      <c r="E4765">
        <v>557.2899780273438</v>
      </c>
      <c r="F4765">
        <v>562.1300048828125</v>
      </c>
      <c r="G4765">
        <v>547.7698974609375</v>
      </c>
      <c r="H4765">
        <v>50639400</v>
      </c>
      <c r="I4765" t="s">
        <v>3058</v>
      </c>
      <c r="J4765" t="s">
        <v>3059</v>
      </c>
      <c r="K4765" t="s">
        <v>7557</v>
      </c>
    </row>
    <row r="4766" spans="1:11" ht="20" customHeight="1">
      <c r="A4766" t="s">
        <v>7556</v>
      </c>
      <c r="B4766" t="s">
        <v>3060</v>
      </c>
      <c r="C4766">
        <v>563.1799926757812</v>
      </c>
      <c r="D4766">
        <v>563.9099731445312</v>
      </c>
      <c r="E4766">
        <v>559.0499877929688</v>
      </c>
      <c r="F4766">
        <v>560.7899780273438</v>
      </c>
      <c r="G4766">
        <v>546.4641723632812</v>
      </c>
      <c r="H4766">
        <v>35788600</v>
      </c>
      <c r="I4766" t="s">
        <v>3061</v>
      </c>
      <c r="J4766" t="s">
        <v>3062</v>
      </c>
      <c r="K4766" t="s">
        <v>7557</v>
      </c>
    </row>
    <row r="4767" spans="1:11" ht="20" customHeight="1">
      <c r="A4767" t="s">
        <v>7556</v>
      </c>
      <c r="B4767" t="s">
        <v>3063</v>
      </c>
      <c r="C4767">
        <v>559.489990234375</v>
      </c>
      <c r="D4767">
        <v>562.0599975585938</v>
      </c>
      <c r="E4767">
        <v>558.3200073242188</v>
      </c>
      <c r="F4767">
        <v>561.5599975585938</v>
      </c>
      <c r="G4767">
        <v>547.214599609375</v>
      </c>
      <c r="H4767">
        <v>32693900</v>
      </c>
      <c r="I4767" t="s">
        <v>3064</v>
      </c>
      <c r="J4767" t="s">
        <v>3065</v>
      </c>
      <c r="K4767" t="s">
        <v>7557</v>
      </c>
    </row>
    <row r="4768" spans="1:11" ht="20" customHeight="1">
      <c r="A4768" t="s">
        <v>7556</v>
      </c>
      <c r="B4768" t="s">
        <v>3066</v>
      </c>
      <c r="C4768">
        <v>561.2100219726562</v>
      </c>
      <c r="D4768">
        <v>561.6500244140625</v>
      </c>
      <c r="E4768">
        <v>555.0399780273438</v>
      </c>
      <c r="F4768">
        <v>558.2999877929688</v>
      </c>
      <c r="G4768">
        <v>544.0377807617188</v>
      </c>
      <c r="H4768">
        <v>41066000</v>
      </c>
      <c r="I4768" t="s">
        <v>3067</v>
      </c>
      <c r="J4768" t="s">
        <v>3068</v>
      </c>
      <c r="K4768" t="s">
        <v>7557</v>
      </c>
    </row>
    <row r="4769" spans="1:11" ht="20" customHeight="1">
      <c r="A4769" t="s">
        <v>7556</v>
      </c>
      <c r="B4769" t="s">
        <v>3069</v>
      </c>
      <c r="C4769">
        <v>560.3099975585938</v>
      </c>
      <c r="D4769">
        <v>563.6799926757812</v>
      </c>
      <c r="E4769">
        <v>557.1799926757812</v>
      </c>
      <c r="F4769">
        <v>558.3499755859375</v>
      </c>
      <c r="G4769">
        <v>544.0864868164062</v>
      </c>
      <c r="H4769">
        <v>38715200</v>
      </c>
      <c r="I4769" t="s">
        <v>3070</v>
      </c>
      <c r="J4769" t="s">
        <v>3071</v>
      </c>
      <c r="K4769" t="s">
        <v>7557</v>
      </c>
    </row>
    <row r="4770" spans="1:11" ht="20" customHeight="1">
      <c r="A4770" t="s">
        <v>7556</v>
      </c>
      <c r="B4770" t="s">
        <v>3072</v>
      </c>
      <c r="C4770">
        <v>560.77001953125</v>
      </c>
      <c r="D4770">
        <v>564.2000122070312</v>
      </c>
      <c r="E4770">
        <v>557.1400146484375</v>
      </c>
      <c r="F4770">
        <v>563.6799926757812</v>
      </c>
      <c r="G4770">
        <v>549.2803344726562</v>
      </c>
      <c r="H4770">
        <v>62700100</v>
      </c>
      <c r="I4770" t="s">
        <v>3073</v>
      </c>
      <c r="J4770" t="s">
        <v>3074</v>
      </c>
      <c r="K4770" t="s">
        <v>7557</v>
      </c>
    </row>
    <row r="4771" spans="1:11" ht="20" customHeight="1">
      <c r="A4771" t="s">
        <v>7556</v>
      </c>
      <c r="B4771" t="s">
        <v>3075</v>
      </c>
      <c r="C4771">
        <v>560.469970703125</v>
      </c>
      <c r="D4771">
        <v>560.8099975585938</v>
      </c>
      <c r="E4771">
        <v>549.510009765625</v>
      </c>
      <c r="F4771">
        <v>552.0800170898438</v>
      </c>
      <c r="G4771">
        <v>537.9766845703125</v>
      </c>
      <c r="H4771">
        <v>60600100</v>
      </c>
      <c r="I4771" t="s">
        <v>3076</v>
      </c>
      <c r="J4771" t="s">
        <v>3077</v>
      </c>
      <c r="K4771" t="s">
        <v>7557</v>
      </c>
    </row>
    <row r="4772" spans="1:11" ht="20" customHeight="1">
      <c r="A4772" t="s">
        <v>7556</v>
      </c>
      <c r="B4772" t="s">
        <v>3078</v>
      </c>
      <c r="C4772">
        <v>550.2000122070312</v>
      </c>
      <c r="D4772">
        <v>554.4299926757812</v>
      </c>
      <c r="E4772">
        <v>549.4600219726562</v>
      </c>
      <c r="F4772">
        <v>550.9500122070312</v>
      </c>
      <c r="G4772">
        <v>536.8756103515625</v>
      </c>
      <c r="H4772">
        <v>47224900</v>
      </c>
      <c r="I4772" t="s">
        <v>3079</v>
      </c>
      <c r="J4772" t="s">
        <v>3080</v>
      </c>
      <c r="K4772" t="s">
        <v>7557</v>
      </c>
    </row>
    <row r="4773" spans="1:11" ht="20" customHeight="1">
      <c r="A4773" t="s">
        <v>7556</v>
      </c>
      <c r="B4773" t="s">
        <v>3081</v>
      </c>
      <c r="C4773">
        <v>550.8900146484375</v>
      </c>
      <c r="D4773">
        <v>553.7999877929688</v>
      </c>
      <c r="E4773">
        <v>547.0999755859375</v>
      </c>
      <c r="F4773">
        <v>549.6099853515625</v>
      </c>
      <c r="G4773">
        <v>535.5697631835938</v>
      </c>
      <c r="H4773">
        <v>44264300</v>
      </c>
      <c r="I4773" t="s">
        <v>3082</v>
      </c>
      <c r="J4773" t="s">
        <v>3083</v>
      </c>
      <c r="K4773" t="s">
        <v>7557</v>
      </c>
    </row>
    <row r="4774" spans="1:11" ht="20" customHeight="1">
      <c r="A4774" t="s">
        <v>7556</v>
      </c>
      <c r="B4774" t="s">
        <v>3084</v>
      </c>
      <c r="C4774">
        <v>549.9400024414062</v>
      </c>
      <c r="D4774">
        <v>551.5999755859375</v>
      </c>
      <c r="E4774">
        <v>539.4400024414062</v>
      </c>
      <c r="F4774">
        <v>540.3599853515625</v>
      </c>
      <c r="G4774">
        <v>526.55615234375</v>
      </c>
      <c r="H4774">
        <v>68493800</v>
      </c>
      <c r="I4774" t="s">
        <v>3085</v>
      </c>
      <c r="J4774" t="s">
        <v>3086</v>
      </c>
      <c r="K4774" t="s">
        <v>7557</v>
      </c>
    </row>
    <row r="4775" spans="1:11" ht="20" customHeight="1">
      <c r="A4775" t="s">
        <v>7556</v>
      </c>
      <c r="B4775" t="s">
        <v>3087</v>
      </c>
      <c r="C4775">
        <v>544.6500244140625</v>
      </c>
      <c r="D4775">
        <v>547.7100219726562</v>
      </c>
      <c r="E4775">
        <v>542.6799926757812</v>
      </c>
      <c r="F4775">
        <v>546.4099731445312</v>
      </c>
      <c r="G4775">
        <v>532.451416015625</v>
      </c>
      <c r="H4775">
        <v>40445800</v>
      </c>
      <c r="I4775" t="s">
        <v>3088</v>
      </c>
      <c r="J4775" t="s">
        <v>3089</v>
      </c>
      <c r="K4775" t="s">
        <v>7557</v>
      </c>
    </row>
    <row r="4776" spans="1:11" ht="20" customHeight="1">
      <c r="A4776" t="s">
        <v>7556</v>
      </c>
      <c r="B4776" t="s">
        <v>3090</v>
      </c>
      <c r="C4776">
        <v>548.3599853515625</v>
      </c>
      <c r="D4776">
        <v>549.1500244140625</v>
      </c>
      <c r="E4776">
        <v>543.3800048828125</v>
      </c>
      <c r="F4776">
        <v>548.7899780273438</v>
      </c>
      <c r="G4776">
        <v>534.7708129882812</v>
      </c>
      <c r="H4776">
        <v>36394600</v>
      </c>
      <c r="I4776" t="s">
        <v>3091</v>
      </c>
      <c r="J4776" t="s">
        <v>3092</v>
      </c>
      <c r="K4776" t="s">
        <v>7557</v>
      </c>
    </row>
    <row r="4777" spans="1:11" ht="20" customHeight="1">
      <c r="A4777" t="s">
        <v>7556</v>
      </c>
      <c r="B4777" t="s">
        <v>3093</v>
      </c>
      <c r="C4777">
        <v>548.7000122070312</v>
      </c>
      <c r="D4777">
        <v>555.3599853515625</v>
      </c>
      <c r="E4777">
        <v>539.9600219726562</v>
      </c>
      <c r="F4777">
        <v>554.4199829101562</v>
      </c>
      <c r="G4777">
        <v>540.2568969726562</v>
      </c>
      <c r="H4777">
        <v>75248600</v>
      </c>
      <c r="I4777" t="s">
        <v>3094</v>
      </c>
      <c r="J4777" t="s">
        <v>3095</v>
      </c>
      <c r="K4777" t="s">
        <v>7557</v>
      </c>
    </row>
    <row r="4778" spans="1:11" ht="20" customHeight="1">
      <c r="A4778" t="s">
        <v>7556</v>
      </c>
      <c r="B4778" t="s">
        <v>3096</v>
      </c>
      <c r="C4778">
        <v>555.010009765625</v>
      </c>
      <c r="D4778">
        <v>559.4000244140625</v>
      </c>
      <c r="E4778">
        <v>552.739990234375</v>
      </c>
      <c r="F4778">
        <v>559.0900268554688</v>
      </c>
      <c r="G4778">
        <v>544.8077392578125</v>
      </c>
      <c r="H4778">
        <v>51819600</v>
      </c>
      <c r="I4778" t="s">
        <v>3097</v>
      </c>
      <c r="J4778" t="s">
        <v>3098</v>
      </c>
      <c r="K4778" t="s">
        <v>7557</v>
      </c>
    </row>
    <row r="4779" spans="1:11" ht="20" customHeight="1">
      <c r="A4779" t="s">
        <v>7556</v>
      </c>
      <c r="B4779" t="s">
        <v>3099</v>
      </c>
      <c r="C4779">
        <v>559.7100219726562</v>
      </c>
      <c r="D4779">
        <v>563.030029296875</v>
      </c>
      <c r="E4779">
        <v>559.4500122070312</v>
      </c>
      <c r="F4779">
        <v>562.010009765625</v>
      </c>
      <c r="G4779">
        <v>547.6530151367188</v>
      </c>
      <c r="H4779">
        <v>39310500</v>
      </c>
      <c r="I4779" t="s">
        <v>3100</v>
      </c>
      <c r="J4779" t="s">
        <v>3101</v>
      </c>
      <c r="K4779" t="s">
        <v>7557</v>
      </c>
    </row>
    <row r="4780" spans="1:11" ht="20" customHeight="1">
      <c r="A4780" t="s">
        <v>7556</v>
      </c>
      <c r="B4780" t="s">
        <v>3102</v>
      </c>
      <c r="C4780">
        <v>561.739990234375</v>
      </c>
      <c r="D4780">
        <v>563.1099853515625</v>
      </c>
      <c r="E4780">
        <v>559.9000244140625</v>
      </c>
      <c r="F4780">
        <v>562.8400268554688</v>
      </c>
      <c r="G4780">
        <v>548.4617919921875</v>
      </c>
      <c r="H4780">
        <v>36656100</v>
      </c>
      <c r="I4780" t="s">
        <v>3103</v>
      </c>
      <c r="J4780" t="s">
        <v>3104</v>
      </c>
      <c r="K4780" t="s">
        <v>7557</v>
      </c>
    </row>
    <row r="4781" spans="1:11" ht="20" customHeight="1">
      <c r="A4781" t="s">
        <v>7556</v>
      </c>
      <c r="B4781" t="s">
        <v>3105</v>
      </c>
      <c r="C4781">
        <v>565.0999755859375</v>
      </c>
      <c r="D4781">
        <v>566.5800170898438</v>
      </c>
      <c r="E4781">
        <v>560.7899780273438</v>
      </c>
      <c r="F4781">
        <v>563.0700073242188</v>
      </c>
      <c r="G4781">
        <v>548.68603515625</v>
      </c>
      <c r="H4781">
        <v>49321000</v>
      </c>
      <c r="I4781" t="s">
        <v>3106</v>
      </c>
      <c r="J4781" t="s">
        <v>3107</v>
      </c>
      <c r="K4781" t="s">
        <v>7557</v>
      </c>
    </row>
    <row r="4782" spans="1:11" ht="20" customHeight="1">
      <c r="A4782" t="s">
        <v>7556</v>
      </c>
      <c r="B4782" t="s">
        <v>3108</v>
      </c>
      <c r="C4782">
        <v>563.739990234375</v>
      </c>
      <c r="D4782">
        <v>568.6900024414062</v>
      </c>
      <c r="E4782">
        <v>560.8300170898438</v>
      </c>
      <c r="F4782">
        <v>561.4000244140625</v>
      </c>
      <c r="G4782">
        <v>547.0586547851562</v>
      </c>
      <c r="H4782">
        <v>59044900</v>
      </c>
      <c r="I4782" t="s">
        <v>3109</v>
      </c>
      <c r="J4782" t="s">
        <v>3110</v>
      </c>
      <c r="K4782" t="s">
        <v>7557</v>
      </c>
    </row>
    <row r="4783" spans="1:11" ht="20" customHeight="1">
      <c r="A4783" t="s">
        <v>7556</v>
      </c>
      <c r="B4783" t="s">
        <v>3111</v>
      </c>
      <c r="C4783">
        <v>571.010009765625</v>
      </c>
      <c r="D4783">
        <v>572.8800048828125</v>
      </c>
      <c r="E4783">
        <v>568.0800170898438</v>
      </c>
      <c r="F4783">
        <v>570.97998046875</v>
      </c>
      <c r="G4783">
        <v>556.3939208984375</v>
      </c>
      <c r="H4783">
        <v>75315500</v>
      </c>
      <c r="I4783" t="s">
        <v>3112</v>
      </c>
      <c r="J4783" t="s">
        <v>3113</v>
      </c>
      <c r="K4783" t="s">
        <v>7557</v>
      </c>
    </row>
    <row r="4784" spans="1:11" ht="20" customHeight="1">
      <c r="A4784" t="s">
        <v>7556</v>
      </c>
      <c r="B4784" t="s">
        <v>3114</v>
      </c>
      <c r="C4784">
        <v>567.8400268554688</v>
      </c>
      <c r="D4784">
        <v>569.3099975585938</v>
      </c>
      <c r="E4784">
        <v>565.1699829101562</v>
      </c>
      <c r="F4784">
        <v>568.25</v>
      </c>
      <c r="G4784">
        <v>555.43212890625</v>
      </c>
      <c r="H4784">
        <v>77503100</v>
      </c>
      <c r="I4784" t="s">
        <v>3115</v>
      </c>
      <c r="J4784" t="s">
        <v>3116</v>
      </c>
      <c r="K4784" t="s">
        <v>7557</v>
      </c>
    </row>
    <row r="4785" spans="1:11" ht="20" customHeight="1">
      <c r="A4785" t="s">
        <v>7556</v>
      </c>
      <c r="B4785" t="s">
        <v>3117</v>
      </c>
      <c r="C4785">
        <v>569.3400268554688</v>
      </c>
      <c r="D4785">
        <v>570.3300170898438</v>
      </c>
      <c r="E4785">
        <v>568.0999755859375</v>
      </c>
      <c r="F4785">
        <v>569.6699829101562</v>
      </c>
      <c r="G4785">
        <v>556.820068359375</v>
      </c>
      <c r="H4785">
        <v>44116900</v>
      </c>
      <c r="I4785" t="s">
        <v>3118</v>
      </c>
      <c r="J4785" t="s">
        <v>3119</v>
      </c>
      <c r="K4785" t="s">
        <v>7557</v>
      </c>
    </row>
    <row r="4786" spans="1:11" ht="20" customHeight="1">
      <c r="A4786" t="s">
        <v>7556</v>
      </c>
      <c r="B4786" t="s">
        <v>3120</v>
      </c>
      <c r="C4786">
        <v>570.47998046875</v>
      </c>
      <c r="D4786">
        <v>571.3599853515625</v>
      </c>
      <c r="E4786">
        <v>567.5999755859375</v>
      </c>
      <c r="F4786">
        <v>571.2999877929688</v>
      </c>
      <c r="G4786">
        <v>558.4132690429688</v>
      </c>
      <c r="H4786">
        <v>46805700</v>
      </c>
      <c r="I4786" t="s">
        <v>3121</v>
      </c>
      <c r="J4786" t="s">
        <v>3122</v>
      </c>
      <c r="K4786" t="s">
        <v>7557</v>
      </c>
    </row>
    <row r="4787" spans="1:11" ht="20" customHeight="1">
      <c r="A4787" t="s">
        <v>7556</v>
      </c>
      <c r="B4787" t="s">
        <v>3123</v>
      </c>
      <c r="C4787">
        <v>571.1400146484375</v>
      </c>
      <c r="D4787">
        <v>571.8900146484375</v>
      </c>
      <c r="E4787">
        <v>568.9099731445312</v>
      </c>
      <c r="F4787">
        <v>570.0399780273438</v>
      </c>
      <c r="G4787">
        <v>557.1817016601562</v>
      </c>
      <c r="H4787">
        <v>38428600</v>
      </c>
      <c r="I4787" t="s">
        <v>3124</v>
      </c>
      <c r="J4787" t="s">
        <v>3125</v>
      </c>
      <c r="K4787" t="s">
        <v>7557</v>
      </c>
    </row>
    <row r="4788" spans="1:11" ht="20" customHeight="1">
      <c r="A4788" t="s">
        <v>7556</v>
      </c>
      <c r="B4788" t="s">
        <v>3126</v>
      </c>
      <c r="C4788">
        <v>574.3800048828125</v>
      </c>
      <c r="D4788">
        <v>574.7100219726562</v>
      </c>
      <c r="E4788">
        <v>569.9000244140625</v>
      </c>
      <c r="F4788">
        <v>572.2999877929688</v>
      </c>
      <c r="G4788">
        <v>559.3908081054688</v>
      </c>
      <c r="H4788">
        <v>48336000</v>
      </c>
      <c r="I4788" t="s">
        <v>3127</v>
      </c>
      <c r="J4788" t="s">
        <v>3128</v>
      </c>
      <c r="K4788" t="s">
        <v>7557</v>
      </c>
    </row>
    <row r="4789" spans="1:11" ht="20" customHeight="1">
      <c r="A4789" t="s">
        <v>7556</v>
      </c>
      <c r="B4789" t="s">
        <v>3129</v>
      </c>
      <c r="C4789">
        <v>573.3900146484375</v>
      </c>
      <c r="D4789">
        <v>574.219970703125</v>
      </c>
      <c r="E4789">
        <v>570.4199829101562</v>
      </c>
      <c r="F4789">
        <v>571.469970703125</v>
      </c>
      <c r="G4789">
        <v>558.5794067382812</v>
      </c>
      <c r="H4789">
        <v>42100900</v>
      </c>
      <c r="I4789" t="s">
        <v>3130</v>
      </c>
      <c r="J4789" t="s">
        <v>3131</v>
      </c>
      <c r="K4789" t="s">
        <v>7557</v>
      </c>
    </row>
    <row r="4790" spans="1:11" ht="20" customHeight="1">
      <c r="A4790" t="s">
        <v>7556</v>
      </c>
      <c r="B4790" t="s">
        <v>3132</v>
      </c>
      <c r="C4790">
        <v>570.4199829101562</v>
      </c>
      <c r="D4790">
        <v>574.3800048828125</v>
      </c>
      <c r="E4790">
        <v>568.0800170898438</v>
      </c>
      <c r="F4790">
        <v>573.760009765625</v>
      </c>
      <c r="G4790">
        <v>560.8178100585938</v>
      </c>
      <c r="H4790">
        <v>63557400</v>
      </c>
      <c r="I4790" t="s">
        <v>3133</v>
      </c>
      <c r="J4790" t="s">
        <v>3134</v>
      </c>
      <c r="K4790" t="s">
        <v>7557</v>
      </c>
    </row>
    <row r="4791" spans="1:11" ht="20" customHeight="1">
      <c r="A4791" t="s">
        <v>7556</v>
      </c>
      <c r="B4791" t="s">
        <v>3135</v>
      </c>
      <c r="C4791">
        <v>573.4000244140625</v>
      </c>
      <c r="D4791">
        <v>574.0599975585938</v>
      </c>
      <c r="E4791">
        <v>566</v>
      </c>
      <c r="F4791">
        <v>568.6199951171875</v>
      </c>
      <c r="G4791">
        <v>555.7938232421875</v>
      </c>
      <c r="H4791">
        <v>72668800</v>
      </c>
      <c r="I4791" t="s">
        <v>3136</v>
      </c>
      <c r="J4791" t="s">
        <v>3137</v>
      </c>
      <c r="K4791" t="s">
        <v>7557</v>
      </c>
    </row>
    <row r="4792" spans="1:11" ht="20" customHeight="1">
      <c r="A4792" t="s">
        <v>7556</v>
      </c>
      <c r="B4792" t="s">
        <v>3138</v>
      </c>
      <c r="C4792">
        <v>567.7100219726562</v>
      </c>
      <c r="D4792">
        <v>569.9000244140625</v>
      </c>
      <c r="E4792">
        <v>565.27001953125</v>
      </c>
      <c r="F4792">
        <v>568.8599853515625</v>
      </c>
      <c r="G4792">
        <v>556.0283203125</v>
      </c>
      <c r="H4792">
        <v>38097800</v>
      </c>
      <c r="I4792" t="s">
        <v>3139</v>
      </c>
      <c r="J4792" t="s">
        <v>3140</v>
      </c>
      <c r="K4792" t="s">
        <v>7557</v>
      </c>
    </row>
    <row r="4793" spans="1:11" ht="20" customHeight="1">
      <c r="A4793" t="s">
        <v>7556</v>
      </c>
      <c r="B4793" t="s">
        <v>3141</v>
      </c>
      <c r="C4793">
        <v>567.3599853515625</v>
      </c>
      <c r="D4793">
        <v>569.7999877929688</v>
      </c>
      <c r="E4793">
        <v>565.489990234375</v>
      </c>
      <c r="F4793">
        <v>567.8200073242188</v>
      </c>
      <c r="G4793">
        <v>555.0117797851562</v>
      </c>
      <c r="H4793">
        <v>40846500</v>
      </c>
      <c r="I4793" t="s">
        <v>3142</v>
      </c>
      <c r="J4793" t="s">
        <v>3143</v>
      </c>
      <c r="K4793" t="s">
        <v>7557</v>
      </c>
    </row>
    <row r="4794" spans="1:11" ht="20" customHeight="1">
      <c r="A4794" t="s">
        <v>7556</v>
      </c>
      <c r="B4794" t="s">
        <v>3144</v>
      </c>
      <c r="C4794">
        <v>572.3499755859375</v>
      </c>
      <c r="D4794">
        <v>573.3599853515625</v>
      </c>
      <c r="E4794">
        <v>568.0999755859375</v>
      </c>
      <c r="F4794">
        <v>572.97998046875</v>
      </c>
      <c r="G4794">
        <v>560.055419921875</v>
      </c>
      <c r="H4794">
        <v>42939100</v>
      </c>
      <c r="I4794" t="s">
        <v>3145</v>
      </c>
      <c r="J4794" t="s">
        <v>3146</v>
      </c>
      <c r="K4794" t="s">
        <v>7557</v>
      </c>
    </row>
    <row r="4795" spans="1:11" ht="20" customHeight="1">
      <c r="A4795" t="s">
        <v>7556</v>
      </c>
      <c r="B4795" t="s">
        <v>3147</v>
      </c>
      <c r="C4795">
        <v>571.2999877929688</v>
      </c>
      <c r="D4795">
        <v>571.9600219726562</v>
      </c>
      <c r="E4795">
        <v>566.6300048828125</v>
      </c>
      <c r="F4795">
        <v>567.7999877929688</v>
      </c>
      <c r="G4795">
        <v>554.9921264648438</v>
      </c>
      <c r="H4795">
        <v>49964700</v>
      </c>
      <c r="I4795" t="s">
        <v>3148</v>
      </c>
      <c r="J4795" t="s">
        <v>3149</v>
      </c>
      <c r="K4795" t="s">
        <v>7557</v>
      </c>
    </row>
    <row r="4796" spans="1:11" ht="20" customHeight="1">
      <c r="A4796" t="s">
        <v>7556</v>
      </c>
      <c r="B4796" t="s">
        <v>3150</v>
      </c>
      <c r="C4796">
        <v>570.4199829101562</v>
      </c>
      <c r="D4796">
        <v>573.780029296875</v>
      </c>
      <c r="E4796">
        <v>569.530029296875</v>
      </c>
      <c r="F4796">
        <v>573.1699829101562</v>
      </c>
      <c r="G4796">
        <v>560.2410888671875</v>
      </c>
      <c r="H4796">
        <v>37398700</v>
      </c>
      <c r="I4796" t="s">
        <v>3151</v>
      </c>
      <c r="J4796" t="s">
        <v>3152</v>
      </c>
      <c r="K4796" t="s">
        <v>7557</v>
      </c>
    </row>
    <row r="4797" spans="1:11" ht="20" customHeight="1">
      <c r="A4797" t="s">
        <v>7556</v>
      </c>
      <c r="B4797" t="s">
        <v>3153</v>
      </c>
      <c r="C4797">
        <v>573.1599731445312</v>
      </c>
      <c r="D4797">
        <v>577.7100219726562</v>
      </c>
      <c r="E4797">
        <v>572.5499877929688</v>
      </c>
      <c r="F4797">
        <v>577.1400146484375</v>
      </c>
      <c r="G4797">
        <v>564.12158203125</v>
      </c>
      <c r="H4797">
        <v>37912200</v>
      </c>
      <c r="I4797" t="s">
        <v>3154</v>
      </c>
      <c r="J4797" t="s">
        <v>3155</v>
      </c>
      <c r="K4797" t="s">
        <v>7557</v>
      </c>
    </row>
    <row r="4798" spans="1:11" ht="20" customHeight="1">
      <c r="A4798" t="s">
        <v>7556</v>
      </c>
      <c r="B4798" t="s">
        <v>3156</v>
      </c>
      <c r="C4798">
        <v>575.77001953125</v>
      </c>
      <c r="D4798">
        <v>577.5800170898438</v>
      </c>
      <c r="E4798">
        <v>574.489990234375</v>
      </c>
      <c r="F4798">
        <v>576.1300048828125</v>
      </c>
      <c r="G4798">
        <v>563.1343383789062</v>
      </c>
      <c r="H4798">
        <v>44138100</v>
      </c>
      <c r="I4798" t="s">
        <v>3157</v>
      </c>
      <c r="J4798" t="s">
        <v>3158</v>
      </c>
      <c r="K4798" t="s">
        <v>7557</v>
      </c>
    </row>
    <row r="4799" spans="1:11" ht="20" customHeight="1">
      <c r="A4799" t="s">
        <v>7556</v>
      </c>
      <c r="B4799" t="s">
        <v>3159</v>
      </c>
      <c r="C4799">
        <v>576.0499877929688</v>
      </c>
      <c r="D4799">
        <v>580.3300170898438</v>
      </c>
      <c r="E4799">
        <v>575.9099731445312</v>
      </c>
      <c r="F4799">
        <v>579.5800170898438</v>
      </c>
      <c r="G4799">
        <v>566.5065307617188</v>
      </c>
      <c r="H4799">
        <v>42268000</v>
      </c>
      <c r="I4799" t="s">
        <v>3160</v>
      </c>
      <c r="J4799" t="s">
        <v>3161</v>
      </c>
      <c r="K4799" t="s">
        <v>7557</v>
      </c>
    </row>
    <row r="4800" spans="1:11" ht="20" customHeight="1">
      <c r="A4800" t="s">
        <v>7556</v>
      </c>
      <c r="B4800" t="s">
        <v>3162</v>
      </c>
      <c r="C4800">
        <v>581.219970703125</v>
      </c>
      <c r="D4800">
        <v>585.27001953125</v>
      </c>
      <c r="E4800">
        <v>580.72998046875</v>
      </c>
      <c r="F4800">
        <v>584.3200073242188</v>
      </c>
      <c r="G4800">
        <v>571.1396484375</v>
      </c>
      <c r="H4800">
        <v>36217200</v>
      </c>
      <c r="I4800" t="s">
        <v>3163</v>
      </c>
      <c r="J4800" t="s">
        <v>3164</v>
      </c>
      <c r="K4800" t="s">
        <v>7557</v>
      </c>
    </row>
    <row r="4801" spans="1:11" ht="20" customHeight="1">
      <c r="A4801" t="s">
        <v>7556</v>
      </c>
      <c r="B4801" t="s">
        <v>3165</v>
      </c>
      <c r="C4801">
        <v>584.5900268554688</v>
      </c>
      <c r="D4801">
        <v>584.9000244140625</v>
      </c>
      <c r="E4801">
        <v>578.5399780273438</v>
      </c>
      <c r="F4801">
        <v>579.780029296875</v>
      </c>
      <c r="G4801">
        <v>566.7020874023438</v>
      </c>
      <c r="H4801">
        <v>54203600</v>
      </c>
      <c r="I4801" t="s">
        <v>3166</v>
      </c>
      <c r="J4801" t="s">
        <v>3167</v>
      </c>
      <c r="K4801" t="s">
        <v>7557</v>
      </c>
    </row>
    <row r="4802" spans="1:11" ht="20" customHeight="1">
      <c r="A4802" t="s">
        <v>7556</v>
      </c>
      <c r="B4802" t="s">
        <v>3168</v>
      </c>
      <c r="C4802">
        <v>579.780029296875</v>
      </c>
      <c r="D4802">
        <v>582.8300170898438</v>
      </c>
      <c r="E4802">
        <v>578.9600219726562</v>
      </c>
      <c r="F4802">
        <v>582.2999877929688</v>
      </c>
      <c r="G4802">
        <v>569.1651611328125</v>
      </c>
      <c r="H4802">
        <v>30725400</v>
      </c>
      <c r="I4802" t="s">
        <v>3169</v>
      </c>
      <c r="J4802" t="s">
        <v>3170</v>
      </c>
      <c r="K4802" t="s">
        <v>7557</v>
      </c>
    </row>
    <row r="4803" spans="1:11" ht="20" customHeight="1">
      <c r="A4803" t="s">
        <v>7556</v>
      </c>
      <c r="B4803" t="s">
        <v>3171</v>
      </c>
      <c r="C4803">
        <v>585.9099731445312</v>
      </c>
      <c r="D4803">
        <v>586.1199951171875</v>
      </c>
      <c r="E4803">
        <v>582.1599731445312</v>
      </c>
      <c r="F4803">
        <v>582.3499755859375</v>
      </c>
      <c r="G4803">
        <v>569.2140502929688</v>
      </c>
      <c r="H4803">
        <v>34393700</v>
      </c>
      <c r="I4803" t="s">
        <v>3172</v>
      </c>
      <c r="J4803" t="s">
        <v>3173</v>
      </c>
      <c r="K4803" t="s">
        <v>7557</v>
      </c>
    </row>
    <row r="4804" spans="1:11" ht="20" customHeight="1">
      <c r="A4804" t="s">
        <v>7556</v>
      </c>
      <c r="B4804" t="s">
        <v>3174</v>
      </c>
      <c r="C4804">
        <v>584.0700073242188</v>
      </c>
      <c r="D4804">
        <v>585.3900146484375</v>
      </c>
      <c r="E4804">
        <v>582.5800170898438</v>
      </c>
      <c r="F4804">
        <v>584.5900268554688</v>
      </c>
      <c r="G4804">
        <v>571.4035034179688</v>
      </c>
      <c r="H4804">
        <v>37416800</v>
      </c>
      <c r="I4804" t="s">
        <v>3175</v>
      </c>
      <c r="J4804" t="s">
        <v>3176</v>
      </c>
      <c r="K4804" t="s">
        <v>7557</v>
      </c>
    </row>
    <row r="4805" spans="1:11" ht="20" customHeight="1">
      <c r="A4805" t="s">
        <v>7556</v>
      </c>
      <c r="B4805" t="s">
        <v>3177</v>
      </c>
      <c r="C4805">
        <v>583.8499755859375</v>
      </c>
      <c r="D4805">
        <v>584.8499755859375</v>
      </c>
      <c r="E4805">
        <v>580.5999755859375</v>
      </c>
      <c r="F4805">
        <v>583.6300048828125</v>
      </c>
      <c r="G4805">
        <v>570.4652099609375</v>
      </c>
      <c r="H4805">
        <v>36439000</v>
      </c>
      <c r="I4805" t="s">
        <v>3178</v>
      </c>
      <c r="J4805" t="s">
        <v>3179</v>
      </c>
      <c r="K4805" t="s">
        <v>7557</v>
      </c>
    </row>
    <row r="4806" spans="1:11" ht="20" customHeight="1">
      <c r="A4806" t="s">
        <v>7556</v>
      </c>
      <c r="B4806" t="s">
        <v>3180</v>
      </c>
      <c r="C4806">
        <v>581.0499877929688</v>
      </c>
      <c r="D4806">
        <v>584.5</v>
      </c>
      <c r="E4806">
        <v>580.3800048828125</v>
      </c>
      <c r="F4806">
        <v>583.3200073242188</v>
      </c>
      <c r="G4806">
        <v>570.1621704101562</v>
      </c>
      <c r="H4806">
        <v>34183800</v>
      </c>
      <c r="I4806" t="s">
        <v>3181</v>
      </c>
      <c r="J4806" t="s">
        <v>3182</v>
      </c>
      <c r="K4806" t="s">
        <v>7557</v>
      </c>
    </row>
    <row r="4807" spans="1:11" ht="20" customHeight="1">
      <c r="A4807" t="s">
        <v>7556</v>
      </c>
      <c r="B4807" t="s">
        <v>3183</v>
      </c>
      <c r="C4807">
        <v>581.260009765625</v>
      </c>
      <c r="D4807">
        <v>581.7100219726562</v>
      </c>
      <c r="E4807">
        <v>574.4199829101562</v>
      </c>
      <c r="F4807">
        <v>577.989990234375</v>
      </c>
      <c r="G4807">
        <v>564.9523315429688</v>
      </c>
      <c r="H4807">
        <v>49314600</v>
      </c>
      <c r="I4807" t="s">
        <v>3184</v>
      </c>
      <c r="J4807" t="s">
        <v>3185</v>
      </c>
      <c r="K4807" t="s">
        <v>7557</v>
      </c>
    </row>
    <row r="4808" spans="1:11" ht="20" customHeight="1">
      <c r="A4808" t="s">
        <v>7556</v>
      </c>
      <c r="B4808" t="s">
        <v>3186</v>
      </c>
      <c r="C4808">
        <v>579.97998046875</v>
      </c>
      <c r="D4808">
        <v>580.0599975585938</v>
      </c>
      <c r="E4808">
        <v>576.5700073242188</v>
      </c>
      <c r="F4808">
        <v>579.239990234375</v>
      </c>
      <c r="G4808">
        <v>566.1741943359375</v>
      </c>
      <c r="H4808">
        <v>34979900</v>
      </c>
      <c r="I4808" t="s">
        <v>3187</v>
      </c>
      <c r="J4808" t="s">
        <v>3188</v>
      </c>
      <c r="K4808" t="s">
        <v>7557</v>
      </c>
    </row>
    <row r="4809" spans="1:11" ht="20" customHeight="1">
      <c r="A4809" t="s">
        <v>7556</v>
      </c>
      <c r="B4809" t="s">
        <v>3189</v>
      </c>
      <c r="C4809">
        <v>581.510009765625</v>
      </c>
      <c r="D4809">
        <v>584.4600219726562</v>
      </c>
      <c r="E4809">
        <v>578.0800170898438</v>
      </c>
      <c r="F4809">
        <v>579.0399780273438</v>
      </c>
      <c r="G4809">
        <v>565.9786376953125</v>
      </c>
      <c r="H4809">
        <v>47268200</v>
      </c>
      <c r="I4809" t="s">
        <v>3190</v>
      </c>
      <c r="J4809" t="s">
        <v>3191</v>
      </c>
      <c r="K4809" t="s">
        <v>7557</v>
      </c>
    </row>
    <row r="4810" spans="1:11" ht="20" customHeight="1">
      <c r="A4810" t="s">
        <v>7556</v>
      </c>
      <c r="B4810" t="s">
        <v>3192</v>
      </c>
      <c r="C4810">
        <v>582.5800170898438</v>
      </c>
      <c r="D4810">
        <v>582.7100219726562</v>
      </c>
      <c r="E4810">
        <v>580.52001953125</v>
      </c>
      <c r="F4810">
        <v>580.8300170898438</v>
      </c>
      <c r="G4810">
        <v>567.7283325195312</v>
      </c>
      <c r="H4810">
        <v>30174700</v>
      </c>
      <c r="I4810" t="s">
        <v>3193</v>
      </c>
      <c r="J4810" t="s">
        <v>3194</v>
      </c>
      <c r="K4810" t="s">
        <v>7557</v>
      </c>
    </row>
    <row r="4811" spans="1:11" ht="20" customHeight="1">
      <c r="A4811" t="s">
        <v>7556</v>
      </c>
      <c r="B4811" t="s">
        <v>3195</v>
      </c>
      <c r="C4811">
        <v>579.8499755859375</v>
      </c>
      <c r="D4811">
        <v>582.9099731445312</v>
      </c>
      <c r="E4811">
        <v>578.4299926757812</v>
      </c>
      <c r="F4811">
        <v>581.77001953125</v>
      </c>
      <c r="G4811">
        <v>568.6471557617188</v>
      </c>
      <c r="H4811">
        <v>42899700</v>
      </c>
      <c r="I4811" t="s">
        <v>3196</v>
      </c>
      <c r="J4811" t="s">
        <v>3197</v>
      </c>
      <c r="K4811" t="s">
        <v>7557</v>
      </c>
    </row>
    <row r="4812" spans="1:11" ht="20" customHeight="1">
      <c r="A4812" t="s">
        <v>7556</v>
      </c>
      <c r="B4812" t="s">
        <v>3198</v>
      </c>
      <c r="C4812">
        <v>581.2899780273438</v>
      </c>
      <c r="D4812">
        <v>583.3200073242188</v>
      </c>
      <c r="E4812">
        <v>579.2899780273438</v>
      </c>
      <c r="F4812">
        <v>580.010009765625</v>
      </c>
      <c r="G4812">
        <v>566.9268798828125</v>
      </c>
      <c r="H4812">
        <v>41435800</v>
      </c>
      <c r="I4812" t="s">
        <v>3199</v>
      </c>
      <c r="J4812" t="s">
        <v>3200</v>
      </c>
      <c r="K4812" t="s">
        <v>7557</v>
      </c>
    </row>
    <row r="4813" spans="1:11" ht="20" customHeight="1">
      <c r="A4813" t="s">
        <v>7556</v>
      </c>
      <c r="B4813" t="s">
        <v>3201</v>
      </c>
      <c r="C4813">
        <v>575.5599975585938</v>
      </c>
      <c r="D4813">
        <v>575.6300048828125</v>
      </c>
      <c r="E4813">
        <v>568.4400024414062</v>
      </c>
      <c r="F4813">
        <v>568.6400146484375</v>
      </c>
      <c r="G4813">
        <v>555.8133544921875</v>
      </c>
      <c r="H4813">
        <v>60182500</v>
      </c>
      <c r="I4813" t="s">
        <v>3202</v>
      </c>
      <c r="J4813" t="s">
        <v>3203</v>
      </c>
      <c r="K4813" t="s">
        <v>7557</v>
      </c>
    </row>
    <row r="4814" spans="1:11" ht="20" customHeight="1">
      <c r="A4814" t="s">
        <v>7556</v>
      </c>
      <c r="B4814" t="s">
        <v>3204</v>
      </c>
      <c r="C4814">
        <v>571.3200073242188</v>
      </c>
      <c r="D4814">
        <v>575.5499877929688</v>
      </c>
      <c r="E4814">
        <v>570.6199951171875</v>
      </c>
      <c r="F4814">
        <v>571.0399780273438</v>
      </c>
      <c r="G4814">
        <v>558.1591186523438</v>
      </c>
      <c r="H4814">
        <v>45667500</v>
      </c>
      <c r="I4814" t="s">
        <v>3205</v>
      </c>
      <c r="J4814" t="s">
        <v>3206</v>
      </c>
      <c r="K4814" t="s">
        <v>7557</v>
      </c>
    </row>
    <row r="4815" spans="1:11" ht="20" customHeight="1">
      <c r="A4815" t="s">
        <v>7556</v>
      </c>
      <c r="B4815" t="s">
        <v>3207</v>
      </c>
      <c r="C4815">
        <v>571.1799926757812</v>
      </c>
      <c r="D4815">
        <v>572.5</v>
      </c>
      <c r="E4815">
        <v>567.8900146484375</v>
      </c>
      <c r="F4815">
        <v>569.8099975585938</v>
      </c>
      <c r="G4815">
        <v>556.9569091796875</v>
      </c>
      <c r="H4815">
        <v>38217000</v>
      </c>
      <c r="I4815" t="s">
        <v>3208</v>
      </c>
      <c r="J4815" t="s">
        <v>3209</v>
      </c>
      <c r="K4815" t="s">
        <v>7557</v>
      </c>
    </row>
    <row r="4816" spans="1:11" ht="20" customHeight="1">
      <c r="A4816" t="s">
        <v>7556</v>
      </c>
      <c r="B4816" t="s">
        <v>3210</v>
      </c>
      <c r="C4816">
        <v>570.739990234375</v>
      </c>
      <c r="D4816">
        <v>576.739990234375</v>
      </c>
      <c r="E4816">
        <v>570.52001953125</v>
      </c>
      <c r="F4816">
        <v>576.7000122070312</v>
      </c>
      <c r="G4816">
        <v>563.6914672851562</v>
      </c>
      <c r="H4816">
        <v>39478300</v>
      </c>
      <c r="I4816" t="s">
        <v>3211</v>
      </c>
      <c r="J4816" t="s">
        <v>3212</v>
      </c>
      <c r="K4816" t="s">
        <v>7557</v>
      </c>
    </row>
    <row r="4817" spans="1:11" ht="20" customHeight="1">
      <c r="A4817" t="s">
        <v>7556</v>
      </c>
      <c r="B4817" t="s">
        <v>3213</v>
      </c>
      <c r="C4817">
        <v>589.2000122070312</v>
      </c>
      <c r="D4817">
        <v>591.9299926757812</v>
      </c>
      <c r="E4817">
        <v>585.3900146484375</v>
      </c>
      <c r="F4817">
        <v>591.0399780273438</v>
      </c>
      <c r="G4817">
        <v>577.7080078125</v>
      </c>
      <c r="H4817">
        <v>68182000</v>
      </c>
      <c r="I4817" t="s">
        <v>3214</v>
      </c>
      <c r="J4817" t="s">
        <v>3215</v>
      </c>
      <c r="K4817" t="s">
        <v>7557</v>
      </c>
    </row>
    <row r="4818" spans="1:11" ht="20" customHeight="1">
      <c r="A4818" t="s">
        <v>7556</v>
      </c>
      <c r="B4818" t="s">
        <v>3216</v>
      </c>
      <c r="C4818">
        <v>593.0800170898438</v>
      </c>
      <c r="D4818">
        <v>596.6500244140625</v>
      </c>
      <c r="E4818">
        <v>593</v>
      </c>
      <c r="F4818">
        <v>595.6099853515625</v>
      </c>
      <c r="G4818">
        <v>582.1748657226562</v>
      </c>
      <c r="H4818">
        <v>47233200</v>
      </c>
      <c r="I4818" t="s">
        <v>3217</v>
      </c>
      <c r="J4818" t="s">
        <v>3218</v>
      </c>
      <c r="K4818" t="s">
        <v>7557</v>
      </c>
    </row>
    <row r="4819" spans="1:11" ht="20" customHeight="1">
      <c r="A4819" t="s">
        <v>7556</v>
      </c>
      <c r="B4819" t="s">
        <v>3219</v>
      </c>
      <c r="C4819">
        <v>596.1699829101562</v>
      </c>
      <c r="D4819">
        <v>599.6400146484375</v>
      </c>
      <c r="E4819">
        <v>596.1699829101562</v>
      </c>
      <c r="F4819">
        <v>598.1900024414062</v>
      </c>
      <c r="G4819">
        <v>584.6967163085938</v>
      </c>
      <c r="H4819">
        <v>46444900</v>
      </c>
      <c r="I4819" t="s">
        <v>3220</v>
      </c>
      <c r="J4819" t="s">
        <v>3221</v>
      </c>
      <c r="K4819" t="s">
        <v>7557</v>
      </c>
    </row>
    <row r="4820" spans="1:11" ht="20" customHeight="1">
      <c r="A4820" t="s">
        <v>7556</v>
      </c>
      <c r="B4820" t="s">
        <v>3222</v>
      </c>
      <c r="C4820">
        <v>599.8099975585938</v>
      </c>
      <c r="D4820">
        <v>600.1699829101562</v>
      </c>
      <c r="E4820">
        <v>597</v>
      </c>
      <c r="F4820">
        <v>598.760009765625</v>
      </c>
      <c r="G4820">
        <v>585.2537841796875</v>
      </c>
      <c r="H4820">
        <v>37586800</v>
      </c>
      <c r="I4820" t="s">
        <v>3223</v>
      </c>
      <c r="J4820" t="s">
        <v>3224</v>
      </c>
      <c r="K4820" t="s">
        <v>7557</v>
      </c>
    </row>
    <row r="4821" spans="1:11" ht="20" customHeight="1">
      <c r="A4821" t="s">
        <v>7556</v>
      </c>
      <c r="B4821" t="s">
        <v>3225</v>
      </c>
      <c r="C4821">
        <v>598.6799926757812</v>
      </c>
      <c r="D4821">
        <v>599.2899780273438</v>
      </c>
      <c r="E4821">
        <v>594.3699951171875</v>
      </c>
      <c r="F4821">
        <v>596.9000244140625</v>
      </c>
      <c r="G4821">
        <v>583.4359130859375</v>
      </c>
      <c r="H4821">
        <v>43006100</v>
      </c>
      <c r="I4821" t="s">
        <v>3226</v>
      </c>
      <c r="J4821" t="s">
        <v>3227</v>
      </c>
      <c r="K4821" t="s">
        <v>7557</v>
      </c>
    </row>
    <row r="4822" spans="1:11" ht="20" customHeight="1">
      <c r="A4822" t="s">
        <v>7556</v>
      </c>
      <c r="B4822" t="s">
        <v>3228</v>
      </c>
      <c r="C4822">
        <v>597.3699951171875</v>
      </c>
      <c r="D4822">
        <v>599.22998046875</v>
      </c>
      <c r="E4822">
        <v>594.9600219726562</v>
      </c>
      <c r="F4822">
        <v>597.1900024414062</v>
      </c>
      <c r="G4822">
        <v>583.7192993164062</v>
      </c>
      <c r="H4822">
        <v>47388600</v>
      </c>
      <c r="I4822" t="s">
        <v>3229</v>
      </c>
      <c r="J4822" t="s">
        <v>3230</v>
      </c>
      <c r="K4822" t="s">
        <v>7557</v>
      </c>
    </row>
    <row r="4823" spans="1:11" ht="20" customHeight="1">
      <c r="A4823" t="s">
        <v>7556</v>
      </c>
      <c r="B4823" t="s">
        <v>3231</v>
      </c>
      <c r="C4823">
        <v>597.3200073242188</v>
      </c>
      <c r="D4823">
        <v>597.8099975585938</v>
      </c>
      <c r="E4823">
        <v>592.6500244140625</v>
      </c>
      <c r="F4823">
        <v>593.3499755859375</v>
      </c>
      <c r="G4823">
        <v>579.9658813476562</v>
      </c>
      <c r="H4823">
        <v>38904100</v>
      </c>
      <c r="I4823" t="s">
        <v>3232</v>
      </c>
      <c r="J4823" t="s">
        <v>3233</v>
      </c>
      <c r="K4823" t="s">
        <v>7557</v>
      </c>
    </row>
    <row r="4824" spans="1:11" ht="20" customHeight="1">
      <c r="A4824" t="s">
        <v>7556</v>
      </c>
      <c r="B4824" t="s">
        <v>3234</v>
      </c>
      <c r="C4824">
        <v>589.719970703125</v>
      </c>
      <c r="D4824">
        <v>590.2000122070312</v>
      </c>
      <c r="E4824">
        <v>583.8599853515625</v>
      </c>
      <c r="F4824">
        <v>585.75</v>
      </c>
      <c r="G4824">
        <v>572.537353515625</v>
      </c>
      <c r="H4824">
        <v>75988800</v>
      </c>
      <c r="I4824" t="s">
        <v>3235</v>
      </c>
      <c r="J4824" t="s">
        <v>3236</v>
      </c>
      <c r="K4824" t="s">
        <v>7557</v>
      </c>
    </row>
    <row r="4825" spans="1:11" ht="20" customHeight="1">
      <c r="A4825" t="s">
        <v>7556</v>
      </c>
      <c r="B4825" t="s">
        <v>3237</v>
      </c>
      <c r="C4825">
        <v>586.219970703125</v>
      </c>
      <c r="D4825">
        <v>589.489990234375</v>
      </c>
      <c r="E4825">
        <v>585.3400268554688</v>
      </c>
      <c r="F4825">
        <v>588.1500244140625</v>
      </c>
      <c r="G4825">
        <v>574.8831787109375</v>
      </c>
      <c r="H4825">
        <v>37001700</v>
      </c>
      <c r="I4825" t="s">
        <v>3238</v>
      </c>
      <c r="J4825" t="s">
        <v>3239</v>
      </c>
      <c r="K4825" t="s">
        <v>7557</v>
      </c>
    </row>
    <row r="4826" spans="1:11" ht="20" customHeight="1">
      <c r="A4826" t="s">
        <v>7556</v>
      </c>
      <c r="B4826" t="s">
        <v>3240</v>
      </c>
      <c r="C4826">
        <v>584.7100219726562</v>
      </c>
      <c r="D4826">
        <v>591.0399780273438</v>
      </c>
      <c r="E4826">
        <v>584.030029296875</v>
      </c>
      <c r="F4826">
        <v>590.2999877929688</v>
      </c>
      <c r="G4826">
        <v>576.9846801757812</v>
      </c>
      <c r="H4826">
        <v>49412000</v>
      </c>
      <c r="I4826" t="s">
        <v>3241</v>
      </c>
      <c r="J4826" t="s">
        <v>3242</v>
      </c>
      <c r="K4826" t="s">
        <v>7557</v>
      </c>
    </row>
    <row r="4827" spans="1:11" ht="20" customHeight="1">
      <c r="A4827" t="s">
        <v>7556</v>
      </c>
      <c r="B4827" t="s">
        <v>3243</v>
      </c>
      <c r="C4827">
        <v>590.3800048828125</v>
      </c>
      <c r="D4827">
        <v>590.7899780273438</v>
      </c>
      <c r="E4827">
        <v>584.6300048828125</v>
      </c>
      <c r="F4827">
        <v>590.5</v>
      </c>
      <c r="G4827">
        <v>577.1802978515625</v>
      </c>
      <c r="H4827">
        <v>50032600</v>
      </c>
      <c r="I4827" t="s">
        <v>3244</v>
      </c>
      <c r="J4827" t="s">
        <v>3245</v>
      </c>
      <c r="K4827" t="s">
        <v>7557</v>
      </c>
    </row>
    <row r="4828" spans="1:11" ht="20" customHeight="1">
      <c r="A4828" t="s">
        <v>7556</v>
      </c>
      <c r="B4828" t="s">
        <v>3246</v>
      </c>
      <c r="C4828">
        <v>593.4000244140625</v>
      </c>
      <c r="D4828">
        <v>595.1199951171875</v>
      </c>
      <c r="E4828">
        <v>587.4500122070312</v>
      </c>
      <c r="F4828">
        <v>593.6699829101562</v>
      </c>
      <c r="G4828">
        <v>580.2787475585938</v>
      </c>
      <c r="H4828">
        <v>46750300</v>
      </c>
      <c r="I4828" t="s">
        <v>3247</v>
      </c>
      <c r="J4828" t="s">
        <v>3248</v>
      </c>
      <c r="K4828" t="s">
        <v>7557</v>
      </c>
    </row>
    <row r="4829" spans="1:11" ht="20" customHeight="1">
      <c r="A4829" t="s">
        <v>7556</v>
      </c>
      <c r="B4829" t="s">
        <v>3249</v>
      </c>
      <c r="C4829">
        <v>593.6599731445312</v>
      </c>
      <c r="D4829">
        <v>596.1500244140625</v>
      </c>
      <c r="E4829">
        <v>593.1500244140625</v>
      </c>
      <c r="F4829">
        <v>595.510009765625</v>
      </c>
      <c r="G4829">
        <v>582.0772094726562</v>
      </c>
      <c r="H4829">
        <v>38226400</v>
      </c>
      <c r="I4829" t="s">
        <v>3250</v>
      </c>
      <c r="J4829" t="s">
        <v>3251</v>
      </c>
      <c r="K4829" t="s">
        <v>7557</v>
      </c>
    </row>
    <row r="4830" spans="1:11" ht="20" customHeight="1">
      <c r="A4830" t="s">
        <v>7556</v>
      </c>
      <c r="B4830" t="s">
        <v>3252</v>
      </c>
      <c r="C4830">
        <v>599.52001953125</v>
      </c>
      <c r="D4830">
        <v>600.8599853515625</v>
      </c>
      <c r="E4830">
        <v>595.2000122070312</v>
      </c>
      <c r="F4830">
        <v>597.530029296875</v>
      </c>
      <c r="G4830">
        <v>584.0517578125</v>
      </c>
      <c r="H4830">
        <v>42441400</v>
      </c>
      <c r="I4830" t="s">
        <v>3253</v>
      </c>
      <c r="J4830" t="s">
        <v>3254</v>
      </c>
      <c r="K4830" t="s">
        <v>7557</v>
      </c>
    </row>
    <row r="4831" spans="1:11" ht="20" customHeight="1">
      <c r="A4831" t="s">
        <v>7556</v>
      </c>
      <c r="B4831" t="s">
        <v>3255</v>
      </c>
      <c r="C4831">
        <v>598.7999877929688</v>
      </c>
      <c r="D4831">
        <v>601.3300170898438</v>
      </c>
      <c r="E4831">
        <v>598.0700073242188</v>
      </c>
      <c r="F4831">
        <v>600.6500244140625</v>
      </c>
      <c r="G4831">
        <v>587.101318359375</v>
      </c>
      <c r="H4831">
        <v>45621300</v>
      </c>
      <c r="I4831" t="s">
        <v>3256</v>
      </c>
      <c r="J4831" t="s">
        <v>3257</v>
      </c>
      <c r="K4831" t="s">
        <v>7557</v>
      </c>
    </row>
    <row r="4832" spans="1:11" ht="20" customHeight="1">
      <c r="A4832" t="s">
        <v>7556</v>
      </c>
      <c r="B4832" t="s">
        <v>3258</v>
      </c>
      <c r="C4832">
        <v>600.4600219726562</v>
      </c>
      <c r="D4832">
        <v>600.8499755859375</v>
      </c>
      <c r="E4832">
        <v>597.280029296875</v>
      </c>
      <c r="F4832">
        <v>598.8300170898438</v>
      </c>
      <c r="G4832">
        <v>585.3223876953125</v>
      </c>
      <c r="H4832">
        <v>34000200</v>
      </c>
      <c r="I4832" t="s">
        <v>3259</v>
      </c>
      <c r="J4832" t="s">
        <v>3260</v>
      </c>
      <c r="K4832" t="s">
        <v>7557</v>
      </c>
    </row>
    <row r="4833" spans="1:11" ht="20" customHeight="1">
      <c r="A4833" t="s">
        <v>7556</v>
      </c>
      <c r="B4833" t="s">
        <v>3261</v>
      </c>
      <c r="C4833">
        <v>599.6599731445312</v>
      </c>
      <c r="D4833">
        <v>603.3499755859375</v>
      </c>
      <c r="E4833">
        <v>599.3800048828125</v>
      </c>
      <c r="F4833">
        <v>602.5499877929688</v>
      </c>
      <c r="G4833">
        <v>588.9583740234375</v>
      </c>
      <c r="H4833">
        <v>30177400</v>
      </c>
      <c r="I4833" t="s">
        <v>3262</v>
      </c>
      <c r="J4833" t="s">
        <v>3263</v>
      </c>
      <c r="K4833" t="s">
        <v>7557</v>
      </c>
    </row>
    <row r="4834" spans="1:11" ht="20" customHeight="1">
      <c r="A4834" t="s">
        <v>7556</v>
      </c>
      <c r="B4834" t="s">
        <v>3264</v>
      </c>
      <c r="C4834">
        <v>602.969970703125</v>
      </c>
      <c r="D4834">
        <v>604.3200073242188</v>
      </c>
      <c r="E4834">
        <v>602.469970703125</v>
      </c>
      <c r="F4834">
        <v>603.6300048828125</v>
      </c>
      <c r="G4834">
        <v>590.0140380859375</v>
      </c>
      <c r="H4834">
        <v>31746000</v>
      </c>
      <c r="I4834" t="s">
        <v>3265</v>
      </c>
      <c r="J4834" t="s">
        <v>3266</v>
      </c>
      <c r="K4834" t="s">
        <v>7557</v>
      </c>
    </row>
    <row r="4835" spans="1:11" ht="20" customHeight="1">
      <c r="A4835" t="s">
        <v>7556</v>
      </c>
      <c r="B4835" t="s">
        <v>3267</v>
      </c>
      <c r="C4835">
        <v>603.3900146484375</v>
      </c>
      <c r="D4835">
        <v>604.1599731445312</v>
      </c>
      <c r="E4835">
        <v>602.3400268554688</v>
      </c>
      <c r="F4835">
        <v>603.9099731445312</v>
      </c>
      <c r="G4835">
        <v>590.2877197265625</v>
      </c>
      <c r="H4835">
        <v>26906600</v>
      </c>
      <c r="I4835" t="s">
        <v>3268</v>
      </c>
      <c r="J4835" t="s">
        <v>3269</v>
      </c>
      <c r="K4835" t="s">
        <v>7557</v>
      </c>
    </row>
    <row r="4836" spans="1:11" ht="20" customHeight="1">
      <c r="A4836" t="s">
        <v>7556</v>
      </c>
      <c r="B4836" t="s">
        <v>3270</v>
      </c>
      <c r="C4836">
        <v>605.6300048828125</v>
      </c>
      <c r="D4836">
        <v>607.9099731445312</v>
      </c>
      <c r="E4836">
        <v>604.9500122070312</v>
      </c>
      <c r="F4836">
        <v>607.6599731445312</v>
      </c>
      <c r="G4836">
        <v>593.9530639648438</v>
      </c>
      <c r="H4836">
        <v>42787600</v>
      </c>
      <c r="I4836" t="s">
        <v>3271</v>
      </c>
      <c r="J4836" t="s">
        <v>3272</v>
      </c>
      <c r="K4836" t="s">
        <v>7557</v>
      </c>
    </row>
    <row r="4837" spans="1:11" ht="20" customHeight="1">
      <c r="A4837" t="s">
        <v>7556</v>
      </c>
      <c r="B4837" t="s">
        <v>3273</v>
      </c>
      <c r="C4837">
        <v>607.6599731445312</v>
      </c>
      <c r="D4837">
        <v>608.47998046875</v>
      </c>
      <c r="E4837">
        <v>606.2999877929688</v>
      </c>
      <c r="F4837">
        <v>606.6599731445312</v>
      </c>
      <c r="G4837">
        <v>592.9756469726562</v>
      </c>
      <c r="H4837">
        <v>28762200</v>
      </c>
      <c r="I4837" t="s">
        <v>3274</v>
      </c>
      <c r="J4837" t="s">
        <v>3275</v>
      </c>
      <c r="K4837" t="s">
        <v>7557</v>
      </c>
    </row>
    <row r="4838" spans="1:11" ht="20" customHeight="1">
      <c r="A4838" t="s">
        <v>7556</v>
      </c>
      <c r="B4838" t="s">
        <v>3276</v>
      </c>
      <c r="C4838">
        <v>607.4400024414062</v>
      </c>
      <c r="D4838">
        <v>609.0700073242188</v>
      </c>
      <c r="E4838">
        <v>607.02001953125</v>
      </c>
      <c r="F4838">
        <v>607.8099975585938</v>
      </c>
      <c r="G4838">
        <v>594.0997314453125</v>
      </c>
      <c r="H4838">
        <v>31241500</v>
      </c>
      <c r="I4838" t="s">
        <v>3277</v>
      </c>
      <c r="J4838" t="s">
        <v>3278</v>
      </c>
      <c r="K4838" t="s">
        <v>7557</v>
      </c>
    </row>
    <row r="4839" spans="1:11" ht="20" customHeight="1">
      <c r="A4839" t="s">
        <v>7556</v>
      </c>
      <c r="B4839" t="s">
        <v>3279</v>
      </c>
      <c r="C4839">
        <v>607.6900024414062</v>
      </c>
      <c r="D4839">
        <v>607.8599853515625</v>
      </c>
      <c r="E4839">
        <v>604.0800170898438</v>
      </c>
      <c r="F4839">
        <v>604.6799926757812</v>
      </c>
      <c r="G4839">
        <v>591.0403442382812</v>
      </c>
      <c r="H4839">
        <v>34742700</v>
      </c>
      <c r="I4839" t="s">
        <v>3280</v>
      </c>
      <c r="J4839" t="s">
        <v>3281</v>
      </c>
      <c r="K4839" t="s">
        <v>7557</v>
      </c>
    </row>
    <row r="4840" spans="1:11" ht="20" customHeight="1">
      <c r="A4840" t="s">
        <v>7556</v>
      </c>
      <c r="B4840" t="s">
        <v>3282</v>
      </c>
      <c r="C4840">
        <v>605.3699951171875</v>
      </c>
      <c r="D4840">
        <v>605.7999877929688</v>
      </c>
      <c r="E4840">
        <v>602.1300048828125</v>
      </c>
      <c r="F4840">
        <v>602.7999877929688</v>
      </c>
      <c r="G4840">
        <v>589.2028198242188</v>
      </c>
      <c r="H4840">
        <v>37234500</v>
      </c>
      <c r="I4840" t="s">
        <v>3283</v>
      </c>
      <c r="J4840" t="s">
        <v>3284</v>
      </c>
      <c r="K4840" t="s">
        <v>7557</v>
      </c>
    </row>
    <row r="4841" spans="1:11" ht="20" customHeight="1">
      <c r="A4841" t="s">
        <v>7556</v>
      </c>
      <c r="B4841" t="s">
        <v>3285</v>
      </c>
      <c r="C4841">
        <v>605.780029296875</v>
      </c>
      <c r="D4841">
        <v>608.4299926757812</v>
      </c>
      <c r="E4841">
        <v>605.5</v>
      </c>
      <c r="F4841">
        <v>607.4600219726562</v>
      </c>
      <c r="G4841">
        <v>593.7576293945312</v>
      </c>
      <c r="H4841">
        <v>28677700</v>
      </c>
      <c r="I4841" t="s">
        <v>3286</v>
      </c>
      <c r="J4841" t="s">
        <v>3287</v>
      </c>
      <c r="K4841" t="s">
        <v>7557</v>
      </c>
    </row>
    <row r="4842" spans="1:11" ht="20" customHeight="1">
      <c r="A4842" t="s">
        <v>7556</v>
      </c>
      <c r="B4842" t="s">
        <v>3288</v>
      </c>
      <c r="C4842">
        <v>606.5800170898438</v>
      </c>
      <c r="D4842">
        <v>607.1599731445312</v>
      </c>
      <c r="E4842">
        <v>604.3300170898438</v>
      </c>
      <c r="F4842">
        <v>604.3300170898438</v>
      </c>
      <c r="G4842">
        <v>590.6983032226562</v>
      </c>
      <c r="H4842">
        <v>31543800</v>
      </c>
      <c r="I4842" t="s">
        <v>3289</v>
      </c>
      <c r="J4842" t="s">
        <v>3290</v>
      </c>
      <c r="K4842" t="s">
        <v>7557</v>
      </c>
    </row>
    <row r="4843" spans="1:11" ht="20" customHeight="1">
      <c r="A4843" t="s">
        <v>7556</v>
      </c>
      <c r="B4843" t="s">
        <v>3291</v>
      </c>
      <c r="C4843">
        <v>606.4000244140625</v>
      </c>
      <c r="D4843">
        <v>607.1300048828125</v>
      </c>
      <c r="E4843">
        <v>602.8099975585938</v>
      </c>
      <c r="F4843">
        <v>604.2100219726562</v>
      </c>
      <c r="G4843">
        <v>590.5809326171875</v>
      </c>
      <c r="H4843">
        <v>35904700</v>
      </c>
      <c r="I4843" t="s">
        <v>3292</v>
      </c>
      <c r="J4843" t="s">
        <v>3293</v>
      </c>
      <c r="K4843" t="s">
        <v>7557</v>
      </c>
    </row>
    <row r="4844" spans="1:11" ht="20" customHeight="1">
      <c r="A4844" t="s">
        <v>7556</v>
      </c>
      <c r="B4844" t="s">
        <v>3294</v>
      </c>
      <c r="C4844">
        <v>606</v>
      </c>
      <c r="D4844">
        <v>607.780029296875</v>
      </c>
      <c r="E4844">
        <v>605.2100219726562</v>
      </c>
      <c r="F4844">
        <v>606.7899780273438</v>
      </c>
      <c r="G4844">
        <v>593.1027221679688</v>
      </c>
      <c r="H4844">
        <v>43695200</v>
      </c>
      <c r="I4844" t="s">
        <v>3295</v>
      </c>
      <c r="J4844" t="s">
        <v>3296</v>
      </c>
      <c r="K4844" t="s">
        <v>7557</v>
      </c>
    </row>
    <row r="4845" spans="1:11" ht="20" customHeight="1">
      <c r="A4845" t="s">
        <v>7556</v>
      </c>
      <c r="B4845" t="s">
        <v>3297</v>
      </c>
      <c r="C4845">
        <v>604.1900024414062</v>
      </c>
      <c r="D4845">
        <v>605.1699829101562</v>
      </c>
      <c r="E4845">
        <v>602.8900146484375</v>
      </c>
      <c r="F4845">
        <v>604.2899780273438</v>
      </c>
      <c r="G4845">
        <v>590.6591796875</v>
      </c>
      <c r="H4845">
        <v>55773500</v>
      </c>
      <c r="I4845" t="s">
        <v>3298</v>
      </c>
      <c r="J4845" t="s">
        <v>3299</v>
      </c>
      <c r="K4845" t="s">
        <v>7557</v>
      </c>
    </row>
    <row r="4846" spans="1:11" ht="20" customHeight="1">
      <c r="A4846" t="s">
        <v>7556</v>
      </c>
      <c r="B4846" t="s">
        <v>3300</v>
      </c>
      <c r="C4846">
        <v>603.97998046875</v>
      </c>
      <c r="D4846">
        <v>606.4099731445312</v>
      </c>
      <c r="E4846">
        <v>585.8900146484375</v>
      </c>
      <c r="F4846">
        <v>586.280029296875</v>
      </c>
      <c r="G4846">
        <v>573.0554809570312</v>
      </c>
      <c r="H4846">
        <v>108248700</v>
      </c>
      <c r="I4846" t="s">
        <v>3301</v>
      </c>
      <c r="J4846" t="s">
        <v>3302</v>
      </c>
      <c r="K4846" t="s">
        <v>7557</v>
      </c>
    </row>
    <row r="4847" spans="1:11" ht="20" customHeight="1">
      <c r="A4847" t="s">
        <v>7556</v>
      </c>
      <c r="B4847" t="s">
        <v>3303</v>
      </c>
      <c r="C4847">
        <v>591.3599853515625</v>
      </c>
      <c r="D4847">
        <v>593</v>
      </c>
      <c r="E4847">
        <v>585.8499755859375</v>
      </c>
      <c r="F4847">
        <v>586.0999755859375</v>
      </c>
      <c r="G4847">
        <v>572.8794555664062</v>
      </c>
      <c r="H4847">
        <v>85919500</v>
      </c>
      <c r="I4847" t="s">
        <v>3304</v>
      </c>
      <c r="J4847" t="s">
        <v>3305</v>
      </c>
      <c r="K4847" t="s">
        <v>7557</v>
      </c>
    </row>
    <row r="4848" spans="1:11" ht="20" customHeight="1">
      <c r="A4848" t="s">
        <v>7556</v>
      </c>
      <c r="B4848" t="s">
        <v>3306</v>
      </c>
      <c r="C4848">
        <v>581.77001953125</v>
      </c>
      <c r="D4848">
        <v>595.75</v>
      </c>
      <c r="E4848">
        <v>580.9099731445312</v>
      </c>
      <c r="F4848">
        <v>591.1500244140625</v>
      </c>
      <c r="G4848">
        <v>579.7603759765625</v>
      </c>
      <c r="H4848">
        <v>125716700</v>
      </c>
      <c r="I4848" t="s">
        <v>3307</v>
      </c>
      <c r="J4848" t="s">
        <v>3308</v>
      </c>
      <c r="K4848" t="s">
        <v>7557</v>
      </c>
    </row>
    <row r="4849" spans="1:11" ht="20" customHeight="1">
      <c r="A4849" t="s">
        <v>7556</v>
      </c>
      <c r="B4849" t="s">
        <v>3309</v>
      </c>
      <c r="C4849">
        <v>590.8900146484375</v>
      </c>
      <c r="D4849">
        <v>595.2999877929688</v>
      </c>
      <c r="E4849">
        <v>587.6599731445312</v>
      </c>
      <c r="F4849">
        <v>594.6900024414062</v>
      </c>
      <c r="G4849">
        <v>583.2320556640625</v>
      </c>
      <c r="H4849">
        <v>57635800</v>
      </c>
      <c r="I4849" t="s">
        <v>3310</v>
      </c>
      <c r="J4849" t="s">
        <v>3311</v>
      </c>
      <c r="K4849" t="s">
        <v>7557</v>
      </c>
    </row>
    <row r="4850" spans="1:11" ht="20" customHeight="1">
      <c r="A4850" t="s">
        <v>7556</v>
      </c>
      <c r="B4850" t="s">
        <v>3312</v>
      </c>
      <c r="C4850">
        <v>596.0599975585938</v>
      </c>
      <c r="D4850">
        <v>601.3400268554688</v>
      </c>
      <c r="E4850">
        <v>595.469970703125</v>
      </c>
      <c r="F4850">
        <v>601.2999877929688</v>
      </c>
      <c r="G4850">
        <v>589.7146606445312</v>
      </c>
      <c r="H4850">
        <v>33160100</v>
      </c>
      <c r="I4850" t="s">
        <v>3313</v>
      </c>
      <c r="J4850" t="s">
        <v>3314</v>
      </c>
      <c r="K4850" t="s">
        <v>7557</v>
      </c>
    </row>
    <row r="4851" spans="1:11" ht="20" customHeight="1">
      <c r="A4851" t="s">
        <v>7556</v>
      </c>
      <c r="B4851" t="s">
        <v>3315</v>
      </c>
      <c r="C4851">
        <v>599.5</v>
      </c>
      <c r="D4851">
        <v>602.47998046875</v>
      </c>
      <c r="E4851">
        <v>598.0800170898438</v>
      </c>
      <c r="F4851">
        <v>601.3400268554688</v>
      </c>
      <c r="G4851">
        <v>589.7540283203125</v>
      </c>
      <c r="H4851">
        <v>41219100</v>
      </c>
      <c r="I4851" t="s">
        <v>3316</v>
      </c>
      <c r="J4851" t="s">
        <v>3317</v>
      </c>
      <c r="K4851" t="s">
        <v>7557</v>
      </c>
    </row>
    <row r="4852" spans="1:11" ht="20" customHeight="1">
      <c r="A4852" t="s">
        <v>7556</v>
      </c>
      <c r="B4852" t="s">
        <v>3318</v>
      </c>
      <c r="C4852">
        <v>597.5399780273438</v>
      </c>
      <c r="D4852">
        <v>597.780029296875</v>
      </c>
      <c r="E4852">
        <v>590.760009765625</v>
      </c>
      <c r="F4852">
        <v>595.010009765625</v>
      </c>
      <c r="G4852">
        <v>583.5458984375</v>
      </c>
      <c r="H4852">
        <v>64969300</v>
      </c>
      <c r="I4852" t="s">
        <v>3319</v>
      </c>
      <c r="J4852" t="s">
        <v>3320</v>
      </c>
      <c r="K4852" t="s">
        <v>7557</v>
      </c>
    </row>
    <row r="4853" spans="1:11" ht="20" customHeight="1">
      <c r="A4853" t="s">
        <v>7556</v>
      </c>
      <c r="B4853" t="s">
        <v>3321</v>
      </c>
      <c r="C4853">
        <v>587.8900146484375</v>
      </c>
      <c r="D4853">
        <v>591.739990234375</v>
      </c>
      <c r="E4853">
        <v>584.4099731445312</v>
      </c>
      <c r="F4853">
        <v>588.219970703125</v>
      </c>
      <c r="G4853">
        <v>576.88671875</v>
      </c>
      <c r="H4853">
        <v>56578800</v>
      </c>
      <c r="I4853" t="s">
        <v>3322</v>
      </c>
      <c r="J4853" t="s">
        <v>3323</v>
      </c>
      <c r="K4853" t="s">
        <v>7557</v>
      </c>
    </row>
    <row r="4854" spans="1:11" ht="20" customHeight="1">
      <c r="A4854" t="s">
        <v>7556</v>
      </c>
      <c r="B4854" t="s">
        <v>3324</v>
      </c>
      <c r="C4854">
        <v>589.9099731445312</v>
      </c>
      <c r="D4854">
        <v>590.6400146484375</v>
      </c>
      <c r="E4854">
        <v>584.4199829101562</v>
      </c>
      <c r="F4854">
        <v>586.0800170898438</v>
      </c>
      <c r="G4854">
        <v>574.7880249023438</v>
      </c>
      <c r="H4854">
        <v>57052700</v>
      </c>
      <c r="I4854" t="s">
        <v>3325</v>
      </c>
      <c r="J4854" t="s">
        <v>3326</v>
      </c>
      <c r="K4854" t="s">
        <v>7557</v>
      </c>
    </row>
    <row r="4855" spans="1:11" ht="20" customHeight="1">
      <c r="A4855" t="s">
        <v>7556</v>
      </c>
      <c r="B4855" t="s">
        <v>3327</v>
      </c>
      <c r="C4855">
        <v>589.3900146484375</v>
      </c>
      <c r="D4855">
        <v>591.1300048828125</v>
      </c>
      <c r="E4855">
        <v>580.5</v>
      </c>
      <c r="F4855">
        <v>584.6400146484375</v>
      </c>
      <c r="G4855">
        <v>573.3756103515625</v>
      </c>
      <c r="H4855">
        <v>50204000</v>
      </c>
      <c r="I4855" t="s">
        <v>3328</v>
      </c>
      <c r="J4855" t="s">
        <v>3329</v>
      </c>
      <c r="K4855" t="s">
        <v>7557</v>
      </c>
    </row>
    <row r="4856" spans="1:11" ht="20" customHeight="1">
      <c r="A4856" t="s">
        <v>7556</v>
      </c>
      <c r="B4856" t="s">
        <v>3330</v>
      </c>
      <c r="C4856">
        <v>587.530029296875</v>
      </c>
      <c r="D4856">
        <v>592.5999755859375</v>
      </c>
      <c r="E4856">
        <v>586.4299926757812</v>
      </c>
      <c r="F4856">
        <v>591.9500122070312</v>
      </c>
      <c r="G4856">
        <v>580.5448608398438</v>
      </c>
      <c r="H4856">
        <v>37888500</v>
      </c>
      <c r="I4856" t="s">
        <v>3331</v>
      </c>
      <c r="J4856" t="s">
        <v>3332</v>
      </c>
      <c r="K4856" t="s">
        <v>7557</v>
      </c>
    </row>
    <row r="4857" spans="1:11" ht="20" customHeight="1">
      <c r="A4857" t="s">
        <v>7556</v>
      </c>
      <c r="B4857" t="s">
        <v>3333</v>
      </c>
      <c r="C4857">
        <v>596.27001953125</v>
      </c>
      <c r="D4857">
        <v>599.7000122070312</v>
      </c>
      <c r="E4857">
        <v>593.5999755859375</v>
      </c>
      <c r="F4857">
        <v>595.3599853515625</v>
      </c>
      <c r="G4857">
        <v>583.8890991210938</v>
      </c>
      <c r="H4857">
        <v>47679400</v>
      </c>
      <c r="I4857" t="s">
        <v>3334</v>
      </c>
      <c r="J4857" t="s">
        <v>3335</v>
      </c>
      <c r="K4857" t="s">
        <v>7557</v>
      </c>
    </row>
    <row r="4858" spans="1:11" ht="20" customHeight="1">
      <c r="A4858" t="s">
        <v>7556</v>
      </c>
      <c r="B4858" t="s">
        <v>3336</v>
      </c>
      <c r="C4858">
        <v>597.4199829101562</v>
      </c>
      <c r="D4858">
        <v>597.75</v>
      </c>
      <c r="E4858">
        <v>586.780029296875</v>
      </c>
      <c r="F4858">
        <v>588.6300048828125</v>
      </c>
      <c r="G4858">
        <v>577.2888793945312</v>
      </c>
      <c r="H4858">
        <v>60393100</v>
      </c>
      <c r="I4858" t="s">
        <v>3337</v>
      </c>
      <c r="J4858" t="s">
        <v>3338</v>
      </c>
      <c r="K4858" t="s">
        <v>7557</v>
      </c>
    </row>
    <row r="4859" spans="1:11" ht="20" customHeight="1">
      <c r="A4859" t="s">
        <v>7556</v>
      </c>
      <c r="B4859" t="s">
        <v>3339</v>
      </c>
      <c r="C4859">
        <v>588.7000122070312</v>
      </c>
      <c r="D4859">
        <v>590.5800170898438</v>
      </c>
      <c r="E4859">
        <v>585.2000122070312</v>
      </c>
      <c r="F4859">
        <v>589.489990234375</v>
      </c>
      <c r="G4859">
        <v>578.1322631835938</v>
      </c>
      <c r="H4859">
        <v>47304700</v>
      </c>
      <c r="I4859" t="s">
        <v>3340</v>
      </c>
      <c r="J4859" t="s">
        <v>3341</v>
      </c>
      <c r="K4859" t="s">
        <v>7557</v>
      </c>
    </row>
    <row r="4860" spans="1:11" ht="20" customHeight="1">
      <c r="A4860" t="s">
        <v>7556</v>
      </c>
      <c r="B4860" t="s">
        <v>3342</v>
      </c>
      <c r="C4860">
        <v>585.8800048828125</v>
      </c>
      <c r="D4860">
        <v>585.9500122070312</v>
      </c>
      <c r="E4860">
        <v>578.5499877929688</v>
      </c>
      <c r="F4860">
        <v>580.489990234375</v>
      </c>
      <c r="G4860">
        <v>569.3056640625</v>
      </c>
      <c r="H4860">
        <v>73105000</v>
      </c>
      <c r="I4860" t="s">
        <v>3343</v>
      </c>
      <c r="J4860" t="s">
        <v>3344</v>
      </c>
      <c r="K4860" t="s">
        <v>7557</v>
      </c>
    </row>
    <row r="4861" spans="1:11" ht="20" customHeight="1">
      <c r="A4861" t="s">
        <v>7556</v>
      </c>
      <c r="B4861" t="s">
        <v>3345</v>
      </c>
      <c r="C4861">
        <v>575.77001953125</v>
      </c>
      <c r="D4861">
        <v>581.75</v>
      </c>
      <c r="E4861">
        <v>575.3499755859375</v>
      </c>
      <c r="F4861">
        <v>581.3900146484375</v>
      </c>
      <c r="G4861">
        <v>570.1883544921875</v>
      </c>
      <c r="H4861">
        <v>47910100</v>
      </c>
      <c r="I4861" t="s">
        <v>3346</v>
      </c>
      <c r="J4861" t="s">
        <v>3347</v>
      </c>
      <c r="K4861" t="s">
        <v>7557</v>
      </c>
    </row>
    <row r="4862" spans="1:11" ht="20" customHeight="1">
      <c r="A4862" t="s">
        <v>7556</v>
      </c>
      <c r="B4862" t="s">
        <v>3348</v>
      </c>
      <c r="C4862">
        <v>584.3599853515625</v>
      </c>
      <c r="D4862">
        <v>585</v>
      </c>
      <c r="E4862">
        <v>578.3499755859375</v>
      </c>
      <c r="F4862">
        <v>582.1900024414062</v>
      </c>
      <c r="G4862">
        <v>570.9728393554688</v>
      </c>
      <c r="H4862">
        <v>48420600</v>
      </c>
      <c r="I4862" t="s">
        <v>3349</v>
      </c>
      <c r="J4862" t="s">
        <v>3350</v>
      </c>
      <c r="K4862" t="s">
        <v>7557</v>
      </c>
    </row>
    <row r="4863" spans="1:11" ht="20" customHeight="1">
      <c r="A4863" t="s">
        <v>7556</v>
      </c>
      <c r="B4863" t="s">
        <v>3351</v>
      </c>
      <c r="C4863">
        <v>590.3300170898438</v>
      </c>
      <c r="D4863">
        <v>593.9400024414062</v>
      </c>
      <c r="E4863">
        <v>589.2000122070312</v>
      </c>
      <c r="F4863">
        <v>592.780029296875</v>
      </c>
      <c r="G4863">
        <v>581.35888671875</v>
      </c>
      <c r="H4863">
        <v>56900200</v>
      </c>
      <c r="I4863" t="s">
        <v>3352</v>
      </c>
      <c r="J4863" t="s">
        <v>3353</v>
      </c>
      <c r="K4863" t="s">
        <v>7557</v>
      </c>
    </row>
    <row r="4864" spans="1:11" ht="20" customHeight="1">
      <c r="A4864" t="s">
        <v>7556</v>
      </c>
      <c r="B4864" t="s">
        <v>3354</v>
      </c>
      <c r="C4864">
        <v>594.1699829101562</v>
      </c>
      <c r="D4864">
        <v>594.3499755859375</v>
      </c>
      <c r="E4864">
        <v>590.9299926757812</v>
      </c>
      <c r="F4864">
        <v>591.6400146484375</v>
      </c>
      <c r="G4864">
        <v>580.2408447265625</v>
      </c>
      <c r="H4864">
        <v>43319700</v>
      </c>
      <c r="I4864" t="s">
        <v>3355</v>
      </c>
      <c r="J4864" t="s">
        <v>3356</v>
      </c>
      <c r="K4864" t="s">
        <v>7557</v>
      </c>
    </row>
    <row r="4865" spans="1:11" ht="20" customHeight="1">
      <c r="A4865" t="s">
        <v>7556</v>
      </c>
      <c r="B4865" t="s">
        <v>3357</v>
      </c>
      <c r="C4865">
        <v>596.9600219726562</v>
      </c>
      <c r="D4865">
        <v>599.3599853515625</v>
      </c>
      <c r="E4865">
        <v>595.6099853515625</v>
      </c>
      <c r="F4865">
        <v>597.5800170898438</v>
      </c>
      <c r="G4865">
        <v>586.06640625</v>
      </c>
      <c r="H4865">
        <v>58070600</v>
      </c>
      <c r="I4865" t="s">
        <v>3358</v>
      </c>
      <c r="J4865" t="s">
        <v>3359</v>
      </c>
      <c r="K4865" t="s">
        <v>7557</v>
      </c>
    </row>
    <row r="4866" spans="1:11" ht="20" customHeight="1">
      <c r="A4866" t="s">
        <v>7556</v>
      </c>
      <c r="B4866" t="s">
        <v>3360</v>
      </c>
      <c r="C4866">
        <v>600.6699829101562</v>
      </c>
      <c r="D4866">
        <v>603.0599975585938</v>
      </c>
      <c r="E4866">
        <v>598.6699829101562</v>
      </c>
      <c r="F4866">
        <v>603.0499877929688</v>
      </c>
      <c r="G4866">
        <v>591.4309692382812</v>
      </c>
      <c r="H4866">
        <v>42532900</v>
      </c>
      <c r="I4866" t="s">
        <v>3361</v>
      </c>
      <c r="J4866" t="s">
        <v>3362</v>
      </c>
      <c r="K4866" t="s">
        <v>7557</v>
      </c>
    </row>
    <row r="4867" spans="1:11" ht="20" customHeight="1">
      <c r="A4867" t="s">
        <v>7556</v>
      </c>
      <c r="B4867" t="s">
        <v>3363</v>
      </c>
      <c r="C4867">
        <v>605.9199829101562</v>
      </c>
      <c r="D4867">
        <v>607.8200073242188</v>
      </c>
      <c r="E4867">
        <v>605.3599853515625</v>
      </c>
      <c r="F4867">
        <v>606.4400024414062</v>
      </c>
      <c r="G4867">
        <v>594.755615234375</v>
      </c>
      <c r="H4867">
        <v>48196000</v>
      </c>
      <c r="I4867" t="s">
        <v>3364</v>
      </c>
      <c r="J4867" t="s">
        <v>3365</v>
      </c>
      <c r="K4867" t="s">
        <v>7557</v>
      </c>
    </row>
    <row r="4868" spans="1:11" ht="20" customHeight="1">
      <c r="A4868" t="s">
        <v>7556</v>
      </c>
      <c r="B4868" t="s">
        <v>3366</v>
      </c>
      <c r="C4868">
        <v>605.7999877929688</v>
      </c>
      <c r="D4868">
        <v>609.75</v>
      </c>
      <c r="E4868">
        <v>605.52001953125</v>
      </c>
      <c r="F4868">
        <v>609.75</v>
      </c>
      <c r="G4868">
        <v>598.001953125</v>
      </c>
      <c r="H4868">
        <v>41152100</v>
      </c>
      <c r="I4868" t="s">
        <v>3367</v>
      </c>
      <c r="J4868" t="s">
        <v>3368</v>
      </c>
      <c r="K4868" t="s">
        <v>7557</v>
      </c>
    </row>
    <row r="4869" spans="1:11" ht="20" customHeight="1">
      <c r="A4869" t="s">
        <v>7556</v>
      </c>
      <c r="B4869" t="s">
        <v>3369</v>
      </c>
      <c r="C4869">
        <v>609.8099975585938</v>
      </c>
      <c r="D4869">
        <v>610.780029296875</v>
      </c>
      <c r="E4869">
        <v>606.7999877929688</v>
      </c>
      <c r="F4869">
        <v>607.969970703125</v>
      </c>
      <c r="G4869">
        <v>596.2562255859375</v>
      </c>
      <c r="H4869">
        <v>34604700</v>
      </c>
      <c r="I4869" t="s">
        <v>3370</v>
      </c>
      <c r="J4869" t="s">
        <v>3371</v>
      </c>
      <c r="K4869" t="s">
        <v>7557</v>
      </c>
    </row>
    <row r="4870" spans="1:11" ht="20" customHeight="1">
      <c r="A4870" t="s">
        <v>7556</v>
      </c>
      <c r="B4870" t="s">
        <v>3372</v>
      </c>
      <c r="C4870">
        <v>594.8099975585938</v>
      </c>
      <c r="D4870">
        <v>599.6900024414062</v>
      </c>
      <c r="E4870">
        <v>594.6400146484375</v>
      </c>
      <c r="F4870">
        <v>599.3699951171875</v>
      </c>
      <c r="G4870">
        <v>587.8219604492188</v>
      </c>
      <c r="H4870">
        <v>70361100</v>
      </c>
      <c r="I4870" t="s">
        <v>3373</v>
      </c>
      <c r="J4870" t="s">
        <v>3374</v>
      </c>
      <c r="K4870" t="s">
        <v>7557</v>
      </c>
    </row>
    <row r="4871" spans="1:11" ht="20" customHeight="1">
      <c r="A4871" t="s">
        <v>7556</v>
      </c>
      <c r="B4871" t="s">
        <v>3375</v>
      </c>
      <c r="C4871">
        <v>600.6199951171875</v>
      </c>
      <c r="D4871">
        <v>605.3699951171875</v>
      </c>
      <c r="E4871">
        <v>597.25</v>
      </c>
      <c r="F4871">
        <v>604.52001953125</v>
      </c>
      <c r="G4871">
        <v>592.8726806640625</v>
      </c>
      <c r="H4871">
        <v>44433300</v>
      </c>
      <c r="I4871" t="s">
        <v>3376</v>
      </c>
      <c r="J4871" t="s">
        <v>3377</v>
      </c>
      <c r="K4871" t="s">
        <v>7557</v>
      </c>
    </row>
    <row r="4872" spans="1:11" ht="20" customHeight="1">
      <c r="A4872" t="s">
        <v>7556</v>
      </c>
      <c r="B4872" t="s">
        <v>3378</v>
      </c>
      <c r="C4872">
        <v>603.719970703125</v>
      </c>
      <c r="D4872">
        <v>604.1300048828125</v>
      </c>
      <c r="E4872">
        <v>599.219970703125</v>
      </c>
      <c r="F4872">
        <v>601.8099975585938</v>
      </c>
      <c r="G4872">
        <v>590.2149047851562</v>
      </c>
      <c r="H4872">
        <v>37177400</v>
      </c>
      <c r="I4872" t="s">
        <v>3379</v>
      </c>
      <c r="J4872" t="s">
        <v>3380</v>
      </c>
      <c r="K4872" t="s">
        <v>7557</v>
      </c>
    </row>
    <row r="4873" spans="1:11" ht="20" customHeight="1">
      <c r="A4873" t="s">
        <v>7556</v>
      </c>
      <c r="B4873" t="s">
        <v>3381</v>
      </c>
      <c r="C4873">
        <v>603.9600219726562</v>
      </c>
      <c r="D4873">
        <v>606.5999755859375</v>
      </c>
      <c r="E4873">
        <v>600.719970703125</v>
      </c>
      <c r="F4873">
        <v>605.0399780273438</v>
      </c>
      <c r="G4873">
        <v>593.3826904296875</v>
      </c>
      <c r="H4873">
        <v>39281300</v>
      </c>
      <c r="I4873" t="s">
        <v>3382</v>
      </c>
      <c r="J4873" t="s">
        <v>3383</v>
      </c>
      <c r="K4873" t="s">
        <v>7557</v>
      </c>
    </row>
    <row r="4874" spans="1:11" ht="20" customHeight="1">
      <c r="A4874" t="s">
        <v>7556</v>
      </c>
      <c r="B4874" t="s">
        <v>3384</v>
      </c>
      <c r="C4874">
        <v>607.5</v>
      </c>
      <c r="D4874">
        <v>609.9600219726562</v>
      </c>
      <c r="E4874">
        <v>601.0499877929688</v>
      </c>
      <c r="F4874">
        <v>601.8200073242188</v>
      </c>
      <c r="G4874">
        <v>590.2246704101562</v>
      </c>
      <c r="H4874">
        <v>66566900</v>
      </c>
      <c r="I4874" t="s">
        <v>3385</v>
      </c>
      <c r="J4874" t="s">
        <v>3386</v>
      </c>
      <c r="K4874" t="s">
        <v>7557</v>
      </c>
    </row>
    <row r="4875" spans="1:11" ht="20" customHeight="1">
      <c r="A4875" t="s">
        <v>7556</v>
      </c>
      <c r="B4875" t="s">
        <v>3387</v>
      </c>
      <c r="C4875">
        <v>592.6699829101562</v>
      </c>
      <c r="D4875">
        <v>600.2899780273438</v>
      </c>
      <c r="E4875">
        <v>590.489990234375</v>
      </c>
      <c r="F4875">
        <v>597.77001953125</v>
      </c>
      <c r="G4875">
        <v>586.2527465820312</v>
      </c>
      <c r="H4875">
        <v>65857200</v>
      </c>
      <c r="I4875" t="s">
        <v>3388</v>
      </c>
      <c r="J4875" t="s">
        <v>3389</v>
      </c>
      <c r="K4875" t="s">
        <v>7557</v>
      </c>
    </row>
    <row r="4876" spans="1:11" ht="20" customHeight="1">
      <c r="A4876" t="s">
        <v>7556</v>
      </c>
      <c r="B4876" t="s">
        <v>3390</v>
      </c>
      <c r="C4876">
        <v>597.8300170898438</v>
      </c>
      <c r="D4876">
        <v>602.2999877929688</v>
      </c>
      <c r="E4876">
        <v>597.280029296875</v>
      </c>
      <c r="F4876">
        <v>601.780029296875</v>
      </c>
      <c r="G4876">
        <v>590.1854858398438</v>
      </c>
      <c r="H4876">
        <v>33457800</v>
      </c>
      <c r="I4876" t="s">
        <v>3391</v>
      </c>
      <c r="J4876" t="s">
        <v>3392</v>
      </c>
      <c r="K4876" t="s">
        <v>7557</v>
      </c>
    </row>
    <row r="4877" spans="1:11" ht="20" customHeight="1">
      <c r="A4877" t="s">
        <v>7556</v>
      </c>
      <c r="B4877" t="s">
        <v>3393</v>
      </c>
      <c r="C4877">
        <v>600.6400146484375</v>
      </c>
      <c r="D4877">
        <v>604.3699951171875</v>
      </c>
      <c r="E4877">
        <v>598.5800170898438</v>
      </c>
      <c r="F4877">
        <v>604.219970703125</v>
      </c>
      <c r="G4877">
        <v>592.5784301757812</v>
      </c>
      <c r="H4877">
        <v>30653100</v>
      </c>
      <c r="I4877" t="s">
        <v>3394</v>
      </c>
      <c r="J4877" t="s">
        <v>3395</v>
      </c>
      <c r="K4877" t="s">
        <v>7557</v>
      </c>
    </row>
    <row r="4878" spans="1:11" ht="20" customHeight="1">
      <c r="A4878" t="s">
        <v>7556</v>
      </c>
      <c r="B4878" t="s">
        <v>3396</v>
      </c>
      <c r="C4878">
        <v>605.989990234375</v>
      </c>
      <c r="D4878">
        <v>606.4500122070312</v>
      </c>
      <c r="E4878">
        <v>602.6300048828125</v>
      </c>
      <c r="F4878">
        <v>606.3200073242188</v>
      </c>
      <c r="G4878">
        <v>594.6380615234375</v>
      </c>
      <c r="H4878">
        <v>35771500</v>
      </c>
      <c r="I4878" t="s">
        <v>3397</v>
      </c>
      <c r="J4878" t="s">
        <v>3398</v>
      </c>
      <c r="K4878" t="s">
        <v>7557</v>
      </c>
    </row>
    <row r="4879" spans="1:11" ht="20" customHeight="1">
      <c r="A4879" t="s">
        <v>7556</v>
      </c>
      <c r="B4879" t="s">
        <v>3399</v>
      </c>
      <c r="C4879">
        <v>606.8900146484375</v>
      </c>
      <c r="D4879">
        <v>608.1300048828125</v>
      </c>
      <c r="E4879">
        <v>600.0499877929688</v>
      </c>
      <c r="F4879">
        <v>600.77001953125</v>
      </c>
      <c r="G4879">
        <v>589.1949462890625</v>
      </c>
      <c r="H4879">
        <v>50788500</v>
      </c>
      <c r="I4879" t="s">
        <v>3400</v>
      </c>
      <c r="J4879" t="s">
        <v>3401</v>
      </c>
      <c r="K4879" t="s">
        <v>7557</v>
      </c>
    </row>
    <row r="4880" spans="1:11" ht="20" customHeight="1">
      <c r="A4880" t="s">
        <v>7556</v>
      </c>
      <c r="B4880" t="s">
        <v>3402</v>
      </c>
      <c r="C4880">
        <v>604.030029296875</v>
      </c>
      <c r="D4880">
        <v>605.5</v>
      </c>
      <c r="E4880">
        <v>602.739990234375</v>
      </c>
      <c r="F4880">
        <v>604.8499755859375</v>
      </c>
      <c r="G4880">
        <v>593.1962890625</v>
      </c>
      <c r="H4880">
        <v>26048700</v>
      </c>
      <c r="I4880" t="s">
        <v>3403</v>
      </c>
      <c r="J4880" t="s">
        <v>3404</v>
      </c>
      <c r="K4880" t="s">
        <v>7557</v>
      </c>
    </row>
    <row r="4881" spans="1:11" ht="20" customHeight="1">
      <c r="A4881" t="s">
        <v>7556</v>
      </c>
      <c r="B4881" t="s">
        <v>3405</v>
      </c>
      <c r="C4881">
        <v>602.5499877929688</v>
      </c>
      <c r="D4881">
        <v>605.8599853515625</v>
      </c>
      <c r="E4881">
        <v>602.4299926757812</v>
      </c>
      <c r="F4881">
        <v>605.3099975585938</v>
      </c>
      <c r="G4881">
        <v>593.6475219726562</v>
      </c>
      <c r="H4881">
        <v>30056700</v>
      </c>
      <c r="I4881" t="s">
        <v>3406</v>
      </c>
      <c r="J4881" t="s">
        <v>3407</v>
      </c>
      <c r="K4881" t="s">
        <v>7557</v>
      </c>
    </row>
    <row r="4882" spans="1:11" ht="20" customHeight="1">
      <c r="A4882" t="s">
        <v>7556</v>
      </c>
      <c r="B4882" t="s">
        <v>3408</v>
      </c>
      <c r="C4882">
        <v>599.2000122070312</v>
      </c>
      <c r="D4882">
        <v>604.5499877929688</v>
      </c>
      <c r="E4882">
        <v>598.510009765625</v>
      </c>
      <c r="F4882">
        <v>603.3599853515625</v>
      </c>
      <c r="G4882">
        <v>591.7349243164062</v>
      </c>
      <c r="H4882">
        <v>45076100</v>
      </c>
      <c r="I4882" t="s">
        <v>3409</v>
      </c>
      <c r="J4882" t="s">
        <v>3410</v>
      </c>
      <c r="K4882" t="s">
        <v>7557</v>
      </c>
    </row>
    <row r="4883" spans="1:11" ht="20" customHeight="1">
      <c r="A4883" t="s">
        <v>7556</v>
      </c>
      <c r="B4883" t="s">
        <v>3411</v>
      </c>
      <c r="C4883">
        <v>604.47998046875</v>
      </c>
      <c r="D4883">
        <v>609.9400024414062</v>
      </c>
      <c r="E4883">
        <v>603.2000122070312</v>
      </c>
      <c r="F4883">
        <v>609.72998046875</v>
      </c>
      <c r="G4883">
        <v>597.9822998046875</v>
      </c>
      <c r="H4883">
        <v>40921300</v>
      </c>
      <c r="I4883" t="s">
        <v>3412</v>
      </c>
      <c r="J4883" t="s">
        <v>3413</v>
      </c>
      <c r="K4883" t="s">
        <v>7557</v>
      </c>
    </row>
    <row r="4884" spans="1:11" ht="20" customHeight="1">
      <c r="A4884" t="s">
        <v>7556</v>
      </c>
      <c r="B4884" t="s">
        <v>3414</v>
      </c>
      <c r="C4884">
        <v>609.9400024414062</v>
      </c>
      <c r="D4884">
        <v>610.989990234375</v>
      </c>
      <c r="E4884">
        <v>609.0700073242188</v>
      </c>
      <c r="F4884">
        <v>609.7000122070312</v>
      </c>
      <c r="G4884">
        <v>597.952880859375</v>
      </c>
      <c r="H4884">
        <v>26910400</v>
      </c>
      <c r="I4884" t="s">
        <v>3415</v>
      </c>
      <c r="J4884" t="s">
        <v>3416</v>
      </c>
      <c r="K4884" t="s">
        <v>7557</v>
      </c>
    </row>
    <row r="4885" spans="1:11" ht="20" customHeight="1">
      <c r="A4885" t="s">
        <v>7556</v>
      </c>
      <c r="B4885" t="s">
        <v>3417</v>
      </c>
      <c r="C4885">
        <v>610.8800048828125</v>
      </c>
      <c r="D4885">
        <v>611.489990234375</v>
      </c>
      <c r="E4885">
        <v>608.3800048828125</v>
      </c>
      <c r="F4885">
        <v>611.489990234375</v>
      </c>
      <c r="G4885">
        <v>599.7083129882812</v>
      </c>
      <c r="H4885">
        <v>26749000</v>
      </c>
      <c r="I4885" t="s">
        <v>3418</v>
      </c>
      <c r="J4885" t="s">
        <v>3419</v>
      </c>
      <c r="K4885" t="s">
        <v>7557</v>
      </c>
    </row>
    <row r="4886" spans="1:11" ht="20" customHeight="1">
      <c r="A4886" t="s">
        <v>7556</v>
      </c>
      <c r="B4886" t="s">
        <v>3420</v>
      </c>
      <c r="C4886">
        <v>610.0800170898438</v>
      </c>
      <c r="D4886">
        <v>613.22998046875</v>
      </c>
      <c r="E4886">
        <v>609.5599975585938</v>
      </c>
      <c r="F4886">
        <v>612.9299926757812</v>
      </c>
      <c r="G4886">
        <v>601.1206665039062</v>
      </c>
      <c r="H4886">
        <v>31011100</v>
      </c>
      <c r="I4886" t="s">
        <v>3421</v>
      </c>
      <c r="J4886" t="s">
        <v>3422</v>
      </c>
      <c r="K4886" t="s">
        <v>7557</v>
      </c>
    </row>
    <row r="4887" spans="1:11" ht="20" customHeight="1">
      <c r="A4887" t="s">
        <v>7556</v>
      </c>
      <c r="B4887" t="s">
        <v>3423</v>
      </c>
      <c r="C4887">
        <v>611.5399780273438</v>
      </c>
      <c r="D4887">
        <v>611.6799926757812</v>
      </c>
      <c r="E4887">
        <v>607.02001953125</v>
      </c>
      <c r="F4887">
        <v>610.3800048828125</v>
      </c>
      <c r="G4887">
        <v>598.6198120117188</v>
      </c>
      <c r="H4887">
        <v>36554000</v>
      </c>
      <c r="I4887" t="s">
        <v>3424</v>
      </c>
      <c r="J4887" t="s">
        <v>3425</v>
      </c>
      <c r="K4887" t="s">
        <v>7557</v>
      </c>
    </row>
    <row r="4888" spans="1:11" ht="20" customHeight="1">
      <c r="A4888" t="s">
        <v>7556</v>
      </c>
      <c r="B4888" t="s">
        <v>3426</v>
      </c>
      <c r="C4888">
        <v>610.1599731445312</v>
      </c>
      <c r="D4888">
        <v>610.2999877929688</v>
      </c>
      <c r="E4888">
        <v>599.469970703125</v>
      </c>
      <c r="F4888">
        <v>599.9400024414062</v>
      </c>
      <c r="G4888">
        <v>588.3809204101562</v>
      </c>
      <c r="H4888">
        <v>76519800</v>
      </c>
      <c r="I4888" t="s">
        <v>3427</v>
      </c>
      <c r="J4888" t="s">
        <v>3428</v>
      </c>
      <c r="K4888" t="s">
        <v>7557</v>
      </c>
    </row>
    <row r="4889" spans="1:11" ht="20" customHeight="1">
      <c r="A4889" t="s">
        <v>7556</v>
      </c>
      <c r="B4889" t="s">
        <v>3429</v>
      </c>
      <c r="C4889">
        <v>602.02001953125</v>
      </c>
      <c r="D4889">
        <v>603.030029296875</v>
      </c>
      <c r="E4889">
        <v>596.489990234375</v>
      </c>
      <c r="F4889">
        <v>597.2100219726562</v>
      </c>
      <c r="G4889">
        <v>585.7035522460938</v>
      </c>
      <c r="H4889">
        <v>50737200</v>
      </c>
      <c r="I4889" t="s">
        <v>3430</v>
      </c>
      <c r="J4889" t="s">
        <v>3431</v>
      </c>
      <c r="K4889" t="s">
        <v>7557</v>
      </c>
    </row>
    <row r="4890" spans="1:11" ht="20" customHeight="1">
      <c r="A4890" t="s">
        <v>7556</v>
      </c>
      <c r="B4890" t="s">
        <v>3432</v>
      </c>
      <c r="C4890">
        <v>597.1500244140625</v>
      </c>
      <c r="D4890">
        <v>597.8900146484375</v>
      </c>
      <c r="E4890">
        <v>589.5599975585938</v>
      </c>
      <c r="F4890">
        <v>594.239990234375</v>
      </c>
      <c r="G4890">
        <v>582.790771484375</v>
      </c>
      <c r="H4890">
        <v>58266500</v>
      </c>
      <c r="I4890" t="s">
        <v>3433</v>
      </c>
      <c r="J4890" t="s">
        <v>3434</v>
      </c>
      <c r="K4890" t="s">
        <v>7557</v>
      </c>
    </row>
    <row r="4891" spans="1:11" ht="20" customHeight="1">
      <c r="A4891" t="s">
        <v>7556</v>
      </c>
      <c r="B4891" t="s">
        <v>3435</v>
      </c>
      <c r="C4891">
        <v>595.9299926757812</v>
      </c>
      <c r="D4891">
        <v>599.5800170898438</v>
      </c>
      <c r="E4891">
        <v>591.8599853515625</v>
      </c>
      <c r="F4891">
        <v>594.5399780273438</v>
      </c>
      <c r="G4891">
        <v>583.0848999023438</v>
      </c>
      <c r="H4891">
        <v>43321600</v>
      </c>
      <c r="I4891" t="s">
        <v>3436</v>
      </c>
      <c r="J4891" t="s">
        <v>3437</v>
      </c>
      <c r="K4891" t="s">
        <v>7557</v>
      </c>
    </row>
    <row r="4892" spans="1:11" ht="20" customHeight="1">
      <c r="A4892" t="s">
        <v>7556</v>
      </c>
      <c r="B4892" t="s">
        <v>3438</v>
      </c>
      <c r="C4892">
        <v>596.8499755859375</v>
      </c>
      <c r="D4892">
        <v>598.02001953125</v>
      </c>
      <c r="E4892">
        <v>584.6500244140625</v>
      </c>
      <c r="F4892">
        <v>585.0499877929688</v>
      </c>
      <c r="G4892">
        <v>573.7777099609375</v>
      </c>
      <c r="H4892">
        <v>74196700</v>
      </c>
      <c r="I4892" t="s">
        <v>3439</v>
      </c>
      <c r="J4892" t="s">
        <v>3440</v>
      </c>
      <c r="K4892" t="s">
        <v>7557</v>
      </c>
    </row>
    <row r="4893" spans="1:11" ht="20" customHeight="1">
      <c r="A4893" t="s">
        <v>7556</v>
      </c>
      <c r="B4893" t="s">
        <v>3441</v>
      </c>
      <c r="C4893">
        <v>585.5599975585938</v>
      </c>
      <c r="D4893">
        <v>594.719970703125</v>
      </c>
      <c r="E4893">
        <v>582.4400024414062</v>
      </c>
      <c r="F4893">
        <v>594.1799926757812</v>
      </c>
      <c r="G4893">
        <v>582.7318725585938</v>
      </c>
      <c r="H4893">
        <v>88744100</v>
      </c>
      <c r="I4893" t="s">
        <v>3442</v>
      </c>
      <c r="J4893" t="s">
        <v>3443</v>
      </c>
      <c r="K4893" t="s">
        <v>7557</v>
      </c>
    </row>
    <row r="4894" spans="1:11" ht="20" customHeight="1">
      <c r="A4894" t="s">
        <v>7556</v>
      </c>
      <c r="B4894" t="s">
        <v>3444</v>
      </c>
      <c r="C4894">
        <v>596.1799926757812</v>
      </c>
      <c r="D4894">
        <v>597.3400268554688</v>
      </c>
      <c r="E4894">
        <v>579.9000244140625</v>
      </c>
      <c r="F4894">
        <v>583.77001953125</v>
      </c>
      <c r="G4894">
        <v>572.5224609375</v>
      </c>
      <c r="H4894">
        <v>74249200</v>
      </c>
      <c r="I4894" t="s">
        <v>3445</v>
      </c>
      <c r="J4894" t="s">
        <v>3446</v>
      </c>
      <c r="K4894" t="s">
        <v>7557</v>
      </c>
    </row>
    <row r="4895" spans="1:11" ht="20" customHeight="1">
      <c r="A4895" t="s">
        <v>7556</v>
      </c>
      <c r="B4895" t="s">
        <v>3447</v>
      </c>
      <c r="C4895">
        <v>579.7100219726562</v>
      </c>
      <c r="D4895">
        <v>585.3900146484375</v>
      </c>
      <c r="E4895">
        <v>572.25</v>
      </c>
      <c r="F4895">
        <v>576.8599853515625</v>
      </c>
      <c r="G4895">
        <v>565.7455444335938</v>
      </c>
      <c r="H4895">
        <v>109648200</v>
      </c>
      <c r="I4895" t="s">
        <v>3448</v>
      </c>
      <c r="J4895" t="s">
        <v>3449</v>
      </c>
      <c r="K4895" t="s">
        <v>7557</v>
      </c>
    </row>
    <row r="4896" spans="1:11" ht="20" customHeight="1">
      <c r="A4896" t="s">
        <v>7556</v>
      </c>
      <c r="B4896" t="s">
        <v>3450</v>
      </c>
      <c r="C4896">
        <v>576.6900024414062</v>
      </c>
      <c r="D4896">
        <v>584.8800048828125</v>
      </c>
      <c r="E4896">
        <v>573.0800170898438</v>
      </c>
      <c r="F4896">
        <v>583.0599975585938</v>
      </c>
      <c r="G4896">
        <v>571.826171875</v>
      </c>
      <c r="H4896">
        <v>71230500</v>
      </c>
      <c r="I4896" t="s">
        <v>3451</v>
      </c>
      <c r="J4896" t="s">
        <v>3452</v>
      </c>
      <c r="K4896" t="s">
        <v>7557</v>
      </c>
    </row>
    <row r="4897" spans="1:11" ht="20" customHeight="1">
      <c r="A4897" t="s">
        <v>7556</v>
      </c>
      <c r="B4897" t="s">
        <v>3453</v>
      </c>
      <c r="C4897">
        <v>575.47998046875</v>
      </c>
      <c r="D4897">
        <v>580.1699829101562</v>
      </c>
      <c r="E4897">
        <v>570.1199951171875</v>
      </c>
      <c r="F4897">
        <v>572.7100219726562</v>
      </c>
      <c r="G4897">
        <v>561.6755981445312</v>
      </c>
      <c r="H4897">
        <v>80094900</v>
      </c>
      <c r="I4897" t="s">
        <v>3454</v>
      </c>
      <c r="J4897" t="s">
        <v>3455</v>
      </c>
      <c r="K4897" t="s">
        <v>7557</v>
      </c>
    </row>
    <row r="4898" spans="1:11" ht="20" customHeight="1">
      <c r="A4898" t="s">
        <v>7556</v>
      </c>
      <c r="B4898" t="s">
        <v>3456</v>
      </c>
      <c r="C4898">
        <v>570.9000244140625</v>
      </c>
      <c r="D4898">
        <v>577.3900146484375</v>
      </c>
      <c r="E4898">
        <v>565.6300048828125</v>
      </c>
      <c r="F4898">
        <v>575.9199829101562</v>
      </c>
      <c r="G4898">
        <v>564.8236083984375</v>
      </c>
      <c r="H4898">
        <v>81158800</v>
      </c>
      <c r="I4898" t="s">
        <v>3457</v>
      </c>
      <c r="J4898" t="s">
        <v>3458</v>
      </c>
      <c r="K4898" t="s">
        <v>7557</v>
      </c>
    </row>
    <row r="4899" spans="1:11" ht="20" customHeight="1">
      <c r="A4899" t="s">
        <v>7556</v>
      </c>
      <c r="B4899" t="s">
        <v>3459</v>
      </c>
      <c r="C4899">
        <v>567.5900268554688</v>
      </c>
      <c r="D4899">
        <v>569.5399780273438</v>
      </c>
      <c r="E4899">
        <v>555.5900268554688</v>
      </c>
      <c r="F4899">
        <v>560.5800170898438</v>
      </c>
      <c r="G4899">
        <v>549.779296875</v>
      </c>
      <c r="H4899">
        <v>99326600</v>
      </c>
      <c r="I4899" t="s">
        <v>3460</v>
      </c>
      <c r="J4899" t="s">
        <v>3461</v>
      </c>
      <c r="K4899" t="s">
        <v>7557</v>
      </c>
    </row>
    <row r="4900" spans="1:11" ht="20" customHeight="1">
      <c r="A4900" t="s">
        <v>7556</v>
      </c>
      <c r="B4900" t="s">
        <v>3462</v>
      </c>
      <c r="C4900">
        <v>559.4000244140625</v>
      </c>
      <c r="D4900">
        <v>564.02001953125</v>
      </c>
      <c r="E4900">
        <v>552.02001953125</v>
      </c>
      <c r="F4900">
        <v>555.9199829101562</v>
      </c>
      <c r="G4900">
        <v>545.2089233398438</v>
      </c>
      <c r="H4900">
        <v>88102100</v>
      </c>
      <c r="I4900" t="s">
        <v>3463</v>
      </c>
      <c r="J4900" t="s">
        <v>3464</v>
      </c>
      <c r="K4900" t="s">
        <v>7557</v>
      </c>
    </row>
    <row r="4901" spans="1:11" ht="20" customHeight="1">
      <c r="A4901" t="s">
        <v>7556</v>
      </c>
      <c r="B4901" t="s">
        <v>3465</v>
      </c>
      <c r="C4901">
        <v>562.1699829101562</v>
      </c>
      <c r="D4901">
        <v>563.1099853515625</v>
      </c>
      <c r="E4901">
        <v>553.6900024414062</v>
      </c>
      <c r="F4901">
        <v>558.8699951171875</v>
      </c>
      <c r="G4901">
        <v>548.1022338867188</v>
      </c>
      <c r="H4901">
        <v>69588200</v>
      </c>
      <c r="I4901" t="s">
        <v>3466</v>
      </c>
      <c r="J4901" t="s">
        <v>3467</v>
      </c>
      <c r="K4901" t="s">
        <v>7557</v>
      </c>
    </row>
    <row r="4902" spans="1:11" ht="20" customHeight="1">
      <c r="A4902" t="s">
        <v>7556</v>
      </c>
      <c r="B4902" t="s">
        <v>3468</v>
      </c>
      <c r="C4902">
        <v>558.489990234375</v>
      </c>
      <c r="D4902">
        <v>559.1099853515625</v>
      </c>
      <c r="E4902">
        <v>549.6799926757812</v>
      </c>
      <c r="F4902">
        <v>551.4199829101562</v>
      </c>
      <c r="G4902">
        <v>540.7957763671875</v>
      </c>
      <c r="H4902">
        <v>74079400</v>
      </c>
      <c r="I4902" t="s">
        <v>3469</v>
      </c>
      <c r="J4902" t="s">
        <v>3470</v>
      </c>
      <c r="K4902" t="s">
        <v>7557</v>
      </c>
    </row>
    <row r="4903" spans="1:11" ht="20" customHeight="1">
      <c r="A4903" t="s">
        <v>7556</v>
      </c>
      <c r="B4903" t="s">
        <v>3471</v>
      </c>
      <c r="C4903">
        <v>556.1099853515625</v>
      </c>
      <c r="D4903">
        <v>563.8300170898438</v>
      </c>
      <c r="E4903">
        <v>551.489990234375</v>
      </c>
      <c r="F4903">
        <v>562.8099975585938</v>
      </c>
      <c r="G4903">
        <v>551.9663696289062</v>
      </c>
      <c r="H4903">
        <v>62660300</v>
      </c>
      <c r="I4903" t="s">
        <v>3472</v>
      </c>
      <c r="J4903" t="s">
        <v>3473</v>
      </c>
      <c r="K4903" t="s">
        <v>7557</v>
      </c>
    </row>
    <row r="4904" spans="1:11" ht="20" customHeight="1">
      <c r="A4904" t="s">
        <v>7556</v>
      </c>
      <c r="B4904" t="s">
        <v>3474</v>
      </c>
      <c r="C4904">
        <v>562.7899780273438</v>
      </c>
      <c r="D4904">
        <v>569.7100219726562</v>
      </c>
      <c r="E4904">
        <v>562.3499755859375</v>
      </c>
      <c r="F4904">
        <v>567.1500244140625</v>
      </c>
      <c r="G4904">
        <v>556.22265625</v>
      </c>
      <c r="H4904">
        <v>49008700</v>
      </c>
      <c r="I4904" t="s">
        <v>3475</v>
      </c>
      <c r="J4904" t="s">
        <v>3476</v>
      </c>
      <c r="K4904" t="s">
        <v>7557</v>
      </c>
    </row>
    <row r="4905" spans="1:11" ht="20" customHeight="1">
      <c r="A4905" t="s">
        <v>7556</v>
      </c>
      <c r="B4905" t="s">
        <v>3477</v>
      </c>
      <c r="C4905">
        <v>564.7999877929688</v>
      </c>
      <c r="D4905">
        <v>565.02001953125</v>
      </c>
      <c r="E4905">
        <v>559.0599975585938</v>
      </c>
      <c r="F4905">
        <v>561.02001953125</v>
      </c>
      <c r="G4905">
        <v>550.2107543945312</v>
      </c>
      <c r="H4905">
        <v>66041400</v>
      </c>
      <c r="I4905" t="s">
        <v>3478</v>
      </c>
      <c r="J4905" t="s">
        <v>3479</v>
      </c>
      <c r="K4905" t="s">
        <v>7557</v>
      </c>
    </row>
    <row r="4906" spans="1:11" ht="20" customHeight="1">
      <c r="A4906" t="s">
        <v>7556</v>
      </c>
      <c r="B4906" t="s">
        <v>3480</v>
      </c>
      <c r="C4906">
        <v>562.8300170898438</v>
      </c>
      <c r="D4906">
        <v>570.9500122070312</v>
      </c>
      <c r="E4906">
        <v>561.6300048828125</v>
      </c>
      <c r="F4906">
        <v>567.1300048828125</v>
      </c>
      <c r="G4906">
        <v>556.2030639648438</v>
      </c>
      <c r="H4906">
        <v>66556000</v>
      </c>
      <c r="I4906" t="s">
        <v>3481</v>
      </c>
      <c r="J4906" t="s">
        <v>3482</v>
      </c>
      <c r="K4906" t="s">
        <v>7557</v>
      </c>
    </row>
    <row r="4907" spans="1:11" ht="20" customHeight="1">
      <c r="A4907" t="s">
        <v>7556</v>
      </c>
      <c r="B4907" t="s">
        <v>3483</v>
      </c>
      <c r="C4907">
        <v>563.3300170898438</v>
      </c>
      <c r="D4907">
        <v>570.5700073242188</v>
      </c>
      <c r="E4907">
        <v>562.5999755859375</v>
      </c>
      <c r="F4907">
        <v>565.489990234375</v>
      </c>
      <c r="G4907">
        <v>554.5946044921875</v>
      </c>
      <c r="H4907">
        <v>62958200</v>
      </c>
      <c r="I4907" t="s">
        <v>3484</v>
      </c>
      <c r="J4907" t="s">
        <v>3485</v>
      </c>
      <c r="K4907" t="s">
        <v>7557</v>
      </c>
    </row>
    <row r="4908" spans="1:11" ht="20" customHeight="1">
      <c r="A4908" t="s">
        <v>7556</v>
      </c>
      <c r="B4908" t="s">
        <v>3486</v>
      </c>
      <c r="C4908">
        <v>559.280029296875</v>
      </c>
      <c r="D4908">
        <v>564.8900146484375</v>
      </c>
      <c r="E4908">
        <v>558.030029296875</v>
      </c>
      <c r="F4908">
        <v>563.97998046875</v>
      </c>
      <c r="G4908">
        <v>554.7776489257812</v>
      </c>
      <c r="H4908">
        <v>83763000</v>
      </c>
      <c r="I4908" t="s">
        <v>3487</v>
      </c>
      <c r="J4908" t="s">
        <v>3488</v>
      </c>
      <c r="K4908" t="s">
        <v>7557</v>
      </c>
    </row>
    <row r="4909" spans="1:11" ht="20" customHeight="1">
      <c r="A4909" t="s">
        <v>7556</v>
      </c>
      <c r="B4909" t="s">
        <v>3489</v>
      </c>
      <c r="C4909">
        <v>570.7999877929688</v>
      </c>
      <c r="D4909">
        <v>575.1500244140625</v>
      </c>
      <c r="E4909">
        <v>570.2000122070312</v>
      </c>
      <c r="F4909">
        <v>574.0800170898438</v>
      </c>
      <c r="G4909">
        <v>564.712890625</v>
      </c>
      <c r="H4909">
        <v>58766800</v>
      </c>
      <c r="I4909" t="s">
        <v>3490</v>
      </c>
      <c r="J4909" t="s">
        <v>3491</v>
      </c>
      <c r="K4909" t="s">
        <v>7557</v>
      </c>
    </row>
    <row r="4910" spans="1:11" ht="20" customHeight="1">
      <c r="A4910" t="s">
        <v>7556</v>
      </c>
      <c r="B4910" t="s">
        <v>3492</v>
      </c>
      <c r="C4910">
        <v>575.2999877929688</v>
      </c>
      <c r="D4910">
        <v>576.4099731445312</v>
      </c>
      <c r="E4910">
        <v>573.6900024414062</v>
      </c>
      <c r="F4910">
        <v>575.4600219726562</v>
      </c>
      <c r="G4910">
        <v>566.0703735351562</v>
      </c>
      <c r="H4910">
        <v>38355700</v>
      </c>
      <c r="I4910" t="s">
        <v>3493</v>
      </c>
      <c r="J4910" t="s">
        <v>3494</v>
      </c>
      <c r="K4910" t="s">
        <v>7557</v>
      </c>
    </row>
    <row r="4911" spans="1:11" ht="20" customHeight="1">
      <c r="A4911" t="s">
        <v>7556</v>
      </c>
      <c r="B4911" t="s">
        <v>3495</v>
      </c>
      <c r="C4911">
        <v>575.1900024414062</v>
      </c>
      <c r="D4911">
        <v>576.3300170898438</v>
      </c>
      <c r="E4911">
        <v>567.1900024414062</v>
      </c>
      <c r="F4911">
        <v>568.5900268554688</v>
      </c>
      <c r="G4911">
        <v>559.3124389648438</v>
      </c>
      <c r="H4911">
        <v>51848300</v>
      </c>
      <c r="I4911" t="s">
        <v>3496</v>
      </c>
      <c r="J4911" t="s">
        <v>3497</v>
      </c>
      <c r="K4911" t="s">
        <v>7557</v>
      </c>
    </row>
    <row r="4912" spans="1:11" ht="20" customHeight="1">
      <c r="A4912" t="s">
        <v>7556</v>
      </c>
      <c r="B4912" t="s">
        <v>3498</v>
      </c>
      <c r="C4912">
        <v>567.1799926757812</v>
      </c>
      <c r="D4912">
        <v>570.9000244140625</v>
      </c>
      <c r="E4912">
        <v>564.9400024414062</v>
      </c>
      <c r="F4912">
        <v>567.0800170898438</v>
      </c>
      <c r="G4912">
        <v>557.8270874023438</v>
      </c>
      <c r="H4912">
        <v>42164200</v>
      </c>
      <c r="I4912" t="s">
        <v>3499</v>
      </c>
      <c r="J4912" t="s">
        <v>3500</v>
      </c>
      <c r="K4912" t="s">
        <v>7557</v>
      </c>
    </row>
    <row r="4913" spans="1:11" ht="20" customHeight="1">
      <c r="A4913" t="s">
        <v>7556</v>
      </c>
      <c r="B4913" t="s">
        <v>3501</v>
      </c>
      <c r="C4913">
        <v>565.530029296875</v>
      </c>
      <c r="D4913">
        <v>566.27001953125</v>
      </c>
      <c r="E4913">
        <v>555.0700073242188</v>
      </c>
      <c r="F4913">
        <v>555.6599731445312</v>
      </c>
      <c r="G4913">
        <v>546.5934448242188</v>
      </c>
      <c r="H4913">
        <v>71662700</v>
      </c>
      <c r="I4913" t="s">
        <v>3502</v>
      </c>
      <c r="J4913" t="s">
        <v>3503</v>
      </c>
      <c r="K4913" t="s">
        <v>7557</v>
      </c>
    </row>
    <row r="4914" spans="1:11" ht="20" customHeight="1">
      <c r="A4914" t="s">
        <v>7556</v>
      </c>
      <c r="B4914" t="s">
        <v>3504</v>
      </c>
      <c r="C4914">
        <v>549.8300170898438</v>
      </c>
      <c r="D4914">
        <v>560.7100219726562</v>
      </c>
      <c r="E4914">
        <v>546.8699951171875</v>
      </c>
      <c r="F4914">
        <v>559.3900146484375</v>
      </c>
      <c r="G4914">
        <v>550.2625732421875</v>
      </c>
      <c r="H4914">
        <v>95328200</v>
      </c>
      <c r="I4914" t="s">
        <v>3505</v>
      </c>
      <c r="J4914" t="s">
        <v>3506</v>
      </c>
      <c r="K4914" t="s">
        <v>7557</v>
      </c>
    </row>
    <row r="4915" spans="1:11" ht="20" customHeight="1">
      <c r="A4915" t="s">
        <v>7556</v>
      </c>
      <c r="B4915" t="s">
        <v>3507</v>
      </c>
      <c r="C4915">
        <v>557.4500122070312</v>
      </c>
      <c r="D4915">
        <v>562.9400024414062</v>
      </c>
      <c r="E4915">
        <v>553.6799926757812</v>
      </c>
      <c r="F4915">
        <v>560.969970703125</v>
      </c>
      <c r="G4915">
        <v>551.8167724609375</v>
      </c>
      <c r="H4915">
        <v>54609600</v>
      </c>
      <c r="I4915" t="s">
        <v>3508</v>
      </c>
      <c r="J4915" t="s">
        <v>3509</v>
      </c>
      <c r="K4915" t="s">
        <v>7557</v>
      </c>
    </row>
    <row r="4916" spans="1:11" ht="20" customHeight="1">
      <c r="A4916" t="s">
        <v>7556</v>
      </c>
      <c r="B4916" t="s">
        <v>3510</v>
      </c>
      <c r="C4916">
        <v>555.0499877929688</v>
      </c>
      <c r="D4916">
        <v>567.4199829101562</v>
      </c>
      <c r="E4916">
        <v>554.8099975585938</v>
      </c>
      <c r="F4916">
        <v>564.52001953125</v>
      </c>
      <c r="G4916">
        <v>555.3088989257812</v>
      </c>
      <c r="H4916">
        <v>76014500</v>
      </c>
      <c r="I4916" t="s">
        <v>3511</v>
      </c>
      <c r="J4916" t="s">
        <v>3512</v>
      </c>
      <c r="K4916" t="s">
        <v>7557</v>
      </c>
    </row>
    <row r="4917" spans="1:11" ht="20" customHeight="1">
      <c r="A4917" t="s">
        <v>7556</v>
      </c>
      <c r="B4917" t="s">
        <v>3513</v>
      </c>
      <c r="C4917">
        <v>545.1099853515625</v>
      </c>
      <c r="D4917">
        <v>547.969970703125</v>
      </c>
      <c r="E4917">
        <v>536.7000122070312</v>
      </c>
      <c r="F4917">
        <v>536.7000122070312</v>
      </c>
      <c r="G4917">
        <v>527.9427490234375</v>
      </c>
      <c r="H4917">
        <v>125986000</v>
      </c>
      <c r="I4917" t="s">
        <v>3514</v>
      </c>
      <c r="J4917" t="s">
        <v>3515</v>
      </c>
      <c r="K4917" t="s">
        <v>7557</v>
      </c>
    </row>
    <row r="4918" spans="1:11" ht="20" customHeight="1">
      <c r="A4918" t="s">
        <v>7556</v>
      </c>
      <c r="B4918" t="s">
        <v>3516</v>
      </c>
      <c r="C4918">
        <v>523.6699829101562</v>
      </c>
      <c r="D4918">
        <v>525.8699951171875</v>
      </c>
      <c r="E4918">
        <v>505.0599975585938</v>
      </c>
      <c r="F4918">
        <v>505.2799987792969</v>
      </c>
      <c r="G4918">
        <v>497.0354309082031</v>
      </c>
      <c r="H4918">
        <v>217965100</v>
      </c>
      <c r="I4918" t="s">
        <v>3517</v>
      </c>
      <c r="J4918" t="s">
        <v>3518</v>
      </c>
      <c r="K4918" t="s">
        <v>7557</v>
      </c>
    </row>
    <row r="4919" spans="1:11" ht="20" customHeight="1">
      <c r="A4919" t="s">
        <v>7556</v>
      </c>
      <c r="B4919" t="s">
        <v>3519</v>
      </c>
      <c r="C4919">
        <v>489.1900024414062</v>
      </c>
      <c r="D4919">
        <v>523.1699829101562</v>
      </c>
      <c r="E4919">
        <v>481.7999877929688</v>
      </c>
      <c r="F4919">
        <v>504.3800048828125</v>
      </c>
      <c r="G4919">
        <v>496.1501159667969</v>
      </c>
      <c r="H4919">
        <v>256611400</v>
      </c>
      <c r="I4919" t="s">
        <v>3520</v>
      </c>
      <c r="J4919" t="s">
        <v>3521</v>
      </c>
      <c r="K4919" t="s">
        <v>7557</v>
      </c>
    </row>
    <row r="4920" spans="1:11" ht="20" customHeight="1">
      <c r="A4920" t="s">
        <v>7556</v>
      </c>
      <c r="B4920" t="s">
        <v>3522</v>
      </c>
      <c r="C4920">
        <v>521.8599853515625</v>
      </c>
      <c r="D4920">
        <v>524.97998046875</v>
      </c>
      <c r="E4920">
        <v>489.1600036621094</v>
      </c>
      <c r="F4920">
        <v>496.4800109863281</v>
      </c>
      <c r="G4920">
        <v>488.3790588378906</v>
      </c>
      <c r="H4920">
        <v>165816600</v>
      </c>
      <c r="I4920" t="s">
        <v>3523</v>
      </c>
      <c r="J4920" t="s">
        <v>3524</v>
      </c>
      <c r="K4920" t="s">
        <v>7557</v>
      </c>
    </row>
    <row r="4921" spans="1:11" ht="20" customHeight="1">
      <c r="A4921" t="s">
        <v>7556</v>
      </c>
      <c r="B4921" t="s">
        <v>3525</v>
      </c>
      <c r="C4921">
        <v>493.4400024414062</v>
      </c>
      <c r="D4921">
        <v>548.6199951171875</v>
      </c>
      <c r="E4921">
        <v>493.0499877929688</v>
      </c>
      <c r="F4921">
        <v>548.6199951171875</v>
      </c>
      <c r="G4921">
        <v>539.6682739257812</v>
      </c>
      <c r="H4921">
        <v>241867300</v>
      </c>
      <c r="I4921" t="s">
        <v>3526</v>
      </c>
      <c r="J4921" t="s">
        <v>3527</v>
      </c>
      <c r="K4921" t="s">
        <v>7557</v>
      </c>
    </row>
    <row r="4922" spans="1:11" ht="20" customHeight="1">
      <c r="A4922" t="s">
        <v>7556</v>
      </c>
      <c r="B4922" t="s">
        <v>3528</v>
      </c>
      <c r="C4922">
        <v>532.1699829101562</v>
      </c>
      <c r="D4922">
        <v>533.5</v>
      </c>
      <c r="E4922">
        <v>509.3200073242188</v>
      </c>
      <c r="F4922">
        <v>524.5800170898438</v>
      </c>
      <c r="G4922">
        <v>516.0205688476562</v>
      </c>
      <c r="H4922">
        <v>162331200</v>
      </c>
      <c r="I4922" t="s">
        <v>3529</v>
      </c>
      <c r="J4922" t="s">
        <v>3530</v>
      </c>
      <c r="K4922" t="s">
        <v>7557</v>
      </c>
    </row>
    <row r="4923" spans="1:11" ht="20" customHeight="1">
      <c r="A4923" t="s">
        <v>7556</v>
      </c>
      <c r="B4923" t="s">
        <v>3531</v>
      </c>
      <c r="C4923">
        <v>523.010009765625</v>
      </c>
      <c r="D4923">
        <v>536.4299926757812</v>
      </c>
      <c r="E4923">
        <v>520.0700073242188</v>
      </c>
      <c r="F4923">
        <v>533.9400024414062</v>
      </c>
      <c r="G4923">
        <v>525.2277221679688</v>
      </c>
      <c r="H4923">
        <v>97866300</v>
      </c>
      <c r="I4923" t="s">
        <v>3532</v>
      </c>
      <c r="J4923" t="s">
        <v>3533</v>
      </c>
      <c r="K4923" t="s">
        <v>7557</v>
      </c>
    </row>
    <row r="4924" spans="1:11" ht="20" customHeight="1">
      <c r="A4924" t="s">
        <v>7556</v>
      </c>
      <c r="B4924" t="s">
        <v>3534</v>
      </c>
      <c r="C4924">
        <v>544.0499877929688</v>
      </c>
      <c r="D4924">
        <v>544.280029296875</v>
      </c>
      <c r="E4924">
        <v>533.8599853515625</v>
      </c>
      <c r="F4924">
        <v>539.1199951171875</v>
      </c>
      <c r="G4924">
        <v>530.3233032226562</v>
      </c>
      <c r="H4924">
        <v>68034000</v>
      </c>
      <c r="I4924" t="s">
        <v>3535</v>
      </c>
      <c r="J4924" t="s">
        <v>3536</v>
      </c>
      <c r="K4924" t="s">
        <v>7557</v>
      </c>
    </row>
    <row r="4925" spans="1:11" ht="20" customHeight="1">
      <c r="A4925" t="s">
        <v>7556</v>
      </c>
      <c r="B4925" t="s">
        <v>3537</v>
      </c>
      <c r="C4925">
        <v>539.6699829101562</v>
      </c>
      <c r="D4925">
        <v>543.22998046875</v>
      </c>
      <c r="E4925">
        <v>536.8099975585938</v>
      </c>
      <c r="F4925">
        <v>537.6099853515625</v>
      </c>
      <c r="G4925">
        <v>528.837890625</v>
      </c>
      <c r="H4925">
        <v>56892900</v>
      </c>
      <c r="I4925" t="s">
        <v>3538</v>
      </c>
      <c r="J4925" t="s">
        <v>3539</v>
      </c>
      <c r="K4925" t="s">
        <v>7557</v>
      </c>
    </row>
    <row r="4926" spans="1:11" ht="20" customHeight="1">
      <c r="A4926" t="s">
        <v>7556</v>
      </c>
      <c r="B4926" t="s">
        <v>3540</v>
      </c>
      <c r="C4926">
        <v>531.6799926757812</v>
      </c>
      <c r="D4926">
        <v>537.8900146484375</v>
      </c>
      <c r="E4926">
        <v>520.2899780273438</v>
      </c>
      <c r="F4926">
        <v>525.6599731445312</v>
      </c>
      <c r="G4926">
        <v>517.0828247070312</v>
      </c>
      <c r="H4926">
        <v>83484800</v>
      </c>
      <c r="I4926" t="s">
        <v>3541</v>
      </c>
      <c r="J4926" t="s">
        <v>3542</v>
      </c>
      <c r="K4926" t="s">
        <v>7557</v>
      </c>
    </row>
    <row r="4927" spans="1:11" ht="20" customHeight="1">
      <c r="A4927" t="s">
        <v>7556</v>
      </c>
      <c r="B4927" t="s">
        <v>3543</v>
      </c>
      <c r="C4927">
        <v>527.6400146484375</v>
      </c>
      <c r="D4927">
        <v>531.1699829101562</v>
      </c>
      <c r="E4927">
        <v>523.9099731445312</v>
      </c>
      <c r="F4927">
        <v>526.4099731445312</v>
      </c>
      <c r="G4927">
        <v>517.8206176757812</v>
      </c>
      <c r="H4927">
        <v>79868100</v>
      </c>
      <c r="I4927" t="s">
        <v>3544</v>
      </c>
      <c r="J4927" t="s">
        <v>3545</v>
      </c>
      <c r="K4927" t="s">
        <v>7557</v>
      </c>
    </row>
    <row r="4928" spans="1:11" ht="20" customHeight="1">
      <c r="A4928" t="s">
        <v>7556</v>
      </c>
      <c r="B4928" t="s">
        <v>3546</v>
      </c>
      <c r="C4928">
        <v>521.1599731445312</v>
      </c>
      <c r="D4928">
        <v>521.7000122070312</v>
      </c>
      <c r="E4928">
        <v>508.4599914550781</v>
      </c>
      <c r="F4928">
        <v>513.8800048828125</v>
      </c>
      <c r="G4928">
        <v>505.4950866699219</v>
      </c>
      <c r="H4928">
        <v>69368100</v>
      </c>
      <c r="I4928" t="s">
        <v>3547</v>
      </c>
      <c r="J4928" t="s">
        <v>3548</v>
      </c>
      <c r="K4928" t="s">
        <v>7557</v>
      </c>
    </row>
    <row r="4929" spans="1:11" ht="20" customHeight="1">
      <c r="A4929" t="s">
        <v>7556</v>
      </c>
      <c r="B4929" t="s">
        <v>3549</v>
      </c>
      <c r="C4929">
        <v>520.1400146484375</v>
      </c>
      <c r="D4929">
        <v>529.2999877929688</v>
      </c>
      <c r="E4929">
        <v>519.1900024414062</v>
      </c>
      <c r="F4929">
        <v>527.25</v>
      </c>
      <c r="G4929">
        <v>518.6470336914062</v>
      </c>
      <c r="H4929">
        <v>75948100</v>
      </c>
      <c r="I4929" t="s">
        <v>3550</v>
      </c>
      <c r="J4929" t="s">
        <v>3551</v>
      </c>
      <c r="K4929" t="s">
        <v>7557</v>
      </c>
    </row>
    <row r="4930" spans="1:11" ht="20" customHeight="1">
      <c r="A4930" t="s">
        <v>7556</v>
      </c>
      <c r="B4930" t="s">
        <v>3552</v>
      </c>
      <c r="C4930">
        <v>540.4299926757812</v>
      </c>
      <c r="D4930">
        <v>545.4299926757812</v>
      </c>
      <c r="E4930">
        <v>533.8800048828125</v>
      </c>
      <c r="F4930">
        <v>535.4199829101562</v>
      </c>
      <c r="G4930">
        <v>526.68359375</v>
      </c>
      <c r="H4930">
        <v>90590700</v>
      </c>
      <c r="I4930" t="s">
        <v>3553</v>
      </c>
      <c r="J4930" t="s">
        <v>3554</v>
      </c>
      <c r="K4930" t="s">
        <v>7557</v>
      </c>
    </row>
    <row r="4931" spans="1:11" ht="20" customHeight="1">
      <c r="A4931" t="s">
        <v>7556</v>
      </c>
      <c r="B4931" t="s">
        <v>3555</v>
      </c>
      <c r="C4931">
        <v>536.719970703125</v>
      </c>
      <c r="D4931">
        <v>547.4299926757812</v>
      </c>
      <c r="E4931">
        <v>535.4500122070312</v>
      </c>
      <c r="F4931">
        <v>546.6900024414062</v>
      </c>
      <c r="G4931">
        <v>537.769775390625</v>
      </c>
      <c r="H4931">
        <v>64150400</v>
      </c>
      <c r="I4931" t="s">
        <v>3556</v>
      </c>
      <c r="J4931" t="s">
        <v>3557</v>
      </c>
      <c r="K4931" t="s">
        <v>7557</v>
      </c>
    </row>
    <row r="4932" spans="1:11" ht="20" customHeight="1">
      <c r="A4932" t="s">
        <v>7556</v>
      </c>
      <c r="B4932" t="s">
        <v>3558</v>
      </c>
      <c r="C4932">
        <v>546.6500244140625</v>
      </c>
      <c r="D4932">
        <v>551.0499877929688</v>
      </c>
      <c r="E4932">
        <v>543.6900024414062</v>
      </c>
      <c r="F4932">
        <v>550.6400146484375</v>
      </c>
      <c r="G4932">
        <v>541.6553344726562</v>
      </c>
      <c r="H4932">
        <v>61119600</v>
      </c>
      <c r="I4932" t="s">
        <v>3559</v>
      </c>
      <c r="J4932" t="s">
        <v>3560</v>
      </c>
      <c r="K4932" t="s">
        <v>7557</v>
      </c>
    </row>
    <row r="4933" spans="1:11" ht="20" customHeight="1">
      <c r="A4933" t="s">
        <v>7556</v>
      </c>
      <c r="B4933" t="s">
        <v>3561</v>
      </c>
      <c r="C4933">
        <v>551.3900146484375</v>
      </c>
      <c r="D4933">
        <v>553.5499877929688</v>
      </c>
      <c r="E4933">
        <v>545.02001953125</v>
      </c>
      <c r="F4933">
        <v>550.8499755859375</v>
      </c>
      <c r="G4933">
        <v>541.8619384765625</v>
      </c>
      <c r="H4933">
        <v>47613800</v>
      </c>
      <c r="I4933" t="s">
        <v>3562</v>
      </c>
      <c r="J4933" t="s">
        <v>3563</v>
      </c>
      <c r="K4933" t="s">
        <v>7557</v>
      </c>
    </row>
    <row r="4934" spans="1:11" ht="20" customHeight="1">
      <c r="A4934" t="s">
        <v>7556</v>
      </c>
      <c r="B4934" t="s">
        <v>3564</v>
      </c>
      <c r="C4934">
        <v>548.9099731445312</v>
      </c>
      <c r="D4934">
        <v>555.4500122070312</v>
      </c>
      <c r="E4934">
        <v>548.5499877929688</v>
      </c>
      <c r="F4934">
        <v>554.3200073242188</v>
      </c>
      <c r="G4934">
        <v>545.275146484375</v>
      </c>
      <c r="H4934">
        <v>47775100</v>
      </c>
      <c r="I4934" t="s">
        <v>3565</v>
      </c>
      <c r="J4934" t="s">
        <v>3566</v>
      </c>
      <c r="K4934" t="s">
        <v>7557</v>
      </c>
    </row>
    <row r="4935" spans="1:11" ht="20" customHeight="1">
      <c r="A4935" t="s">
        <v>7556</v>
      </c>
      <c r="B4935" t="s">
        <v>3567</v>
      </c>
      <c r="C4935">
        <v>547.5700073242188</v>
      </c>
      <c r="D4935">
        <v>556.52001953125</v>
      </c>
      <c r="E4935">
        <v>541.52001953125</v>
      </c>
      <c r="F4935">
        <v>554.5399780273438</v>
      </c>
      <c r="G4935">
        <v>545.49169921875</v>
      </c>
      <c r="H4935">
        <v>93101500</v>
      </c>
      <c r="I4935" t="s">
        <v>3568</v>
      </c>
      <c r="J4935" t="s">
        <v>3569</v>
      </c>
      <c r="K4935" t="s">
        <v>7557</v>
      </c>
    </row>
    <row r="4936" spans="1:11" ht="20" customHeight="1">
      <c r="A4936" t="s">
        <v>7556</v>
      </c>
      <c r="B4936" t="s">
        <v>3570</v>
      </c>
      <c r="C4936">
        <v>560.3699951171875</v>
      </c>
      <c r="D4936">
        <v>564.0700073242188</v>
      </c>
      <c r="E4936">
        <v>557.8599853515625</v>
      </c>
      <c r="F4936">
        <v>558.469970703125</v>
      </c>
      <c r="G4936">
        <v>549.3575439453125</v>
      </c>
      <c r="H4936">
        <v>63186100</v>
      </c>
      <c r="I4936" t="s">
        <v>3571</v>
      </c>
      <c r="J4936" t="s">
        <v>3572</v>
      </c>
      <c r="K4936" t="s">
        <v>7557</v>
      </c>
    </row>
    <row r="4937" spans="1:11" ht="20" customHeight="1">
      <c r="A4937" t="s">
        <v>7556</v>
      </c>
      <c r="B4937" t="s">
        <v>3573</v>
      </c>
      <c r="C4937">
        <v>564.72998046875</v>
      </c>
      <c r="D4937">
        <v>568.3800048828125</v>
      </c>
      <c r="E4937">
        <v>562.3800048828125</v>
      </c>
      <c r="F4937">
        <v>566.760009765625</v>
      </c>
      <c r="G4937">
        <v>557.5122680664062</v>
      </c>
      <c r="H4937">
        <v>60717300</v>
      </c>
      <c r="I4937" t="s">
        <v>3574</v>
      </c>
      <c r="J4937" t="s">
        <v>3575</v>
      </c>
      <c r="K4937" t="s">
        <v>7557</v>
      </c>
    </row>
    <row r="4938" spans="1:11" ht="20" customHeight="1">
      <c r="A4938" t="s">
        <v>7556</v>
      </c>
      <c r="B4938" t="s">
        <v>3576</v>
      </c>
      <c r="C4938">
        <v>562.5700073242188</v>
      </c>
      <c r="D4938">
        <v>566.6500244140625</v>
      </c>
      <c r="E4938">
        <v>561.7000122070312</v>
      </c>
      <c r="F4938">
        <v>563.510009765625</v>
      </c>
      <c r="G4938">
        <v>554.3153686523438</v>
      </c>
      <c r="H4938">
        <v>38659200</v>
      </c>
      <c r="I4938" t="s">
        <v>3577</v>
      </c>
      <c r="J4938" t="s">
        <v>3578</v>
      </c>
      <c r="K4938" t="s">
        <v>7557</v>
      </c>
    </row>
    <row r="4939" spans="1:11" ht="20" customHeight="1">
      <c r="A4939" t="s">
        <v>7556</v>
      </c>
      <c r="B4939" t="s">
        <v>3579</v>
      </c>
      <c r="C4939">
        <v>557.9299926757812</v>
      </c>
      <c r="D4939">
        <v>563.3499755859375</v>
      </c>
      <c r="E4939">
        <v>556.9600219726562</v>
      </c>
      <c r="F4939">
        <v>558.7999877929688</v>
      </c>
      <c r="G4939">
        <v>549.68212890625</v>
      </c>
      <c r="H4939">
        <v>48264700</v>
      </c>
      <c r="I4939" t="s">
        <v>3580</v>
      </c>
      <c r="J4939" t="s">
        <v>3581</v>
      </c>
      <c r="K4939" t="s">
        <v>7557</v>
      </c>
    </row>
    <row r="4940" spans="1:11" ht="20" customHeight="1">
      <c r="A4940" t="s">
        <v>7556</v>
      </c>
      <c r="B4940" t="s">
        <v>3582</v>
      </c>
      <c r="C4940">
        <v>560.1500244140625</v>
      </c>
      <c r="D4940">
        <v>563.8200073242188</v>
      </c>
      <c r="E4940">
        <v>556.0399780273438</v>
      </c>
      <c r="F4940">
        <v>561.1500244140625</v>
      </c>
      <c r="G4940">
        <v>551.9938354492188</v>
      </c>
      <c r="H4940">
        <v>55588000</v>
      </c>
      <c r="I4940" t="s">
        <v>3583</v>
      </c>
      <c r="J4940" t="s">
        <v>3584</v>
      </c>
      <c r="K4940" t="s">
        <v>7557</v>
      </c>
    </row>
    <row r="4941" spans="1:11" ht="20" customHeight="1">
      <c r="A4941" t="s">
        <v>7556</v>
      </c>
      <c r="B4941" t="s">
        <v>3585</v>
      </c>
      <c r="C4941">
        <v>565.239990234375</v>
      </c>
      <c r="D4941">
        <v>570.3099975585938</v>
      </c>
      <c r="E4941">
        <v>561.7000122070312</v>
      </c>
      <c r="F4941">
        <v>565.0599975585938</v>
      </c>
      <c r="G4941">
        <v>555.8401489257812</v>
      </c>
      <c r="H4941">
        <v>65130800</v>
      </c>
      <c r="I4941" t="s">
        <v>3586</v>
      </c>
      <c r="J4941" t="s">
        <v>3587</v>
      </c>
      <c r="K4941" t="s">
        <v>7557</v>
      </c>
    </row>
    <row r="4942" spans="1:11" ht="20" customHeight="1">
      <c r="A4942" t="s">
        <v>7556</v>
      </c>
      <c r="B4942" t="s">
        <v>3588</v>
      </c>
      <c r="C4942">
        <v>566.47998046875</v>
      </c>
      <c r="D4942">
        <v>567.5</v>
      </c>
      <c r="E4942">
        <v>562.760009765625</v>
      </c>
      <c r="F4942">
        <v>564.3400268554688</v>
      </c>
      <c r="G4942">
        <v>555.1317138671875</v>
      </c>
      <c r="H4942">
        <v>37603400</v>
      </c>
      <c r="I4942" t="s">
        <v>3589</v>
      </c>
      <c r="J4942" t="s">
        <v>3590</v>
      </c>
      <c r="K4942" t="s">
        <v>7557</v>
      </c>
    </row>
    <row r="4943" spans="1:11" ht="20" customHeight="1">
      <c r="A4943" t="s">
        <v>7556</v>
      </c>
      <c r="B4943" t="s">
        <v>3591</v>
      </c>
      <c r="C4943">
        <v>581.469970703125</v>
      </c>
      <c r="D4943">
        <v>583</v>
      </c>
      <c r="E4943">
        <v>577.0399780273438</v>
      </c>
      <c r="F4943">
        <v>582.989990234375</v>
      </c>
      <c r="G4943">
        <v>573.4774780273438</v>
      </c>
      <c r="H4943">
        <v>78993600</v>
      </c>
      <c r="I4943" t="s">
        <v>3592</v>
      </c>
      <c r="J4943" t="s">
        <v>3593</v>
      </c>
      <c r="K4943" t="s">
        <v>7557</v>
      </c>
    </row>
    <row r="4944" spans="1:11" ht="20" customHeight="1">
      <c r="A4944" t="s">
        <v>7556</v>
      </c>
      <c r="B4944" t="s">
        <v>3594</v>
      </c>
      <c r="C4944">
        <v>583.4099731445312</v>
      </c>
      <c r="D4944">
        <v>589.0800170898438</v>
      </c>
      <c r="E4944">
        <v>582.8400268554688</v>
      </c>
      <c r="F4944">
        <v>586.8400268554688</v>
      </c>
      <c r="G4944">
        <v>577.2647094726562</v>
      </c>
      <c r="H4944">
        <v>67947200</v>
      </c>
      <c r="I4944" t="s">
        <v>3595</v>
      </c>
      <c r="J4944" t="s">
        <v>3596</v>
      </c>
      <c r="K4944" t="s">
        <v>7557</v>
      </c>
    </row>
    <row r="4945" spans="1:11" ht="20" customHeight="1">
      <c r="A4945" t="s">
        <v>7556</v>
      </c>
      <c r="B4945" t="s">
        <v>3597</v>
      </c>
      <c r="C4945">
        <v>587.8099975585938</v>
      </c>
      <c r="D4945">
        <v>588.97998046875</v>
      </c>
      <c r="E4945">
        <v>585.5399780273438</v>
      </c>
      <c r="F4945">
        <v>587.5900268554688</v>
      </c>
      <c r="G4945">
        <v>578.00244140625</v>
      </c>
      <c r="H4945">
        <v>66283500</v>
      </c>
      <c r="I4945" t="s">
        <v>3598</v>
      </c>
      <c r="J4945" t="s">
        <v>3599</v>
      </c>
      <c r="K4945" t="s">
        <v>7557</v>
      </c>
    </row>
    <row r="4946" spans="1:11" ht="20" customHeight="1">
      <c r="A4946" t="s">
        <v>7556</v>
      </c>
      <c r="B4946" t="s">
        <v>3600</v>
      </c>
      <c r="C4946">
        <v>585.5599975585938</v>
      </c>
      <c r="D4946">
        <v>590.969970703125</v>
      </c>
      <c r="E4946">
        <v>585.0999755859375</v>
      </c>
      <c r="F4946">
        <v>590.4600219726562</v>
      </c>
      <c r="G4946">
        <v>580.8256225585938</v>
      </c>
      <c r="H4946">
        <v>71268100</v>
      </c>
      <c r="I4946" t="s">
        <v>3601</v>
      </c>
      <c r="J4946" t="s">
        <v>3602</v>
      </c>
      <c r="K4946" t="s">
        <v>7557</v>
      </c>
    </row>
    <row r="4947" spans="1:11" ht="20" customHeight="1">
      <c r="A4947" t="s">
        <v>7556</v>
      </c>
      <c r="B4947" t="s">
        <v>3603</v>
      </c>
      <c r="C4947">
        <v>591.25</v>
      </c>
      <c r="D4947">
        <v>594.5</v>
      </c>
      <c r="E4947">
        <v>589.280029296875</v>
      </c>
      <c r="F4947">
        <v>594.2000122070312</v>
      </c>
      <c r="G4947">
        <v>584.5045166015625</v>
      </c>
      <c r="H4947">
        <v>76052100</v>
      </c>
      <c r="I4947" t="s">
        <v>3604</v>
      </c>
      <c r="J4947" t="s">
        <v>3605</v>
      </c>
      <c r="K4947" t="s">
        <v>7557</v>
      </c>
    </row>
    <row r="4948" spans="1:11" ht="20" customHeight="1">
      <c r="A4948" t="s">
        <v>7556</v>
      </c>
      <c r="B4948" t="s">
        <v>3606</v>
      </c>
      <c r="C4948">
        <v>588.0999755859375</v>
      </c>
      <c r="D4948">
        <v>595.5399780273438</v>
      </c>
      <c r="E4948">
        <v>588.0999755859375</v>
      </c>
      <c r="F4948">
        <v>594.8499755859375</v>
      </c>
      <c r="G4948">
        <v>585.1439208984375</v>
      </c>
      <c r="H4948">
        <v>68168500</v>
      </c>
      <c r="I4948" t="s">
        <v>3607</v>
      </c>
      <c r="J4948" t="s">
        <v>3608</v>
      </c>
      <c r="K4948" t="s">
        <v>7557</v>
      </c>
    </row>
    <row r="4949" spans="1:11" ht="20" customHeight="1">
      <c r="A4949" t="s">
        <v>7556</v>
      </c>
      <c r="B4949" t="s">
        <v>3609</v>
      </c>
      <c r="C4949">
        <v>593.0900268554688</v>
      </c>
      <c r="D4949">
        <v>594.0499877929688</v>
      </c>
      <c r="E4949">
        <v>589.5999755859375</v>
      </c>
      <c r="F4949">
        <v>592.8499755859375</v>
      </c>
      <c r="G4949">
        <v>583.1765747070312</v>
      </c>
      <c r="H4949">
        <v>60614500</v>
      </c>
      <c r="I4949" t="s">
        <v>3610</v>
      </c>
      <c r="J4949" t="s">
        <v>3611</v>
      </c>
      <c r="K4949" t="s">
        <v>7557</v>
      </c>
    </row>
    <row r="4950" spans="1:11" ht="20" customHeight="1">
      <c r="A4950" t="s">
        <v>7556</v>
      </c>
      <c r="B4950" t="s">
        <v>3612</v>
      </c>
      <c r="C4950">
        <v>588.4400024414062</v>
      </c>
      <c r="D4950">
        <v>592.5800170898438</v>
      </c>
      <c r="E4950">
        <v>581.8200073242188</v>
      </c>
      <c r="F4950">
        <v>582.8599853515625</v>
      </c>
      <c r="G4950">
        <v>573.3495483398438</v>
      </c>
      <c r="H4950">
        <v>95197700</v>
      </c>
      <c r="I4950" t="s">
        <v>3613</v>
      </c>
      <c r="J4950" t="s">
        <v>3614</v>
      </c>
      <c r="K4950" t="s">
        <v>7557</v>
      </c>
    </row>
    <row r="4951" spans="1:11" ht="20" customHeight="1">
      <c r="A4951" t="s">
        <v>7556</v>
      </c>
      <c r="B4951" t="s">
        <v>3615</v>
      </c>
      <c r="C4951">
        <v>582.6599731445312</v>
      </c>
      <c r="D4951">
        <v>586.6199951171875</v>
      </c>
      <c r="E4951">
        <v>581.4099731445312</v>
      </c>
      <c r="F4951">
        <v>583.0900268554688</v>
      </c>
      <c r="G4951">
        <v>573.5758056640625</v>
      </c>
      <c r="H4951">
        <v>70860400</v>
      </c>
      <c r="I4951" t="s">
        <v>3616</v>
      </c>
      <c r="J4951" t="s">
        <v>3617</v>
      </c>
      <c r="K4951" t="s">
        <v>7557</v>
      </c>
    </row>
    <row r="4952" spans="1:11" ht="20" customHeight="1">
      <c r="A4952" t="s">
        <v>7556</v>
      </c>
      <c r="B4952" t="s">
        <v>3618</v>
      </c>
      <c r="C4952">
        <v>575.97998046875</v>
      </c>
      <c r="D4952">
        <v>581.8099975585938</v>
      </c>
      <c r="E4952">
        <v>575.5999755859375</v>
      </c>
      <c r="F4952">
        <v>579.1099853515625</v>
      </c>
      <c r="G4952">
        <v>569.6607666015625</v>
      </c>
      <c r="H4952">
        <v>76029000</v>
      </c>
      <c r="I4952" t="s">
        <v>3619</v>
      </c>
      <c r="J4952" t="s">
        <v>3620</v>
      </c>
      <c r="K4952" t="s">
        <v>7557</v>
      </c>
    </row>
    <row r="4953" spans="1:11" ht="20" customHeight="1">
      <c r="A4953" t="s">
        <v>7556</v>
      </c>
      <c r="B4953" t="s">
        <v>3621</v>
      </c>
      <c r="C4953">
        <v>586.0700073242188</v>
      </c>
      <c r="D4953">
        <v>591.3099975585938</v>
      </c>
      <c r="E4953">
        <v>578.4299926757812</v>
      </c>
      <c r="F4953">
        <v>591.1500244140625</v>
      </c>
      <c r="G4953">
        <v>581.5043334960938</v>
      </c>
      <c r="H4953">
        <v>72588500</v>
      </c>
      <c r="I4953" t="s">
        <v>3622</v>
      </c>
      <c r="J4953" t="s">
        <v>3623</v>
      </c>
      <c r="K4953" t="s">
        <v>7557</v>
      </c>
    </row>
    <row r="4954" spans="1:11" ht="20" customHeight="1">
      <c r="A4954" t="s">
        <v>7556</v>
      </c>
      <c r="B4954" t="s">
        <v>3624</v>
      </c>
      <c r="C4954">
        <v>591.5599975585938</v>
      </c>
      <c r="D4954">
        <v>592.77001953125</v>
      </c>
      <c r="E4954">
        <v>586.989990234375</v>
      </c>
      <c r="F4954">
        <v>587.72998046875</v>
      </c>
      <c r="G4954">
        <v>578.14013671875</v>
      </c>
      <c r="H4954">
        <v>68445500</v>
      </c>
      <c r="I4954" t="s">
        <v>3625</v>
      </c>
      <c r="J4954" t="s">
        <v>3626</v>
      </c>
      <c r="K4954" t="s">
        <v>7557</v>
      </c>
    </row>
    <row r="4955" spans="1:11" ht="20" customHeight="1">
      <c r="A4955" t="s">
        <v>7556</v>
      </c>
      <c r="B4955" t="s">
        <v>3627</v>
      </c>
      <c r="C4955">
        <v>593.0599975585938</v>
      </c>
      <c r="D4955">
        <v>593.2000122070312</v>
      </c>
      <c r="E4955">
        <v>586.0700073242188</v>
      </c>
      <c r="F4955">
        <v>590.0499877929688</v>
      </c>
      <c r="G4955">
        <v>580.4223022460938</v>
      </c>
      <c r="H4955">
        <v>69973300</v>
      </c>
      <c r="I4955" t="s">
        <v>3628</v>
      </c>
      <c r="J4955" t="s">
        <v>3629</v>
      </c>
      <c r="K4955" t="s">
        <v>7557</v>
      </c>
    </row>
    <row r="4956" spans="1:11" ht="20" customHeight="1">
      <c r="A4956" t="s">
        <v>7556</v>
      </c>
      <c r="B4956" t="s">
        <v>3630</v>
      </c>
      <c r="C4956">
        <v>588.9299926757812</v>
      </c>
      <c r="D4956">
        <v>591.1300048828125</v>
      </c>
      <c r="E4956">
        <v>583.239990234375</v>
      </c>
      <c r="F4956">
        <v>589.3900146484375</v>
      </c>
      <c r="G4956">
        <v>579.7730102539062</v>
      </c>
      <c r="H4956">
        <v>90601200</v>
      </c>
      <c r="I4956" t="s">
        <v>3631</v>
      </c>
      <c r="J4956" t="s">
        <v>3632</v>
      </c>
      <c r="K4956" t="s">
        <v>7557</v>
      </c>
    </row>
    <row r="4957" spans="1:11" ht="20" customHeight="1">
      <c r="A4957" t="s">
        <v>7556</v>
      </c>
      <c r="B4957" t="s">
        <v>3633</v>
      </c>
      <c r="C4957">
        <v>587.760009765625</v>
      </c>
      <c r="D4957">
        <v>592.7899780273438</v>
      </c>
      <c r="E4957">
        <v>585.0599975585938</v>
      </c>
      <c r="F4957">
        <v>592.7100219726562</v>
      </c>
      <c r="G4957">
        <v>583.038818359375</v>
      </c>
      <c r="H4957">
        <v>61630500</v>
      </c>
      <c r="I4957" t="s">
        <v>3634</v>
      </c>
      <c r="J4957" t="s">
        <v>3635</v>
      </c>
      <c r="K4957" t="s">
        <v>7557</v>
      </c>
    </row>
    <row r="4958" spans="1:11" ht="20" customHeight="1">
      <c r="A4958" t="s">
        <v>7556</v>
      </c>
      <c r="B4958" t="s">
        <v>3636</v>
      </c>
      <c r="C4958">
        <v>592.3400268554688</v>
      </c>
      <c r="D4958">
        <v>597.0800170898438</v>
      </c>
      <c r="E4958">
        <v>591.8499755859375</v>
      </c>
      <c r="F4958">
        <v>596.0900268554688</v>
      </c>
      <c r="G4958">
        <v>586.3636474609375</v>
      </c>
      <c r="H4958">
        <v>63606200</v>
      </c>
      <c r="I4958" t="s">
        <v>3637</v>
      </c>
      <c r="J4958" t="s">
        <v>3638</v>
      </c>
      <c r="K4958" t="s">
        <v>7557</v>
      </c>
    </row>
    <row r="4959" spans="1:11" ht="20" customHeight="1">
      <c r="A4959" t="s">
        <v>7556</v>
      </c>
      <c r="B4959" t="s">
        <v>3639</v>
      </c>
      <c r="C4959">
        <v>596.9600219726562</v>
      </c>
      <c r="D4959">
        <v>597.9500122070312</v>
      </c>
      <c r="E4959">
        <v>595.489990234375</v>
      </c>
      <c r="F4959">
        <v>595.9299926757812</v>
      </c>
      <c r="G4959">
        <v>586.2063598632812</v>
      </c>
      <c r="H4959">
        <v>57314200</v>
      </c>
      <c r="I4959" t="s">
        <v>3640</v>
      </c>
      <c r="J4959" t="s">
        <v>3641</v>
      </c>
      <c r="K4959" t="s">
        <v>7557</v>
      </c>
    </row>
    <row r="4960" spans="1:11" ht="20" customHeight="1">
      <c r="A4960" t="s">
        <v>7556</v>
      </c>
      <c r="B4960" t="s">
        <v>3642</v>
      </c>
      <c r="C4960">
        <v>597.6300048828125</v>
      </c>
      <c r="D4960">
        <v>599</v>
      </c>
      <c r="E4960">
        <v>591.0499877929688</v>
      </c>
      <c r="F4960">
        <v>593.0499877929688</v>
      </c>
      <c r="G4960">
        <v>583.3732299804688</v>
      </c>
      <c r="H4960">
        <v>92278700</v>
      </c>
      <c r="I4960" t="s">
        <v>3643</v>
      </c>
      <c r="J4960" t="s">
        <v>3644</v>
      </c>
      <c r="K4960" t="s">
        <v>7557</v>
      </c>
    </row>
    <row r="4961" spans="1:11" ht="20" customHeight="1">
      <c r="A4961" t="s">
        <v>7556</v>
      </c>
      <c r="B4961" t="s">
        <v>3645</v>
      </c>
      <c r="C4961">
        <v>598.6599731445312</v>
      </c>
      <c r="D4961">
        <v>600.8300170898438</v>
      </c>
      <c r="E4961">
        <v>596.8599853515625</v>
      </c>
      <c r="F4961">
        <v>599.1400146484375</v>
      </c>
      <c r="G4961">
        <v>589.3639526367188</v>
      </c>
      <c r="H4961">
        <v>66588700</v>
      </c>
      <c r="I4961" t="s">
        <v>3646</v>
      </c>
      <c r="J4961" t="s">
        <v>3647</v>
      </c>
      <c r="K4961" t="s">
        <v>7557</v>
      </c>
    </row>
    <row r="4962" spans="1:11" ht="20" customHeight="1">
      <c r="A4962" t="s">
        <v>7556</v>
      </c>
      <c r="B4962" t="s">
        <v>3648</v>
      </c>
      <c r="C4962">
        <v>599.719970703125</v>
      </c>
      <c r="D4962">
        <v>601.25</v>
      </c>
      <c r="E4962">
        <v>598.489990234375</v>
      </c>
      <c r="F4962">
        <v>599.6799926757812</v>
      </c>
      <c r="G4962">
        <v>589.8950805664062</v>
      </c>
      <c r="H4962">
        <v>53016400</v>
      </c>
      <c r="I4962" t="s">
        <v>3649</v>
      </c>
      <c r="J4962" t="s">
        <v>3650</v>
      </c>
      <c r="K4962" t="s">
        <v>7557</v>
      </c>
    </row>
    <row r="4963" spans="1:11" ht="20" customHeight="1">
      <c r="A4963" t="s">
        <v>7556</v>
      </c>
      <c r="B4963" t="s">
        <v>3651</v>
      </c>
      <c r="C4963">
        <v>600.219970703125</v>
      </c>
      <c r="D4963">
        <v>603.469970703125</v>
      </c>
      <c r="E4963">
        <v>599.0900268554688</v>
      </c>
      <c r="F4963">
        <v>603.0800170898438</v>
      </c>
      <c r="G4963">
        <v>593.2396850585938</v>
      </c>
      <c r="H4963">
        <v>66247000</v>
      </c>
      <c r="I4963" t="s">
        <v>3652</v>
      </c>
      <c r="J4963" t="s">
        <v>3653</v>
      </c>
      <c r="K4963" t="s">
        <v>7557</v>
      </c>
    </row>
    <row r="4964" spans="1:11" ht="20" customHeight="1">
      <c r="A4964" t="s">
        <v>7556</v>
      </c>
      <c r="B4964" t="s">
        <v>3654</v>
      </c>
      <c r="C4964">
        <v>604.1900024414062</v>
      </c>
      <c r="D4964">
        <v>605.0599975585938</v>
      </c>
      <c r="E4964">
        <v>599.27001953125</v>
      </c>
      <c r="F4964">
        <v>601.3599853515625</v>
      </c>
      <c r="G4964">
        <v>591.5477294921875</v>
      </c>
      <c r="H4964">
        <v>73658200</v>
      </c>
      <c r="I4964" t="s">
        <v>3655</v>
      </c>
      <c r="J4964" t="s">
        <v>3656</v>
      </c>
      <c r="K4964" t="s">
        <v>7557</v>
      </c>
    </row>
    <row r="4965" spans="1:11" ht="20" customHeight="1">
      <c r="A4965" t="s">
        <v>7556</v>
      </c>
      <c r="B4965" t="s">
        <v>3657</v>
      </c>
      <c r="C4965">
        <v>600.010009765625</v>
      </c>
      <c r="D4965">
        <v>603.75</v>
      </c>
      <c r="E4965">
        <v>599.52001953125</v>
      </c>
      <c r="F4965">
        <v>603.75</v>
      </c>
      <c r="G4965">
        <v>593.898681640625</v>
      </c>
      <c r="H4965">
        <v>64129000</v>
      </c>
      <c r="I4965" t="s">
        <v>3658</v>
      </c>
      <c r="J4965" t="s">
        <v>3659</v>
      </c>
      <c r="K4965" t="s">
        <v>7557</v>
      </c>
    </row>
    <row r="4966" spans="1:11" ht="20" customHeight="1">
      <c r="A4966" t="s">
        <v>7556</v>
      </c>
      <c r="B4966" t="s">
        <v>3660</v>
      </c>
      <c r="C4966">
        <v>598.5</v>
      </c>
      <c r="D4966">
        <v>601.8499755859375</v>
      </c>
      <c r="E4966">
        <v>595.47998046875</v>
      </c>
      <c r="F4966">
        <v>597</v>
      </c>
      <c r="G4966">
        <v>587.2589111328125</v>
      </c>
      <c r="H4966">
        <v>89506000</v>
      </c>
      <c r="I4966" t="s">
        <v>3661</v>
      </c>
      <c r="J4966" t="s">
        <v>3662</v>
      </c>
      <c r="K4966" t="s">
        <v>7557</v>
      </c>
    </row>
    <row r="4967" spans="1:11" ht="20" customHeight="1">
      <c r="A4967" t="s">
        <v>7556</v>
      </c>
      <c r="B4967" t="s">
        <v>3663</v>
      </c>
      <c r="C4967">
        <v>600.4000244140625</v>
      </c>
      <c r="D4967">
        <v>604.4500122070312</v>
      </c>
      <c r="E4967">
        <v>600.219970703125</v>
      </c>
      <c r="F4967">
        <v>602.6799926757812</v>
      </c>
      <c r="G4967">
        <v>592.84619140625</v>
      </c>
      <c r="H4967">
        <v>79984100</v>
      </c>
      <c r="I4967" t="s">
        <v>3664</v>
      </c>
      <c r="J4967" t="s">
        <v>3665</v>
      </c>
      <c r="K4967" t="s">
        <v>7557</v>
      </c>
    </row>
    <row r="4968" spans="1:11" ht="20" customHeight="1">
      <c r="A4968" t="s">
        <v>7556</v>
      </c>
      <c r="B4968" t="s">
        <v>3666</v>
      </c>
      <c r="C4968">
        <v>600.2100219726562</v>
      </c>
      <c r="D4968">
        <v>601.75</v>
      </c>
      <c r="E4968">
        <v>596.760009765625</v>
      </c>
      <c r="F4968">
        <v>597.530029296875</v>
      </c>
      <c r="G4968">
        <v>587.7802734375</v>
      </c>
      <c r="H4968">
        <v>82209400</v>
      </c>
      <c r="I4968" t="s">
        <v>3667</v>
      </c>
      <c r="J4968" t="s">
        <v>3668</v>
      </c>
      <c r="K4968" t="s">
        <v>7557</v>
      </c>
    </row>
    <row r="4969" spans="1:11" ht="20" customHeight="1">
      <c r="A4969" t="s">
        <v>7556</v>
      </c>
      <c r="B4969" t="s">
        <v>3669</v>
      </c>
      <c r="C4969">
        <v>598.4400024414062</v>
      </c>
      <c r="D4969">
        <v>601.219970703125</v>
      </c>
      <c r="E4969">
        <v>596.469970703125</v>
      </c>
      <c r="F4969">
        <v>597.4400024414062</v>
      </c>
      <c r="G4969">
        <v>587.6917114257812</v>
      </c>
      <c r="H4969">
        <v>76605000</v>
      </c>
      <c r="I4969" t="s">
        <v>3670</v>
      </c>
      <c r="J4969" t="s">
        <v>3671</v>
      </c>
      <c r="K4969" t="s">
        <v>7557</v>
      </c>
    </row>
    <row r="4970" spans="1:11" ht="20" customHeight="1">
      <c r="A4970" t="s">
        <v>7556</v>
      </c>
      <c r="B4970" t="s">
        <v>3672</v>
      </c>
      <c r="C4970">
        <v>598.3800048828125</v>
      </c>
      <c r="D4970">
        <v>599.4600219726562</v>
      </c>
      <c r="E4970">
        <v>592.8599853515625</v>
      </c>
      <c r="F4970">
        <v>594.280029296875</v>
      </c>
      <c r="G4970">
        <v>586.3114624023438</v>
      </c>
      <c r="H4970">
        <v>94051400</v>
      </c>
      <c r="I4970" t="s">
        <v>3673</v>
      </c>
      <c r="J4970" t="s">
        <v>3674</v>
      </c>
      <c r="K4970" t="s">
        <v>7557</v>
      </c>
    </row>
    <row r="4971" spans="1:11" ht="20" customHeight="1">
      <c r="A4971" t="s">
        <v>7556</v>
      </c>
      <c r="B4971" t="s">
        <v>3675</v>
      </c>
      <c r="C4971">
        <v>595.0399780273438</v>
      </c>
      <c r="D4971">
        <v>600.5399780273438</v>
      </c>
      <c r="E4971">
        <v>591.8900146484375</v>
      </c>
      <c r="F4971">
        <v>600.1500244140625</v>
      </c>
      <c r="G4971">
        <v>592.1026611328125</v>
      </c>
      <c r="H4971">
        <v>87426000</v>
      </c>
      <c r="I4971" t="s">
        <v>3676</v>
      </c>
      <c r="J4971" t="s">
        <v>3677</v>
      </c>
      <c r="K4971" t="s">
        <v>7557</v>
      </c>
    </row>
    <row r="4972" spans="1:11" ht="20" customHeight="1">
      <c r="A4972" t="s">
        <v>7556</v>
      </c>
      <c r="B4972" t="s">
        <v>3678</v>
      </c>
      <c r="C4972">
        <v>604.3300170898438</v>
      </c>
      <c r="D4972">
        <v>607.8499755859375</v>
      </c>
      <c r="E4972">
        <v>603.4099731445312</v>
      </c>
      <c r="F4972">
        <v>606.780029296875</v>
      </c>
      <c r="G4972">
        <v>598.6439208984375</v>
      </c>
      <c r="H4972">
        <v>67735300</v>
      </c>
      <c r="I4972" t="s">
        <v>3679</v>
      </c>
      <c r="J4972" t="s">
        <v>3680</v>
      </c>
      <c r="K4972" t="s">
        <v>7557</v>
      </c>
    </row>
    <row r="4973" spans="1:11" ht="20" customHeight="1">
      <c r="A4973" t="s">
        <v>7556</v>
      </c>
      <c r="B4973" t="s">
        <v>3681</v>
      </c>
      <c r="C4973">
        <v>607.9099731445312</v>
      </c>
      <c r="D4973">
        <v>608.6099853515625</v>
      </c>
      <c r="E4973">
        <v>605.5399780273438</v>
      </c>
      <c r="F4973">
        <v>607.1199951171875</v>
      </c>
      <c r="G4973">
        <v>598.979248046875</v>
      </c>
      <c r="H4973">
        <v>62114800</v>
      </c>
      <c r="I4973" t="s">
        <v>3682</v>
      </c>
      <c r="J4973" t="s">
        <v>3683</v>
      </c>
      <c r="K4973" t="s">
        <v>7557</v>
      </c>
    </row>
    <row r="4974" spans="1:11" ht="20" customHeight="1">
      <c r="A4974" t="s">
        <v>7556</v>
      </c>
      <c r="B4974" t="s">
        <v>3684</v>
      </c>
      <c r="C4974">
        <v>608.989990234375</v>
      </c>
      <c r="D4974">
        <v>612.3099975585938</v>
      </c>
      <c r="E4974">
        <v>608.3699951171875</v>
      </c>
      <c r="F4974">
        <v>611.8699951171875</v>
      </c>
      <c r="G4974">
        <v>603.6655883789062</v>
      </c>
      <c r="H4974">
        <v>78548400</v>
      </c>
      <c r="I4974" t="s">
        <v>3685</v>
      </c>
      <c r="J4974" t="s">
        <v>3686</v>
      </c>
      <c r="K4974" t="s">
        <v>7557</v>
      </c>
    </row>
    <row r="4975" spans="1:11" ht="20" customHeight="1">
      <c r="A4975" t="s">
        <v>7556</v>
      </c>
      <c r="B4975" t="s">
        <v>3687</v>
      </c>
      <c r="C4975">
        <v>612.8800048828125</v>
      </c>
      <c r="D4975">
        <v>616.3900146484375</v>
      </c>
      <c r="E4975">
        <v>610.8300170898438</v>
      </c>
      <c r="F4975">
        <v>614.9099731445312</v>
      </c>
      <c r="G4975">
        <v>606.664794921875</v>
      </c>
      <c r="H4975">
        <v>86258400</v>
      </c>
      <c r="I4975" t="s">
        <v>3688</v>
      </c>
      <c r="J4975" t="s">
        <v>3689</v>
      </c>
      <c r="K4975" t="s">
        <v>7557</v>
      </c>
    </row>
    <row r="4976" spans="1:11" ht="20" customHeight="1">
      <c r="A4976" t="s">
        <v>7556</v>
      </c>
      <c r="B4976" t="s">
        <v>3690</v>
      </c>
      <c r="C4976">
        <v>617.3800048828125</v>
      </c>
      <c r="D4976">
        <v>619.219970703125</v>
      </c>
      <c r="E4976">
        <v>615.0399780273438</v>
      </c>
      <c r="F4976">
        <v>617.8499755859375</v>
      </c>
      <c r="G4976">
        <v>609.5653686523438</v>
      </c>
      <c r="H4976">
        <v>92502500</v>
      </c>
      <c r="I4976" t="s">
        <v>3691</v>
      </c>
      <c r="J4976" t="s">
        <v>3692</v>
      </c>
      <c r="K4976" t="s">
        <v>7557</v>
      </c>
    </row>
    <row r="4977" spans="1:11" ht="20" customHeight="1">
      <c r="A4977" t="s">
        <v>7556</v>
      </c>
      <c r="B4977" t="s">
        <v>3693</v>
      </c>
      <c r="C4977">
        <v>616.3599853515625</v>
      </c>
      <c r="D4977">
        <v>618.8300170898438</v>
      </c>
      <c r="E4977">
        <v>615.52001953125</v>
      </c>
      <c r="F4977">
        <v>617.6500244140625</v>
      </c>
      <c r="G4977">
        <v>609.3681030273438</v>
      </c>
      <c r="H4977">
        <v>70030100</v>
      </c>
      <c r="I4977" t="s">
        <v>3694</v>
      </c>
      <c r="J4977" t="s">
        <v>3695</v>
      </c>
      <c r="K4977" t="s">
        <v>7557</v>
      </c>
    </row>
    <row r="4978" spans="1:11" ht="20" customHeight="1">
      <c r="A4978" t="s">
        <v>7556</v>
      </c>
      <c r="B4978" t="s">
        <v>3696</v>
      </c>
      <c r="C4978">
        <v>617.239990234375</v>
      </c>
      <c r="D4978">
        <v>620.489990234375</v>
      </c>
      <c r="E4978">
        <v>616.6099853515625</v>
      </c>
      <c r="F4978">
        <v>620.4500122070312</v>
      </c>
      <c r="G4978">
        <v>612.1305541992188</v>
      </c>
      <c r="H4978">
        <v>66510400</v>
      </c>
      <c r="I4978" t="s">
        <v>3697</v>
      </c>
      <c r="J4978" t="s">
        <v>3698</v>
      </c>
      <c r="K4978" t="s">
        <v>7557</v>
      </c>
    </row>
    <row r="4979" spans="1:11" ht="20" customHeight="1">
      <c r="A4979" t="s">
        <v>7556</v>
      </c>
      <c r="B4979" t="s">
        <v>3699</v>
      </c>
      <c r="C4979">
        <v>622.4500122070312</v>
      </c>
      <c r="D4979">
        <v>626.280029296875</v>
      </c>
      <c r="E4979">
        <v>622.4299926757812</v>
      </c>
      <c r="F4979">
        <v>625.3400268554688</v>
      </c>
      <c r="G4979">
        <v>616.9550170898438</v>
      </c>
      <c r="H4979">
        <v>51065800</v>
      </c>
      <c r="I4979" t="s">
        <v>3700</v>
      </c>
      <c r="J4979" t="s">
        <v>3701</v>
      </c>
      <c r="K4979" t="s">
        <v>7557</v>
      </c>
    </row>
    <row r="4980" spans="1:11" ht="20" customHeight="1">
      <c r="A4980" t="s">
        <v>7556</v>
      </c>
      <c r="B4980" t="s">
        <v>3702</v>
      </c>
      <c r="C4980">
        <v>623.3599853515625</v>
      </c>
      <c r="D4980">
        <v>624.030029296875</v>
      </c>
      <c r="E4980">
        <v>617.8699951171875</v>
      </c>
      <c r="F4980">
        <v>620.6799926757812</v>
      </c>
      <c r="G4980">
        <v>612.357421875</v>
      </c>
      <c r="H4980">
        <v>74814500</v>
      </c>
      <c r="I4980" t="s">
        <v>3703</v>
      </c>
      <c r="J4980" t="s">
        <v>3704</v>
      </c>
      <c r="K4980" t="s">
        <v>7557</v>
      </c>
    </row>
    <row r="4981" spans="1:11" ht="20" customHeight="1">
      <c r="A4981" t="s">
        <v>7556</v>
      </c>
      <c r="B4981" t="s">
        <v>3705</v>
      </c>
      <c r="C4981">
        <v>621.3499755859375</v>
      </c>
      <c r="D4981">
        <v>622.1099853515625</v>
      </c>
      <c r="E4981">
        <v>619.52001953125</v>
      </c>
      <c r="F4981">
        <v>620.3400268554688</v>
      </c>
      <c r="G4981">
        <v>612.0220336914062</v>
      </c>
      <c r="H4981">
        <v>59024600</v>
      </c>
      <c r="I4981" t="s">
        <v>3706</v>
      </c>
      <c r="J4981" t="s">
        <v>3707</v>
      </c>
      <c r="K4981" t="s">
        <v>7557</v>
      </c>
    </row>
    <row r="4982" spans="1:11" ht="20" customHeight="1">
      <c r="A4982" t="s">
        <v>7556</v>
      </c>
      <c r="B4982" t="s">
        <v>3708</v>
      </c>
      <c r="C4982">
        <v>622.77001953125</v>
      </c>
      <c r="D4982">
        <v>624.719970703125</v>
      </c>
      <c r="E4982">
        <v>620.9099731445312</v>
      </c>
      <c r="F4982">
        <v>624.0599975585938</v>
      </c>
      <c r="G4982">
        <v>615.6920776367188</v>
      </c>
      <c r="H4982">
        <v>66113300</v>
      </c>
      <c r="I4982" t="s">
        <v>3709</v>
      </c>
      <c r="J4982" t="s">
        <v>3710</v>
      </c>
      <c r="K4982" t="s">
        <v>7557</v>
      </c>
    </row>
    <row r="4983" spans="1:11" ht="20" customHeight="1">
      <c r="A4983" t="s">
        <v>7556</v>
      </c>
      <c r="B4983" t="s">
        <v>3711</v>
      </c>
      <c r="C4983">
        <v>624.2000122070312</v>
      </c>
      <c r="D4983">
        <v>626.8699951171875</v>
      </c>
      <c r="E4983">
        <v>623.010009765625</v>
      </c>
      <c r="F4983">
        <v>625.8200073242188</v>
      </c>
      <c r="G4983">
        <v>617.4285278320312</v>
      </c>
      <c r="H4983">
        <v>57529000</v>
      </c>
      <c r="I4983" t="s">
        <v>3712</v>
      </c>
      <c r="J4983" t="s">
        <v>3713</v>
      </c>
      <c r="K4983" t="s">
        <v>7557</v>
      </c>
    </row>
    <row r="4984" spans="1:11" ht="20" customHeight="1">
      <c r="A4984" t="s">
        <v>7556</v>
      </c>
      <c r="B4984" t="s">
        <v>3714</v>
      </c>
      <c r="C4984">
        <v>622.739990234375</v>
      </c>
      <c r="D4984">
        <v>624.8599853515625</v>
      </c>
      <c r="E4984">
        <v>621.530029296875</v>
      </c>
      <c r="F4984">
        <v>623.6199951171875</v>
      </c>
      <c r="G4984">
        <v>615.258056640625</v>
      </c>
      <c r="H4984">
        <v>63670200</v>
      </c>
      <c r="I4984" t="s">
        <v>3715</v>
      </c>
      <c r="J4984" t="s">
        <v>3716</v>
      </c>
      <c r="K4984" t="s">
        <v>7557</v>
      </c>
    </row>
    <row r="4985" spans="1:11" ht="20" customHeight="1">
      <c r="A4985" t="s">
        <v>7556</v>
      </c>
      <c r="B4985" t="s">
        <v>3717</v>
      </c>
      <c r="C4985">
        <v>623.1599731445312</v>
      </c>
      <c r="D4985">
        <v>625.1599731445312</v>
      </c>
      <c r="E4985">
        <v>621.7999877929688</v>
      </c>
      <c r="F4985">
        <v>624.8099975585938</v>
      </c>
      <c r="G4985">
        <v>616.4320678710938</v>
      </c>
      <c r="H4985">
        <v>51898500</v>
      </c>
      <c r="I4985" t="s">
        <v>3718</v>
      </c>
      <c r="J4985" t="s">
        <v>3719</v>
      </c>
      <c r="K4985" t="s">
        <v>7557</v>
      </c>
    </row>
    <row r="4986" spans="1:11" ht="20" customHeight="1">
      <c r="A4986" t="s">
        <v>7556</v>
      </c>
      <c r="B4986" t="s">
        <v>3720</v>
      </c>
      <c r="C4986">
        <v>627.52001953125</v>
      </c>
      <c r="D4986">
        <v>627.8599853515625</v>
      </c>
      <c r="E4986">
        <v>622.0599975585938</v>
      </c>
      <c r="F4986">
        <v>622.1400146484375</v>
      </c>
      <c r="G4986">
        <v>613.7978515625</v>
      </c>
      <c r="H4986">
        <v>74317300</v>
      </c>
      <c r="I4986" t="s">
        <v>3721</v>
      </c>
      <c r="J4986" t="s">
        <v>3722</v>
      </c>
      <c r="K4986" t="s">
        <v>7557</v>
      </c>
    </row>
    <row r="4987" spans="1:11" ht="20" customHeight="1">
      <c r="A4987" t="s">
        <v>7556</v>
      </c>
      <c r="B4987" t="s">
        <v>3723</v>
      </c>
      <c r="C4987">
        <v>623.739990234375</v>
      </c>
      <c r="D4987">
        <v>624.72998046875</v>
      </c>
      <c r="E4987">
        <v>618.0499877929688</v>
      </c>
      <c r="F4987">
        <v>624.219970703125</v>
      </c>
      <c r="G4987">
        <v>615.8499755859375</v>
      </c>
      <c r="H4987">
        <v>88987500</v>
      </c>
      <c r="I4987" t="s">
        <v>3724</v>
      </c>
      <c r="J4987" t="s">
        <v>3725</v>
      </c>
      <c r="K4987" t="s">
        <v>7557</v>
      </c>
    </row>
    <row r="4988" spans="1:11" ht="20" customHeight="1">
      <c r="A4988" t="s">
        <v>7556</v>
      </c>
      <c r="B4988" t="s">
        <v>3726</v>
      </c>
      <c r="C4988">
        <v>624.4000244140625</v>
      </c>
      <c r="D4988">
        <v>628.4000244140625</v>
      </c>
      <c r="E4988">
        <v>624.1799926757812</v>
      </c>
      <c r="F4988">
        <v>628.0399780273438</v>
      </c>
      <c r="G4988">
        <v>619.6187133789062</v>
      </c>
      <c r="H4988">
        <v>68885700</v>
      </c>
      <c r="I4988" t="s">
        <v>3727</v>
      </c>
      <c r="J4988" t="s">
        <v>3728</v>
      </c>
      <c r="K4988" t="s">
        <v>7557</v>
      </c>
    </row>
    <row r="4989" spans="1:11" ht="20" customHeight="1">
      <c r="A4989" t="s">
        <v>7556</v>
      </c>
      <c r="B4989" t="s">
        <v>3729</v>
      </c>
      <c r="C4989">
        <v>629.2999877929688</v>
      </c>
      <c r="D4989">
        <v>629.469970703125</v>
      </c>
      <c r="E4989">
        <v>626.4600219726562</v>
      </c>
      <c r="F4989">
        <v>627.5800170898438</v>
      </c>
      <c r="G4989">
        <v>619.1649780273438</v>
      </c>
      <c r="H4989">
        <v>65621600</v>
      </c>
      <c r="I4989" t="s">
        <v>3730</v>
      </c>
      <c r="J4989" t="s">
        <v>3731</v>
      </c>
      <c r="K4989" t="s">
        <v>7557</v>
      </c>
    </row>
    <row r="4990" spans="1:11" ht="20" customHeight="1">
      <c r="A4990" t="s">
        <v>7556</v>
      </c>
      <c r="B4990" t="s">
        <v>3732</v>
      </c>
      <c r="C4990">
        <v>628.77001953125</v>
      </c>
      <c r="D4990">
        <v>631.5399780273438</v>
      </c>
      <c r="E4990">
        <v>628.3400268554688</v>
      </c>
      <c r="F4990">
        <v>628.77001953125</v>
      </c>
      <c r="G4990">
        <v>620.3389892578125</v>
      </c>
      <c r="H4990">
        <v>63375000</v>
      </c>
      <c r="I4990" t="s">
        <v>3733</v>
      </c>
      <c r="J4990" t="s">
        <v>3734</v>
      </c>
      <c r="K4990" t="s">
        <v>7557</v>
      </c>
    </row>
    <row r="4991" spans="1:11" ht="20" customHeight="1">
      <c r="A4991" t="s">
        <v>7556</v>
      </c>
      <c r="B4991" t="s">
        <v>3735</v>
      </c>
      <c r="C4991">
        <v>629.0999755859375</v>
      </c>
      <c r="D4991">
        <v>629.72998046875</v>
      </c>
      <c r="E4991">
        <v>626.1900024414062</v>
      </c>
      <c r="F4991">
        <v>628.8599853515625</v>
      </c>
      <c r="G4991">
        <v>620.4276733398438</v>
      </c>
      <c r="H4991">
        <v>60046300</v>
      </c>
      <c r="I4991" t="s">
        <v>3736</v>
      </c>
      <c r="J4991" t="s">
        <v>3737</v>
      </c>
      <c r="K4991" t="s">
        <v>7557</v>
      </c>
    </row>
    <row r="4992" spans="1:11" ht="20" customHeight="1">
      <c r="A4992" t="s">
        <v>7556</v>
      </c>
      <c r="B4992" t="s">
        <v>3738</v>
      </c>
      <c r="C4992">
        <v>631.5499877929688</v>
      </c>
      <c r="D4992">
        <v>634.2100219726562</v>
      </c>
      <c r="E4992">
        <v>629.72998046875</v>
      </c>
      <c r="F4992">
        <v>634.2100219726562</v>
      </c>
      <c r="G4992">
        <v>625.7061157226562</v>
      </c>
      <c r="H4992">
        <v>70511000</v>
      </c>
      <c r="I4992" t="s">
        <v>3739</v>
      </c>
      <c r="J4992" t="s">
        <v>3740</v>
      </c>
      <c r="K4992" t="s">
        <v>7557</v>
      </c>
    </row>
    <row r="4993" spans="1:11" ht="20" customHeight="1">
      <c r="A4993" t="s">
        <v>7556</v>
      </c>
      <c r="B4993" t="s">
        <v>3741</v>
      </c>
      <c r="C4993">
        <v>634.5999755859375</v>
      </c>
      <c r="D4993">
        <v>636.1500244140625</v>
      </c>
      <c r="E4993">
        <v>633.989990234375</v>
      </c>
      <c r="F4993">
        <v>634.4199829101562</v>
      </c>
      <c r="G4993">
        <v>625.9132080078125</v>
      </c>
      <c r="H4993">
        <v>71307100</v>
      </c>
      <c r="I4993" t="s">
        <v>3742</v>
      </c>
      <c r="J4993" t="s">
        <v>3743</v>
      </c>
      <c r="K4993" t="s">
        <v>7557</v>
      </c>
    </row>
    <row r="4994" spans="1:11" ht="20" customHeight="1">
      <c r="A4994" t="s">
        <v>7556</v>
      </c>
      <c r="B4994" t="s">
        <v>3744</v>
      </c>
      <c r="C4994">
        <v>635.0900268554688</v>
      </c>
      <c r="D4994">
        <v>637.5800170898438</v>
      </c>
      <c r="E4994">
        <v>634.8400268554688</v>
      </c>
      <c r="F4994">
        <v>637.0999755859375</v>
      </c>
      <c r="G4994">
        <v>628.5572509765625</v>
      </c>
      <c r="H4994">
        <v>56865400</v>
      </c>
      <c r="I4994" t="s">
        <v>3745</v>
      </c>
      <c r="J4994" t="s">
        <v>3746</v>
      </c>
      <c r="K4994" t="s">
        <v>7557</v>
      </c>
    </row>
    <row r="4995" spans="1:11" ht="20" customHeight="1">
      <c r="A4995" t="s">
        <v>7556</v>
      </c>
      <c r="B4995" t="s">
        <v>3747</v>
      </c>
      <c r="C4995">
        <v>637.47998046875</v>
      </c>
      <c r="D4995">
        <v>638.0399780273438</v>
      </c>
      <c r="E4995">
        <v>635.5399780273438</v>
      </c>
      <c r="F4995">
        <v>636.9400024414062</v>
      </c>
      <c r="G4995">
        <v>628.3994140625</v>
      </c>
      <c r="H4995">
        <v>54917100</v>
      </c>
      <c r="I4995" t="s">
        <v>3748</v>
      </c>
      <c r="J4995" t="s">
        <v>3749</v>
      </c>
      <c r="K4995" t="s">
        <v>7557</v>
      </c>
    </row>
    <row r="4996" spans="1:11" ht="20" customHeight="1">
      <c r="A4996" t="s">
        <v>7556</v>
      </c>
      <c r="B4996" t="s">
        <v>3750</v>
      </c>
      <c r="C4996">
        <v>638.3499755859375</v>
      </c>
      <c r="D4996">
        <v>638.6699829101562</v>
      </c>
      <c r="E4996">
        <v>634.3400268554688</v>
      </c>
      <c r="F4996">
        <v>635.260009765625</v>
      </c>
      <c r="G4996">
        <v>626.741943359375</v>
      </c>
      <c r="H4996">
        <v>60556300</v>
      </c>
      <c r="I4996" t="s">
        <v>3751</v>
      </c>
      <c r="J4996" t="s">
        <v>3752</v>
      </c>
      <c r="K4996" t="s">
        <v>7557</v>
      </c>
    </row>
    <row r="4997" spans="1:11" ht="20" customHeight="1">
      <c r="A4997" t="s">
        <v>7556</v>
      </c>
      <c r="B4997" t="s">
        <v>3753</v>
      </c>
      <c r="C4997">
        <v>635.9199829101562</v>
      </c>
      <c r="D4997">
        <v>637.6799926757812</v>
      </c>
      <c r="E4997">
        <v>631.5399780273438</v>
      </c>
      <c r="F4997">
        <v>634.4600219726562</v>
      </c>
      <c r="G4997">
        <v>625.9526977539062</v>
      </c>
      <c r="H4997">
        <v>80418900</v>
      </c>
      <c r="I4997" t="s">
        <v>3754</v>
      </c>
      <c r="J4997" t="s">
        <v>3755</v>
      </c>
      <c r="K4997" t="s">
        <v>7557</v>
      </c>
    </row>
    <row r="4998" spans="1:11" ht="20" customHeight="1">
      <c r="A4998" t="s">
        <v>7556</v>
      </c>
      <c r="B4998" t="s">
        <v>3756</v>
      </c>
      <c r="C4998">
        <v>639.4600219726562</v>
      </c>
      <c r="D4998">
        <v>639.8499755859375</v>
      </c>
      <c r="E4998">
        <v>630.77001953125</v>
      </c>
      <c r="F4998">
        <v>632.0800170898438</v>
      </c>
      <c r="G4998">
        <v>623.6045532226562</v>
      </c>
      <c r="H4998">
        <v>103385200</v>
      </c>
      <c r="I4998" t="s">
        <v>3757</v>
      </c>
      <c r="J4998" t="s">
        <v>3758</v>
      </c>
      <c r="K4998" t="s">
        <v>7557</v>
      </c>
    </row>
    <row r="4999" spans="1:11" ht="20" customHeight="1">
      <c r="A4999" t="s">
        <v>7556</v>
      </c>
      <c r="B4999" t="s">
        <v>3759</v>
      </c>
      <c r="C4999">
        <v>626.2999877929688</v>
      </c>
      <c r="D4999">
        <v>626.3400268554688</v>
      </c>
      <c r="E4999">
        <v>619.2899780273438</v>
      </c>
      <c r="F4999">
        <v>621.719970703125</v>
      </c>
      <c r="G4999">
        <v>613.3834838867188</v>
      </c>
      <c r="H4999">
        <v>140103600</v>
      </c>
      <c r="I4999" t="s">
        <v>3760</v>
      </c>
      <c r="J4999" t="s">
        <v>3761</v>
      </c>
      <c r="K4999" t="s">
        <v>7557</v>
      </c>
    </row>
    <row r="5000" spans="1:11" ht="20" customHeight="1">
      <c r="A5000" t="s">
        <v>7556</v>
      </c>
      <c r="B5000" t="s">
        <v>3762</v>
      </c>
      <c r="C5000">
        <v>625.6699829101562</v>
      </c>
      <c r="D5000">
        <v>631.219970703125</v>
      </c>
      <c r="E5000">
        <v>625.5800170898438</v>
      </c>
      <c r="F5000">
        <v>631.1699829101562</v>
      </c>
      <c r="G5000">
        <v>622.7067260742188</v>
      </c>
      <c r="H5000">
        <v>73218000</v>
      </c>
      <c r="I5000" t="s">
        <v>3763</v>
      </c>
      <c r="J5000" t="s">
        <v>3764</v>
      </c>
      <c r="K5000" t="s">
        <v>7557</v>
      </c>
    </row>
    <row r="5001" spans="1:11" ht="20" customHeight="1">
      <c r="A5001" t="s">
        <v>7556</v>
      </c>
      <c r="B5001" t="s">
        <v>3765</v>
      </c>
      <c r="C5001">
        <v>631.7899780273438</v>
      </c>
      <c r="D5001">
        <v>632.6099853515625</v>
      </c>
      <c r="E5001">
        <v>627.0399780273438</v>
      </c>
      <c r="F5001">
        <v>627.969970703125</v>
      </c>
      <c r="G5001">
        <v>619.5496215820312</v>
      </c>
      <c r="H5001">
        <v>68051400</v>
      </c>
      <c r="I5001" t="s">
        <v>3766</v>
      </c>
      <c r="J5001" t="s">
        <v>3767</v>
      </c>
      <c r="K5001" t="s">
        <v>7557</v>
      </c>
    </row>
    <row r="5002" spans="1:11" ht="20" customHeight="1">
      <c r="A5002" t="s">
        <v>7556</v>
      </c>
      <c r="B5002" t="s">
        <v>3768</v>
      </c>
      <c r="C5002">
        <v>629.0499877929688</v>
      </c>
      <c r="D5002">
        <v>633.4400024414062</v>
      </c>
      <c r="E5002">
        <v>628.1300048828125</v>
      </c>
      <c r="F5002">
        <v>632.780029296875</v>
      </c>
      <c r="G5002">
        <v>624.2952270507812</v>
      </c>
      <c r="H5002">
        <v>64357500</v>
      </c>
      <c r="I5002" t="s">
        <v>3769</v>
      </c>
      <c r="J5002" t="s">
        <v>3770</v>
      </c>
      <c r="K5002" t="s">
        <v>7557</v>
      </c>
    </row>
    <row r="5003" spans="1:11" ht="20" customHeight="1">
      <c r="A5003" t="s">
        <v>7556</v>
      </c>
      <c r="B5003" t="s">
        <v>3771</v>
      </c>
      <c r="C5003">
        <v>636.239990234375</v>
      </c>
      <c r="D5003">
        <v>636.97998046875</v>
      </c>
      <c r="E5003">
        <v>629.1099853515625</v>
      </c>
      <c r="F5003">
        <v>632.25</v>
      </c>
      <c r="G5003">
        <v>623.7723388671875</v>
      </c>
      <c r="H5003">
        <v>74205800</v>
      </c>
      <c r="I5003" t="s">
        <v>3772</v>
      </c>
      <c r="J5003" t="s">
        <v>3773</v>
      </c>
      <c r="K5003" t="s">
        <v>7557</v>
      </c>
    </row>
    <row r="5004" spans="1:11" ht="20" customHeight="1">
      <c r="A5004" t="s">
        <v>7556</v>
      </c>
      <c r="B5004" t="s">
        <v>3774</v>
      </c>
      <c r="C5004">
        <v>634.0599975585938</v>
      </c>
      <c r="D5004">
        <v>637.6500244140625</v>
      </c>
      <c r="E5004">
        <v>633.739990234375</v>
      </c>
      <c r="F5004">
        <v>637.1799926757812</v>
      </c>
      <c r="G5004">
        <v>628.63623046875</v>
      </c>
      <c r="H5004">
        <v>64051600</v>
      </c>
      <c r="I5004" t="s">
        <v>3775</v>
      </c>
      <c r="J5004" t="s">
        <v>3776</v>
      </c>
      <c r="K5004" t="s">
        <v>7557</v>
      </c>
    </row>
    <row r="5005" spans="1:11" ht="20" customHeight="1">
      <c r="A5005" t="s">
        <v>7556</v>
      </c>
      <c r="B5005" t="s">
        <v>3777</v>
      </c>
      <c r="C5005">
        <v>637.4600219726562</v>
      </c>
      <c r="D5005">
        <v>638.9500122070312</v>
      </c>
      <c r="E5005">
        <v>634.6599731445312</v>
      </c>
      <c r="F5005">
        <v>635.9199829101562</v>
      </c>
      <c r="G5005">
        <v>627.3930053710938</v>
      </c>
      <c r="H5005">
        <v>58742300</v>
      </c>
      <c r="I5005" t="s">
        <v>3778</v>
      </c>
      <c r="J5005" t="s">
        <v>3779</v>
      </c>
      <c r="K5005" t="s">
        <v>7557</v>
      </c>
    </row>
    <row r="5006" spans="1:11" ht="20" customHeight="1">
      <c r="A5006" t="s">
        <v>7556</v>
      </c>
      <c r="B5006" t="s">
        <v>3780</v>
      </c>
      <c r="C5006">
        <v>638.2899780273438</v>
      </c>
      <c r="D5006">
        <v>642.8499755859375</v>
      </c>
      <c r="E5006">
        <v>636.7899780273438</v>
      </c>
      <c r="F5006">
        <v>642.6900024414062</v>
      </c>
      <c r="G5006">
        <v>634.072265625</v>
      </c>
      <c r="H5006">
        <v>64730800</v>
      </c>
      <c r="I5006" t="s">
        <v>3781</v>
      </c>
      <c r="J5006" t="s">
        <v>3782</v>
      </c>
      <c r="K5006" t="s">
        <v>7557</v>
      </c>
    </row>
    <row r="5007" spans="1:11" ht="20" customHeight="1">
      <c r="A5007" t="s">
        <v>7556</v>
      </c>
      <c r="B5007" t="s">
        <v>3783</v>
      </c>
      <c r="C5007">
        <v>644.9099731445312</v>
      </c>
      <c r="D5007">
        <v>646.1900024414062</v>
      </c>
      <c r="E5007">
        <v>642.6799926757812</v>
      </c>
      <c r="F5007">
        <v>644.8900146484375</v>
      </c>
      <c r="G5007">
        <v>636.2428588867188</v>
      </c>
      <c r="H5007">
        <v>60092800</v>
      </c>
      <c r="I5007" t="s">
        <v>3784</v>
      </c>
      <c r="J5007" t="s">
        <v>3785</v>
      </c>
      <c r="K5007" t="s">
        <v>7557</v>
      </c>
    </row>
    <row r="5008" spans="1:11" ht="20" customHeight="1">
      <c r="A5008" t="s">
        <v>7556</v>
      </c>
      <c r="B5008" t="s">
        <v>3786</v>
      </c>
      <c r="C5008">
        <v>642.7899780273438</v>
      </c>
      <c r="D5008">
        <v>645.6199951171875</v>
      </c>
      <c r="E5008">
        <v>642.3400268554688</v>
      </c>
      <c r="F5008">
        <v>644.9500122070312</v>
      </c>
      <c r="G5008">
        <v>636.3020629882812</v>
      </c>
      <c r="H5008">
        <v>59327500</v>
      </c>
      <c r="I5008" t="s">
        <v>3787</v>
      </c>
      <c r="J5008" t="s">
        <v>3788</v>
      </c>
      <c r="K5008" t="s">
        <v>7557</v>
      </c>
    </row>
    <row r="5009" spans="1:11" ht="20" customHeight="1">
      <c r="A5009" t="s">
        <v>7556</v>
      </c>
      <c r="B5009" t="s">
        <v>3789</v>
      </c>
      <c r="C5009">
        <v>645.989990234375</v>
      </c>
      <c r="D5009">
        <v>646.0900268554688</v>
      </c>
      <c r="E5009">
        <v>642.52001953125</v>
      </c>
      <c r="F5009">
        <v>643.4400024414062</v>
      </c>
      <c r="G5009">
        <v>634.812255859375</v>
      </c>
      <c r="H5009">
        <v>68592500</v>
      </c>
      <c r="I5009" t="s">
        <v>3790</v>
      </c>
      <c r="J5009" t="s">
        <v>3791</v>
      </c>
      <c r="K5009" t="s">
        <v>7557</v>
      </c>
    </row>
    <row r="5010" spans="1:11" ht="20" customHeight="1">
      <c r="A5010" t="s">
        <v>7556</v>
      </c>
      <c r="B5010" t="s">
        <v>3792</v>
      </c>
      <c r="C5010">
        <v>642.8599853515625</v>
      </c>
      <c r="D5010">
        <v>644</v>
      </c>
      <c r="E5010">
        <v>642.1799926757812</v>
      </c>
      <c r="F5010">
        <v>643.2999877929688</v>
      </c>
      <c r="G5010">
        <v>634.6741333007812</v>
      </c>
      <c r="H5010">
        <v>43804900</v>
      </c>
      <c r="I5010" t="s">
        <v>3793</v>
      </c>
      <c r="J5010" t="s">
        <v>3794</v>
      </c>
      <c r="K5010" t="s">
        <v>7557</v>
      </c>
    </row>
    <row r="5011" spans="1:11" ht="20" customHeight="1">
      <c r="A5011" t="s">
        <v>7556</v>
      </c>
      <c r="B5011" t="s">
        <v>3795</v>
      </c>
      <c r="C5011">
        <v>643.1199951171875</v>
      </c>
      <c r="D5011">
        <v>644.1099853515625</v>
      </c>
      <c r="E5011">
        <v>638.47998046875</v>
      </c>
      <c r="F5011">
        <v>639.8099975585938</v>
      </c>
      <c r="G5011">
        <v>631.2308959960938</v>
      </c>
      <c r="H5011">
        <v>69750700</v>
      </c>
      <c r="I5011" t="s">
        <v>3796</v>
      </c>
      <c r="J5011" t="s">
        <v>3797</v>
      </c>
      <c r="K5011" t="s">
        <v>7557</v>
      </c>
    </row>
    <row r="5012" spans="1:11" ht="20" customHeight="1">
      <c r="A5012" t="s">
        <v>7556</v>
      </c>
      <c r="B5012" t="s">
        <v>3798</v>
      </c>
      <c r="C5012">
        <v>639.4000244140625</v>
      </c>
      <c r="D5012">
        <v>639.6599731445312</v>
      </c>
      <c r="E5012">
        <v>632.9500122070312</v>
      </c>
      <c r="F5012">
        <v>638.1099853515625</v>
      </c>
      <c r="G5012">
        <v>629.5537719726562</v>
      </c>
      <c r="H5012">
        <v>88890300</v>
      </c>
      <c r="I5012" t="s">
        <v>3799</v>
      </c>
      <c r="J5012" t="s">
        <v>3800</v>
      </c>
      <c r="K5012" t="s">
        <v>7557</v>
      </c>
    </row>
    <row r="5013" spans="1:11" ht="20" customHeight="1">
      <c r="A5013" t="s">
        <v>7556</v>
      </c>
      <c r="B5013" t="s">
        <v>3801</v>
      </c>
      <c r="C5013">
        <v>636.280029296875</v>
      </c>
      <c r="D5013">
        <v>637.969970703125</v>
      </c>
      <c r="E5013">
        <v>633.8099975585938</v>
      </c>
      <c r="F5013">
        <v>635.5499877929688</v>
      </c>
      <c r="G5013">
        <v>627.028076171875</v>
      </c>
      <c r="H5013">
        <v>54805800</v>
      </c>
      <c r="I5013" t="s">
        <v>3802</v>
      </c>
      <c r="J5013" t="s">
        <v>3803</v>
      </c>
      <c r="K5013" t="s">
        <v>7557</v>
      </c>
    </row>
    <row r="5014" spans="1:11" ht="20" customHeight="1">
      <c r="A5014" t="s">
        <v>7556</v>
      </c>
      <c r="B5014" t="s">
        <v>3804</v>
      </c>
      <c r="C5014">
        <v>637.760009765625</v>
      </c>
      <c r="D5014">
        <v>646.5</v>
      </c>
      <c r="E5014">
        <v>637.25</v>
      </c>
      <c r="F5014">
        <v>645.3099975585938</v>
      </c>
      <c r="G5014">
        <v>636.6571044921875</v>
      </c>
      <c r="H5014">
        <v>84083200</v>
      </c>
      <c r="I5014" t="s">
        <v>3805</v>
      </c>
      <c r="J5014" t="s">
        <v>3806</v>
      </c>
      <c r="K5014" t="s">
        <v>7557</v>
      </c>
    </row>
    <row r="5015" spans="1:11" ht="20" customHeight="1">
      <c r="A5015" t="s">
        <v>7556</v>
      </c>
      <c r="B5015" t="s">
        <v>3807</v>
      </c>
      <c r="C5015">
        <v>644.0399780273438</v>
      </c>
      <c r="D5015">
        <v>645.2899780273438</v>
      </c>
      <c r="E5015">
        <v>642.3499755859375</v>
      </c>
      <c r="F5015">
        <v>642.469970703125</v>
      </c>
      <c r="G5015">
        <v>633.855224609375</v>
      </c>
      <c r="H5015">
        <v>51274300</v>
      </c>
      <c r="I5015" t="s">
        <v>3808</v>
      </c>
      <c r="J5015" t="s">
        <v>3809</v>
      </c>
      <c r="K5015" t="s">
        <v>7557</v>
      </c>
    </row>
    <row r="5016" spans="1:11" ht="20" customHeight="1">
      <c r="A5016" t="s">
        <v>7556</v>
      </c>
      <c r="B5016" t="s">
        <v>3810</v>
      </c>
      <c r="C5016">
        <v>642.2000122070312</v>
      </c>
      <c r="D5016">
        <v>645.510009765625</v>
      </c>
      <c r="E5016">
        <v>641.5700073242188</v>
      </c>
      <c r="F5016">
        <v>645.1599731445312</v>
      </c>
      <c r="G5016">
        <v>636.5092163085938</v>
      </c>
      <c r="H5016">
        <v>51581600</v>
      </c>
      <c r="I5016" t="s">
        <v>3811</v>
      </c>
      <c r="J5016" t="s">
        <v>3812</v>
      </c>
      <c r="K5016" t="s">
        <v>7557</v>
      </c>
    </row>
    <row r="5017" spans="1:11" ht="20" customHeight="1">
      <c r="A5017" t="s">
        <v>7556</v>
      </c>
      <c r="B5017" t="s">
        <v>3813</v>
      </c>
      <c r="C5017">
        <v>644.5700073242188</v>
      </c>
      <c r="D5017">
        <v>647.3699951171875</v>
      </c>
      <c r="E5017">
        <v>644.4199829101562</v>
      </c>
      <c r="F5017">
        <v>646.6300048828125</v>
      </c>
      <c r="G5017">
        <v>637.95947265625</v>
      </c>
      <c r="H5017">
        <v>48341100</v>
      </c>
      <c r="I5017" t="s">
        <v>3814</v>
      </c>
      <c r="J5017" t="s">
        <v>3815</v>
      </c>
      <c r="K5017" t="s">
        <v>7557</v>
      </c>
    </row>
    <row r="5018" spans="1:11" ht="20" customHeight="1">
      <c r="A5018" t="s">
        <v>7556</v>
      </c>
      <c r="B5018" t="s">
        <v>3816</v>
      </c>
      <c r="C5018">
        <v>647.239990234375</v>
      </c>
      <c r="D5018">
        <v>649.47998046875</v>
      </c>
      <c r="E5018">
        <v>645.3400268554688</v>
      </c>
      <c r="F5018">
        <v>648.9199829101562</v>
      </c>
      <c r="G5018">
        <v>640.2188110351562</v>
      </c>
      <c r="H5018">
        <v>61519500</v>
      </c>
      <c r="I5018" t="s">
        <v>3817</v>
      </c>
      <c r="J5018" t="s">
        <v>3818</v>
      </c>
      <c r="K5018" t="s">
        <v>7557</v>
      </c>
    </row>
    <row r="5019" spans="1:11" ht="20" customHeight="1">
      <c r="A5019" t="s">
        <v>7556</v>
      </c>
      <c r="B5019" t="s">
        <v>3819</v>
      </c>
      <c r="C5019">
        <v>647.469970703125</v>
      </c>
      <c r="D5019">
        <v>647.8400268554688</v>
      </c>
      <c r="E5019">
        <v>643.1400146484375</v>
      </c>
      <c r="F5019">
        <v>645.0499877929688</v>
      </c>
      <c r="G5019">
        <v>636.400634765625</v>
      </c>
      <c r="H5019">
        <v>74522200</v>
      </c>
      <c r="I5019" t="s">
        <v>3820</v>
      </c>
      <c r="J5019" t="s">
        <v>3821</v>
      </c>
      <c r="K5019" t="s">
        <v>7557</v>
      </c>
    </row>
    <row r="5020" spans="1:11" ht="20" customHeight="1">
      <c r="A5020" t="s">
        <v>7556</v>
      </c>
      <c r="B5020" t="s">
        <v>3822</v>
      </c>
      <c r="C5020">
        <v>637.5</v>
      </c>
      <c r="D5020">
        <v>640.489990234375</v>
      </c>
      <c r="E5020">
        <v>634.9199829101562</v>
      </c>
      <c r="F5020">
        <v>640.27001953125</v>
      </c>
      <c r="G5020">
        <v>631.6847534179688</v>
      </c>
      <c r="H5020">
        <v>81983500</v>
      </c>
      <c r="I5020" t="s">
        <v>3823</v>
      </c>
      <c r="J5020" t="s">
        <v>3824</v>
      </c>
      <c r="K5020" t="s">
        <v>7557</v>
      </c>
    </row>
    <row r="5021" spans="1:11" ht="20" customHeight="1">
      <c r="A5021" t="s">
        <v>7556</v>
      </c>
      <c r="B5021" t="s">
        <v>3825</v>
      </c>
      <c r="C5021">
        <v>642.6699829101562</v>
      </c>
      <c r="D5021">
        <v>644.2100219726562</v>
      </c>
      <c r="E5021">
        <v>640.4600219726562</v>
      </c>
      <c r="F5021">
        <v>643.739990234375</v>
      </c>
      <c r="G5021">
        <v>635.1082153320312</v>
      </c>
      <c r="H5021">
        <v>70820900</v>
      </c>
      <c r="I5021" t="s">
        <v>3826</v>
      </c>
      <c r="J5021" t="s">
        <v>3827</v>
      </c>
      <c r="K5021" t="s">
        <v>7557</v>
      </c>
    </row>
    <row r="5022" spans="1:11" ht="20" customHeight="1">
      <c r="A5022" t="s">
        <v>7556</v>
      </c>
      <c r="B5022" t="s">
        <v>3828</v>
      </c>
      <c r="C5022">
        <v>644.4199829101562</v>
      </c>
      <c r="D5022">
        <v>649.1500244140625</v>
      </c>
      <c r="E5022">
        <v>643.510009765625</v>
      </c>
      <c r="F5022">
        <v>649.1199951171875</v>
      </c>
      <c r="G5022">
        <v>640.4161376953125</v>
      </c>
      <c r="H5022">
        <v>65219200</v>
      </c>
      <c r="I5022" t="s">
        <v>3829</v>
      </c>
      <c r="J5022" t="s">
        <v>3830</v>
      </c>
      <c r="K5022" t="s">
        <v>7557</v>
      </c>
    </row>
    <row r="5023" spans="1:11" ht="20" customHeight="1">
      <c r="A5023" t="s">
        <v>7556</v>
      </c>
      <c r="B5023" t="s">
        <v>3831</v>
      </c>
      <c r="C5023">
        <v>651.47998046875</v>
      </c>
      <c r="D5023">
        <v>652.2100219726562</v>
      </c>
      <c r="E5023">
        <v>643.3300170898438</v>
      </c>
      <c r="F5023">
        <v>647.239990234375</v>
      </c>
      <c r="G5023">
        <v>638.5612182617188</v>
      </c>
      <c r="H5023">
        <v>85178900</v>
      </c>
      <c r="I5023" t="s">
        <v>3832</v>
      </c>
      <c r="J5023" t="s">
        <v>3833</v>
      </c>
      <c r="K5023" t="s">
        <v>7557</v>
      </c>
    </row>
    <row r="5024" spans="1:11" ht="20" customHeight="1">
      <c r="A5024" t="s">
        <v>7556</v>
      </c>
      <c r="B5024" t="s">
        <v>3834</v>
      </c>
      <c r="C5024">
        <v>648.6199951171875</v>
      </c>
      <c r="D5024">
        <v>649.8400268554688</v>
      </c>
      <c r="E5024">
        <v>647.22998046875</v>
      </c>
      <c r="F5024">
        <v>648.8300170898438</v>
      </c>
      <c r="G5024">
        <v>640.1300048828125</v>
      </c>
      <c r="H5024">
        <v>63133100</v>
      </c>
      <c r="I5024" t="s">
        <v>3835</v>
      </c>
      <c r="J5024" t="s">
        <v>3836</v>
      </c>
      <c r="K5024" t="s">
        <v>7557</v>
      </c>
    </row>
    <row r="5025" spans="1:11" ht="20" customHeight="1">
      <c r="A5025" t="s">
        <v>7556</v>
      </c>
      <c r="B5025" t="s">
        <v>3837</v>
      </c>
      <c r="C5025">
        <v>648.969970703125</v>
      </c>
      <c r="D5025">
        <v>650.8599853515625</v>
      </c>
      <c r="E5025">
        <v>647.219970703125</v>
      </c>
      <c r="F5025">
        <v>650.3300170898438</v>
      </c>
      <c r="G5025">
        <v>641.60986328125</v>
      </c>
      <c r="H5025">
        <v>66133900</v>
      </c>
      <c r="I5025" t="s">
        <v>3838</v>
      </c>
      <c r="J5025" t="s">
        <v>3839</v>
      </c>
      <c r="K5025" t="s">
        <v>7557</v>
      </c>
    </row>
    <row r="5026" spans="1:11" ht="20" customHeight="1">
      <c r="A5026" t="s">
        <v>7556</v>
      </c>
      <c r="B5026" t="s">
        <v>3840</v>
      </c>
      <c r="C5026">
        <v>653.6199951171875</v>
      </c>
      <c r="D5026">
        <v>654.5499877929688</v>
      </c>
      <c r="E5026">
        <v>650.6300048828125</v>
      </c>
      <c r="F5026">
        <v>652.2100219726562</v>
      </c>
      <c r="G5026">
        <v>643.4646606445312</v>
      </c>
      <c r="H5026">
        <v>78034500</v>
      </c>
      <c r="I5026" t="s">
        <v>3841</v>
      </c>
      <c r="J5026" t="s">
        <v>3842</v>
      </c>
      <c r="K5026" t="s">
        <v>7557</v>
      </c>
    </row>
    <row r="5027" spans="1:11" ht="20" customHeight="1">
      <c r="A5027" t="s">
        <v>7556</v>
      </c>
      <c r="B5027" t="s">
        <v>3843</v>
      </c>
      <c r="C5027">
        <v>654.1799926757812</v>
      </c>
      <c r="D5027">
        <v>658.3300170898438</v>
      </c>
      <c r="E5027">
        <v>653.5900268554688</v>
      </c>
      <c r="F5027">
        <v>657.6300048828125</v>
      </c>
      <c r="G5027">
        <v>648.8119506835938</v>
      </c>
      <c r="H5027">
        <v>69934400</v>
      </c>
      <c r="I5027" t="s">
        <v>3844</v>
      </c>
      <c r="J5027" t="s">
        <v>3845</v>
      </c>
      <c r="K5027" t="s">
        <v>7557</v>
      </c>
    </row>
    <row r="5028" spans="1:11" ht="20" customHeight="1">
      <c r="A5028" t="s">
        <v>7556</v>
      </c>
      <c r="B5028" t="s">
        <v>3846</v>
      </c>
      <c r="C5028">
        <v>657.5999755859375</v>
      </c>
      <c r="D5028">
        <v>659.1099853515625</v>
      </c>
      <c r="E5028">
        <v>656.9000244140625</v>
      </c>
      <c r="F5028">
        <v>657.4099731445312</v>
      </c>
      <c r="G5028">
        <v>648.5948486328125</v>
      </c>
      <c r="H5028">
        <v>72780100</v>
      </c>
      <c r="I5028" t="s">
        <v>3847</v>
      </c>
      <c r="J5028" t="s">
        <v>3848</v>
      </c>
      <c r="K5028" t="s">
        <v>7557</v>
      </c>
    </row>
    <row r="5029" spans="1:11" ht="20" customHeight="1">
      <c r="A5029" t="s">
        <v>7556</v>
      </c>
      <c r="B5029" t="s">
        <v>3849</v>
      </c>
      <c r="C5029">
        <v>659.6400146484375</v>
      </c>
      <c r="D5029">
        <v>661.0399780273438</v>
      </c>
      <c r="E5029">
        <v>659.3400268554688</v>
      </c>
      <c r="F5029">
        <v>660.9099731445312</v>
      </c>
      <c r="G5029">
        <v>652.0479736328125</v>
      </c>
      <c r="H5029">
        <v>63772400</v>
      </c>
      <c r="I5029" t="s">
        <v>3850</v>
      </c>
      <c r="J5029" t="s">
        <v>3851</v>
      </c>
      <c r="K5029" t="s">
        <v>7557</v>
      </c>
    </row>
    <row r="5030" spans="1:11" ht="20" customHeight="1">
      <c r="A5030" t="s">
        <v>7556</v>
      </c>
      <c r="B5030" t="s">
        <v>3852</v>
      </c>
      <c r="C5030">
        <v>661.469970703125</v>
      </c>
      <c r="D5030">
        <v>661.780029296875</v>
      </c>
      <c r="E5030">
        <v>659.2100219726562</v>
      </c>
      <c r="F5030">
        <v>660</v>
      </c>
      <c r="G5030">
        <v>651.1502685546875</v>
      </c>
      <c r="H5030">
        <v>61169000</v>
      </c>
      <c r="I5030" t="s">
        <v>3853</v>
      </c>
      <c r="J5030" t="s">
        <v>3854</v>
      </c>
      <c r="K5030" t="s">
        <v>7557</v>
      </c>
    </row>
    <row r="5031" spans="1:11" ht="20" customHeight="1">
      <c r="A5031" t="s">
        <v>7556</v>
      </c>
      <c r="B5031" t="s">
        <v>3855</v>
      </c>
      <c r="C5031">
        <v>660.010009765625</v>
      </c>
      <c r="D5031">
        <v>661.719970703125</v>
      </c>
      <c r="E5031">
        <v>654.2999877929688</v>
      </c>
      <c r="F5031">
        <v>659.1799926757812</v>
      </c>
      <c r="G5031">
        <v>650.3412475585938</v>
      </c>
      <c r="H5031">
        <v>101952200</v>
      </c>
      <c r="I5031" t="s">
        <v>3856</v>
      </c>
      <c r="J5031" t="s">
        <v>3857</v>
      </c>
      <c r="K5031" t="s">
        <v>7557</v>
      </c>
    </row>
    <row r="5032" spans="1:11" ht="20" customHeight="1">
      <c r="A5032" t="s">
        <v>7556</v>
      </c>
      <c r="B5032" t="s">
        <v>3858</v>
      </c>
      <c r="C5032">
        <v>661.8900146484375</v>
      </c>
      <c r="D5032">
        <v>664.8900146484375</v>
      </c>
      <c r="E5032">
        <v>660.27001953125</v>
      </c>
      <c r="F5032">
        <v>662.260009765625</v>
      </c>
      <c r="G5032">
        <v>653.3798828125</v>
      </c>
      <c r="H5032">
        <v>90459200</v>
      </c>
      <c r="I5032" t="s">
        <v>3859</v>
      </c>
      <c r="J5032" t="s">
        <v>3860</v>
      </c>
      <c r="K5032" t="s">
        <v>7557</v>
      </c>
    </row>
    <row r="5033" spans="1:11" ht="20" customHeight="1">
      <c r="A5033" t="s">
        <v>7556</v>
      </c>
      <c r="B5033" t="s">
        <v>3861</v>
      </c>
      <c r="C5033">
        <v>662.3300170898438</v>
      </c>
      <c r="D5033">
        <v>664.5499877929688</v>
      </c>
      <c r="E5033">
        <v>660.3699951171875</v>
      </c>
      <c r="F5033">
        <v>663.7000122070312</v>
      </c>
      <c r="G5033">
        <v>656.6160278320312</v>
      </c>
      <c r="H5033">
        <v>97945600</v>
      </c>
      <c r="I5033" t="s">
        <v>3862</v>
      </c>
      <c r="J5033" t="s">
        <v>3863</v>
      </c>
      <c r="K5033" t="s">
        <v>7557</v>
      </c>
    </row>
    <row r="5034" spans="1:11" ht="20" customHeight="1">
      <c r="A5034" t="s">
        <v>7556</v>
      </c>
      <c r="B5034" t="s">
        <v>3864</v>
      </c>
      <c r="C5034">
        <v>662.2000122070312</v>
      </c>
      <c r="D5034">
        <v>667.2899780273438</v>
      </c>
      <c r="E5034">
        <v>662.1699829101562</v>
      </c>
      <c r="F5034">
        <v>666.8400268554688</v>
      </c>
      <c r="G5034">
        <v>659.7225341796875</v>
      </c>
      <c r="H5034">
        <v>69452200</v>
      </c>
      <c r="I5034" t="s">
        <v>3865</v>
      </c>
      <c r="J5034" t="s">
        <v>3866</v>
      </c>
      <c r="K5034" t="s">
        <v>7557</v>
      </c>
    </row>
    <row r="5035" spans="1:11" ht="20" customHeight="1">
      <c r="A5035" t="s">
        <v>7556</v>
      </c>
      <c r="B5035" t="s">
        <v>3867</v>
      </c>
      <c r="C5035">
        <v>666.719970703125</v>
      </c>
      <c r="D5035">
        <v>667.3400268554688</v>
      </c>
      <c r="E5035">
        <v>661.97998046875</v>
      </c>
      <c r="F5035">
        <v>663.2100219726562</v>
      </c>
      <c r="G5035">
        <v>656.1312866210938</v>
      </c>
      <c r="H5035">
        <v>81708900</v>
      </c>
      <c r="I5035" t="s">
        <v>3868</v>
      </c>
      <c r="J5035" t="s">
        <v>3869</v>
      </c>
      <c r="K5035" t="s">
        <v>7557</v>
      </c>
    </row>
    <row r="5036" spans="1:11" ht="20" customHeight="1">
      <c r="A5036" t="s">
        <v>7556</v>
      </c>
      <c r="B5036" t="s">
        <v>3870</v>
      </c>
      <c r="C5036">
        <v>664.510009765625</v>
      </c>
      <c r="D5036">
        <v>664.6099853515625</v>
      </c>
      <c r="E5036">
        <v>659.6699829101562</v>
      </c>
      <c r="F5036">
        <v>661.0999755859375</v>
      </c>
      <c r="G5036">
        <v>654.043701171875</v>
      </c>
      <c r="H5036">
        <v>68082200</v>
      </c>
      <c r="I5036" t="s">
        <v>3871</v>
      </c>
      <c r="J5036" t="s">
        <v>3872</v>
      </c>
      <c r="K5036" t="s">
        <v>7557</v>
      </c>
    </row>
    <row r="5037" spans="1:11" ht="20" customHeight="1">
      <c r="A5037" t="s">
        <v>7556</v>
      </c>
      <c r="B5037" t="s">
        <v>3873</v>
      </c>
      <c r="C5037">
        <v>657.9400024414062</v>
      </c>
      <c r="D5037">
        <v>659.4099731445312</v>
      </c>
      <c r="E5037">
        <v>654.4099731445312</v>
      </c>
      <c r="F5037">
        <v>658.0499877929688</v>
      </c>
      <c r="G5037">
        <v>651.0263061523438</v>
      </c>
      <c r="H5037">
        <v>89622100</v>
      </c>
      <c r="I5037" t="s">
        <v>3874</v>
      </c>
      <c r="J5037" t="s">
        <v>3875</v>
      </c>
      <c r="K5037" t="s">
        <v>7557</v>
      </c>
    </row>
    <row r="5038" spans="1:11" ht="20" customHeight="1">
      <c r="A5038" t="s">
        <v>7556</v>
      </c>
      <c r="B5038" t="s">
        <v>3876</v>
      </c>
      <c r="C5038">
        <v>659.510009765625</v>
      </c>
      <c r="D5038">
        <v>662.3699951171875</v>
      </c>
      <c r="E5038">
        <v>657.8800048828125</v>
      </c>
      <c r="F5038">
        <v>661.8200073242188</v>
      </c>
      <c r="G5038">
        <v>654.756103515625</v>
      </c>
      <c r="H5038">
        <v>69179200</v>
      </c>
      <c r="I5038" t="s">
        <v>3877</v>
      </c>
      <c r="J5038" t="s">
        <v>3878</v>
      </c>
      <c r="K5038" t="s">
        <v>7557</v>
      </c>
    </row>
    <row r="5039" spans="1:11" ht="20" customHeight="1">
      <c r="A5039" t="s">
        <v>7556</v>
      </c>
      <c r="B5039" t="s">
        <v>3879</v>
      </c>
      <c r="C5039">
        <v>664.3599853515625</v>
      </c>
      <c r="D5039">
        <v>665.280029296875</v>
      </c>
      <c r="E5039">
        <v>661.8599853515625</v>
      </c>
      <c r="F5039">
        <v>663.6799926757812</v>
      </c>
      <c r="G5039">
        <v>656.5962524414062</v>
      </c>
      <c r="H5039">
        <v>73499000</v>
      </c>
      <c r="I5039" t="s">
        <v>3880</v>
      </c>
      <c r="J5039" t="s">
        <v>3881</v>
      </c>
      <c r="K5039" t="s">
        <v>7557</v>
      </c>
    </row>
    <row r="5040" spans="1:11" ht="20" customHeight="1">
      <c r="A5040" t="s">
        <v>7556</v>
      </c>
      <c r="B5040" t="s">
        <v>3882</v>
      </c>
      <c r="C5040">
        <v>662.9299926757812</v>
      </c>
      <c r="D5040">
        <v>666.6500244140625</v>
      </c>
      <c r="E5040">
        <v>661.6099853515625</v>
      </c>
      <c r="F5040">
        <v>666.1799926757812</v>
      </c>
      <c r="G5040">
        <v>659.0695190429688</v>
      </c>
      <c r="H5040">
        <v>86288000</v>
      </c>
      <c r="I5040" t="s">
        <v>3883</v>
      </c>
      <c r="J5040" t="s">
        <v>3884</v>
      </c>
      <c r="K5040" t="s">
        <v>7557</v>
      </c>
    </row>
    <row r="5041" spans="1:11" ht="20" customHeight="1">
      <c r="A5041" t="s">
        <v>7556</v>
      </c>
      <c r="B5041" t="s">
        <v>3885</v>
      </c>
      <c r="C5041">
        <v>663.1699829101562</v>
      </c>
      <c r="D5041">
        <v>669.3699951171875</v>
      </c>
      <c r="E5041">
        <v>663.0599975585938</v>
      </c>
      <c r="F5041">
        <v>668.4500122070312</v>
      </c>
      <c r="G5041">
        <v>661.3153076171875</v>
      </c>
      <c r="H5041">
        <v>72545400</v>
      </c>
      <c r="I5041" t="s">
        <v>3886</v>
      </c>
      <c r="J5041" t="s">
        <v>3887</v>
      </c>
      <c r="K5041" t="s">
        <v>7557</v>
      </c>
    </row>
    <row r="5042" spans="1:11" ht="20" customHeight="1">
      <c r="A5042" t="s">
        <v>7556</v>
      </c>
      <c r="B5042" t="s">
        <v>3888</v>
      </c>
      <c r="C5042">
        <v>670.4500122070312</v>
      </c>
      <c r="D5042">
        <v>670.5700073242188</v>
      </c>
      <c r="E5042">
        <v>666.780029296875</v>
      </c>
      <c r="F5042">
        <v>669.219970703125</v>
      </c>
      <c r="G5042">
        <v>662.0769653320312</v>
      </c>
      <c r="H5042">
        <v>56896000</v>
      </c>
      <c r="I5042" t="s">
        <v>3889</v>
      </c>
      <c r="J5042" t="s">
        <v>3890</v>
      </c>
      <c r="K5042" t="s">
        <v>7557</v>
      </c>
    </row>
    <row r="5043" spans="1:11" ht="20" customHeight="1">
      <c r="A5043" t="s">
        <v>7556</v>
      </c>
      <c r="B5043" t="s">
        <v>3891</v>
      </c>
      <c r="C5043">
        <v>669.989990234375</v>
      </c>
      <c r="D5043">
        <v>672.6799926757812</v>
      </c>
      <c r="E5043">
        <v>668.1599731445312</v>
      </c>
      <c r="F5043">
        <v>669.2100219726562</v>
      </c>
      <c r="G5043">
        <v>662.0672607421875</v>
      </c>
      <c r="H5043">
        <v>70494400</v>
      </c>
      <c r="I5043" t="s">
        <v>3892</v>
      </c>
      <c r="J5043" t="s">
        <v>3893</v>
      </c>
      <c r="K5043" t="s">
        <v>7557</v>
      </c>
    </row>
    <row r="5044" spans="1:11" ht="20" customHeight="1">
      <c r="A5044" t="s">
        <v>7556</v>
      </c>
      <c r="B5044" t="s">
        <v>3894</v>
      </c>
      <c r="C5044">
        <v>671.6199951171875</v>
      </c>
      <c r="D5044">
        <v>672.510009765625</v>
      </c>
      <c r="E5044">
        <v>669.4600219726562</v>
      </c>
      <c r="F5044">
        <v>671.6099853515625</v>
      </c>
      <c r="G5044">
        <v>664.4415893554688</v>
      </c>
      <c r="H5044">
        <v>54623300</v>
      </c>
      <c r="I5044" t="s">
        <v>3895</v>
      </c>
      <c r="J5044" t="s">
        <v>3896</v>
      </c>
      <c r="K5044" t="s">
        <v>7557</v>
      </c>
    </row>
    <row r="5045" spans="1:11" ht="20" customHeight="1">
      <c r="A5045" t="s">
        <v>7556</v>
      </c>
      <c r="B5045" t="s">
        <v>3897</v>
      </c>
      <c r="C5045">
        <v>672.5399780273438</v>
      </c>
      <c r="D5045">
        <v>672.989990234375</v>
      </c>
      <c r="E5045">
        <v>667.6699829101562</v>
      </c>
      <c r="F5045">
        <v>669.1199951171875</v>
      </c>
      <c r="G5045">
        <v>661.9781494140625</v>
      </c>
      <c r="H5045">
        <v>72020100</v>
      </c>
      <c r="I5045" t="s">
        <v>3898</v>
      </c>
      <c r="J5045" t="s">
        <v>3899</v>
      </c>
      <c r="K5045" t="s">
        <v>7557</v>
      </c>
    </row>
    <row r="5046" spans="1:11" ht="20" customHeight="1">
      <c r="A5046" t="s">
        <v>7556</v>
      </c>
      <c r="B5046" t="s">
        <v>3900</v>
      </c>
      <c r="C5046">
        <v>670.25</v>
      </c>
      <c r="D5046">
        <v>673.2100219726562</v>
      </c>
      <c r="E5046">
        <v>669.4199829101562</v>
      </c>
      <c r="F5046">
        <v>673.1099853515625</v>
      </c>
      <c r="G5046">
        <v>665.925537109375</v>
      </c>
      <c r="H5046">
        <v>60702200</v>
      </c>
      <c r="I5046" t="s">
        <v>3901</v>
      </c>
      <c r="J5046" t="s">
        <v>3902</v>
      </c>
      <c r="K5046" t="s">
        <v>7557</v>
      </c>
    </row>
    <row r="5047" spans="1:11" ht="20" customHeight="1">
      <c r="A5047" t="s">
        <v>7556</v>
      </c>
      <c r="B5047" t="s">
        <v>3903</v>
      </c>
      <c r="C5047">
        <v>673.530029296875</v>
      </c>
      <c r="D5047">
        <v>673.9400024414062</v>
      </c>
      <c r="E5047">
        <v>669.2100219726562</v>
      </c>
      <c r="F5047">
        <v>671.1599731445312</v>
      </c>
      <c r="G5047">
        <v>663.996337890625</v>
      </c>
      <c r="H5047">
        <v>66501900</v>
      </c>
      <c r="I5047" t="s">
        <v>3904</v>
      </c>
      <c r="J5047" t="s">
        <v>3905</v>
      </c>
      <c r="K5047" t="s">
        <v>7557</v>
      </c>
    </row>
    <row r="5048" spans="1:11" ht="20" customHeight="1">
      <c r="A5048" t="s">
        <v>7556</v>
      </c>
      <c r="B5048" t="s">
        <v>3906</v>
      </c>
      <c r="C5048">
        <v>672.1300048828125</v>
      </c>
      <c r="D5048">
        <v>673.9500122070312</v>
      </c>
      <c r="E5048">
        <v>652.8400268554688</v>
      </c>
      <c r="F5048">
        <v>653.02001953125</v>
      </c>
      <c r="G5048">
        <v>646.0499877929688</v>
      </c>
      <c r="H5048">
        <v>159422600</v>
      </c>
      <c r="I5048" t="s">
        <v>3907</v>
      </c>
      <c r="J5048" t="s">
        <v>3908</v>
      </c>
      <c r="K5048" t="s">
        <v>7557</v>
      </c>
    </row>
    <row r="5049" spans="1:11" ht="20" customHeight="1">
      <c r="A5049" t="s">
        <v>7556</v>
      </c>
      <c r="B5049" t="s">
        <v>3909</v>
      </c>
      <c r="C5049">
        <v>660.6500244140625</v>
      </c>
      <c r="D5049">
        <v>665.1300048828125</v>
      </c>
      <c r="E5049">
        <v>659.77001953125</v>
      </c>
      <c r="F5049">
        <v>663.0399780273438</v>
      </c>
      <c r="G5049">
        <v>655.9630126953125</v>
      </c>
      <c r="H5049">
        <v>79560500</v>
      </c>
      <c r="I5049" t="s">
        <v>3910</v>
      </c>
      <c r="J5049" t="s">
        <v>3911</v>
      </c>
      <c r="K5049" t="s">
        <v>7557</v>
      </c>
    </row>
    <row r="5050" spans="1:11" ht="20" customHeight="1">
      <c r="A5050" t="s">
        <v>7556</v>
      </c>
      <c r="B5050" t="s">
        <v>3912</v>
      </c>
      <c r="C5050">
        <v>657.1699829101562</v>
      </c>
      <c r="D5050">
        <v>665.8300170898438</v>
      </c>
      <c r="E5050">
        <v>653.1699829101562</v>
      </c>
      <c r="F5050">
        <v>662.22998046875</v>
      </c>
      <c r="G5050">
        <v>655.16162109375</v>
      </c>
      <c r="H5050">
        <v>88779600</v>
      </c>
      <c r="I5050" t="s">
        <v>3913</v>
      </c>
      <c r="J5050" t="s">
        <v>3914</v>
      </c>
      <c r="K5050" t="s">
        <v>7557</v>
      </c>
    </row>
    <row r="5051" spans="1:11" ht="20" customHeight="1">
      <c r="A5051" t="s">
        <v>7556</v>
      </c>
      <c r="B5051" t="s">
        <v>3915</v>
      </c>
      <c r="C5051">
        <v>666.8200073242188</v>
      </c>
      <c r="D5051">
        <v>670.22998046875</v>
      </c>
      <c r="E5051">
        <v>658.9299926757812</v>
      </c>
      <c r="F5051">
        <v>665.1699829101562</v>
      </c>
      <c r="G5051">
        <v>658.0702514648438</v>
      </c>
      <c r="H5051">
        <v>81702600</v>
      </c>
      <c r="I5051" t="s">
        <v>3916</v>
      </c>
      <c r="J5051" t="s">
        <v>3917</v>
      </c>
      <c r="K5051" t="s">
        <v>7557</v>
      </c>
    </row>
    <row r="5052" spans="1:11" ht="20" customHeight="1">
      <c r="A5052" t="s">
        <v>7556</v>
      </c>
      <c r="B5052" t="s">
        <v>3918</v>
      </c>
      <c r="C5052">
        <v>666.8200073242188</v>
      </c>
      <c r="D5052">
        <v>668.7100219726562</v>
      </c>
      <c r="E5052">
        <v>657.1099853515625</v>
      </c>
      <c r="F5052">
        <v>660.6400146484375</v>
      </c>
      <c r="G5052">
        <v>653.588623046875</v>
      </c>
      <c r="H5052">
        <v>110563300</v>
      </c>
      <c r="I5052" t="s">
        <v>3919</v>
      </c>
      <c r="J5052" t="s">
        <v>3920</v>
      </c>
      <c r="K5052" t="s">
        <v>7557</v>
      </c>
    </row>
    <row r="5053" spans="1:11" ht="20" customHeight="1">
      <c r="A5053" t="s">
        <v>7556</v>
      </c>
      <c r="B5053" t="s">
        <v>3921</v>
      </c>
      <c r="C5053">
        <v>659.5</v>
      </c>
      <c r="D5053">
        <v>665.760009765625</v>
      </c>
      <c r="E5053">
        <v>658.1400146484375</v>
      </c>
      <c r="F5053">
        <v>664.3900146484375</v>
      </c>
      <c r="G5053">
        <v>657.2986450195312</v>
      </c>
      <c r="H5053">
        <v>96500900</v>
      </c>
      <c r="I5053" t="s">
        <v>3922</v>
      </c>
      <c r="J5053" t="s">
        <v>3923</v>
      </c>
      <c r="K5053" t="s">
        <v>7557</v>
      </c>
    </row>
    <row r="5054" spans="1:11" ht="20" customHeight="1">
      <c r="A5054" t="s">
        <v>7556</v>
      </c>
      <c r="B5054" t="s">
        <v>3924</v>
      </c>
      <c r="C5054">
        <v>667.3200073242188</v>
      </c>
      <c r="D5054">
        <v>672.2100219726562</v>
      </c>
      <c r="E5054">
        <v>667.27001953125</v>
      </c>
      <c r="F5054">
        <v>671.2999877929688</v>
      </c>
      <c r="G5054">
        <v>664.1348876953125</v>
      </c>
      <c r="H5054">
        <v>60493400</v>
      </c>
      <c r="I5054" t="s">
        <v>3925</v>
      </c>
      <c r="J5054" t="s">
        <v>3926</v>
      </c>
      <c r="K5054" t="s">
        <v>7557</v>
      </c>
    </row>
    <row r="5055" spans="1:11" ht="20" customHeight="1">
      <c r="A5055" t="s">
        <v>7556</v>
      </c>
      <c r="B5055" t="s">
        <v>3927</v>
      </c>
      <c r="C5055">
        <v>671.4400024414062</v>
      </c>
      <c r="D5055">
        <v>672.989990234375</v>
      </c>
      <c r="E5055">
        <v>669.97998046875</v>
      </c>
      <c r="F5055">
        <v>671.2899780273438</v>
      </c>
      <c r="G5055">
        <v>664.125</v>
      </c>
      <c r="H5055">
        <v>56249000</v>
      </c>
      <c r="I5055" t="s">
        <v>3928</v>
      </c>
      <c r="J5055" t="s">
        <v>3929</v>
      </c>
      <c r="K5055" t="s">
        <v>7557</v>
      </c>
    </row>
    <row r="5056" spans="1:11" ht="20" customHeight="1">
      <c r="A5056" t="s">
        <v>7556</v>
      </c>
      <c r="B5056" t="s">
        <v>3930</v>
      </c>
      <c r="C5056">
        <v>672</v>
      </c>
      <c r="D5056">
        <v>672</v>
      </c>
      <c r="E5056">
        <v>663.2999877929688</v>
      </c>
      <c r="F5056">
        <v>667.7999877929688</v>
      </c>
      <c r="G5056">
        <v>660.6722412109375</v>
      </c>
      <c r="H5056">
        <v>80564000</v>
      </c>
      <c r="I5056" t="s">
        <v>3931</v>
      </c>
      <c r="J5056" t="s">
        <v>3932</v>
      </c>
      <c r="K5056" t="s">
        <v>7557</v>
      </c>
    </row>
    <row r="5057" spans="1:11" ht="20" customHeight="1">
      <c r="A5057" t="s">
        <v>7556</v>
      </c>
      <c r="B5057" t="s">
        <v>3933</v>
      </c>
      <c r="C5057">
        <v>668.1199951171875</v>
      </c>
      <c r="D5057">
        <v>672.7100219726562</v>
      </c>
      <c r="E5057">
        <v>667.7999877929688</v>
      </c>
      <c r="F5057">
        <v>671.760009765625</v>
      </c>
      <c r="G5057">
        <v>664.5899658203125</v>
      </c>
      <c r="H5057">
        <v>65604500</v>
      </c>
      <c r="I5057" t="s">
        <v>3934</v>
      </c>
      <c r="J5057" t="s">
        <v>3935</v>
      </c>
      <c r="K5057" t="s">
        <v>7557</v>
      </c>
    </row>
    <row r="5058" spans="1:11" ht="20" customHeight="1">
      <c r="A5058" t="s">
        <v>7556</v>
      </c>
      <c r="B5058" t="s">
        <v>3936</v>
      </c>
      <c r="C5058">
        <v>676.4600219726562</v>
      </c>
      <c r="D5058">
        <v>678.469970703125</v>
      </c>
      <c r="E5058">
        <v>675.6500244140625</v>
      </c>
      <c r="F5058">
        <v>677.25</v>
      </c>
      <c r="G5058">
        <v>670.0213623046875</v>
      </c>
      <c r="H5058">
        <v>74356500</v>
      </c>
      <c r="I5058" t="s">
        <v>3937</v>
      </c>
      <c r="J5058" t="s">
        <v>3938</v>
      </c>
      <c r="K5058" t="s">
        <v>7557</v>
      </c>
    </row>
    <row r="5059" spans="1:11" ht="20" customHeight="1">
      <c r="A5059" t="s">
        <v>7556</v>
      </c>
      <c r="B5059" t="s">
        <v>3939</v>
      </c>
      <c r="C5059">
        <v>682.72998046875</v>
      </c>
      <c r="D5059">
        <v>685.5399780273438</v>
      </c>
      <c r="E5059">
        <v>682.1199951171875</v>
      </c>
      <c r="F5059">
        <v>685.239990234375</v>
      </c>
      <c r="G5059">
        <v>677.9260864257812</v>
      </c>
      <c r="H5059">
        <v>63339800</v>
      </c>
      <c r="I5059" t="s">
        <v>3940</v>
      </c>
      <c r="J5059" t="s">
        <v>3941</v>
      </c>
      <c r="K5059" t="s">
        <v>7557</v>
      </c>
    </row>
    <row r="5060" spans="1:11" ht="20" customHeight="1">
      <c r="A5060" t="s">
        <v>7556</v>
      </c>
      <c r="B5060" t="s">
        <v>3942</v>
      </c>
      <c r="C5060">
        <v>687.0499877929688</v>
      </c>
      <c r="D5060">
        <v>688.9099731445312</v>
      </c>
      <c r="E5060">
        <v>684.8300170898438</v>
      </c>
      <c r="F5060">
        <v>687.0599975585938</v>
      </c>
      <c r="G5060">
        <v>679.7266235351562</v>
      </c>
      <c r="H5060">
        <v>61738100</v>
      </c>
      <c r="I5060" t="s">
        <v>3943</v>
      </c>
      <c r="J5060" t="s">
        <v>3944</v>
      </c>
      <c r="K5060" t="s">
        <v>7557</v>
      </c>
    </row>
    <row r="5061" spans="1:11" ht="20" customHeight="1">
      <c r="A5061" t="s">
        <v>7556</v>
      </c>
      <c r="B5061" t="s">
        <v>3945</v>
      </c>
      <c r="C5061">
        <v>688.719970703125</v>
      </c>
      <c r="D5061">
        <v>689.7000122070312</v>
      </c>
      <c r="E5061">
        <v>682.8699951171875</v>
      </c>
      <c r="F5061">
        <v>687.3900146484375</v>
      </c>
      <c r="G5061">
        <v>680.05322265625</v>
      </c>
      <c r="H5061">
        <v>85657100</v>
      </c>
      <c r="I5061" t="s">
        <v>3946</v>
      </c>
      <c r="J5061" t="s">
        <v>3947</v>
      </c>
      <c r="K5061" t="s">
        <v>7557</v>
      </c>
    </row>
    <row r="5062" spans="1:11" ht="20" customHeight="1">
      <c r="A5062" t="s">
        <v>7556</v>
      </c>
      <c r="B5062" t="s">
        <v>3948</v>
      </c>
      <c r="C5062">
        <v>683.9000244140625</v>
      </c>
      <c r="D5062">
        <v>685.9400024414062</v>
      </c>
      <c r="E5062">
        <v>679.8300170898438</v>
      </c>
      <c r="F5062">
        <v>679.8300170898438</v>
      </c>
      <c r="G5062">
        <v>672.5738525390625</v>
      </c>
      <c r="H5062">
        <v>76335800</v>
      </c>
      <c r="I5062" t="s">
        <v>3949</v>
      </c>
      <c r="J5062" t="s">
        <v>3950</v>
      </c>
      <c r="K5062" t="s">
        <v>7557</v>
      </c>
    </row>
    <row r="5063" spans="1:11" ht="20" customHeight="1">
      <c r="A5063" t="s">
        <v>7556</v>
      </c>
      <c r="B5063" t="s">
        <v>3951</v>
      </c>
      <c r="C5063">
        <v>685.0399780273438</v>
      </c>
      <c r="D5063">
        <v>685.0800170898438</v>
      </c>
      <c r="E5063">
        <v>679.239990234375</v>
      </c>
      <c r="F5063">
        <v>682.0599975585938</v>
      </c>
      <c r="G5063">
        <v>674.7799682617188</v>
      </c>
      <c r="H5063">
        <v>87164100</v>
      </c>
      <c r="I5063" t="s">
        <v>3952</v>
      </c>
      <c r="J5063" t="s">
        <v>3953</v>
      </c>
      <c r="K5063" t="s">
        <v>7557</v>
      </c>
    </row>
    <row r="5064" spans="1:11" ht="20" customHeight="1">
      <c r="A5064" t="s">
        <v>7556</v>
      </c>
      <c r="B5064" t="s">
        <v>3954</v>
      </c>
      <c r="C5064">
        <v>685.6699829101562</v>
      </c>
      <c r="D5064">
        <v>685.7999877929688</v>
      </c>
      <c r="E5064">
        <v>679.9400024414062</v>
      </c>
      <c r="F5064">
        <v>683.3400268554688</v>
      </c>
      <c r="G5064">
        <v>676.04638671875</v>
      </c>
      <c r="H5064">
        <v>57315000</v>
      </c>
      <c r="I5064" t="s">
        <v>3955</v>
      </c>
      <c r="J5064" t="s">
        <v>3956</v>
      </c>
      <c r="K5064" t="s">
        <v>7557</v>
      </c>
    </row>
    <row r="5065" spans="1:11" ht="20" customHeight="1">
      <c r="A5065" t="s">
        <v>7556</v>
      </c>
      <c r="B5065" t="s">
        <v>3957</v>
      </c>
      <c r="C5065">
        <v>676.1099853515625</v>
      </c>
      <c r="D5065">
        <v>679.9600219726562</v>
      </c>
      <c r="E5065">
        <v>674.5800170898438</v>
      </c>
      <c r="F5065">
        <v>675.239990234375</v>
      </c>
      <c r="G5065">
        <v>668.0328369140625</v>
      </c>
      <c r="H5065">
        <v>78427000</v>
      </c>
      <c r="I5065" t="s">
        <v>3958</v>
      </c>
      <c r="J5065" t="s">
        <v>3959</v>
      </c>
      <c r="K5065" t="s">
        <v>7557</v>
      </c>
    </row>
    <row r="5066" spans="1:11" ht="20" customHeight="1">
      <c r="A5066" t="s">
        <v>7556</v>
      </c>
      <c r="B5066" t="s">
        <v>3960</v>
      </c>
      <c r="C5066">
        <v>674.97998046875</v>
      </c>
      <c r="D5066">
        <v>680.8599853515625</v>
      </c>
      <c r="E5066">
        <v>674.1699829101562</v>
      </c>
      <c r="F5066">
        <v>677.5800170898438</v>
      </c>
      <c r="G5066">
        <v>670.3478393554688</v>
      </c>
      <c r="H5066">
        <v>74402400</v>
      </c>
      <c r="I5066" t="s">
        <v>3961</v>
      </c>
      <c r="J5066" t="s">
        <v>3962</v>
      </c>
      <c r="K5066" t="s">
        <v>7557</v>
      </c>
    </row>
    <row r="5067" spans="1:11" ht="20" customHeight="1">
      <c r="A5067" t="s">
        <v>7556</v>
      </c>
      <c r="B5067" t="s">
        <v>3963</v>
      </c>
      <c r="C5067">
        <v>676.469970703125</v>
      </c>
      <c r="D5067">
        <v>677.3800048828125</v>
      </c>
      <c r="E5067">
        <v>668.719970703125</v>
      </c>
      <c r="F5067">
        <v>670.3099975585938</v>
      </c>
      <c r="G5067">
        <v>663.1554565429688</v>
      </c>
      <c r="H5067">
        <v>85035300</v>
      </c>
      <c r="I5067" t="s">
        <v>3964</v>
      </c>
      <c r="J5067" t="s">
        <v>3965</v>
      </c>
      <c r="K5067" t="s">
        <v>7557</v>
      </c>
    </row>
    <row r="5068" spans="1:11" ht="20" customHeight="1">
      <c r="A5068" t="s">
        <v>7556</v>
      </c>
      <c r="B5068" t="s">
        <v>3966</v>
      </c>
      <c r="C5068">
        <v>667.9099731445312</v>
      </c>
      <c r="D5068">
        <v>671.0800170898438</v>
      </c>
      <c r="E5068">
        <v>661.2100219726562</v>
      </c>
      <c r="F5068">
        <v>670.969970703125</v>
      </c>
      <c r="G5068">
        <v>663.808349609375</v>
      </c>
      <c r="H5068">
        <v>100592400</v>
      </c>
      <c r="I5068" t="s">
        <v>3967</v>
      </c>
      <c r="J5068" t="s">
        <v>3968</v>
      </c>
      <c r="K5068" t="s">
        <v>7557</v>
      </c>
    </row>
    <row r="5069" spans="1:11" ht="20" customHeight="1">
      <c r="A5069" t="s">
        <v>7556</v>
      </c>
      <c r="B5069" t="s">
        <v>3969</v>
      </c>
      <c r="C5069">
        <v>677.239990234375</v>
      </c>
      <c r="D5069">
        <v>682.1799926757812</v>
      </c>
      <c r="E5069">
        <v>675.030029296875</v>
      </c>
      <c r="F5069">
        <v>681.4400024414062</v>
      </c>
      <c r="G5069">
        <v>674.1666259765625</v>
      </c>
      <c r="H5069">
        <v>75842900</v>
      </c>
      <c r="I5069" t="s">
        <v>3970</v>
      </c>
      <c r="J5069" t="s">
        <v>3971</v>
      </c>
      <c r="K5069" t="s">
        <v>7557</v>
      </c>
    </row>
    <row r="5070" spans="1:11" ht="20" customHeight="1">
      <c r="A5070" t="s">
        <v>7556</v>
      </c>
      <c r="B5070" t="s">
        <v>3972</v>
      </c>
      <c r="C5070">
        <v>679.9500122070312</v>
      </c>
      <c r="D5070">
        <v>683.5700073242188</v>
      </c>
      <c r="E5070">
        <v>678.72998046875</v>
      </c>
      <c r="F5070">
        <v>683</v>
      </c>
      <c r="G5070">
        <v>675.7099609375</v>
      </c>
      <c r="H5070">
        <v>58953400</v>
      </c>
      <c r="I5070" t="s">
        <v>3973</v>
      </c>
      <c r="J5070" t="s">
        <v>3974</v>
      </c>
      <c r="K5070" t="s">
        <v>7557</v>
      </c>
    </row>
    <row r="5071" spans="1:11" ht="20" customHeight="1">
      <c r="A5071" t="s">
        <v>7556</v>
      </c>
      <c r="B5071" t="s">
        <v>3975</v>
      </c>
      <c r="C5071">
        <v>684.7899780273438</v>
      </c>
      <c r="D5071">
        <v>684.9600219726562</v>
      </c>
      <c r="E5071">
        <v>680.9500122070312</v>
      </c>
      <c r="F5071">
        <v>683.3800048828125</v>
      </c>
      <c r="G5071">
        <v>676.0859985351562</v>
      </c>
      <c r="H5071">
        <v>62312500</v>
      </c>
      <c r="I5071" t="s">
        <v>3976</v>
      </c>
      <c r="J5071" t="s">
        <v>3977</v>
      </c>
      <c r="K5071" t="s">
        <v>7557</v>
      </c>
    </row>
    <row r="5072" spans="1:11" ht="20" customHeight="1">
      <c r="A5072" t="s">
        <v>7556</v>
      </c>
      <c r="B5072" t="s">
        <v>3978</v>
      </c>
      <c r="C5072">
        <v>680.5</v>
      </c>
      <c r="D5072">
        <v>680.8599853515625</v>
      </c>
      <c r="E5072">
        <v>670.52001953125</v>
      </c>
      <c r="F5072">
        <v>672.0399780273438</v>
      </c>
      <c r="G5072">
        <v>664.8670043945312</v>
      </c>
      <c r="H5072">
        <v>103457800</v>
      </c>
      <c r="I5072" t="s">
        <v>3979</v>
      </c>
      <c r="J5072" t="s">
        <v>3980</v>
      </c>
      <c r="K5072" t="s">
        <v>7557</v>
      </c>
    </row>
    <row r="5073" spans="1:11" ht="20" customHeight="1">
      <c r="A5073" t="s">
        <v>7556</v>
      </c>
      <c r="B5073" t="s">
        <v>3981</v>
      </c>
      <c r="C5073">
        <v>665.3800048828125</v>
      </c>
      <c r="D5073">
        <v>675.6599731445312</v>
      </c>
      <c r="E5073">
        <v>663.27001953125</v>
      </c>
      <c r="F5073">
        <v>671.9299926757812</v>
      </c>
      <c r="G5073">
        <v>664.7581176757812</v>
      </c>
      <c r="H5073">
        <v>96846700</v>
      </c>
      <c r="I5073" t="s">
        <v>3982</v>
      </c>
      <c r="J5073" t="s">
        <v>3983</v>
      </c>
      <c r="K5073" t="s">
        <v>7557</v>
      </c>
    </row>
    <row r="5074" spans="1:11" ht="20" customHeight="1">
      <c r="A5074" t="s">
        <v>7556</v>
      </c>
      <c r="B5074" t="s">
        <v>3984</v>
      </c>
      <c r="C5074">
        <v>669.7000122070312</v>
      </c>
      <c r="D5074">
        <v>673.7100219726562</v>
      </c>
      <c r="E5074">
        <v>662.1699829101562</v>
      </c>
      <c r="F5074">
        <v>665.6699829101562</v>
      </c>
      <c r="G5074">
        <v>658.56494140625</v>
      </c>
      <c r="H5074">
        <v>90456100</v>
      </c>
      <c r="I5074" t="s">
        <v>3985</v>
      </c>
      <c r="J5074" t="s">
        <v>3986</v>
      </c>
      <c r="K5074" t="s">
        <v>7557</v>
      </c>
    </row>
    <row r="5075" spans="1:11" ht="20" customHeight="1">
      <c r="A5075" t="s">
        <v>7556</v>
      </c>
      <c r="B5075" t="s">
        <v>3987</v>
      </c>
      <c r="C5075">
        <v>662.0999755859375</v>
      </c>
      <c r="D5075">
        <v>665.1199951171875</v>
      </c>
      <c r="E5075">
        <v>655.8599853515625</v>
      </c>
      <c r="F5075">
        <v>660.0800170898438</v>
      </c>
      <c r="G5075">
        <v>653.0346069335938</v>
      </c>
      <c r="H5075">
        <v>114467500</v>
      </c>
      <c r="I5075" t="s">
        <v>3988</v>
      </c>
      <c r="J5075" t="s">
        <v>3989</v>
      </c>
      <c r="K5075" t="s">
        <v>7557</v>
      </c>
    </row>
    <row r="5076" spans="1:11" ht="20" customHeight="1">
      <c r="A5076" t="s">
        <v>7556</v>
      </c>
      <c r="B5076" t="s">
        <v>3990</v>
      </c>
      <c r="C5076">
        <v>660.780029296875</v>
      </c>
      <c r="D5076">
        <v>667.3400268554688</v>
      </c>
      <c r="E5076">
        <v>658.75</v>
      </c>
      <c r="F5076">
        <v>662.6300048828125</v>
      </c>
      <c r="G5076">
        <v>655.5574340820312</v>
      </c>
      <c r="H5076">
        <v>94703000</v>
      </c>
      <c r="I5076" t="s">
        <v>3991</v>
      </c>
      <c r="J5076" t="s">
        <v>3992</v>
      </c>
      <c r="K5076" t="s">
        <v>7557</v>
      </c>
    </row>
    <row r="5077" spans="1:11" ht="20" customHeight="1">
      <c r="A5077" t="s">
        <v>7556</v>
      </c>
      <c r="B5077" t="s">
        <v>3993</v>
      </c>
      <c r="C5077">
        <v>672.9099731445312</v>
      </c>
      <c r="D5077">
        <v>675.5599975585938</v>
      </c>
      <c r="E5077">
        <v>651.8900146484375</v>
      </c>
      <c r="F5077">
        <v>652.530029296875</v>
      </c>
      <c r="G5077">
        <v>645.5652465820312</v>
      </c>
      <c r="H5077">
        <v>165293500</v>
      </c>
      <c r="I5077" t="s">
        <v>3994</v>
      </c>
      <c r="J5077" t="s">
        <v>3995</v>
      </c>
      <c r="K5077" t="s">
        <v>7557</v>
      </c>
    </row>
    <row r="5078" spans="1:11" ht="20" customHeight="1">
      <c r="A5078" t="s">
        <v>7556</v>
      </c>
      <c r="B5078" t="s">
        <v>3996</v>
      </c>
      <c r="C5078">
        <v>655.0499877929688</v>
      </c>
      <c r="D5078">
        <v>664.5499877929688</v>
      </c>
      <c r="E5078">
        <v>650.8499755859375</v>
      </c>
      <c r="F5078">
        <v>659.030029296875</v>
      </c>
      <c r="G5078">
        <v>651.995849609375</v>
      </c>
      <c r="H5078">
        <v>123956200</v>
      </c>
      <c r="I5078" t="s">
        <v>3997</v>
      </c>
      <c r="J5078" t="s">
        <v>3998</v>
      </c>
      <c r="K5078" t="s">
        <v>7557</v>
      </c>
    </row>
    <row r="5079" spans="1:11" ht="20" customHeight="1">
      <c r="A5079" t="s">
        <v>7556</v>
      </c>
      <c r="B5079" t="s">
        <v>3999</v>
      </c>
      <c r="C5079">
        <v>662.6900024414062</v>
      </c>
      <c r="D5079">
        <v>670.0599975585938</v>
      </c>
      <c r="E5079">
        <v>661.5900268554688</v>
      </c>
      <c r="F5079">
        <v>668.72998046875</v>
      </c>
      <c r="G5079">
        <v>661.59228515625</v>
      </c>
      <c r="H5079">
        <v>80437900</v>
      </c>
      <c r="I5079" t="s">
        <v>4000</v>
      </c>
      <c r="J5079" t="s">
        <v>4001</v>
      </c>
      <c r="K5079" t="s">
        <v>7557</v>
      </c>
    </row>
    <row r="5080" spans="1:11" ht="20" customHeight="1">
      <c r="A5080" t="s">
        <v>7556</v>
      </c>
      <c r="B5080" t="s">
        <v>4002</v>
      </c>
      <c r="C5080">
        <v>668.6300048828125</v>
      </c>
      <c r="D5080">
        <v>676.2100219726562</v>
      </c>
      <c r="E5080">
        <v>664.47998046875</v>
      </c>
      <c r="F5080">
        <v>675.02001953125</v>
      </c>
      <c r="G5080">
        <v>667.815185546875</v>
      </c>
      <c r="H5080">
        <v>81077100</v>
      </c>
      <c r="I5080" t="s">
        <v>4003</v>
      </c>
      <c r="J5080" t="s">
        <v>4004</v>
      </c>
      <c r="K5080" t="s">
        <v>7557</v>
      </c>
    </row>
    <row r="5081" spans="1:11" ht="20" customHeight="1">
      <c r="A5081" t="s">
        <v>7556</v>
      </c>
      <c r="B5081" t="s">
        <v>4005</v>
      </c>
      <c r="C5081">
        <v>677.6300048828125</v>
      </c>
      <c r="D5081">
        <v>681.7000122070312</v>
      </c>
      <c r="E5081">
        <v>676.719970703125</v>
      </c>
      <c r="F5081">
        <v>679.6799926757812</v>
      </c>
      <c r="G5081">
        <v>672.4254760742188</v>
      </c>
      <c r="H5081">
        <v>71879600</v>
      </c>
      <c r="I5081" t="s">
        <v>4006</v>
      </c>
      <c r="J5081" t="s">
        <v>4007</v>
      </c>
      <c r="K5081" t="s">
        <v>7557</v>
      </c>
    </row>
    <row r="5082" spans="1:11" ht="20" customHeight="1">
      <c r="A5082" t="s">
        <v>7556</v>
      </c>
      <c r="B5082" t="s">
        <v>4008</v>
      </c>
      <c r="C5082">
        <v>680.8599853515625</v>
      </c>
      <c r="D5082">
        <v>683.6699829101562</v>
      </c>
      <c r="E5082">
        <v>680.5</v>
      </c>
      <c r="F5082">
        <v>683.3900146484375</v>
      </c>
      <c r="G5082">
        <v>676.0958251953125</v>
      </c>
      <c r="H5082">
        <v>49212000</v>
      </c>
      <c r="I5082" t="s">
        <v>4009</v>
      </c>
      <c r="J5082" t="s">
        <v>4010</v>
      </c>
      <c r="K5082" t="s">
        <v>7557</v>
      </c>
    </row>
    <row r="5083" spans="1:11" ht="20" customHeight="1">
      <c r="A5083" t="s">
        <v>7556</v>
      </c>
      <c r="B5083" t="s">
        <v>4011</v>
      </c>
      <c r="C5083">
        <v>678.8099975585938</v>
      </c>
      <c r="D5083">
        <v>682.989990234375</v>
      </c>
      <c r="E5083">
        <v>678.739990234375</v>
      </c>
      <c r="F5083">
        <v>680.27001953125</v>
      </c>
      <c r="G5083">
        <v>673.0090942382812</v>
      </c>
      <c r="H5083">
        <v>61201200</v>
      </c>
      <c r="I5083" t="s">
        <v>4012</v>
      </c>
      <c r="J5083" t="s">
        <v>4013</v>
      </c>
      <c r="K5083" t="s">
        <v>7557</v>
      </c>
    </row>
    <row r="5084" spans="1:11" ht="20" customHeight="1">
      <c r="A5084" t="s">
        <v>7556</v>
      </c>
      <c r="B5084" t="s">
        <v>4014</v>
      </c>
      <c r="C5084">
        <v>681.9199829101562</v>
      </c>
      <c r="D5084">
        <v>683.8200073242188</v>
      </c>
      <c r="E5084">
        <v>679.3300170898438</v>
      </c>
      <c r="F5084">
        <v>681.530029296875</v>
      </c>
      <c r="G5084">
        <v>674.2556762695312</v>
      </c>
      <c r="H5084">
        <v>62953800</v>
      </c>
      <c r="I5084" t="s">
        <v>4015</v>
      </c>
      <c r="J5084" t="s">
        <v>4016</v>
      </c>
      <c r="K5084" t="s">
        <v>7557</v>
      </c>
    </row>
    <row r="5085" spans="1:11" ht="20" customHeight="1">
      <c r="A5085" t="s">
        <v>7556</v>
      </c>
      <c r="B5085" t="s">
        <v>4017</v>
      </c>
      <c r="C5085">
        <v>680.5700073242188</v>
      </c>
      <c r="D5085">
        <v>684.9099731445312</v>
      </c>
      <c r="E5085">
        <v>679.6900024414062</v>
      </c>
      <c r="F5085">
        <v>683.8900146484375</v>
      </c>
      <c r="G5085">
        <v>676.5905151367188</v>
      </c>
      <c r="H5085">
        <v>57238500</v>
      </c>
      <c r="I5085" t="s">
        <v>4018</v>
      </c>
      <c r="J5085" t="s">
        <v>4019</v>
      </c>
      <c r="K5085" t="s">
        <v>7557</v>
      </c>
    </row>
    <row r="5086" spans="1:11" ht="20" customHeight="1">
      <c r="A5086" t="s">
        <v>7556</v>
      </c>
      <c r="B5086" t="s">
        <v>4020</v>
      </c>
      <c r="C5086">
        <v>685.2999877929688</v>
      </c>
      <c r="D5086">
        <v>685.3699951171875</v>
      </c>
      <c r="E5086">
        <v>681.3400268554688</v>
      </c>
      <c r="F5086">
        <v>684.3900146484375</v>
      </c>
      <c r="G5086">
        <v>677.0851440429688</v>
      </c>
      <c r="H5086">
        <v>61970300</v>
      </c>
      <c r="I5086" t="s">
        <v>4021</v>
      </c>
      <c r="J5086" t="s">
        <v>4022</v>
      </c>
      <c r="K5086" t="s">
        <v>7557</v>
      </c>
    </row>
    <row r="5087" spans="1:11" ht="20" customHeight="1">
      <c r="A5087" t="s">
        <v>7556</v>
      </c>
      <c r="B5087" t="s">
        <v>4023</v>
      </c>
      <c r="C5087">
        <v>685.469970703125</v>
      </c>
      <c r="D5087">
        <v>688.3900146484375</v>
      </c>
      <c r="E5087">
        <v>684.5800170898438</v>
      </c>
      <c r="F5087">
        <v>685.6900024414062</v>
      </c>
      <c r="G5087">
        <v>678.371337890625</v>
      </c>
      <c r="H5087">
        <v>79241000</v>
      </c>
      <c r="I5087" t="s">
        <v>4024</v>
      </c>
      <c r="J5087" t="s">
        <v>4025</v>
      </c>
      <c r="K5087" t="s">
        <v>7557</v>
      </c>
    </row>
    <row r="5088" spans="1:11" ht="20" customHeight="1">
      <c r="A5088" t="s">
        <v>7556</v>
      </c>
      <c r="B5088" t="s">
        <v>4026</v>
      </c>
      <c r="C5088">
        <v>686.5900268554688</v>
      </c>
      <c r="D5088">
        <v>686.6400146484375</v>
      </c>
      <c r="E5088">
        <v>681.5700073242188</v>
      </c>
      <c r="F5088">
        <v>683.6300048828125</v>
      </c>
      <c r="G5088">
        <v>676.3333129882812</v>
      </c>
      <c r="H5088">
        <v>55231500</v>
      </c>
      <c r="I5088" t="s">
        <v>4027</v>
      </c>
      <c r="J5088" t="s">
        <v>4028</v>
      </c>
      <c r="K5088" t="s">
        <v>7557</v>
      </c>
    </row>
    <row r="5089" spans="1:11" ht="20" customHeight="1">
      <c r="A5089" t="s">
        <v>7556</v>
      </c>
      <c r="B5089" t="s">
        <v>4029</v>
      </c>
      <c r="C5089">
        <v>683.1500244140625</v>
      </c>
      <c r="D5089">
        <v>685.3900146484375</v>
      </c>
      <c r="E5089">
        <v>682.5900268554688</v>
      </c>
      <c r="F5089">
        <v>683.0399780273438</v>
      </c>
      <c r="G5089">
        <v>675.74951171875</v>
      </c>
      <c r="H5089">
        <v>58310100</v>
      </c>
      <c r="I5089" t="s">
        <v>4030</v>
      </c>
      <c r="J5089" t="s">
        <v>4031</v>
      </c>
      <c r="K5089" t="s">
        <v>7557</v>
      </c>
    </row>
    <row r="5090" spans="1:11" ht="20" customHeight="1">
      <c r="A5090" t="s">
        <v>7556</v>
      </c>
      <c r="B5090" t="s">
        <v>4032</v>
      </c>
      <c r="C5090">
        <v>682.5599975585938</v>
      </c>
      <c r="D5090">
        <v>688.969970703125</v>
      </c>
      <c r="E5090">
        <v>681.3099975585938</v>
      </c>
      <c r="F5090">
        <v>687.5700073242188</v>
      </c>
      <c r="G5090">
        <v>680.2312622070312</v>
      </c>
      <c r="H5090">
        <v>85671300</v>
      </c>
      <c r="I5090" t="s">
        <v>4033</v>
      </c>
      <c r="J5090" t="s">
        <v>4034</v>
      </c>
      <c r="K5090" t="s">
        <v>7557</v>
      </c>
    </row>
    <row r="5091" spans="1:11" ht="20" customHeight="1">
      <c r="A5091" t="s">
        <v>7556</v>
      </c>
      <c r="B5091" t="s">
        <v>4035</v>
      </c>
      <c r="C5091">
        <v>685.1400146484375</v>
      </c>
      <c r="D5091">
        <v>689.25</v>
      </c>
      <c r="E5091">
        <v>682.1699829101562</v>
      </c>
      <c r="F5091">
        <v>689.1699829101562</v>
      </c>
      <c r="G5091">
        <v>681.8140869140625</v>
      </c>
      <c r="H5091">
        <v>86173700</v>
      </c>
      <c r="I5091" t="s">
        <v>4036</v>
      </c>
      <c r="J5091" t="s">
        <v>4037</v>
      </c>
      <c r="K5091" t="s">
        <v>7557</v>
      </c>
    </row>
    <row r="5092" spans="1:11" ht="20" customHeight="1">
      <c r="A5092" t="s">
        <v>7556</v>
      </c>
      <c r="B5092" t="s">
        <v>4038</v>
      </c>
      <c r="C5092">
        <v>688.1699829101562</v>
      </c>
      <c r="D5092">
        <v>688.8800048828125</v>
      </c>
      <c r="E5092">
        <v>679.1699829101562</v>
      </c>
      <c r="F5092">
        <v>681.760009765625</v>
      </c>
      <c r="G5092">
        <v>674.4832763671875</v>
      </c>
      <c r="H5092">
        <v>113160300</v>
      </c>
      <c r="I5092" t="s">
        <v>4039</v>
      </c>
      <c r="J5092" t="s">
        <v>4040</v>
      </c>
      <c r="K5092" t="s">
        <v>7557</v>
      </c>
    </row>
    <row r="5093" spans="1:11" ht="20" customHeight="1">
      <c r="A5093" t="s">
        <v>7556</v>
      </c>
      <c r="B5093" t="s">
        <v>4041</v>
      </c>
      <c r="C5093">
        <v>685.739990234375</v>
      </c>
      <c r="D5093">
        <v>685.760009765625</v>
      </c>
      <c r="E5093">
        <v>679.25</v>
      </c>
      <c r="F5093">
        <v>680.72998046875</v>
      </c>
      <c r="G5093">
        <v>673.4642333984375</v>
      </c>
      <c r="H5093">
        <v>90811000</v>
      </c>
      <c r="I5093" t="s">
        <v>4042</v>
      </c>
      <c r="J5093" t="s">
        <v>4043</v>
      </c>
      <c r="K5093" t="s">
        <v>7557</v>
      </c>
    </row>
    <row r="5094" spans="1:11" ht="20" customHeight="1">
      <c r="A5094" t="s">
        <v>7556</v>
      </c>
      <c r="B5094" t="s">
        <v>4044</v>
      </c>
      <c r="C5094">
        <v>679.22998046875</v>
      </c>
      <c r="D5094">
        <v>681.0800170898438</v>
      </c>
      <c r="E5094">
        <v>674.97998046875</v>
      </c>
      <c r="F5094">
        <v>678.8699951171875</v>
      </c>
      <c r="G5094">
        <v>671.6240844726562</v>
      </c>
      <c r="H5094">
        <v>122030600</v>
      </c>
      <c r="I5094" t="s">
        <v>4045</v>
      </c>
      <c r="J5094" t="s">
        <v>4046</v>
      </c>
      <c r="K5094" t="s">
        <v>7557</v>
      </c>
    </row>
    <row r="5095" spans="1:11" ht="20" customHeight="1">
      <c r="A5095" t="s">
        <v>7556</v>
      </c>
      <c r="B5095" t="s">
        <v>4047</v>
      </c>
      <c r="C5095">
        <v>679.8900146484375</v>
      </c>
      <c r="D5095">
        <v>680.4400024414062</v>
      </c>
      <c r="E5095">
        <v>671.2000122070312</v>
      </c>
      <c r="F5095">
        <v>671.4000244140625</v>
      </c>
      <c r="G5095">
        <v>664.2337646484375</v>
      </c>
      <c r="H5095">
        <v>110625200</v>
      </c>
      <c r="I5095" t="s">
        <v>4048</v>
      </c>
      <c r="J5095" t="s">
        <v>4049</v>
      </c>
      <c r="K5095" t="s">
        <v>7557</v>
      </c>
    </row>
    <row r="5096" spans="1:11" ht="20" customHeight="1">
      <c r="A5096" t="s">
        <v>7556</v>
      </c>
      <c r="B5096" t="s">
        <v>4050</v>
      </c>
      <c r="C5096">
        <v>677.5999755859375</v>
      </c>
      <c r="D5096">
        <v>680.739990234375</v>
      </c>
      <c r="E5096">
        <v>674.9000244140625</v>
      </c>
      <c r="F5096">
        <v>676.469970703125</v>
      </c>
      <c r="G5096">
        <v>669.2496948242188</v>
      </c>
      <c r="H5096">
        <v>108650100</v>
      </c>
      <c r="I5096" t="s">
        <v>4051</v>
      </c>
      <c r="J5096" t="s">
        <v>4052</v>
      </c>
      <c r="K5096" t="s">
        <v>7557</v>
      </c>
    </row>
    <row r="5097" spans="1:11" ht="20" customHeight="1">
      <c r="A5097" t="s">
        <v>7556</v>
      </c>
      <c r="B5097" t="s">
        <v>4053</v>
      </c>
      <c r="C5097">
        <v>676.5900268554688</v>
      </c>
      <c r="D5097">
        <v>681.0900268554688</v>
      </c>
      <c r="E5097">
        <v>676.469970703125</v>
      </c>
      <c r="F5097">
        <v>680.5900268554688</v>
      </c>
      <c r="G5097">
        <v>675.3153686523438</v>
      </c>
      <c r="H5097">
        <v>103599500</v>
      </c>
      <c r="I5097" t="s">
        <v>4054</v>
      </c>
      <c r="J5097" t="s">
        <v>4055</v>
      </c>
      <c r="K5097" t="s">
        <v>7557</v>
      </c>
    </row>
    <row r="5098" spans="1:11" ht="20" customHeight="1">
      <c r="A5098" t="s">
        <v>7556</v>
      </c>
      <c r="B5098" t="s">
        <v>4056</v>
      </c>
      <c r="C5098">
        <v>683.9400024414062</v>
      </c>
      <c r="D5098">
        <v>685.3599853515625</v>
      </c>
      <c r="E5098">
        <v>680.5900268554688</v>
      </c>
      <c r="F5098">
        <v>684.8300170898438</v>
      </c>
      <c r="G5098">
        <v>679.5225219726562</v>
      </c>
      <c r="H5098">
        <v>69556700</v>
      </c>
      <c r="I5098" t="s">
        <v>4057</v>
      </c>
      <c r="J5098" t="s">
        <v>4058</v>
      </c>
      <c r="K5098" t="s">
        <v>7557</v>
      </c>
    </row>
    <row r="5099" spans="1:11" ht="20" customHeight="1">
      <c r="A5099" t="s">
        <v>7556</v>
      </c>
      <c r="B5099" t="s">
        <v>4059</v>
      </c>
      <c r="C5099">
        <v>683.9199829101562</v>
      </c>
      <c r="D5099">
        <v>688.2000122070312</v>
      </c>
      <c r="E5099">
        <v>683.8699951171875</v>
      </c>
      <c r="F5099">
        <v>687.9600219726562</v>
      </c>
      <c r="G5099">
        <v>682.6282348632812</v>
      </c>
      <c r="H5099">
        <v>64840000</v>
      </c>
      <c r="I5099" t="s">
        <v>4060</v>
      </c>
      <c r="J5099" t="s">
        <v>4061</v>
      </c>
      <c r="K5099" t="s">
        <v>7557</v>
      </c>
    </row>
    <row r="5100" spans="1:11" ht="20" customHeight="1">
      <c r="A5100" t="s">
        <v>7556</v>
      </c>
      <c r="B5100" t="s">
        <v>4062</v>
      </c>
      <c r="C5100">
        <v>687.9500122070312</v>
      </c>
      <c r="D5100">
        <v>690.8300170898438</v>
      </c>
      <c r="E5100">
        <v>687.7999877929688</v>
      </c>
      <c r="F5100">
        <v>690.3800048828125</v>
      </c>
      <c r="G5100">
        <v>685.0294799804688</v>
      </c>
      <c r="H5100">
        <v>39445600</v>
      </c>
      <c r="I5100" t="s">
        <v>4063</v>
      </c>
      <c r="J5100" t="s">
        <v>4064</v>
      </c>
      <c r="K5100" t="s">
        <v>7557</v>
      </c>
    </row>
    <row r="5101" spans="1:11" ht="20" customHeight="1">
      <c r="A5101" t="s">
        <v>7556</v>
      </c>
      <c r="B5101" t="s">
        <v>4065</v>
      </c>
      <c r="C5101">
        <v>690.6400146484375</v>
      </c>
      <c r="D5101">
        <v>691.6599731445312</v>
      </c>
      <c r="E5101">
        <v>689.27001953125</v>
      </c>
      <c r="F5101">
        <v>690.3099975585938</v>
      </c>
      <c r="G5101">
        <v>684.9599609375</v>
      </c>
      <c r="H5101">
        <v>41613300</v>
      </c>
      <c r="I5101" t="s">
        <v>4066</v>
      </c>
      <c r="J5101" t="s">
        <v>4067</v>
      </c>
      <c r="K5101" t="s">
        <v>7557</v>
      </c>
    </row>
    <row r="5102" spans="1:11" ht="20" customHeight="1">
      <c r="A5102" t="s">
        <v>7556</v>
      </c>
      <c r="B5102" t="s">
        <v>4068</v>
      </c>
      <c r="C5102">
        <v>687.5399780273438</v>
      </c>
      <c r="D5102">
        <v>689.2000122070312</v>
      </c>
      <c r="E5102">
        <v>686.0700073242188</v>
      </c>
      <c r="F5102">
        <v>687.8499755859375</v>
      </c>
      <c r="G5102">
        <v>682.51904296875</v>
      </c>
      <c r="H5102">
        <v>62559500</v>
      </c>
      <c r="I5102" t="s">
        <v>4069</v>
      </c>
      <c r="J5102" t="s">
        <v>4070</v>
      </c>
      <c r="K5102" t="s">
        <v>7557</v>
      </c>
    </row>
    <row r="5103" spans="1:11" ht="20" customHeight="1">
      <c r="A5103" t="s">
        <v>7556</v>
      </c>
      <c r="B5103" t="s">
        <v>4071</v>
      </c>
      <c r="C5103">
        <v>687.4500122070312</v>
      </c>
      <c r="D5103">
        <v>688.5599975585938</v>
      </c>
      <c r="E5103">
        <v>686.5800170898438</v>
      </c>
      <c r="F5103">
        <v>687.010009765625</v>
      </c>
      <c r="G5103">
        <v>681.6856079101562</v>
      </c>
      <c r="H5103">
        <v>47160700</v>
      </c>
      <c r="I5103" t="s">
        <v>4072</v>
      </c>
      <c r="J5103" t="s">
        <v>4073</v>
      </c>
      <c r="K5103" t="s">
        <v>7557</v>
      </c>
    </row>
    <row r="5104" spans="1:11" ht="20" customHeight="1">
      <c r="A5104" t="s">
        <v>7556</v>
      </c>
      <c r="B5104" t="s">
        <v>4074</v>
      </c>
      <c r="C5104">
        <v>687.1400146484375</v>
      </c>
      <c r="D5104">
        <v>687.3599853515625</v>
      </c>
      <c r="E5104">
        <v>681.7100219726562</v>
      </c>
      <c r="F5104">
        <v>681.9199829101562</v>
      </c>
      <c r="G5104">
        <v>676.635009765625</v>
      </c>
      <c r="H5104">
        <v>74144800</v>
      </c>
      <c r="I5104" t="s">
        <v>4075</v>
      </c>
      <c r="J5104" t="s">
        <v>4076</v>
      </c>
      <c r="K5104" t="s">
        <v>7557</v>
      </c>
    </row>
    <row r="5105" spans="1:11" ht="20" customHeight="1">
      <c r="A5105" t="s">
        <v>7556</v>
      </c>
      <c r="B5105" t="s">
        <v>4077</v>
      </c>
      <c r="C5105">
        <v>685.7100219726562</v>
      </c>
      <c r="D5105">
        <v>686.8699951171875</v>
      </c>
      <c r="E5105">
        <v>679.8200073242188</v>
      </c>
      <c r="F5105">
        <v>683.1699829101562</v>
      </c>
      <c r="G5105">
        <v>677.8753662109375</v>
      </c>
      <c r="H5105">
        <v>89377200</v>
      </c>
      <c r="I5105" t="s">
        <v>4078</v>
      </c>
      <c r="J5105" t="s">
        <v>4079</v>
      </c>
      <c r="K5105" t="s">
        <v>7557</v>
      </c>
    </row>
    <row r="5106" spans="1:11" ht="20" customHeight="1">
      <c r="A5106" t="s">
        <v>7556</v>
      </c>
      <c r="B5106" t="s">
        <v>4080</v>
      </c>
      <c r="C5106">
        <v>686.5399780273438</v>
      </c>
      <c r="D5106">
        <v>689.4299926757812</v>
      </c>
      <c r="E5106">
        <v>686.3800048828125</v>
      </c>
      <c r="F5106">
        <v>687.719970703125</v>
      </c>
      <c r="G5106">
        <v>682.3900756835938</v>
      </c>
      <c r="H5106">
        <v>71927200</v>
      </c>
      <c r="I5106" t="s">
        <v>4081</v>
      </c>
      <c r="J5106" t="s">
        <v>4082</v>
      </c>
      <c r="K5106" t="s">
        <v>7557</v>
      </c>
    </row>
    <row r="5107" spans="1:11" ht="20" customHeight="1">
      <c r="A5107" t="s">
        <v>7556</v>
      </c>
      <c r="B5107" t="s">
        <v>4083</v>
      </c>
      <c r="C5107">
        <v>687.9299926757812</v>
      </c>
      <c r="D5107">
        <v>692.3200073242188</v>
      </c>
      <c r="E5107">
        <v>687.780029296875</v>
      </c>
      <c r="F5107">
        <v>691.8099975585938</v>
      </c>
      <c r="G5107">
        <v>686.4483642578125</v>
      </c>
      <c r="H5107">
        <v>69273800</v>
      </c>
      <c r="I5107" t="s">
        <v>4084</v>
      </c>
      <c r="J5107" t="s">
        <v>4085</v>
      </c>
      <c r="K5107" t="s">
        <v>7557</v>
      </c>
    </row>
    <row r="5108" spans="1:11" ht="20" customHeight="1">
      <c r="A5108" t="s">
        <v>7556</v>
      </c>
      <c r="B5108" t="s">
        <v>4086</v>
      </c>
      <c r="C5108">
        <v>692.1900024414062</v>
      </c>
      <c r="D5108">
        <v>693.9600219726562</v>
      </c>
      <c r="E5108">
        <v>689.3200073242188</v>
      </c>
      <c r="F5108">
        <v>689.5800170898438</v>
      </c>
      <c r="G5108">
        <v>684.2356567382812</v>
      </c>
      <c r="H5108">
        <v>75588300</v>
      </c>
      <c r="I5108" t="s">
        <v>4087</v>
      </c>
      <c r="J5108" t="s">
        <v>4088</v>
      </c>
      <c r="K5108" t="s">
        <v>7557</v>
      </c>
    </row>
    <row r="5109" spans="1:11" ht="20" customHeight="1">
      <c r="A5109" t="s">
        <v>7556</v>
      </c>
      <c r="B5109" t="s">
        <v>4089</v>
      </c>
      <c r="C5109">
        <v>688.8200073242188</v>
      </c>
      <c r="D5109">
        <v>690.6199951171875</v>
      </c>
      <c r="E5109">
        <v>687.489990234375</v>
      </c>
      <c r="F5109">
        <v>689.510009765625</v>
      </c>
      <c r="G5109">
        <v>684.1661987304688</v>
      </c>
      <c r="H5109">
        <v>64019200</v>
      </c>
      <c r="I5109" t="s">
        <v>4090</v>
      </c>
      <c r="J5109" t="s">
        <v>4091</v>
      </c>
      <c r="K5109" t="s">
        <v>7557</v>
      </c>
    </row>
    <row r="5110" spans="1:11" ht="20" customHeight="1">
      <c r="A5110" t="s">
        <v>7556</v>
      </c>
      <c r="B5110" t="s">
        <v>4092</v>
      </c>
      <c r="C5110">
        <v>690.6300048828125</v>
      </c>
      <c r="D5110">
        <v>695.3099975585938</v>
      </c>
      <c r="E5110">
        <v>689.1799926757812</v>
      </c>
      <c r="F5110">
        <v>694.0700073242188</v>
      </c>
      <c r="G5110">
        <v>688.6908569335938</v>
      </c>
      <c r="H5110">
        <v>80125500</v>
      </c>
      <c r="I5110" t="s">
        <v>4093</v>
      </c>
      <c r="J5110" t="s">
        <v>4094</v>
      </c>
      <c r="K5110" t="s">
        <v>7557</v>
      </c>
    </row>
    <row r="5111" spans="1:11" ht="20" customHeight="1">
      <c r="A5111" t="s">
        <v>7556</v>
      </c>
      <c r="B5111" t="s">
        <v>4095</v>
      </c>
      <c r="C5111">
        <v>690.6799926757812</v>
      </c>
      <c r="D5111">
        <v>696.0900268554688</v>
      </c>
      <c r="E5111">
        <v>690.6300048828125</v>
      </c>
      <c r="F5111">
        <v>695.1599731445312</v>
      </c>
      <c r="G5111">
        <v>689.7723388671875</v>
      </c>
      <c r="H5111">
        <v>63976000</v>
      </c>
      <c r="I5111" t="s">
        <v>4096</v>
      </c>
      <c r="J5111" t="s">
        <v>4097</v>
      </c>
      <c r="K5111" t="s">
        <v>7557</v>
      </c>
    </row>
    <row r="5112" spans="1:11" ht="20" customHeight="1">
      <c r="A5112" t="s">
        <v>7556</v>
      </c>
      <c r="B5112" t="s">
        <v>4098</v>
      </c>
      <c r="C5112">
        <v>695.489990234375</v>
      </c>
      <c r="D5112">
        <v>696.0900268554688</v>
      </c>
      <c r="E5112">
        <v>691.3499755859375</v>
      </c>
      <c r="F5112">
        <v>693.77001953125</v>
      </c>
      <c r="G5112">
        <v>688.3932495117188</v>
      </c>
      <c r="H5112">
        <v>78309700</v>
      </c>
      <c r="I5112" t="s">
        <v>4099</v>
      </c>
      <c r="J5112" t="s">
        <v>4100</v>
      </c>
      <c r="K5112" t="s">
        <v>7557</v>
      </c>
    </row>
    <row r="5113" spans="1:11" ht="20" customHeight="1">
      <c r="A5113" t="s">
        <v>7556</v>
      </c>
      <c r="B5113" t="s">
        <v>4101</v>
      </c>
      <c r="C5113">
        <v>691</v>
      </c>
      <c r="D5113">
        <v>691.719970703125</v>
      </c>
      <c r="E5113">
        <v>686.0399780273438</v>
      </c>
      <c r="F5113">
        <v>690.3599853515625</v>
      </c>
      <c r="G5113">
        <v>685.0095825195312</v>
      </c>
      <c r="H5113">
        <v>94676700</v>
      </c>
      <c r="I5113" t="s">
        <v>4102</v>
      </c>
      <c r="J5113" t="s">
        <v>4103</v>
      </c>
      <c r="K5113" t="s">
        <v>7557</v>
      </c>
    </row>
    <row r="5114" spans="1:11" ht="20" customHeight="1">
      <c r="A5114" t="s">
        <v>7556</v>
      </c>
      <c r="B5114" t="s">
        <v>4104</v>
      </c>
      <c r="C5114">
        <v>694.5700073242188</v>
      </c>
      <c r="D5114">
        <v>695.4500122070312</v>
      </c>
      <c r="E5114">
        <v>691.25</v>
      </c>
      <c r="F5114">
        <v>692.239990234375</v>
      </c>
      <c r="G5114">
        <v>686.8750610351562</v>
      </c>
      <c r="H5114">
        <v>77862000</v>
      </c>
      <c r="I5114" t="s">
        <v>4105</v>
      </c>
      <c r="J5114" t="s">
        <v>4106</v>
      </c>
      <c r="K5114" t="s">
        <v>7557</v>
      </c>
    </row>
    <row r="5115" spans="1:11" ht="20" customHeight="1">
      <c r="A5115" t="s">
        <v>7556</v>
      </c>
      <c r="B5115" t="s">
        <v>4107</v>
      </c>
      <c r="C5115">
        <v>693.6599731445312</v>
      </c>
      <c r="D5115">
        <v>694.25</v>
      </c>
      <c r="E5115">
        <v>690.0999755859375</v>
      </c>
      <c r="F5115">
        <v>691.6599731445312</v>
      </c>
      <c r="G5115">
        <v>686.2994995117188</v>
      </c>
      <c r="H5115">
        <v>79289200</v>
      </c>
      <c r="I5115" t="s">
        <v>4108</v>
      </c>
      <c r="J5115" t="s">
        <v>4109</v>
      </c>
      <c r="K5115" t="s">
        <v>7557</v>
      </c>
    </row>
    <row r="5116" spans="1:11" ht="20" customHeight="1">
      <c r="A5116" t="s">
        <v>7556</v>
      </c>
      <c r="B5116" t="s">
        <v>4110</v>
      </c>
      <c r="C5116">
        <v>681.489990234375</v>
      </c>
      <c r="D5116">
        <v>684.77001953125</v>
      </c>
      <c r="E5116">
        <v>676.5700073242188</v>
      </c>
      <c r="F5116">
        <v>677.5800170898438</v>
      </c>
      <c r="G5116">
        <v>672.3286743164062</v>
      </c>
      <c r="H5116">
        <v>111623300</v>
      </c>
      <c r="I5116" t="s">
        <v>4111</v>
      </c>
      <c r="J5116" t="s">
        <v>4112</v>
      </c>
      <c r="K5116" t="s">
        <v>7557</v>
      </c>
    </row>
    <row r="5117" spans="1:11" ht="20" customHeight="1">
      <c r="A5117" t="s">
        <v>7556</v>
      </c>
      <c r="B5117" t="s">
        <v>4113</v>
      </c>
      <c r="C5117">
        <v>679.6500244140625</v>
      </c>
      <c r="D5117">
        <v>688.739990234375</v>
      </c>
      <c r="E5117">
        <v>678.1300048828125</v>
      </c>
      <c r="F5117">
        <v>685.4000244140625</v>
      </c>
      <c r="G5117">
        <v>680.0880126953125</v>
      </c>
      <c r="H5117">
        <v>127844500</v>
      </c>
      <c r="I5117" t="s">
        <v>4114</v>
      </c>
      <c r="J5117" t="s">
        <v>4115</v>
      </c>
      <c r="K5117" t="s">
        <v>7557</v>
      </c>
    </row>
    <row r="5118" spans="1:11" ht="20" customHeight="1">
      <c r="A5118" t="s">
        <v>7556</v>
      </c>
      <c r="B5118" t="s">
        <v>4116</v>
      </c>
      <c r="C5118">
        <v>689.8499755859375</v>
      </c>
      <c r="D5118">
        <v>691.1300048828125</v>
      </c>
      <c r="E5118">
        <v>686.9199829101562</v>
      </c>
      <c r="F5118">
        <v>688.97998046875</v>
      </c>
      <c r="G5118">
        <v>683.6403198242188</v>
      </c>
      <c r="H5118">
        <v>77112200</v>
      </c>
      <c r="I5118" t="s">
        <v>4117</v>
      </c>
      <c r="J5118" t="s">
        <v>4118</v>
      </c>
      <c r="K5118" t="s">
        <v>7557</v>
      </c>
    </row>
    <row r="5119" spans="1:11" ht="20" customHeight="1">
      <c r="A5119" t="s">
        <v>7556</v>
      </c>
      <c r="B5119" t="s">
        <v>4119</v>
      </c>
      <c r="C5119">
        <v>688.1500244140625</v>
      </c>
      <c r="D5119">
        <v>690.9600219726562</v>
      </c>
      <c r="E5119">
        <v>687.1599731445312</v>
      </c>
      <c r="F5119">
        <v>689.22998046875</v>
      </c>
      <c r="G5119">
        <v>683.8883056640625</v>
      </c>
      <c r="H5119">
        <v>63059600</v>
      </c>
      <c r="I5119" t="s">
        <v>4120</v>
      </c>
      <c r="J5119" t="s">
        <v>4121</v>
      </c>
      <c r="K5119" t="s">
        <v>7557</v>
      </c>
    </row>
    <row r="5120" spans="1:11" ht="20" customHeight="1">
      <c r="A5120" t="s">
        <v>7556</v>
      </c>
      <c r="B5120" t="s">
        <v>4122</v>
      </c>
      <c r="C5120">
        <v>690.489990234375</v>
      </c>
      <c r="D5120">
        <v>694.1300048828125</v>
      </c>
      <c r="E5120">
        <v>689.9199829101562</v>
      </c>
      <c r="F5120">
        <v>692.72998046875</v>
      </c>
      <c r="G5120">
        <v>687.3612060546875</v>
      </c>
      <c r="H5120">
        <v>60473800</v>
      </c>
      <c r="I5120" t="s">
        <v>4123</v>
      </c>
      <c r="J5120" t="s">
        <v>4124</v>
      </c>
      <c r="K5120" t="s">
        <v>7557</v>
      </c>
    </row>
    <row r="5121" spans="1:11" ht="20" customHeight="1">
      <c r="A5121" t="s">
        <v>7556</v>
      </c>
      <c r="B5121" t="s">
        <v>4125</v>
      </c>
      <c r="C5121">
        <v>694.1799926757812</v>
      </c>
      <c r="D5121">
        <v>696.530029296875</v>
      </c>
      <c r="E5121">
        <v>693.5700073242188</v>
      </c>
      <c r="F5121">
        <v>695.489990234375</v>
      </c>
      <c r="G5121">
        <v>690.099853515625</v>
      </c>
      <c r="H5121">
        <v>55506100</v>
      </c>
      <c r="I5121" t="s">
        <v>4126</v>
      </c>
      <c r="J5121" t="s">
        <v>4127</v>
      </c>
      <c r="K5121" t="s">
        <v>7557</v>
      </c>
    </row>
    <row r="5122" spans="1:11" ht="20" customHeight="1">
      <c r="A5122" t="s">
        <v>7556</v>
      </c>
      <c r="B5122" t="s">
        <v>4128</v>
      </c>
      <c r="C5122">
        <v>697.0499877929688</v>
      </c>
      <c r="D5122">
        <v>697.8400268554688</v>
      </c>
      <c r="E5122">
        <v>693.9400024414062</v>
      </c>
      <c r="F5122">
        <v>695.4199829101562</v>
      </c>
      <c r="G5122">
        <v>690.0303344726562</v>
      </c>
      <c r="H5122">
        <v>61172200</v>
      </c>
      <c r="I5122" t="s">
        <v>4129</v>
      </c>
      <c r="J5122" t="s">
        <v>4130</v>
      </c>
      <c r="K5122" t="s">
        <v>7557</v>
      </c>
    </row>
    <row r="5123" spans="1:11" ht="20" customHeight="1">
      <c r="A5123" t="s">
        <v>7556</v>
      </c>
      <c r="B5123" t="s">
        <v>4131</v>
      </c>
      <c r="C5123">
        <v>696.3900146484375</v>
      </c>
      <c r="D5123">
        <v>697.0599975585938</v>
      </c>
      <c r="E5123">
        <v>684.8300170898438</v>
      </c>
      <c r="F5123">
        <v>694.0399780273438</v>
      </c>
      <c r="G5123">
        <v>688.6610717773438</v>
      </c>
      <c r="H5123">
        <v>97486200</v>
      </c>
      <c r="I5123" t="s">
        <v>4132</v>
      </c>
      <c r="J5123" t="s">
        <v>4133</v>
      </c>
      <c r="K5123" t="s">
        <v>7557</v>
      </c>
    </row>
    <row r="5124" spans="1:11" ht="20" customHeight="1">
      <c r="A5124" t="s">
        <v>7556</v>
      </c>
      <c r="B5124" t="s">
        <v>4134</v>
      </c>
      <c r="C5124">
        <v>691.7899780273438</v>
      </c>
      <c r="D5124">
        <v>694.2100219726562</v>
      </c>
      <c r="E5124">
        <v>687.1199951171875</v>
      </c>
      <c r="F5124">
        <v>691.969970703125</v>
      </c>
      <c r="G5124">
        <v>686.6071166992188</v>
      </c>
      <c r="H5124">
        <v>101835100</v>
      </c>
      <c r="I5124" t="s">
        <v>4135</v>
      </c>
      <c r="J5124" t="s">
        <v>4136</v>
      </c>
      <c r="K5124" t="s">
        <v>7557</v>
      </c>
    </row>
    <row r="5125" spans="1:11" ht="20" customHeight="1">
      <c r="A5125" t="s">
        <v>7556</v>
      </c>
      <c r="B5125" t="s">
        <v>4137</v>
      </c>
      <c r="C5125">
        <v>689.5800170898438</v>
      </c>
      <c r="D5125">
        <v>696.9299926757812</v>
      </c>
      <c r="E5125">
        <v>689.4199829101562</v>
      </c>
      <c r="F5125">
        <v>695.4099731445312</v>
      </c>
      <c r="G5125">
        <v>690.0204467773438</v>
      </c>
      <c r="H5125">
        <v>79286500</v>
      </c>
      <c r="I5125" t="s">
        <v>4138</v>
      </c>
      <c r="J5125" t="s">
        <v>4139</v>
      </c>
      <c r="K5125" t="s">
        <v>7557</v>
      </c>
    </row>
    <row r="5126" spans="1:11" ht="20" customHeight="1">
      <c r="A5126" t="s">
        <v>7556</v>
      </c>
      <c r="B5126" t="s">
        <v>4140</v>
      </c>
      <c r="C5126">
        <v>696.2100219726562</v>
      </c>
      <c r="D5126">
        <v>696.9600219726562</v>
      </c>
      <c r="E5126">
        <v>684.030029296875</v>
      </c>
      <c r="F5126">
        <v>689.530029296875</v>
      </c>
      <c r="G5126">
        <v>684.18603515625</v>
      </c>
      <c r="H5126">
        <v>107904600</v>
      </c>
      <c r="I5126" t="s">
        <v>4141</v>
      </c>
      <c r="J5126" t="s">
        <v>4142</v>
      </c>
      <c r="K5126" t="s">
        <v>7557</v>
      </c>
    </row>
    <row r="5127" spans="1:11" ht="20" customHeight="1">
      <c r="A5127" t="s">
        <v>7556</v>
      </c>
      <c r="B5127" t="s">
        <v>4143</v>
      </c>
      <c r="C5127">
        <v>690.3499755859375</v>
      </c>
      <c r="D5127">
        <v>691.4500122070312</v>
      </c>
      <c r="E5127">
        <v>681.760009765625</v>
      </c>
      <c r="F5127">
        <v>686.1900024414062</v>
      </c>
      <c r="G5127">
        <v>680.8719482421875</v>
      </c>
      <c r="H5127">
        <v>105204600</v>
      </c>
      <c r="I5127" t="s">
        <v>4144</v>
      </c>
      <c r="J5127" t="s">
        <v>4145</v>
      </c>
      <c r="K5127" t="s">
        <v>7557</v>
      </c>
    </row>
    <row r="5128" spans="1:11" ht="20" customHeight="1">
      <c r="A5128" t="s">
        <v>7556</v>
      </c>
      <c r="B5128" t="s">
        <v>4146</v>
      </c>
      <c r="C5128">
        <v>680.9400024414062</v>
      </c>
      <c r="D5128">
        <v>683.6900024414062</v>
      </c>
      <c r="E5128">
        <v>675.7899780273438</v>
      </c>
      <c r="F5128">
        <v>677.6199951171875</v>
      </c>
      <c r="G5128">
        <v>672.3683471679688</v>
      </c>
      <c r="H5128">
        <v>113610800</v>
      </c>
      <c r="I5128" t="s">
        <v>4147</v>
      </c>
      <c r="J5128" t="s">
        <v>4148</v>
      </c>
      <c r="K5128" t="s">
        <v>7557</v>
      </c>
    </row>
    <row r="5129" spans="1:11" ht="20" customHeight="1">
      <c r="A5129" t="s">
        <v>7556</v>
      </c>
      <c r="B5129" t="s">
        <v>4149</v>
      </c>
      <c r="C5129">
        <v>681.4600219726562</v>
      </c>
      <c r="D5129">
        <v>692.3099975585938</v>
      </c>
      <c r="E5129">
        <v>680.8499755859375</v>
      </c>
      <c r="F5129">
        <v>690.6199951171875</v>
      </c>
      <c r="G5129">
        <v>685.267578125</v>
      </c>
      <c r="H5129">
        <v>89127600</v>
      </c>
      <c r="I5129" t="s">
        <v>4150</v>
      </c>
      <c r="J5129" t="s">
        <v>4151</v>
      </c>
      <c r="K5129" t="s">
        <v>7557</v>
      </c>
    </row>
    <row r="5130" spans="1:11" ht="20" customHeight="1">
      <c r="A5130" t="s">
        <v>7556</v>
      </c>
      <c r="B5130" t="s">
        <v>4152</v>
      </c>
      <c r="C5130">
        <v>689.4199829101562</v>
      </c>
      <c r="D5130">
        <v>695.8699951171875</v>
      </c>
      <c r="E5130">
        <v>688.3400268554688</v>
      </c>
      <c r="F5130">
        <v>693.9500122070312</v>
      </c>
      <c r="G5130">
        <v>688.57177734375</v>
      </c>
      <c r="H5130">
        <v>73885200</v>
      </c>
      <c r="I5130" t="s">
        <v>4153</v>
      </c>
      <c r="J5130" t="s">
        <v>4154</v>
      </c>
      <c r="K5130" t="s">
        <v>7557</v>
      </c>
    </row>
    <row r="5131" spans="1:11" ht="20" customHeight="1">
      <c r="A5131" t="s">
        <v>7556</v>
      </c>
      <c r="B5131" t="s">
        <v>4155</v>
      </c>
      <c r="C5131">
        <v>694.9500122070312</v>
      </c>
      <c r="D5131">
        <v>696.5399780273438</v>
      </c>
      <c r="E5131">
        <v>691.6599731445312</v>
      </c>
      <c r="F5131">
        <v>692.1199951171875</v>
      </c>
      <c r="G5131">
        <v>686.7559814453125</v>
      </c>
      <c r="H5131">
        <v>65185700</v>
      </c>
      <c r="I5131" t="s">
        <v>4156</v>
      </c>
      <c r="J5131" t="s">
        <v>4157</v>
      </c>
      <c r="K5131" t="s">
        <v>7557</v>
      </c>
    </row>
    <row r="5132" spans="1:11" ht="20" customHeight="1">
      <c r="A5132" t="s">
        <v>7556</v>
      </c>
      <c r="B5132" t="s">
        <v>4158</v>
      </c>
      <c r="C5132">
        <v>696.3900146484375</v>
      </c>
      <c r="D5132">
        <v>697.1400146484375</v>
      </c>
      <c r="E5132">
        <v>689.1799926757812</v>
      </c>
      <c r="F5132">
        <v>691.9600219726562</v>
      </c>
      <c r="G5132">
        <v>686.5972290039062</v>
      </c>
      <c r="H5132">
        <v>76353900</v>
      </c>
      <c r="I5132" t="s">
        <v>4159</v>
      </c>
      <c r="J5132" t="s">
        <v>4160</v>
      </c>
      <c r="K5132" t="s">
        <v>7557</v>
      </c>
    </row>
    <row r="5133" spans="1:11" ht="20" customHeight="1">
      <c r="A5133" t="s">
        <v>7556</v>
      </c>
      <c r="B5133" t="s">
        <v>4161</v>
      </c>
      <c r="C5133">
        <v>694.239990234375</v>
      </c>
      <c r="D5133">
        <v>695.3499755859375</v>
      </c>
      <c r="E5133">
        <v>680.3699951171875</v>
      </c>
      <c r="F5133">
        <v>681.27001953125</v>
      </c>
      <c r="G5133">
        <v>675.9901123046875</v>
      </c>
      <c r="H5133">
        <v>118829000</v>
      </c>
      <c r="I5133" t="s">
        <v>4162</v>
      </c>
      <c r="J5133" t="s">
        <v>4163</v>
      </c>
      <c r="K5133" t="s">
        <v>7557</v>
      </c>
    </row>
    <row r="5134" spans="1:11" ht="20" customHeight="1">
      <c r="A5134" t="s">
        <v>7556</v>
      </c>
      <c r="B5134" t="s">
        <v>4164</v>
      </c>
      <c r="C5134">
        <v>681.6900024414062</v>
      </c>
      <c r="D5134">
        <v>686.280029296875</v>
      </c>
      <c r="E5134">
        <v>677.52001953125</v>
      </c>
      <c r="F5134">
        <v>681.75</v>
      </c>
      <c r="G5134">
        <v>676.46630859375</v>
      </c>
      <c r="H5134">
        <v>96267500</v>
      </c>
      <c r="I5134" t="s">
        <v>4165</v>
      </c>
      <c r="J5134" t="s">
        <v>4166</v>
      </c>
      <c r="K5134" t="s">
        <v>7557</v>
      </c>
    </row>
    <row r="5135" spans="1:11" ht="20" customHeight="1">
      <c r="A5135" t="s">
        <v>7556</v>
      </c>
      <c r="B5135" t="s">
        <v>4167</v>
      </c>
      <c r="C5135">
        <v>680.1400146484375</v>
      </c>
      <c r="D5135">
        <v>684.9400024414062</v>
      </c>
      <c r="E5135">
        <v>675.780029296875</v>
      </c>
      <c r="F5135">
        <v>682.8499755859375</v>
      </c>
      <c r="G5135">
        <v>677.5578002929688</v>
      </c>
      <c r="H5135">
        <v>81354700</v>
      </c>
      <c r="I5135" t="s">
        <v>4168</v>
      </c>
      <c r="J5135" t="s">
        <v>4169</v>
      </c>
      <c r="K5135" t="s">
        <v>7557</v>
      </c>
    </row>
    <row r="5136" spans="1:11" ht="20" customHeight="1">
      <c r="A5136" t="s">
        <v>7556</v>
      </c>
      <c r="B5136" t="s">
        <v>4170</v>
      </c>
      <c r="C5136">
        <v>684.02001953125</v>
      </c>
      <c r="D5136">
        <v>689.1500244140625</v>
      </c>
      <c r="E5136">
        <v>682.8300170898438</v>
      </c>
      <c r="F5136">
        <v>686.2899780273438</v>
      </c>
      <c r="G5136">
        <v>680.9711303710938</v>
      </c>
      <c r="H5136">
        <v>73570300</v>
      </c>
      <c r="I5136" t="s">
        <v>4171</v>
      </c>
      <c r="J5136" t="s">
        <v>4172</v>
      </c>
      <c r="K5136" t="s">
        <v>7557</v>
      </c>
    </row>
    <row r="5137" spans="1:11" ht="20" customHeight="1">
      <c r="A5137" t="s">
        <v>7556</v>
      </c>
      <c r="B5137" t="s">
        <v>4173</v>
      </c>
      <c r="C5137">
        <v>683.8400268554688</v>
      </c>
      <c r="D5137">
        <v>686.1799926757812</v>
      </c>
      <c r="E5137">
        <v>681.5499877929688</v>
      </c>
      <c r="F5137">
        <v>684.47998046875</v>
      </c>
      <c r="G5137">
        <v>679.1751708984375</v>
      </c>
      <c r="H5137">
        <v>58649400</v>
      </c>
      <c r="I5137" t="s">
        <v>4174</v>
      </c>
      <c r="J5137" t="s">
        <v>4175</v>
      </c>
      <c r="K5137" t="s">
        <v>7557</v>
      </c>
    </row>
    <row r="5138" spans="1:11" ht="20" customHeight="1">
      <c r="A5138" t="s">
        <v>7556</v>
      </c>
      <c r="B5138" t="s">
        <v>4176</v>
      </c>
      <c r="C5138">
        <v>682.3200073242188</v>
      </c>
      <c r="D5138">
        <v>690.0599975585938</v>
      </c>
      <c r="E5138">
        <v>681.72998046875</v>
      </c>
      <c r="F5138">
        <v>689.4299926757812</v>
      </c>
      <c r="G5138">
        <v>684.0867919921875</v>
      </c>
      <c r="H5138">
        <v>100034000</v>
      </c>
      <c r="I5138" t="s">
        <v>4177</v>
      </c>
      <c r="J5138" t="s">
        <v>4178</v>
      </c>
      <c r="K5138" t="s">
        <v>7557</v>
      </c>
    </row>
    <row r="5139" spans="1:11" ht="20" customHeight="1">
      <c r="A5139" t="s">
        <v>7556</v>
      </c>
      <c r="B5139" t="s">
        <v>4179</v>
      </c>
      <c r="C5139">
        <v>687.8300170898438</v>
      </c>
      <c r="D5139">
        <v>690</v>
      </c>
      <c r="E5139">
        <v>680.3699951171875</v>
      </c>
      <c r="F5139">
        <v>682.3900146484375</v>
      </c>
      <c r="G5139">
        <v>677.1013793945312</v>
      </c>
      <c r="H5139">
        <v>90558100</v>
      </c>
      <c r="I5139" t="s">
        <v>4180</v>
      </c>
      <c r="J5139" t="s">
        <v>4181</v>
      </c>
      <c r="K5139" t="s">
        <v>7557</v>
      </c>
    </row>
    <row r="5140" spans="1:11" ht="20" customHeight="1">
      <c r="A5140" t="s">
        <v>7556</v>
      </c>
      <c r="B5140" t="s">
        <v>4182</v>
      </c>
      <c r="C5140">
        <v>681.9000244140625</v>
      </c>
      <c r="D5140">
        <v>688.3499755859375</v>
      </c>
      <c r="E5140">
        <v>680</v>
      </c>
      <c r="F5140">
        <v>687.3499755859375</v>
      </c>
      <c r="G5140">
        <v>682.0228881835938</v>
      </c>
      <c r="H5140">
        <v>73798700</v>
      </c>
      <c r="I5140" t="s">
        <v>4183</v>
      </c>
      <c r="J5140" t="s">
        <v>4184</v>
      </c>
      <c r="K5140" t="s">
        <v>7557</v>
      </c>
    </row>
    <row r="5141" spans="1:11" ht="20" customHeight="1">
      <c r="A5141" t="s">
        <v>7556</v>
      </c>
      <c r="B5141" t="s">
        <v>4185</v>
      </c>
      <c r="C5141">
        <v>690.1799926757812</v>
      </c>
      <c r="D5141">
        <v>693.6799926757812</v>
      </c>
      <c r="E5141">
        <v>690.0999755859375</v>
      </c>
      <c r="F5141">
        <v>693.1500244140625</v>
      </c>
      <c r="G5141">
        <v>687.778076171875</v>
      </c>
      <c r="H5141">
        <v>56369500</v>
      </c>
      <c r="I5141" t="s">
        <v>4186</v>
      </c>
      <c r="J5141" t="s">
        <v>4187</v>
      </c>
      <c r="K5141" t="s">
        <v>7557</v>
      </c>
    </row>
    <row r="5142" spans="1:11" ht="20" customHeight="1">
      <c r="A5142" t="s">
        <v>7556</v>
      </c>
      <c r="B5142" t="s">
        <v>4188</v>
      </c>
      <c r="C5142">
        <v>693.280029296875</v>
      </c>
      <c r="D5142">
        <v>693.2999877929688</v>
      </c>
      <c r="E5142">
        <v>684.3499755859375</v>
      </c>
      <c r="F5142">
        <v>689.2999877929688</v>
      </c>
      <c r="G5142">
        <v>683.9578247070312</v>
      </c>
      <c r="H5142">
        <v>71671000</v>
      </c>
      <c r="I5142" t="s">
        <v>4189</v>
      </c>
      <c r="J5142" t="s">
        <v>4190</v>
      </c>
      <c r="K5142" t="s">
        <v>7557</v>
      </c>
    </row>
    <row r="5143" spans="1:11" ht="20" customHeight="1">
      <c r="A5143" t="s">
        <v>7556</v>
      </c>
      <c r="B5143" t="s">
        <v>4191</v>
      </c>
      <c r="C5143">
        <v>683.0900268554688</v>
      </c>
      <c r="D5143">
        <v>686.8599853515625</v>
      </c>
      <c r="E5143">
        <v>681.6400146484375</v>
      </c>
      <c r="F5143">
        <v>685.989990234375</v>
      </c>
      <c r="G5143">
        <v>680.6734619140625</v>
      </c>
      <c r="H5143">
        <v>83308900</v>
      </c>
      <c r="I5143" t="s">
        <v>4192</v>
      </c>
      <c r="J5143" t="s">
        <v>4193</v>
      </c>
      <c r="K5143" t="s">
        <v>7557</v>
      </c>
    </row>
    <row r="5144" spans="1:11" ht="20" customHeight="1">
      <c r="A5144" t="s">
        <v>7556</v>
      </c>
      <c r="B5144" t="s">
        <v>4194</v>
      </c>
      <c r="C5144">
        <v>678.7000122070312</v>
      </c>
      <c r="D5144">
        <v>688.6199951171875</v>
      </c>
      <c r="E5144">
        <v>678.02001953125</v>
      </c>
      <c r="F5144">
        <v>686.3800048828125</v>
      </c>
      <c r="G5144">
        <v>681.0604858398438</v>
      </c>
      <c r="H5144">
        <v>87477200</v>
      </c>
      <c r="I5144" t="s">
        <v>4195</v>
      </c>
      <c r="J5144" t="s">
        <v>4196</v>
      </c>
      <c r="K5144" t="s">
        <v>7557</v>
      </c>
    </row>
    <row r="5145" spans="1:11" ht="20" customHeight="1">
      <c r="A5145" t="s">
        <v>7556</v>
      </c>
      <c r="B5145" t="s">
        <v>4197</v>
      </c>
      <c r="C5145">
        <v>675.0599975585938</v>
      </c>
      <c r="D5145">
        <v>682.6099853515625</v>
      </c>
      <c r="E5145">
        <v>669.6599731445312</v>
      </c>
      <c r="F5145">
        <v>680.3300170898438</v>
      </c>
      <c r="G5145">
        <v>675.057373046875</v>
      </c>
      <c r="H5145">
        <v>105003100</v>
      </c>
      <c r="I5145" t="s">
        <v>4198</v>
      </c>
      <c r="J5145" t="s">
        <v>4199</v>
      </c>
      <c r="K5145" t="s">
        <v>7557</v>
      </c>
    </row>
    <row r="5146" spans="1:11" ht="20" customHeight="1">
      <c r="A5146" t="s">
        <v>7556</v>
      </c>
      <c r="B5146" t="s">
        <v>4200</v>
      </c>
      <c r="C5146">
        <v>681.6300048828125</v>
      </c>
      <c r="D5146">
        <v>687.0900268554688</v>
      </c>
      <c r="E5146">
        <v>679.6199951171875</v>
      </c>
      <c r="F5146">
        <v>685.1300048828125</v>
      </c>
      <c r="G5146">
        <v>679.820068359375</v>
      </c>
      <c r="H5146">
        <v>79182200</v>
      </c>
      <c r="I5146" t="s">
        <v>4201</v>
      </c>
      <c r="J5146" t="s">
        <v>4202</v>
      </c>
      <c r="K5146" t="s">
        <v>7557</v>
      </c>
    </row>
    <row r="5147" spans="1:11" ht="20" customHeight="1">
      <c r="A5147" t="s">
        <v>7556</v>
      </c>
      <c r="B5147" t="s">
        <v>4203</v>
      </c>
      <c r="C5147">
        <v>682.0800170898438</v>
      </c>
      <c r="D5147">
        <v>685.530029296875</v>
      </c>
      <c r="E5147">
        <v>675.6099853515625</v>
      </c>
      <c r="F5147">
        <v>681.3099975585938</v>
      </c>
      <c r="G5147">
        <v>676.0297241210938</v>
      </c>
      <c r="H5147">
        <v>106606500</v>
      </c>
      <c r="I5147" t="s">
        <v>4204</v>
      </c>
      <c r="J5147" t="s">
        <v>4205</v>
      </c>
      <c r="K5147" t="s">
        <v>7557</v>
      </c>
    </row>
    <row r="5148" spans="1:11" ht="20" customHeight="1">
      <c r="A5148" t="s">
        <v>7556</v>
      </c>
      <c r="B5148" t="s">
        <v>4206</v>
      </c>
      <c r="C5148">
        <v>673.4099731445312</v>
      </c>
      <c r="D5148">
        <v>676.1099853515625</v>
      </c>
      <c r="E5148">
        <v>669.760009765625</v>
      </c>
      <c r="F5148">
        <v>672.3800048828125</v>
      </c>
      <c r="G5148">
        <v>667.1688842773438</v>
      </c>
      <c r="H5148">
        <v>100687000</v>
      </c>
      <c r="I5148" t="s">
        <v>4207</v>
      </c>
      <c r="J5148" t="s">
        <v>4208</v>
      </c>
      <c r="K5148" t="s">
        <v>7557</v>
      </c>
    </row>
    <row r="5149" spans="1:11" ht="20" customHeight="1">
      <c r="A5149" t="s">
        <v>7556</v>
      </c>
      <c r="B5149" t="s">
        <v>4209</v>
      </c>
      <c r="C5149">
        <v>666.3900146484375</v>
      </c>
      <c r="D5149">
        <v>679.9199829101562</v>
      </c>
      <c r="E5149">
        <v>662.3900146484375</v>
      </c>
      <c r="F5149">
        <v>678.27001953125</v>
      </c>
      <c r="G5149">
        <v>673.0133666992188</v>
      </c>
      <c r="H5149">
        <v>102667700</v>
      </c>
      <c r="I5149" t="s">
        <v>4210</v>
      </c>
      <c r="J5149" t="s">
        <v>4211</v>
      </c>
      <c r="K5149" t="s">
        <v>7557</v>
      </c>
    </row>
    <row r="5150" spans="1:11" ht="20" customHeight="1">
      <c r="A5150" t="s">
        <v>7556</v>
      </c>
      <c r="B5150" t="s">
        <v>4212</v>
      </c>
      <c r="C5150">
        <v>677.719970703125</v>
      </c>
      <c r="D5150">
        <v>683.3599853515625</v>
      </c>
      <c r="E5150">
        <v>674.760009765625</v>
      </c>
      <c r="F5150">
        <v>677.1799926757812</v>
      </c>
      <c r="G5150">
        <v>671.9317016601562</v>
      </c>
      <c r="H5150">
        <v>81505300</v>
      </c>
      <c r="I5150" t="s">
        <v>4213</v>
      </c>
      <c r="J5150" t="s">
        <v>4214</v>
      </c>
      <c r="K5150" t="s">
        <v>7557</v>
      </c>
    </row>
    <row r="5151" spans="1:11" ht="20" customHeight="1">
      <c r="A5151" t="s">
        <v>7556</v>
      </c>
      <c r="B5151" t="s">
        <v>4215</v>
      </c>
      <c r="C5151">
        <v>677.5800170898438</v>
      </c>
      <c r="D5151">
        <v>680.0800170898438</v>
      </c>
      <c r="E5151">
        <v>673.3400268554688</v>
      </c>
      <c r="F5151">
        <v>676.3300170898438</v>
      </c>
      <c r="G5151">
        <v>671.08837890625</v>
      </c>
      <c r="H5151">
        <v>68441700</v>
      </c>
      <c r="I5151" t="s">
        <v>4216</v>
      </c>
      <c r="J5151" t="s">
        <v>4217</v>
      </c>
      <c r="K5151" t="s">
        <v>7557</v>
      </c>
    </row>
    <row r="5152" spans="1:11" ht="20" customHeight="1">
      <c r="A5152" t="s">
        <v>7556</v>
      </c>
      <c r="B5152" t="s">
        <v>4218</v>
      </c>
      <c r="C5152">
        <v>671.1599731445312</v>
      </c>
      <c r="D5152">
        <v>671.6500244140625</v>
      </c>
      <c r="E5152">
        <v>665.8699951171875</v>
      </c>
      <c r="F5152">
        <v>666.0599975585938</v>
      </c>
      <c r="G5152">
        <v>660.8978881835938</v>
      </c>
      <c r="H5152">
        <v>108882200</v>
      </c>
      <c r="I5152" t="s">
        <v>4219</v>
      </c>
      <c r="J5152" t="s">
        <v>4220</v>
      </c>
      <c r="K5152" t="s">
        <v>7557</v>
      </c>
    </row>
    <row r="5153" spans="1:11" ht="20" customHeight="1">
      <c r="A5153" t="s">
        <v>7556</v>
      </c>
      <c r="B5153" t="s">
        <v>4221</v>
      </c>
      <c r="C5153">
        <v>669.27001953125</v>
      </c>
      <c r="D5153">
        <v>672.3400268554688</v>
      </c>
      <c r="E5153">
        <v>661.3599853515625</v>
      </c>
      <c r="F5153">
        <v>662.2899780273438</v>
      </c>
      <c r="G5153">
        <v>657.1571655273438</v>
      </c>
      <c r="H5153">
        <v>97200200</v>
      </c>
      <c r="I5153" t="s">
        <v>4222</v>
      </c>
      <c r="J5153" t="s">
        <v>4223</v>
      </c>
      <c r="K5153" t="s">
        <v>7557</v>
      </c>
    </row>
    <row r="5154" spans="1:11" ht="20" customHeight="1">
      <c r="A5154" t="s">
        <v>7556</v>
      </c>
      <c r="B5154" t="s">
        <v>4224</v>
      </c>
      <c r="C5154">
        <v>668.3800048828125</v>
      </c>
      <c r="D5154">
        <v>672.0700073242188</v>
      </c>
      <c r="E5154">
        <v>667.1199951171875</v>
      </c>
      <c r="F5154">
        <v>669.030029296875</v>
      </c>
      <c r="G5154">
        <v>663.844970703125</v>
      </c>
      <c r="H5154">
        <v>82023100</v>
      </c>
      <c r="I5154" t="s">
        <v>4225</v>
      </c>
      <c r="J5154" t="s">
        <v>4226</v>
      </c>
      <c r="K5154" t="s">
        <v>7557</v>
      </c>
    </row>
    <row r="5155" spans="1:11" ht="20" customHeight="1">
      <c r="A5155" t="s">
        <v>7556</v>
      </c>
      <c r="B5155" t="s">
        <v>4227</v>
      </c>
      <c r="C5155">
        <v>672.3900146484375</v>
      </c>
      <c r="D5155">
        <v>674.4400024414062</v>
      </c>
      <c r="E5155">
        <v>669.7000122070312</v>
      </c>
      <c r="F5155">
        <v>670.7899780273438</v>
      </c>
      <c r="G5155">
        <v>665.5912475585938</v>
      </c>
      <c r="H5155">
        <v>87128000</v>
      </c>
      <c r="I5155" t="s">
        <v>4228</v>
      </c>
      <c r="J5155" t="s">
        <v>4229</v>
      </c>
      <c r="K5155" t="s">
        <v>7557</v>
      </c>
    </row>
    <row r="5156" spans="1:11" ht="20" customHeight="1">
      <c r="A5156" t="s">
        <v>7556</v>
      </c>
      <c r="B5156" t="s">
        <v>4230</v>
      </c>
      <c r="C5156">
        <v>668.3599853515625</v>
      </c>
      <c r="D5156">
        <v>669.719970703125</v>
      </c>
      <c r="E5156">
        <v>661.1900024414062</v>
      </c>
      <c r="F5156">
        <v>661.4299926757812</v>
      </c>
      <c r="G5156">
        <v>656.3038330078125</v>
      </c>
      <c r="H5156">
        <v>82062600</v>
      </c>
      <c r="I5156" t="s">
        <v>4231</v>
      </c>
      <c r="J5156" t="s">
        <v>4232</v>
      </c>
      <c r="K5156" t="s">
        <v>7557</v>
      </c>
    </row>
    <row r="5157" spans="1:11" ht="20" customHeight="1">
      <c r="A5157" t="s">
        <v>7556</v>
      </c>
      <c r="B5157" t="s">
        <v>4233</v>
      </c>
      <c r="C5157">
        <v>656.969970703125</v>
      </c>
      <c r="D5157">
        <v>662.97998046875</v>
      </c>
      <c r="E5157">
        <v>655.1699829101562</v>
      </c>
      <c r="F5157">
        <v>659.7999877929688</v>
      </c>
      <c r="G5157">
        <v>654.6864624023438</v>
      </c>
      <c r="H5157">
        <v>111272500</v>
      </c>
      <c r="I5157" t="s">
        <v>4234</v>
      </c>
      <c r="J5157" t="s">
        <v>4235</v>
      </c>
      <c r="K5157" t="s">
        <v>7557</v>
      </c>
    </row>
    <row r="5158" spans="1:11" ht="20" customHeight="1">
      <c r="A5158" t="s">
        <v>7556</v>
      </c>
      <c r="B5158" t="s">
        <v>4236</v>
      </c>
      <c r="C5158">
        <v>656.510009765625</v>
      </c>
      <c r="D5158">
        <v>656.6900024414062</v>
      </c>
      <c r="E5158">
        <v>644.719970703125</v>
      </c>
      <c r="F5158">
        <v>648.5700073242188</v>
      </c>
      <c r="G5158">
        <v>645.3009643554688</v>
      </c>
      <c r="H5158">
        <v>163617500</v>
      </c>
      <c r="I5158" t="s">
        <v>4237</v>
      </c>
      <c r="J5158" t="s">
        <v>4238</v>
      </c>
      <c r="K5158" t="s">
        <v>7557</v>
      </c>
    </row>
    <row r="5159" spans="1:11" ht="20" customHeight="1">
      <c r="A5159" t="s">
        <v>7556</v>
      </c>
      <c r="B5159" t="s">
        <v>4239</v>
      </c>
      <c r="C5159">
        <v>658.0700073242188</v>
      </c>
      <c r="D5159">
        <v>662.6199951171875</v>
      </c>
      <c r="E5159">
        <v>653.9400024414062</v>
      </c>
      <c r="F5159">
        <v>655.3800048828125</v>
      </c>
      <c r="G5159">
        <v>652.07666015625</v>
      </c>
      <c r="H5159">
        <v>134802700</v>
      </c>
      <c r="I5159" t="s">
        <v>4240</v>
      </c>
      <c r="J5159" t="s">
        <v>4241</v>
      </c>
      <c r="K5159" t="s">
        <v>7557</v>
      </c>
    </row>
    <row r="5160" spans="1:11" ht="20" customHeight="1">
      <c r="A5160" t="s">
        <v>7556</v>
      </c>
      <c r="B5160" t="s">
        <v>4242</v>
      </c>
      <c r="C5160">
        <v>651.3200073242188</v>
      </c>
      <c r="D5160">
        <v>657.030029296875</v>
      </c>
      <c r="E5160">
        <v>649.8800048828125</v>
      </c>
      <c r="F5160">
        <v>653.1799926757812</v>
      </c>
      <c r="G5160">
        <v>649.8877563476562</v>
      </c>
      <c r="H5160">
        <v>96457500</v>
      </c>
      <c r="I5160" t="s">
        <v>4243</v>
      </c>
      <c r="J5160" t="s">
        <v>4244</v>
      </c>
      <c r="K5160" t="s">
        <v>7557</v>
      </c>
    </row>
    <row r="5161" spans="1:11" ht="20" customHeight="1">
      <c r="A5161" t="s">
        <v>7556</v>
      </c>
      <c r="B5161" t="s">
        <v>4245</v>
      </c>
      <c r="C5161">
        <v>658.6699829101562</v>
      </c>
      <c r="D5161">
        <v>660.8900146484375</v>
      </c>
      <c r="E5161">
        <v>654.239990234375</v>
      </c>
      <c r="F5161">
        <v>656.8200073242188</v>
      </c>
      <c r="G5161">
        <v>653.5094604492188</v>
      </c>
      <c r="H5161">
        <v>90653800</v>
      </c>
      <c r="I5161" t="s">
        <v>4246</v>
      </c>
      <c r="J5161" t="s">
        <v>4247</v>
      </c>
      <c r="K5161" t="s">
        <v>7557</v>
      </c>
    </row>
    <row r="5162" spans="1:11" ht="20" customHeight="1">
      <c r="A5162" t="s">
        <v>7556</v>
      </c>
      <c r="B5162" t="s">
        <v>4248</v>
      </c>
      <c r="C5162">
        <v>652.0599975585938</v>
      </c>
      <c r="D5162">
        <v>654.8499755859375</v>
      </c>
      <c r="E5162">
        <v>644.8200073242188</v>
      </c>
      <c r="F5162">
        <v>645.0900268554688</v>
      </c>
      <c r="G5162">
        <v>641.838623046875</v>
      </c>
      <c r="H5162">
        <v>96494400</v>
      </c>
      <c r="I5162" t="s">
        <v>4249</v>
      </c>
      <c r="J5162" t="s">
        <v>4250</v>
      </c>
      <c r="K5162" t="s">
        <v>7557</v>
      </c>
    </row>
    <row r="5163" spans="1:11" ht="20" customHeight="1">
      <c r="A5163" t="s">
        <v>7556</v>
      </c>
      <c r="B5163" t="s">
        <v>4251</v>
      </c>
      <c r="C5163">
        <v>642.5</v>
      </c>
      <c r="D5163">
        <v>642.6599731445312</v>
      </c>
      <c r="E5163">
        <v>633.1099853515625</v>
      </c>
      <c r="F5163">
        <v>634.0900268554688</v>
      </c>
      <c r="G5163">
        <v>630.89404296875</v>
      </c>
      <c r="H5163">
        <v>103649400</v>
      </c>
      <c r="I5163" t="s">
        <v>4252</v>
      </c>
      <c r="J5163" t="s">
        <v>4253</v>
      </c>
      <c r="K5163" t="s">
        <v>7557</v>
      </c>
    </row>
    <row r="5164" spans="1:11" ht="20" customHeight="1">
      <c r="A5164" t="s">
        <v>7556</v>
      </c>
      <c r="B5164" t="s">
        <v>4254</v>
      </c>
      <c r="C5164">
        <v>640.1099853515625</v>
      </c>
      <c r="D5164">
        <v>640.3699951171875</v>
      </c>
      <c r="E5164">
        <v>629.280029296875</v>
      </c>
      <c r="F5164">
        <v>631.969970703125</v>
      </c>
      <c r="G5164">
        <v>628.78466796875</v>
      </c>
      <c r="H5164">
        <v>99275900</v>
      </c>
      <c r="I5164" t="s">
        <v>4255</v>
      </c>
      <c r="J5164" t="s">
        <v>4256</v>
      </c>
      <c r="K5164" t="s">
        <v>7557</v>
      </c>
    </row>
    <row r="5165" spans="1:11" ht="20" customHeight="1">
      <c r="A5165" t="s">
        <v>7556</v>
      </c>
      <c r="B5165" t="s">
        <v>4257</v>
      </c>
      <c r="C5165">
        <v>638.9400024414062</v>
      </c>
      <c r="D5165">
        <v>651.5399780273438</v>
      </c>
      <c r="E5165">
        <v>637.97998046875</v>
      </c>
      <c r="F5165">
        <v>650.3400268554688</v>
      </c>
      <c r="G5165">
        <v>647.0621337890625</v>
      </c>
      <c r="H5165">
        <v>152534100</v>
      </c>
      <c r="I5165" t="s">
        <v>4258</v>
      </c>
      <c r="J5165" t="s">
        <v>4259</v>
      </c>
      <c r="K5165" t="s">
        <v>7557</v>
      </c>
    </row>
    <row r="5166" spans="1:11" ht="20" customHeight="1">
      <c r="A5166" t="s">
        <v>7556</v>
      </c>
      <c r="B5166" t="s">
        <v>4260</v>
      </c>
      <c r="C5166">
        <v>653.9000244140625</v>
      </c>
      <c r="D5166">
        <v>658.52001953125</v>
      </c>
      <c r="E5166">
        <v>653</v>
      </c>
      <c r="F5166">
        <v>655.239990234375</v>
      </c>
      <c r="G5166">
        <v>651.9373779296875</v>
      </c>
      <c r="H5166">
        <v>97841500</v>
      </c>
      <c r="I5166" t="s">
        <v>4261</v>
      </c>
      <c r="J5166" t="s">
        <v>4262</v>
      </c>
      <c r="K5166" t="s">
        <v>7557</v>
      </c>
    </row>
    <row r="5167" spans="1:11" ht="20" customHeight="1">
      <c r="A5167" t="s">
        <v>7556</v>
      </c>
      <c r="B5167" t="s">
        <v>4263</v>
      </c>
      <c r="C5167">
        <v>646.4199829101562</v>
      </c>
      <c r="D5167">
        <v>658.2000122070312</v>
      </c>
      <c r="E5167">
        <v>645.1099853515625</v>
      </c>
      <c r="F5167">
        <v>655.8300170898438</v>
      </c>
      <c r="G5167">
        <v>652.5244750976562</v>
      </c>
      <c r="H5167">
        <v>68358700</v>
      </c>
      <c r="I5167" t="s">
        <v>4264</v>
      </c>
      <c r="J5167" t="s">
        <v>4265</v>
      </c>
      <c r="K5167" t="s">
        <v>7557</v>
      </c>
    </row>
    <row r="5168" spans="1:11" ht="20" customHeight="1">
      <c r="A5168" t="s">
        <v>7556</v>
      </c>
      <c r="B5168" t="s">
        <v>4266</v>
      </c>
      <c r="C5168">
        <v>655.8599853515625</v>
      </c>
      <c r="D5168">
        <v>659.719970703125</v>
      </c>
      <c r="E5168">
        <v>655.52001953125</v>
      </c>
      <c r="F5168">
        <v>658.9299926757812</v>
      </c>
      <c r="G5168">
        <v>655.6087646484375</v>
      </c>
      <c r="H5168">
        <v>39105800</v>
      </c>
      <c r="I5168" t="s">
        <v>4267</v>
      </c>
      <c r="J5168" t="s">
        <v>4268</v>
      </c>
      <c r="K5168" t="s">
        <v>7557</v>
      </c>
    </row>
    <row r="5169" spans="1:11" ht="20" customHeight="1">
      <c r="A5169" t="s">
        <v>7556</v>
      </c>
      <c r="B5169" t="s">
        <v>4269</v>
      </c>
      <c r="C5169">
        <v>656.6500244140625</v>
      </c>
      <c r="D5169">
        <v>659.6099853515625</v>
      </c>
      <c r="E5169">
        <v>651.0599975585938</v>
      </c>
      <c r="F5169">
        <v>659.219970703125</v>
      </c>
      <c r="G5169">
        <v>655.8972778320312</v>
      </c>
      <c r="H5169">
        <v>69980400</v>
      </c>
      <c r="I5169" t="s">
        <v>4270</v>
      </c>
      <c r="J5169" t="s">
        <v>4271</v>
      </c>
      <c r="K5169" t="s">
        <v>7557</v>
      </c>
    </row>
    <row r="5170" spans="1:11" ht="20" customHeight="1">
      <c r="A5170" t="s">
        <v>7556</v>
      </c>
      <c r="B5170" t="s">
        <v>4272</v>
      </c>
      <c r="C5170">
        <v>676.3900146484375</v>
      </c>
      <c r="D5170">
        <v>677.0800170898438</v>
      </c>
      <c r="E5170">
        <v>671.4600219726562</v>
      </c>
      <c r="F5170">
        <v>676.010009765625</v>
      </c>
      <c r="G5170">
        <v>672.6027221679688</v>
      </c>
      <c r="H5170">
        <v>93606100</v>
      </c>
      <c r="I5170" t="s">
        <v>4273</v>
      </c>
      <c r="J5170" t="s">
        <v>4274</v>
      </c>
      <c r="K5170" t="s">
        <v>7557</v>
      </c>
    </row>
    <row r="5171" spans="1:11" ht="20" customHeight="1">
      <c r="A5171" t="s">
        <v>7556</v>
      </c>
      <c r="B5171" t="s">
        <v>4275</v>
      </c>
      <c r="C5171">
        <v>674.8400268554688</v>
      </c>
      <c r="D5171">
        <v>681.1599731445312</v>
      </c>
      <c r="E5171">
        <v>673.77001953125</v>
      </c>
      <c r="F5171">
        <v>679.9099731445312</v>
      </c>
      <c r="G5171">
        <v>676.4830322265625</v>
      </c>
      <c r="H5171">
        <v>57134400</v>
      </c>
      <c r="I5171" t="s">
        <v>4276</v>
      </c>
      <c r="J5171" t="s">
        <v>4277</v>
      </c>
      <c r="K5171" t="s">
        <v>7557</v>
      </c>
    </row>
    <row r="5172" spans="1:11" ht="20" customHeight="1">
      <c r="A5172" t="s">
        <v>7556</v>
      </c>
      <c r="B5172" t="s">
        <v>4278</v>
      </c>
      <c r="C5172">
        <v>681.3200073242188</v>
      </c>
      <c r="D5172">
        <v>682.030029296875</v>
      </c>
      <c r="E5172">
        <v>678.4500122070312</v>
      </c>
      <c r="F5172">
        <v>679.4600219726562</v>
      </c>
      <c r="G5172">
        <v>676.0353393554688</v>
      </c>
      <c r="H5172">
        <v>42253500</v>
      </c>
      <c r="I5172" t="s">
        <v>4279</v>
      </c>
      <c r="J5172" t="s">
        <v>4280</v>
      </c>
      <c r="K5172" t="s">
        <v>7557</v>
      </c>
    </row>
    <row r="5173" spans="1:11" ht="20" customHeight="1">
      <c r="A5173" t="s">
        <v>7556</v>
      </c>
      <c r="B5173" t="s">
        <v>4281</v>
      </c>
      <c r="C5173">
        <v>677.4099731445312</v>
      </c>
      <c r="D5173">
        <v>686.2999877929688</v>
      </c>
      <c r="E5173">
        <v>676.5800170898438</v>
      </c>
      <c r="F5173">
        <v>686.0999755859375</v>
      </c>
      <c r="G5173">
        <v>682.6417846679688</v>
      </c>
      <c r="H5173">
        <v>54185800</v>
      </c>
      <c r="I5173" t="s">
        <v>4282</v>
      </c>
      <c r="J5173" t="s">
        <v>4283</v>
      </c>
      <c r="K5173" t="s">
        <v>7557</v>
      </c>
    </row>
    <row r="5174" spans="1:11" ht="20" customHeight="1">
      <c r="A5174" t="s">
        <v>7556</v>
      </c>
      <c r="B5174" t="s">
        <v>4284</v>
      </c>
      <c r="C5174">
        <v>687.6900024414062</v>
      </c>
      <c r="D5174">
        <v>694.5800170898438</v>
      </c>
      <c r="E5174">
        <v>687.6599731445312</v>
      </c>
      <c r="F5174">
        <v>694.4600219726562</v>
      </c>
      <c r="G5174">
        <v>690.959716796875</v>
      </c>
      <c r="H5174">
        <v>63480500</v>
      </c>
      <c r="I5174" t="s">
        <v>4285</v>
      </c>
      <c r="J5174" t="s">
        <v>4286</v>
      </c>
      <c r="K5174" t="s">
        <v>7557</v>
      </c>
    </row>
    <row r="5175" spans="1:11" ht="20" customHeight="1">
      <c r="A5175" t="s">
        <v>7556</v>
      </c>
      <c r="B5175" t="s">
        <v>4287</v>
      </c>
      <c r="C5175">
        <v>695.260009765625</v>
      </c>
      <c r="D5175">
        <v>700.280029296875</v>
      </c>
      <c r="E5175">
        <v>694.2000122070312</v>
      </c>
      <c r="F5175">
        <v>699.9400024414062</v>
      </c>
      <c r="G5175">
        <v>696.412109375</v>
      </c>
      <c r="H5175">
        <v>58240400</v>
      </c>
      <c r="I5175" t="s">
        <v>4288</v>
      </c>
      <c r="J5175" t="s">
        <v>4289</v>
      </c>
      <c r="K5175" t="s">
        <v>7557</v>
      </c>
    </row>
    <row r="5176" spans="1:11" ht="20" customHeight="1">
      <c r="A5176" t="s">
        <v>7556</v>
      </c>
      <c r="B5176" t="s">
        <v>4290</v>
      </c>
      <c r="C5176">
        <v>701.0599975585938</v>
      </c>
      <c r="D5176">
        <v>702.780029296875</v>
      </c>
      <c r="E5176">
        <v>698.530029296875</v>
      </c>
      <c r="F5176">
        <v>701.6599731445312</v>
      </c>
      <c r="G5176">
        <v>698.1234130859375</v>
      </c>
      <c r="H5176">
        <v>49972400</v>
      </c>
      <c r="I5176" t="s">
        <v>4291</v>
      </c>
      <c r="J5176" t="s">
        <v>4292</v>
      </c>
      <c r="K5176" t="s">
        <v>7557</v>
      </c>
    </row>
    <row r="5177" spans="1:11" ht="20" customHeight="1">
      <c r="A5177" t="s">
        <v>7556</v>
      </c>
      <c r="B5177" t="s">
        <v>4293</v>
      </c>
      <c r="C5177">
        <v>706.1400146484375</v>
      </c>
      <c r="D5177">
        <v>712.3900146484375</v>
      </c>
      <c r="E5177">
        <v>705.760009765625</v>
      </c>
      <c r="F5177">
        <v>710.1400146484375</v>
      </c>
      <c r="G5177">
        <v>706.5607299804688</v>
      </c>
      <c r="H5177">
        <v>70661900</v>
      </c>
      <c r="I5177" t="s">
        <v>4294</v>
      </c>
      <c r="J5177" t="s">
        <v>4295</v>
      </c>
      <c r="K5177" t="s">
        <v>7557</v>
      </c>
    </row>
    <row r="5178" spans="1:11" ht="20" customHeight="1">
      <c r="A5178" t="s">
        <v>7556</v>
      </c>
      <c r="B5178" t="s">
        <v>4296</v>
      </c>
      <c r="C5178">
        <v>708.780029296875</v>
      </c>
      <c r="D5178">
        <v>709.9099731445312</v>
      </c>
      <c r="E5178">
        <v>706.1400146484375</v>
      </c>
      <c r="F5178">
        <v>708.719970703125</v>
      </c>
      <c r="G5178">
        <v>705.1477661132812</v>
      </c>
      <c r="H5178">
        <v>43546800</v>
      </c>
      <c r="I5178" t="s">
        <v>4297</v>
      </c>
      <c r="J5178" t="s">
        <v>4298</v>
      </c>
      <c r="K5178" t="s">
        <v>7557</v>
      </c>
    </row>
    <row r="5179" spans="1:11" ht="20" customHeight="1">
      <c r="A5179" t="s">
        <v>7556</v>
      </c>
      <c r="B5179" t="s">
        <v>4299</v>
      </c>
      <c r="C5179">
        <v>710.280029296875</v>
      </c>
      <c r="D5179">
        <v>711.280029296875</v>
      </c>
      <c r="E5179">
        <v>702.6400146484375</v>
      </c>
      <c r="F5179">
        <v>704.0800170898438</v>
      </c>
      <c r="G5179">
        <v>700.53125</v>
      </c>
      <c r="H5179">
        <v>58941400</v>
      </c>
      <c r="I5179" t="s">
        <v>4300</v>
      </c>
      <c r="J5179" t="s">
        <v>4301</v>
      </c>
      <c r="K5179" t="s">
        <v>7557</v>
      </c>
    </row>
    <row r="5180" spans="1:11" ht="20" customHeight="1">
      <c r="A5180" t="s">
        <v>7556</v>
      </c>
      <c r="B5180" t="s">
        <v>4302</v>
      </c>
      <c r="C5180">
        <v>709.1500244140625</v>
      </c>
      <c r="D5180">
        <v>711.4500122070312</v>
      </c>
      <c r="E5180">
        <v>708.219970703125</v>
      </c>
      <c r="F5180">
        <v>711.2100219726562</v>
      </c>
      <c r="G5180">
        <v>707.6253051757812</v>
      </c>
      <c r="H5180">
        <v>42518500</v>
      </c>
      <c r="I5180" t="s">
        <v>4303</v>
      </c>
      <c r="J5180" t="s">
        <v>4304</v>
      </c>
      <c r="K5180" t="s">
        <v>7557</v>
      </c>
    </row>
    <row r="5181" spans="1:11" ht="20" customHeight="1">
      <c r="A5181" t="s">
        <v>7556</v>
      </c>
      <c r="B5181" t="s">
        <v>4305</v>
      </c>
      <c r="C5181">
        <v>709.5</v>
      </c>
      <c r="D5181">
        <v>712.3599853515625</v>
      </c>
      <c r="E5181">
        <v>702.280029296875</v>
      </c>
      <c r="F5181">
        <v>708.4500122070312</v>
      </c>
      <c r="G5181">
        <v>704.8792114257812</v>
      </c>
      <c r="H5181">
        <v>56174000</v>
      </c>
      <c r="I5181" t="s">
        <v>4306</v>
      </c>
      <c r="J5181" t="s">
        <v>4307</v>
      </c>
      <c r="K5181" t="s">
        <v>7557</v>
      </c>
    </row>
    <row r="5182" spans="1:11" ht="20" customHeight="1">
      <c r="A5182" t="s">
        <v>7556</v>
      </c>
      <c r="B5182" t="s">
        <v>4308</v>
      </c>
      <c r="C5182">
        <v>710.75</v>
      </c>
      <c r="D5182">
        <v>714.469970703125</v>
      </c>
      <c r="E5182">
        <v>709.010009765625</v>
      </c>
      <c r="F5182">
        <v>713.9400024414062</v>
      </c>
      <c r="G5182">
        <v>710.3414916992188</v>
      </c>
      <c r="H5182">
        <v>45182000</v>
      </c>
      <c r="I5182" t="s">
        <v>4309</v>
      </c>
      <c r="J5182" t="s">
        <v>4310</v>
      </c>
      <c r="K5182" t="s">
        <v>7557</v>
      </c>
    </row>
    <row r="5183" spans="1:11" ht="20" customHeight="1">
      <c r="A5183" t="s">
        <v>7556</v>
      </c>
      <c r="B5183" t="s">
        <v>4311</v>
      </c>
      <c r="C5183">
        <v>713.1699829101562</v>
      </c>
      <c r="D5183">
        <v>715.6300048828125</v>
      </c>
      <c r="E5183">
        <v>712.2999877929688</v>
      </c>
      <c r="F5183">
        <v>715.1699829101562</v>
      </c>
      <c r="G5183">
        <v>711.5653686523438</v>
      </c>
      <c r="H5183">
        <v>33135900</v>
      </c>
      <c r="I5183" t="s">
        <v>4312</v>
      </c>
      <c r="J5183" t="s">
        <v>4313</v>
      </c>
      <c r="K5183" t="s">
        <v>7557</v>
      </c>
    </row>
    <row r="5184" spans="1:11" ht="20" customHeight="1">
      <c r="A5184" t="s">
        <v>7556</v>
      </c>
      <c r="B5184" t="s">
        <v>4314</v>
      </c>
      <c r="C5184">
        <v>711.8200073242188</v>
      </c>
      <c r="D5184">
        <v>712.8800048828125</v>
      </c>
      <c r="E5184">
        <v>709.25</v>
      </c>
      <c r="F5184">
        <v>711.6900024414062</v>
      </c>
      <c r="G5184">
        <v>708.1029052734375</v>
      </c>
      <c r="H5184">
        <v>43117400</v>
      </c>
      <c r="I5184" t="s">
        <v>4315</v>
      </c>
      <c r="J5184" t="s">
        <v>4316</v>
      </c>
      <c r="K5184" t="s">
        <v>7557</v>
      </c>
    </row>
    <row r="5185" spans="1:11" ht="20" customHeight="1">
      <c r="A5185" t="s">
        <v>7556</v>
      </c>
      <c r="B5185" t="s">
        <v>4317</v>
      </c>
      <c r="C5185">
        <v>711</v>
      </c>
      <c r="D5185">
        <v>712.2000122070312</v>
      </c>
      <c r="E5185">
        <v>708.3699951171875</v>
      </c>
      <c r="F5185">
        <v>711.5800170898438</v>
      </c>
      <c r="G5185">
        <v>707.993408203125</v>
      </c>
      <c r="H5185">
        <v>41859200</v>
      </c>
      <c r="I5185" t="s">
        <v>4318</v>
      </c>
      <c r="J5185" t="s">
        <v>4319</v>
      </c>
      <c r="K5185" t="s">
        <v>7557</v>
      </c>
    </row>
    <row r="5186" spans="1:11" ht="20" customHeight="1">
      <c r="A5186" t="s">
        <v>7556</v>
      </c>
      <c r="B5186" t="s">
        <v>4320</v>
      </c>
      <c r="C5186">
        <v>714.6300048828125</v>
      </c>
      <c r="D5186">
        <v>719.7899780273438</v>
      </c>
      <c r="E5186">
        <v>710.4500122070312</v>
      </c>
      <c r="F5186">
        <v>718.6599731445312</v>
      </c>
      <c r="G5186">
        <v>715.0377197265625</v>
      </c>
      <c r="H5186">
        <v>67240900</v>
      </c>
      <c r="I5186" t="s">
        <v>4321</v>
      </c>
      <c r="J5186" t="s">
        <v>4322</v>
      </c>
      <c r="K5186" t="s">
        <v>7557</v>
      </c>
    </row>
    <row r="5187" spans="1:11" ht="20" customHeight="1">
      <c r="A5187" t="s">
        <v>7556</v>
      </c>
      <c r="B5187" t="s">
        <v>4323</v>
      </c>
      <c r="C5187">
        <v>721.25</v>
      </c>
      <c r="D5187">
        <v>724.8699951171875</v>
      </c>
      <c r="E5187">
        <v>720.469970703125</v>
      </c>
      <c r="F5187">
        <v>720.6500244140625</v>
      </c>
      <c r="G5187">
        <v>717.0177001953125</v>
      </c>
      <c r="H5187">
        <v>43049800</v>
      </c>
      <c r="I5187" t="s">
        <v>4324</v>
      </c>
      <c r="J5187" t="s">
        <v>4325</v>
      </c>
      <c r="K5187" t="s">
        <v>7557</v>
      </c>
    </row>
    <row r="5188" spans="1:11" ht="20" customHeight="1">
      <c r="A5188" t="s">
        <v>7556</v>
      </c>
      <c r="B5188" t="s">
        <v>4326</v>
      </c>
      <c r="C5188">
        <v>720.0700073242188</v>
      </c>
      <c r="D5188">
        <v>722.1199951171875</v>
      </c>
      <c r="E5188">
        <v>714.989990234375</v>
      </c>
      <c r="F5188">
        <v>718.010009765625</v>
      </c>
      <c r="G5188">
        <v>714.3909912109375</v>
      </c>
      <c r="H5188">
        <v>51950600</v>
      </c>
      <c r="I5188" t="s">
        <v>4327</v>
      </c>
      <c r="J5188" t="s">
        <v>4328</v>
      </c>
      <c r="K5188" t="s">
        <v>7557</v>
      </c>
    </row>
    <row r="5189" spans="1:11" ht="20" customHeight="1">
      <c r="A5189" t="s">
        <v>7556</v>
      </c>
      <c r="B5189" t="s">
        <v>4329</v>
      </c>
      <c r="C5189">
        <v>721.77001953125</v>
      </c>
      <c r="D5189">
        <v>725.0399780273438</v>
      </c>
      <c r="E5189">
        <v>721.489990234375</v>
      </c>
      <c r="F5189">
        <v>723.77001953125</v>
      </c>
      <c r="G5189">
        <v>720.1220092773438</v>
      </c>
      <c r="H5189">
        <v>36933200</v>
      </c>
      <c r="I5189" t="s">
        <v>4330</v>
      </c>
      <c r="J5189" t="s">
        <v>4331</v>
      </c>
      <c r="K5189" t="s">
        <v>7557</v>
      </c>
    </row>
    <row r="5190" spans="1:11" ht="20" customHeight="1">
      <c r="A5190" t="s">
        <v>7556</v>
      </c>
      <c r="B5190" t="s">
        <v>4332</v>
      </c>
      <c r="C5190">
        <v>728.1599731445312</v>
      </c>
      <c r="D5190">
        <v>734.5900268554688</v>
      </c>
      <c r="E5190">
        <v>727.8200073242188</v>
      </c>
      <c r="F5190">
        <v>733.8300170898438</v>
      </c>
      <c r="G5190">
        <v>730.1312866210938</v>
      </c>
      <c r="H5190">
        <v>53288900</v>
      </c>
      <c r="I5190" t="s">
        <v>4333</v>
      </c>
      <c r="J5190" t="s">
        <v>4334</v>
      </c>
      <c r="K5190" t="s">
        <v>7557</v>
      </c>
    </row>
    <row r="5191" spans="1:11" ht="20" customHeight="1">
      <c r="A5191" t="s">
        <v>7556</v>
      </c>
      <c r="B5191" t="s">
        <v>4335</v>
      </c>
      <c r="C5191">
        <v>735.0499877929688</v>
      </c>
      <c r="D5191">
        <v>736.1300048828125</v>
      </c>
      <c r="E5191">
        <v>729.75</v>
      </c>
      <c r="F5191">
        <v>731.5800170898438</v>
      </c>
      <c r="G5191">
        <v>727.8926391601562</v>
      </c>
      <c r="H5191">
        <v>51724600</v>
      </c>
      <c r="I5191" t="s">
        <v>4336</v>
      </c>
      <c r="J5191" t="s">
        <v>4337</v>
      </c>
      <c r="K5191" t="s">
        <v>7557</v>
      </c>
    </row>
    <row r="5192" spans="1:11" ht="20" customHeight="1">
      <c r="A5192" t="s">
        <v>7556</v>
      </c>
      <c r="B5192" t="s">
        <v>4338</v>
      </c>
      <c r="C5192">
        <v>734.9299926757812</v>
      </c>
      <c r="D5192">
        <v>738.0800170898438</v>
      </c>
      <c r="E5192">
        <v>734.5700073242188</v>
      </c>
      <c r="F5192">
        <v>737.6199951171875</v>
      </c>
      <c r="G5192">
        <v>733.9021606445312</v>
      </c>
      <c r="H5192">
        <v>47227100</v>
      </c>
      <c r="I5192" t="s">
        <v>4339</v>
      </c>
      <c r="J5192" t="s">
        <v>4340</v>
      </c>
      <c r="K5192" t="s">
        <v>7557</v>
      </c>
    </row>
    <row r="5193" spans="1:11" ht="20" customHeight="1">
      <c r="A5193" t="s">
        <v>7556</v>
      </c>
      <c r="B5193" t="s">
        <v>4341</v>
      </c>
      <c r="C5193">
        <v>736.4500122070312</v>
      </c>
      <c r="D5193">
        <v>740.7899780273438</v>
      </c>
      <c r="E5193">
        <v>736.4500122070312</v>
      </c>
      <c r="F5193">
        <v>739.2999877929688</v>
      </c>
      <c r="G5193">
        <v>735.5736694335938</v>
      </c>
      <c r="H5193">
        <v>44024000</v>
      </c>
      <c r="I5193" t="s">
        <v>4342</v>
      </c>
      <c r="J5193" t="s">
        <v>4343</v>
      </c>
      <c r="K5193" t="s">
        <v>7557</v>
      </c>
    </row>
    <row r="5194" spans="1:11" ht="20" customHeight="1">
      <c r="A5194" t="s">
        <v>7556</v>
      </c>
      <c r="B5194" t="s">
        <v>4344</v>
      </c>
      <c r="C5194">
        <v>736.8900146484375</v>
      </c>
      <c r="D5194">
        <v>738.8400268554688</v>
      </c>
      <c r="E5194">
        <v>731.8300170898438</v>
      </c>
      <c r="F5194">
        <v>738.1799926757812</v>
      </c>
      <c r="G5194">
        <v>734.4593505859375</v>
      </c>
      <c r="H5194">
        <v>54185300</v>
      </c>
      <c r="I5194" t="s">
        <v>4345</v>
      </c>
      <c r="J5194" t="s">
        <v>4346</v>
      </c>
      <c r="K5194" t="s">
        <v>7557</v>
      </c>
    </row>
    <row r="5195" spans="1:11" ht="20" customHeight="1">
      <c r="A5195" t="s">
        <v>7556</v>
      </c>
      <c r="B5195" t="s">
        <v>4347</v>
      </c>
      <c r="C5195">
        <v>738.469970703125</v>
      </c>
      <c r="D5195">
        <v>743.9099731445312</v>
      </c>
      <c r="E5195">
        <v>735.469970703125</v>
      </c>
      <c r="F5195">
        <v>742.3099975585938</v>
      </c>
      <c r="G5195">
        <v>738.5685424804688</v>
      </c>
      <c r="H5195">
        <v>44200200</v>
      </c>
      <c r="I5195" t="s">
        <v>4348</v>
      </c>
      <c r="J5195" t="s">
        <v>4349</v>
      </c>
      <c r="K5195" t="s">
        <v>7557</v>
      </c>
    </row>
    <row r="5196" spans="1:11" ht="20" customHeight="1">
      <c r="A5196" t="s">
        <v>7556</v>
      </c>
      <c r="B5196" t="s">
        <v>4350</v>
      </c>
      <c r="C5196">
        <v>743.6500244140625</v>
      </c>
      <c r="D5196">
        <v>749.530029296875</v>
      </c>
      <c r="E5196">
        <v>743.5599975585938</v>
      </c>
      <c r="F5196">
        <v>748.1699829101562</v>
      </c>
      <c r="G5196">
        <v>744.3989868164062</v>
      </c>
      <c r="H5196">
        <v>45307600</v>
      </c>
      <c r="I5196" t="s">
        <v>4351</v>
      </c>
      <c r="J5196" t="s">
        <v>4352</v>
      </c>
      <c r="K5196" t="s">
        <v>7557</v>
      </c>
    </row>
    <row r="5197" spans="1:11" ht="20" customHeight="1">
      <c r="A5197" t="s">
        <v>7556</v>
      </c>
      <c r="B5197" t="s">
        <v>4353</v>
      </c>
      <c r="C5197">
        <v>741.7899780273438</v>
      </c>
      <c r="D5197">
        <v>743.4600219726562</v>
      </c>
      <c r="E5197">
        <v>737.9600219726562</v>
      </c>
      <c r="F5197">
        <v>739.1699829101562</v>
      </c>
      <c r="G5197">
        <v>735.4443969726562</v>
      </c>
      <c r="H5197">
        <v>60410800</v>
      </c>
      <c r="I5197" t="s">
        <v>4354</v>
      </c>
      <c r="J5197" t="s">
        <v>4355</v>
      </c>
      <c r="K5197" t="s">
        <v>7557</v>
      </c>
    </row>
    <row r="5198" spans="1:11" ht="20" customHeight="1">
      <c r="A5198" t="s">
        <v>7556</v>
      </c>
      <c r="B5198" t="s">
        <v>4356</v>
      </c>
      <c r="C5198">
        <v>739.8300170898438</v>
      </c>
      <c r="D5198">
        <v>741.4199829101562</v>
      </c>
      <c r="E5198">
        <v>733.3900146484375</v>
      </c>
      <c r="F5198">
        <v>738.6500244140625</v>
      </c>
      <c r="G5198">
        <v>734.927001953125</v>
      </c>
      <c r="H5198">
        <v>47843900</v>
      </c>
      <c r="I5198" t="s">
        <v>4357</v>
      </c>
      <c r="J5198" t="s">
        <v>4358</v>
      </c>
      <c r="K5198" t="s">
        <v>7557</v>
      </c>
    </row>
    <row r="5199" spans="1:11" ht="20" customHeight="1">
      <c r="A5199" t="s">
        <v>7556</v>
      </c>
      <c r="B5199" t="s">
        <v>4359</v>
      </c>
      <c r="C5199">
        <v>734.780029296875</v>
      </c>
      <c r="D5199">
        <v>737.6500244140625</v>
      </c>
      <c r="E5199">
        <v>731.530029296875</v>
      </c>
      <c r="F5199">
        <v>733.72998046875</v>
      </c>
      <c r="G5199">
        <v>730.03173828125</v>
      </c>
      <c r="H5199">
        <v>54255900</v>
      </c>
      <c r="I5199" t="s">
        <v>4360</v>
      </c>
      <c r="J5199" t="s">
        <v>4361</v>
      </c>
      <c r="K5199" t="s">
        <v>7557</v>
      </c>
    </row>
    <row r="5200" spans="1:11" ht="20" customHeight="1">
      <c r="A5200" t="s">
        <v>7556</v>
      </c>
      <c r="B5200" t="s">
        <v>4362</v>
      </c>
      <c r="C5200">
        <v>735.7100219726562</v>
      </c>
      <c r="D5200">
        <v>741.8699951171875</v>
      </c>
      <c r="E5200">
        <v>733.8900146484375</v>
      </c>
      <c r="F5200">
        <v>741.25</v>
      </c>
      <c r="G5200">
        <v>737.5138549804688</v>
      </c>
      <c r="H5200">
        <v>45768000</v>
      </c>
      <c r="I5200" t="s">
        <v>4363</v>
      </c>
      <c r="J5200" t="s">
        <v>4364</v>
      </c>
      <c r="K5200" t="s">
        <v>7557</v>
      </c>
    </row>
    <row r="5201" spans="1:11" ht="20" customHeight="1">
      <c r="A5201" t="s">
        <v>7556</v>
      </c>
      <c r="B5201" t="s">
        <v>4365</v>
      </c>
      <c r="C5201">
        <v>738.6400146484375</v>
      </c>
      <c r="D5201">
        <v>744.8699951171875</v>
      </c>
      <c r="E5201">
        <v>737.030029296875</v>
      </c>
      <c r="F5201">
        <v>742.719970703125</v>
      </c>
      <c r="G5201">
        <v>738.9764404296875</v>
      </c>
      <c r="H5201">
        <v>43332200</v>
      </c>
      <c r="I5201" t="s">
        <v>4366</v>
      </c>
      <c r="J5201" t="s">
        <v>4367</v>
      </c>
      <c r="K5201" t="s">
        <v>7557</v>
      </c>
    </row>
    <row r="5202" spans="1:11" ht="20" customHeight="1">
      <c r="A5202" t="s">
        <v>7556</v>
      </c>
      <c r="B5202" t="s">
        <v>4368</v>
      </c>
      <c r="C5202">
        <v>746.239990234375</v>
      </c>
      <c r="D5202">
        <v>748.9400024414062</v>
      </c>
      <c r="E5202">
        <v>744.47998046875</v>
      </c>
      <c r="F5202">
        <v>745.6400146484375</v>
      </c>
      <c r="G5202">
        <v>741.8817749023438</v>
      </c>
      <c r="H5202">
        <v>41762000</v>
      </c>
      <c r="I5202" t="s">
        <v>4369</v>
      </c>
      <c r="J5202" t="s">
        <v>4370</v>
      </c>
      <c r="K5202" t="s">
        <v>7557</v>
      </c>
    </row>
    <row r="5203" spans="1:11" ht="20" customHeight="1">
      <c r="A5203" t="s">
        <v>7556</v>
      </c>
      <c r="B5203" t="s">
        <v>4371</v>
      </c>
      <c r="C5203">
        <v>750.010009765625</v>
      </c>
      <c r="D5203">
        <v>752.1300048828125</v>
      </c>
      <c r="E5203">
        <v>748.3699951171875</v>
      </c>
      <c r="F5203">
        <v>750.5900268554688</v>
      </c>
      <c r="G5203">
        <v>746.8068237304688</v>
      </c>
      <c r="H5203">
        <v>41123600</v>
      </c>
      <c r="I5203" t="s">
        <v>4372</v>
      </c>
      <c r="J5203" t="s">
        <v>4373</v>
      </c>
      <c r="K5203" t="s">
        <v>7557</v>
      </c>
    </row>
    <row r="5204" spans="1:11" ht="20" customHeight="1">
      <c r="A5204" t="s">
        <v>7556</v>
      </c>
      <c r="B5204" t="s">
        <v>4374</v>
      </c>
      <c r="C5204">
        <v>750.8800048828125</v>
      </c>
      <c r="D5204">
        <v>751.3800048828125</v>
      </c>
      <c r="E5204">
        <v>748.219970703125</v>
      </c>
      <c r="F5204">
        <v>750.4600219726562</v>
      </c>
      <c r="G5204">
        <v>746.6774291992188</v>
      </c>
      <c r="H5204">
        <v>42106300</v>
      </c>
      <c r="I5204" t="s">
        <v>4375</v>
      </c>
      <c r="J5204" t="s">
        <v>4376</v>
      </c>
      <c r="K5204" t="s">
        <v>7557</v>
      </c>
    </row>
    <row r="5205" spans="1:11" ht="20" customHeight="1">
      <c r="A5205" t="s">
        <v>7556</v>
      </c>
      <c r="B5205" t="s">
        <v>4377</v>
      </c>
      <c r="C5205">
        <v>750.25</v>
      </c>
      <c r="D5205">
        <v>755.1500244140625</v>
      </c>
      <c r="E5205">
        <v>749.22998046875</v>
      </c>
      <c r="F5205">
        <v>754.5999755859375</v>
      </c>
      <c r="G5205">
        <v>750.7965698242188</v>
      </c>
      <c r="H5205">
        <v>41562600</v>
      </c>
      <c r="I5205" t="s">
        <v>4378</v>
      </c>
      <c r="J5205" t="s">
        <v>4379</v>
      </c>
      <c r="K5205" t="s">
        <v>7557</v>
      </c>
    </row>
    <row r="5206" spans="1:11" ht="20" customHeight="1">
      <c r="A5206" t="s">
        <v>7556</v>
      </c>
      <c r="B5206" t="s">
        <v>4380</v>
      </c>
      <c r="C5206">
        <v>755.9000244140625</v>
      </c>
      <c r="D5206">
        <v>758.0800170898438</v>
      </c>
      <c r="E5206">
        <v>754.6900024414062</v>
      </c>
      <c r="F5206">
        <v>756.47998046875</v>
      </c>
      <c r="G5206">
        <v>752.6671142578125</v>
      </c>
      <c r="H5206">
        <v>55075700</v>
      </c>
      <c r="I5206" t="s">
        <v>4381</v>
      </c>
      <c r="J5206" t="s">
        <v>4382</v>
      </c>
      <c r="K5206" t="s">
        <v>7557</v>
      </c>
    </row>
    <row r="5207" spans="1:11" ht="20" customHeight="1">
      <c r="A5207" t="s">
        <v>7556</v>
      </c>
      <c r="B5207" t="s">
        <v>4383</v>
      </c>
      <c r="C5207">
        <v>755.3599853515625</v>
      </c>
      <c r="D5207">
        <v>760.280029296875</v>
      </c>
      <c r="E5207">
        <v>754.6900024414062</v>
      </c>
      <c r="F5207">
        <v>758.5399780273438</v>
      </c>
      <c r="G5207">
        <v>754.7166748046875</v>
      </c>
      <c r="H5207">
        <v>43634900</v>
      </c>
      <c r="I5207" t="s">
        <v>4384</v>
      </c>
      <c r="J5207" t="s">
        <v>4385</v>
      </c>
      <c r="K5207" t="s">
        <v>7557</v>
      </c>
    </row>
    <row r="5208" spans="1:11" ht="20" customHeight="1">
      <c r="A5208" t="s">
        <v>7556</v>
      </c>
      <c r="B5208" t="s">
        <v>4386</v>
      </c>
      <c r="C5208">
        <v>757.030029296875</v>
      </c>
      <c r="D5208">
        <v>760.4000244140625</v>
      </c>
      <c r="E5208">
        <v>756.75</v>
      </c>
      <c r="F5208">
        <v>759.5700073242188</v>
      </c>
      <c r="G5208">
        <v>755.7415771484375</v>
      </c>
      <c r="H5208">
        <v>31581900</v>
      </c>
      <c r="I5208" t="s">
        <v>4387</v>
      </c>
      <c r="J5208" t="s">
        <v>4388</v>
      </c>
      <c r="K5208" t="s">
        <v>7557</v>
      </c>
    </row>
    <row r="5209" spans="1:11" ht="20" customHeight="1">
      <c r="A5209" t="s">
        <v>7556</v>
      </c>
      <c r="B5209" t="s">
        <v>4389</v>
      </c>
      <c r="C5209">
        <v>758.1500244140625</v>
      </c>
      <c r="D5209">
        <v>758.7999877929688</v>
      </c>
      <c r="E5209">
        <v>753.5700073242188</v>
      </c>
      <c r="F5209">
        <v>754.239990234375</v>
      </c>
      <c r="G5209">
        <v>750.4384155273438</v>
      </c>
      <c r="H5209">
        <v>51402500</v>
      </c>
      <c r="I5209" t="s">
        <v>4390</v>
      </c>
      <c r="J5209" t="s">
        <v>4391</v>
      </c>
      <c r="K5209" t="s">
        <v>7557</v>
      </c>
    </row>
    <row r="5210" spans="1:11" ht="20" customHeight="1">
      <c r="A5210" t="s">
        <v>7556</v>
      </c>
      <c r="B5210" t="s">
        <v>4392</v>
      </c>
      <c r="C5210">
        <v>752.0999755859375</v>
      </c>
      <c r="D5210">
        <v>758.3099975585938</v>
      </c>
      <c r="E5210">
        <v>751.469970703125</v>
      </c>
      <c r="F5210">
        <v>757.0900268554688</v>
      </c>
      <c r="G5210">
        <v>753.2740478515625</v>
      </c>
      <c r="H5210">
        <v>49923000</v>
      </c>
      <c r="I5210" t="s">
        <v>4393</v>
      </c>
      <c r="J5210" t="s">
        <v>4394</v>
      </c>
      <c r="K5210" t="s">
        <v>7557</v>
      </c>
    </row>
    <row r="5211" spans="1:11" ht="20" customHeight="1">
      <c r="A5211" t="s">
        <v>7556</v>
      </c>
      <c r="B5211" t="s">
        <v>4395</v>
      </c>
      <c r="C5211">
        <v>752.3099975585938</v>
      </c>
      <c r="D5211">
        <v>752.8200073242188</v>
      </c>
      <c r="E5211">
        <v>735.530029296875</v>
      </c>
      <c r="F5211">
        <v>737.5499877929688</v>
      </c>
      <c r="G5211">
        <v>733.83251953125</v>
      </c>
      <c r="H5211">
        <v>93989400</v>
      </c>
      <c r="I5211" t="s">
        <v>4396</v>
      </c>
      <c r="J5211" t="s">
        <v>4397</v>
      </c>
      <c r="K5211" t="s">
        <v>7557</v>
      </c>
    </row>
    <row r="5212" spans="1:11" ht="20" customHeight="1">
      <c r="A5212" t="s">
        <v>7556</v>
      </c>
      <c r="B5212" t="s">
        <v>4398</v>
      </c>
      <c r="C5212">
        <v>743.3599853515625</v>
      </c>
      <c r="D5212">
        <v>745.3400268554688</v>
      </c>
      <c r="E5212">
        <v>738.1900024414062</v>
      </c>
      <c r="F5212">
        <v>739.219970703125</v>
      </c>
      <c r="G5212">
        <v>735.4940795898438</v>
      </c>
      <c r="H5212">
        <v>49319100</v>
      </c>
      <c r="I5212" t="s">
        <v>4399</v>
      </c>
      <c r="J5212" t="s">
        <v>4400</v>
      </c>
      <c r="K5212" t="s">
        <v>7557</v>
      </c>
    </row>
    <row r="5213" spans="1:11" ht="20" customHeight="1">
      <c r="A5213" t="s">
        <v>7556</v>
      </c>
      <c r="B5213" t="s">
        <v>4401</v>
      </c>
      <c r="C5213">
        <v>743.6300048828125</v>
      </c>
      <c r="D5213">
        <v>746.9000244140625</v>
      </c>
      <c r="E5213">
        <v>722.5900268554688</v>
      </c>
      <c r="F5213">
        <v>737.0499877929688</v>
      </c>
      <c r="G5213">
        <v>733.3350830078125</v>
      </c>
      <c r="H5213">
        <v>87683500</v>
      </c>
      <c r="I5213" t="s">
        <v>4402</v>
      </c>
      <c r="J5213" t="s">
        <v>4403</v>
      </c>
      <c r="K5213" t="s">
        <v>7557</v>
      </c>
    </row>
    <row r="5214" spans="1:11" ht="20" customHeight="1">
      <c r="A5214" t="s">
        <v>7556</v>
      </c>
      <c r="B5214" t="s">
        <v>4404</v>
      </c>
      <c r="C5214">
        <v>733.3900146484375</v>
      </c>
      <c r="D5214">
        <v>738.3800048828125</v>
      </c>
      <c r="E5214">
        <v>725.3300170898438</v>
      </c>
      <c r="F5214">
        <v>725.4299926757812</v>
      </c>
      <c r="G5214">
        <v>721.7736206054688</v>
      </c>
      <c r="H5214">
        <v>60341300</v>
      </c>
      <c r="I5214" t="s">
        <v>4405</v>
      </c>
      <c r="J5214" t="s">
        <v>4406</v>
      </c>
      <c r="K5214" t="s">
        <v>7557</v>
      </c>
    </row>
    <row r="5215" spans="1:11" ht="20" customHeight="1">
      <c r="A5215" t="s">
        <v>7556</v>
      </c>
      <c r="B5215" t="s">
        <v>4407</v>
      </c>
      <c r="C5215">
        <v>728.760009765625</v>
      </c>
      <c r="D5215">
        <v>740</v>
      </c>
      <c r="E5215">
        <v>724.4099731445312</v>
      </c>
      <c r="F5215">
        <v>737.760009765625</v>
      </c>
      <c r="G5215">
        <v>734.04150390625</v>
      </c>
      <c r="H5215">
        <v>86330500</v>
      </c>
      <c r="I5215" t="s">
        <v>4408</v>
      </c>
      <c r="J5215" t="s">
        <v>4409</v>
      </c>
      <c r="K5215" t="s">
        <v>7557</v>
      </c>
    </row>
    <row r="5216" spans="1:11" ht="20" customHeight="1">
      <c r="A5216" t="s">
        <v>7556</v>
      </c>
      <c r="B5216" t="s">
        <v>4410</v>
      </c>
      <c r="C5216">
        <v>740.7100219726562</v>
      </c>
      <c r="D5216">
        <v>744.4400024414062</v>
      </c>
      <c r="E5216">
        <v>735.030029296875</v>
      </c>
      <c r="F5216">
        <v>741.75</v>
      </c>
      <c r="G5216">
        <v>738.0113525390625</v>
      </c>
      <c r="H5216">
        <v>57079500</v>
      </c>
      <c r="I5216" t="s">
        <v>4411</v>
      </c>
      <c r="J5216" t="s">
        <v>4412</v>
      </c>
      <c r="K5216" t="s">
        <v>7557</v>
      </c>
    </row>
    <row r="5217" spans="1:11" ht="20" customHeight="1">
      <c r="A5217" t="s">
        <v>7556</v>
      </c>
      <c r="B5217" t="s">
        <v>4413</v>
      </c>
      <c r="C5217">
        <v>751.8499755859375</v>
      </c>
      <c r="D5217">
        <v>756.6799926757812</v>
      </c>
      <c r="E5217">
        <v>751.760009765625</v>
      </c>
      <c r="F5217">
        <v>754.8300170898438</v>
      </c>
      <c r="G5217">
        <v>751.0254516601562</v>
      </c>
      <c r="H5217">
        <v>60176400</v>
      </c>
      <c r="I5217" t="s">
        <v>4414</v>
      </c>
      <c r="J5217" t="s">
        <v>4415</v>
      </c>
      <c r="K5217" t="s">
        <v>7557</v>
      </c>
    </row>
    <row r="5218" spans="1:11" ht="20" customHeight="1">
      <c r="A5218" t="s">
        <v>7556</v>
      </c>
      <c r="B5218" t="s">
        <v>4416</v>
      </c>
      <c r="C5218">
        <v>754.5499877929688</v>
      </c>
      <c r="D5218">
        <v>755.4400024414062</v>
      </c>
      <c r="E5218">
        <v>749.8800048828125</v>
      </c>
      <c r="F5218">
        <v>750.3300170898438</v>
      </c>
      <c r="G5218">
        <v>746.5481567382812</v>
      </c>
      <c r="H5218">
        <v>67093100</v>
      </c>
      <c r="I5218" t="s">
        <v>4417</v>
      </c>
      <c r="J5218" t="s">
        <v>4418</v>
      </c>
      <c r="K5218" t="s">
        <v>7557</v>
      </c>
    </row>
    <row r="5219" spans="1:11" ht="20" customHeight="1">
      <c r="A5219" t="s">
        <v>7556</v>
      </c>
      <c r="B5219" t="s">
        <v>4419</v>
      </c>
      <c r="C5219">
        <v>751.2899780273438</v>
      </c>
      <c r="D5219">
        <v>752.1500244140625</v>
      </c>
      <c r="E5219">
        <v>739.219970703125</v>
      </c>
      <c r="F5219">
        <v>740.9600219726562</v>
      </c>
      <c r="G5219">
        <v>737.225341796875</v>
      </c>
      <c r="H5219">
        <v>85945200</v>
      </c>
      <c r="I5219" t="s">
        <v>4420</v>
      </c>
      <c r="J5219" t="s">
        <v>4421</v>
      </c>
      <c r="K5219" t="s">
        <v>7557</v>
      </c>
    </row>
    <row r="5220" spans="1:11" ht="20" customHeight="1">
      <c r="A5220" t="s">
        <v>7556</v>
      </c>
      <c r="B5220" t="s">
        <v>4422</v>
      </c>
      <c r="C5220">
        <v>747.760009765625</v>
      </c>
      <c r="D5220">
        <v>748.22998046875</v>
      </c>
      <c r="E5220">
        <v>743.8599853515625</v>
      </c>
      <c r="F5220">
        <v>746.739990234375</v>
      </c>
      <c r="G5220">
        <v>744.8902587890625</v>
      </c>
      <c r="H5220">
        <v>80875700</v>
      </c>
      <c r="I5220" t="s">
        <v>4423</v>
      </c>
      <c r="J5220" t="s">
        <v>4424</v>
      </c>
      <c r="K5220" t="s">
        <v>7557</v>
      </c>
    </row>
    <row r="5221" spans="1:11" ht="20" customHeight="1">
      <c r="A5221" t="s">
        <v>7556</v>
      </c>
      <c r="B5221" t="s">
        <v>4425</v>
      </c>
      <c r="C5221">
        <v>747.7000122070312</v>
      </c>
      <c r="D5221">
        <v>750.1799926757812</v>
      </c>
      <c r="E5221">
        <v>743.1300048828125</v>
      </c>
      <c r="F5221">
        <v>744.3900146484375</v>
      </c>
      <c r="G5221">
        <v>742.546142578125</v>
      </c>
      <c r="H5221">
        <v>46628100</v>
      </c>
      <c r="I5221" t="s">
        <v>4426</v>
      </c>
      <c r="J5221" t="s">
        <v>4427</v>
      </c>
      <c r="K5221" t="s">
        <v>7557</v>
      </c>
    </row>
    <row r="5222" spans="1:11" ht="20" customHeight="1">
      <c r="A5222" t="s">
        <v>7556</v>
      </c>
      <c r="B5222" t="s">
        <v>4428</v>
      </c>
      <c r="C5222">
        <v>733.8099975585938</v>
      </c>
      <c r="D5222">
        <v>739.6300048828125</v>
      </c>
      <c r="E5222">
        <v>732.2999877929688</v>
      </c>
      <c r="F5222">
        <v>733.5800170898438</v>
      </c>
      <c r="G5222">
        <v>731.7628784179688</v>
      </c>
      <c r="H5222">
        <v>66846800</v>
      </c>
      <c r="I5222" t="s">
        <v>4429</v>
      </c>
      <c r="J5222" t="s">
        <v>4430</v>
      </c>
      <c r="K5222" t="s">
        <v>7557</v>
      </c>
    </row>
    <row r="5223" spans="1:11" ht="20" customHeight="1">
      <c r="A5223" t="s">
        <v>7556</v>
      </c>
      <c r="B5223" t="s">
        <v>4431</v>
      </c>
      <c r="C5223">
        <v>735.1699829101562</v>
      </c>
      <c r="D5223">
        <v>739.9500122070312</v>
      </c>
      <c r="E5223">
        <v>730.8400268554688</v>
      </c>
      <c r="F5223">
        <v>733.239990234375</v>
      </c>
      <c r="G5223">
        <v>731.4237060546875</v>
      </c>
      <c r="H5223">
        <v>57439500</v>
      </c>
      <c r="I5223" t="s">
        <v>4432</v>
      </c>
      <c r="J5223" t="s">
        <v>4433</v>
      </c>
      <c r="K5223" t="s">
        <v>7557</v>
      </c>
    </row>
    <row r="5224" spans="1:11" ht="20" customHeight="1">
      <c r="A5224" t="s">
        <v>7556</v>
      </c>
      <c r="B5224" t="s">
        <v>4434</v>
      </c>
      <c r="C5224">
        <v>738.9099731445312</v>
      </c>
      <c r="D5224">
        <v>739.3699951171875</v>
      </c>
      <c r="E5224">
        <v>729.5999755859375</v>
      </c>
      <c r="F5224">
        <v>734.2999877929688</v>
      </c>
      <c r="G5224">
        <v>732.4810791015625</v>
      </c>
      <c r="H5224">
        <v>53934400</v>
      </c>
      <c r="I5224" t="s">
        <v>4435</v>
      </c>
      <c r="J5224" t="s">
        <v>4436</v>
      </c>
      <c r="K5224" t="s">
        <v>7557</v>
      </c>
    </row>
    <row r="5225" spans="1:11" ht="20" customHeight="1">
      <c r="A5225" t="s">
        <v>7556</v>
      </c>
      <c r="B5225" t="s">
        <v>4437</v>
      </c>
      <c r="C5225">
        <v>728.9500122070312</v>
      </c>
      <c r="D5225">
        <v>736.530029296875</v>
      </c>
      <c r="E5225">
        <v>716.5800170898438</v>
      </c>
      <c r="F5225">
        <v>728.989990234375</v>
      </c>
      <c r="G5225">
        <v>727.1842651367188</v>
      </c>
      <c r="H5225">
        <v>71034000</v>
      </c>
      <c r="I5225" t="s">
        <v>4438</v>
      </c>
      <c r="J5225" t="s">
        <v>4439</v>
      </c>
      <c r="K5225" t="s">
        <v>7557</v>
      </c>
    </row>
    <row r="5226" spans="1:11" ht="20" customHeight="1">
      <c r="A5226" t="s">
        <v>7556</v>
      </c>
      <c r="B5226" t="s">
        <v>4440</v>
      </c>
      <c r="C5226">
        <v>736.530029296875</v>
      </c>
      <c r="D5226">
        <v>741.5599975585938</v>
      </c>
      <c r="E5226">
        <v>732.0900268554688</v>
      </c>
      <c r="F5226">
        <v>741</v>
      </c>
      <c r="G5226">
        <v>739.1644897460938</v>
      </c>
      <c r="H5226">
        <v>58035200</v>
      </c>
      <c r="I5226" t="s">
        <v>4441</v>
      </c>
      <c r="J5226" t="s">
        <v>4442</v>
      </c>
      <c r="K5226" t="s">
        <v>7557</v>
      </c>
    </row>
    <row r="5227" spans="1:11" ht="20" customHeight="1">
      <c r="A5227" t="s">
        <v>7556</v>
      </c>
      <c r="B5227" t="s">
        <v>4443</v>
      </c>
      <c r="C5227">
        <v>741.2899780273438</v>
      </c>
      <c r="D5227">
        <v>748.02001953125</v>
      </c>
      <c r="E5227">
        <v>740.8900146484375</v>
      </c>
      <c r="F5227">
        <v>746.77001953125</v>
      </c>
      <c r="G5227">
        <v>744.9202270507812</v>
      </c>
      <c r="H5227">
        <v>55626000</v>
      </c>
      <c r="I5227" t="s">
        <v>4444</v>
      </c>
      <c r="J5227" t="s">
        <v>4445</v>
      </c>
      <c r="K5227" t="s">
        <v>7557</v>
      </c>
    </row>
    <row r="5228" spans="1:11" ht="20" customHeight="1">
      <c r="A5228" t="s">
        <v>7556</v>
      </c>
      <c r="B5228" t="s">
        <v>4446</v>
      </c>
      <c r="C5228">
        <v>745</v>
      </c>
      <c r="D5228">
        <v>749.4400024414062</v>
      </c>
      <c r="E5228">
        <v>742.3800048828125</v>
      </c>
      <c r="F5228">
        <v>745.760009765625</v>
      </c>
      <c r="G5228">
        <v>743.9127197265625</v>
      </c>
      <c r="H5228">
        <v>47100900</v>
      </c>
      <c r="I5228" t="s">
        <v>4447</v>
      </c>
      <c r="J5228" t="s">
        <v>4448</v>
      </c>
      <c r="K5228" t="s">
        <v>7557</v>
      </c>
    </row>
    <row r="5229" spans="1:11" ht="20" customHeight="1">
      <c r="A5229" t="s">
        <v>7556</v>
      </c>
      <c r="B5229" t="s">
        <v>4449</v>
      </c>
      <c r="C5229">
        <v>747.4000244140625</v>
      </c>
      <c r="D5229">
        <v>751.3099975585938</v>
      </c>
      <c r="E5229">
        <v>740.030029296875</v>
      </c>
      <c r="F5229">
        <v>744.780029296875</v>
      </c>
      <c r="G5229">
        <v>742.9351806640625</v>
      </c>
      <c r="H5229">
        <v>57447800</v>
      </c>
      <c r="I5229" t="s">
        <v>4450</v>
      </c>
      <c r="J5229" t="s">
        <v>4451</v>
      </c>
      <c r="K5229" t="s">
        <v>7557</v>
      </c>
    </row>
    <row r="5230" spans="1:11" ht="20" customHeight="1">
      <c r="A5230" t="s">
        <v>7556</v>
      </c>
      <c r="B5230" t="s">
        <v>4452</v>
      </c>
      <c r="C5230">
        <v>748.739990234375</v>
      </c>
      <c r="D5230">
        <v>752.4099731445312</v>
      </c>
      <c r="E5230">
        <v>747.4099731445312</v>
      </c>
      <c r="F5230">
        <v>751.280029296875</v>
      </c>
      <c r="G5230">
        <v>749.4190673828125</v>
      </c>
      <c r="H5230">
        <v>50673300</v>
      </c>
      <c r="I5230" t="s">
        <v>4453</v>
      </c>
      <c r="J5230" t="s">
        <v>4454</v>
      </c>
      <c r="K5230" t="s">
        <v>7557</v>
      </c>
    </row>
    <row r="5231" spans="1:11" ht="20" customHeight="1">
      <c r="A5231" t="s">
        <v>7556</v>
      </c>
      <c r="B5231" t="s">
        <v>4455</v>
      </c>
      <c r="C5231">
        <v>750.219970703125</v>
      </c>
      <c r="D5231">
        <v>750.9600219726562</v>
      </c>
      <c r="E5231">
        <v>745.2100219726562</v>
      </c>
      <c r="F5231">
        <v>747.7100219726562</v>
      </c>
      <c r="G5231">
        <v>745.85791015625</v>
      </c>
      <c r="H5231">
        <v>43721500</v>
      </c>
      <c r="I5231" t="s">
        <v>4456</v>
      </c>
      <c r="J5231" t="s">
        <v>4457</v>
      </c>
      <c r="K5231" t="s">
        <v>7557</v>
      </c>
    </row>
    <row r="5232" spans="1:11" ht="20" customHeight="1">
      <c r="A5232" t="s">
        <v>7556</v>
      </c>
      <c r="B5232" t="s">
        <v>4458</v>
      </c>
      <c r="C5232">
        <v>743.1599731445312</v>
      </c>
      <c r="D5232">
        <v>746.1500244140625</v>
      </c>
      <c r="E5232">
        <v>739.510009765625</v>
      </c>
      <c r="F5232">
        <v>745.4000244140625</v>
      </c>
      <c r="G5232">
        <v>743.5536499023438</v>
      </c>
      <c r="H5232">
        <v>43767400</v>
      </c>
      <c r="I5232" t="s">
        <v>4459</v>
      </c>
      <c r="J5232" t="s">
        <v>4460</v>
      </c>
      <c r="K5232" t="s">
        <v>7557</v>
      </c>
    </row>
    <row r="5233" spans="1:11" ht="20" customHeight="1">
      <c r="A5233" t="s">
        <v>7556</v>
      </c>
      <c r="B5233" t="s">
        <v>4461</v>
      </c>
      <c r="C5233">
        <v>747.3499755859375</v>
      </c>
      <c r="D5233">
        <v>751.969970703125</v>
      </c>
      <c r="E5233">
        <v>745.5900268554688</v>
      </c>
      <c r="F5233">
        <v>751.7100219726562</v>
      </c>
      <c r="G5233">
        <v>749.8480224609375</v>
      </c>
      <c r="H5233">
        <v>41441700</v>
      </c>
      <c r="I5233" t="s">
        <v>4462</v>
      </c>
      <c r="J5233" t="s">
        <v>4463</v>
      </c>
      <c r="K5233" t="s">
        <v>7557</v>
      </c>
    </row>
    <row r="5234" spans="1:11" ht="20" customHeight="1">
      <c r="A5234" t="s">
        <v>7556</v>
      </c>
      <c r="B5234" t="s">
        <v>4464</v>
      </c>
      <c r="C5234">
        <v>752.0499877929688</v>
      </c>
      <c r="D5234">
        <v>755.4199829101562</v>
      </c>
      <c r="E5234">
        <v>748.0999755859375</v>
      </c>
      <c r="F5234">
        <v>754.9500122070312</v>
      </c>
      <c r="G5234">
        <v>753.0799560546875</v>
      </c>
      <c r="H5234">
        <v>42191300</v>
      </c>
      <c r="I5234" t="s">
        <v>4465</v>
      </c>
      <c r="J5234" t="s">
        <v>4466</v>
      </c>
      <c r="K5234" t="s">
        <v>7557</v>
      </c>
    </row>
    <row r="5235" spans="1:11" ht="20" customHeight="1">
      <c r="A5235" t="s">
        <v>7556</v>
      </c>
      <c r="B5235" t="s">
        <v>4467</v>
      </c>
      <c r="C5235">
        <v>752.469970703125</v>
      </c>
      <c r="D5235">
        <v>753.9099731445312</v>
      </c>
      <c r="E5235">
        <v>748</v>
      </c>
      <c r="F5235">
        <v>749.1699829101562</v>
      </c>
      <c r="G5235">
        <v>747.3142700195312</v>
      </c>
      <c r="H5235">
        <v>44013600</v>
      </c>
      <c r="I5235" t="s">
        <v>4468</v>
      </c>
      <c r="J5235" t="s">
        <v>4469</v>
      </c>
      <c r="K5235" t="s">
        <v>7557</v>
      </c>
    </row>
    <row r="5236" spans="1:11" ht="20" customHeight="1">
      <c r="A5236" t="s">
        <v>7556</v>
      </c>
      <c r="B5236" t="s">
        <v>4470</v>
      </c>
      <c r="C5236">
        <v>750.9099731445312</v>
      </c>
      <c r="D5236">
        <v>753.3400268554688</v>
      </c>
      <c r="E5236">
        <v>748.6599731445312</v>
      </c>
      <c r="F5236">
        <v>751.8300170898438</v>
      </c>
      <c r="G5236">
        <v>749.9677124023438</v>
      </c>
      <c r="H5236">
        <v>35143100</v>
      </c>
      <c r="I5236" t="s">
        <v>4471</v>
      </c>
      <c r="J5236" t="s">
        <v>4472</v>
      </c>
      <c r="K5236" t="s">
        <v>7557</v>
      </c>
    </row>
    <row r="5237" spans="1:11" ht="20" customHeight="1">
      <c r="A5237" t="s">
        <v>7556</v>
      </c>
      <c r="B5237" t="s">
        <v>4473</v>
      </c>
      <c r="C5237">
        <v>754.239990234375</v>
      </c>
      <c r="D5237">
        <v>755.5800170898438</v>
      </c>
      <c r="E5237">
        <v>750.2000122070312</v>
      </c>
      <c r="F5237">
        <v>754.8099975585938</v>
      </c>
      <c r="G5237">
        <v>752.9403076171875</v>
      </c>
      <c r="H5237">
        <v>43844800</v>
      </c>
      <c r="I5237" t="s">
        <v>4474</v>
      </c>
      <c r="J5237" t="s">
        <v>4475</v>
      </c>
      <c r="K5237" t="s">
        <v>7557</v>
      </c>
    </row>
    <row r="5238" spans="1:11" ht="20" customHeight="1">
      <c r="A5238" t="s">
        <v>7556</v>
      </c>
      <c r="B5238" t="s">
        <v>4476</v>
      </c>
      <c r="C5238">
        <v>752.760009765625</v>
      </c>
      <c r="D5238">
        <v>754.5700073242188</v>
      </c>
      <c r="E5238">
        <v>747.8800048828125</v>
      </c>
      <c r="F5238">
        <v>750.719970703125</v>
      </c>
      <c r="G5238">
        <v>748.8604125976562</v>
      </c>
      <c r="H5238">
        <v>46409800</v>
      </c>
      <c r="I5238" t="s">
        <v>4477</v>
      </c>
      <c r="J5238" t="s">
        <v>4478</v>
      </c>
      <c r="K5238" t="s">
        <v>7557</v>
      </c>
    </row>
    <row r="5239" spans="1:11" ht="20" customHeight="1">
      <c r="A5239" t="s">
        <v>7556</v>
      </c>
      <c r="B5239" t="s">
        <v>4479</v>
      </c>
      <c r="C5239">
        <v>742.0800170898438</v>
      </c>
      <c r="D5239">
        <v>747.2899780273438</v>
      </c>
      <c r="E5239">
        <v>740.7999877929688</v>
      </c>
      <c r="F5239">
        <v>743.2899780273438</v>
      </c>
      <c r="G5239">
        <v>741.4487915039062</v>
      </c>
      <c r="H5239">
        <v>62651000</v>
      </c>
      <c r="I5239" t="s">
        <v>4480</v>
      </c>
      <c r="J5239" t="s">
        <v>4481</v>
      </c>
      <c r="K5239" t="s">
        <v>7557</v>
      </c>
    </row>
    <row r="5240" spans="1:11" ht="20" customHeight="1">
      <c r="A5240" t="s">
        <v>7556</v>
      </c>
      <c r="B5240" t="s">
        <v>4482</v>
      </c>
      <c r="C5240">
        <v>747.0599975585938</v>
      </c>
      <c r="D5240">
        <v>748.72998046875</v>
      </c>
      <c r="E5240">
        <v>741.510009765625</v>
      </c>
      <c r="F5240">
        <v>742.0900268554688</v>
      </c>
      <c r="G5240">
        <v>740.2518310546875</v>
      </c>
      <c r="H5240">
        <v>50422300</v>
      </c>
      <c r="I5240" t="s">
        <v>4483</v>
      </c>
      <c r="J5240" t="s">
        <v>4484</v>
      </c>
      <c r="K5240" t="s">
        <v>7557</v>
      </c>
    </row>
    <row r="5241" spans="1:11" ht="20" customHeight="1">
      <c r="A5241" t="s">
        <v>7556</v>
      </c>
      <c r="B5241" t="s">
        <v>4485</v>
      </c>
      <c r="C5241">
        <v>746.2899780273438</v>
      </c>
      <c r="D5241">
        <v>749.0399780273438</v>
      </c>
      <c r="E5241">
        <v>744.1799926757812</v>
      </c>
      <c r="F5241">
        <v>748.280029296875</v>
      </c>
      <c r="G5241">
        <v>746.426513671875</v>
      </c>
      <c r="H5241">
        <v>34324300</v>
      </c>
      <c r="I5241" t="s">
        <v>4486</v>
      </c>
      <c r="J5241" t="s">
        <v>4487</v>
      </c>
      <c r="K5241" t="s">
        <v>7557</v>
      </c>
    </row>
    <row r="5242" spans="1:11" ht="20" customHeight="1">
      <c r="A5242" t="s">
        <v>7556</v>
      </c>
      <c r="B5242" t="s">
        <v>4488</v>
      </c>
      <c r="C5242">
        <v>746.6199951171875</v>
      </c>
      <c r="D5242">
        <v>750.02001953125</v>
      </c>
      <c r="E5242">
        <v>746.3699951171875</v>
      </c>
      <c r="F5242">
        <v>747.4099731445312</v>
      </c>
      <c r="G5242">
        <v>745.55859375</v>
      </c>
      <c r="H5242">
        <v>32836200</v>
      </c>
      <c r="I5242" t="s">
        <v>4489</v>
      </c>
      <c r="J5242" t="s">
        <v>4490</v>
      </c>
      <c r="K5242" t="s">
        <v>7557</v>
      </c>
    </row>
    <row r="5243" spans="1:11" ht="20" customHeight="1">
      <c r="A5243" t="s">
        <v>7556</v>
      </c>
      <c r="B5243" t="s">
        <v>4491</v>
      </c>
      <c r="C5243">
        <v>739.3699951171875</v>
      </c>
      <c r="D5243">
        <v>742.5599975585938</v>
      </c>
      <c r="E5243">
        <v>735.2100219726562</v>
      </c>
      <c r="F5243">
        <v>738.1799926757812</v>
      </c>
      <c r="G5243">
        <v>736.3515014648438</v>
      </c>
      <c r="H5243">
        <v>55437300</v>
      </c>
      <c r="I5243" t="s">
        <v>4492</v>
      </c>
      <c r="J5243" t="s">
        <v>4493</v>
      </c>
      <c r="K5243" t="s">
        <v>7557</v>
      </c>
    </row>
    <row r="5244" spans="1:11" ht="20" customHeight="1">
      <c r="A5244" t="s">
        <v>7556</v>
      </c>
      <c r="B5244" t="s">
        <v>4494</v>
      </c>
      <c r="C5244">
        <v>738.510009765625</v>
      </c>
      <c r="D5244">
        <v>743.719970703125</v>
      </c>
      <c r="E5244">
        <v>737.2899780273438</v>
      </c>
      <c r="F5244">
        <v>738.9299926757812</v>
      </c>
      <c r="G5244">
        <v>737.099609375</v>
      </c>
      <c r="H5244">
        <v>44782000</v>
      </c>
      <c r="I5244" t="s">
        <v>4495</v>
      </c>
      <c r="J5244" t="s">
        <v>4496</v>
      </c>
      <c r="K5244" t="s">
        <v>7557</v>
      </c>
    </row>
    <row r="5245" spans="1:11" ht="20" customHeight="1">
      <c r="A5245" t="s">
        <v>7556</v>
      </c>
      <c r="B5245" t="s">
        <v>4497</v>
      </c>
      <c r="C5245">
        <v>744.9099731445312</v>
      </c>
      <c r="D5245">
        <v>745.530029296875</v>
      </c>
      <c r="E5245">
        <v>735.8699951171875</v>
      </c>
      <c r="F5245">
        <v>739.0900268554688</v>
      </c>
      <c r="G5245">
        <v>737.25927734375</v>
      </c>
      <c r="H5245">
        <v>41461200</v>
      </c>
      <c r="I5245" t="s">
        <v>4498</v>
      </c>
      <c r="J5245" t="s">
        <v>4499</v>
      </c>
      <c r="K5245" t="s">
        <v>7557</v>
      </c>
    </row>
    <row r="5246" spans="1:11" ht="20" customHeight="1">
      <c r="A5246" t="s">
        <v>7556</v>
      </c>
      <c r="B5246" t="s">
        <v>4500</v>
      </c>
      <c r="C5246">
        <v>739.1900024414062</v>
      </c>
      <c r="D5246">
        <v>742.7899780273438</v>
      </c>
      <c r="E5246">
        <v>735.97998046875</v>
      </c>
      <c r="F5246">
        <v>740.8599853515625</v>
      </c>
      <c r="G5246">
        <v>739.0248413085938</v>
      </c>
      <c r="H5246">
        <v>47322200</v>
      </c>
      <c r="I5246" t="s">
        <v>4501</v>
      </c>
      <c r="J5246" t="s">
        <v>4502</v>
      </c>
      <c r="K5246" t="s">
        <v>7557</v>
      </c>
    </row>
    <row r="5247" spans="1:11" ht="20" customHeight="1">
      <c r="A5247" t="s">
        <v>7556</v>
      </c>
      <c r="B5247" t="s">
        <v>4503</v>
      </c>
      <c r="C5247">
        <v>739.969970703125</v>
      </c>
      <c r="D5247">
        <v>742.6799926757812</v>
      </c>
      <c r="E5247">
        <v>729.0999755859375</v>
      </c>
      <c r="F5247">
        <v>729.4600219726562</v>
      </c>
      <c r="G5247">
        <v>727.6531372070312</v>
      </c>
      <c r="H5247">
        <v>70697200</v>
      </c>
      <c r="I5247" t="s">
        <v>4504</v>
      </c>
      <c r="J5247" t="s">
        <v>4505</v>
      </c>
      <c r="K5247" t="s">
        <v>7557</v>
      </c>
    </row>
    <row r="5248" spans="1:11" ht="20" customHeight="1">
      <c r="A5248" t="s">
        <v>7556</v>
      </c>
      <c r="B5248" t="s">
        <v>4506</v>
      </c>
      <c r="C5248">
        <v>736.0499877929688</v>
      </c>
      <c r="D5248">
        <v>742.4500122070312</v>
      </c>
      <c r="E5248">
        <v>734.5900268554688</v>
      </c>
      <c r="F5248">
        <v>741.6900024414062</v>
      </c>
      <c r="G5248">
        <v>739.852783203125</v>
      </c>
      <c r="H5248">
        <v>66811300</v>
      </c>
      <c r="I5248" t="s">
        <v>4507</v>
      </c>
      <c r="J5248" t="s">
        <v>4508</v>
      </c>
      <c r="K5248" t="s">
        <v>7557</v>
      </c>
    </row>
    <row r="5249" spans="1:11" ht="20" customHeight="1">
      <c r="A5249" t="s">
        <v>7556</v>
      </c>
      <c r="B5249" t="s">
        <v>4509</v>
      </c>
      <c r="C5249">
        <v>744.6799926757812</v>
      </c>
      <c r="D5249">
        <v>748.9000244140625</v>
      </c>
      <c r="E5249">
        <v>737.6799926757812</v>
      </c>
      <c r="F5249">
        <v>747.030029296875</v>
      </c>
      <c r="G5249">
        <v>745.1796264648438</v>
      </c>
      <c r="H5249">
        <v>62445900</v>
      </c>
      <c r="I5249" t="s">
        <v>4510</v>
      </c>
      <c r="J5249" t="s">
        <v>4511</v>
      </c>
      <c r="K5249" t="s">
        <v>7557</v>
      </c>
    </row>
    <row r="5250" spans="1:11" ht="20" customHeight="1">
      <c r="A5250" t="s">
        <v>7556</v>
      </c>
      <c r="B5250" t="s">
        <v>4512</v>
      </c>
      <c r="C5250">
        <v>749.4400024414062</v>
      </c>
      <c r="D5250">
        <v>758.5800170898438</v>
      </c>
      <c r="E5250">
        <v>748.7999877929688</v>
      </c>
      <c r="F5250">
        <v>757.6699829101562</v>
      </c>
      <c r="G5250">
        <v>755.793212890625</v>
      </c>
      <c r="H5250">
        <v>59927500</v>
      </c>
      <c r="I5250" t="s">
        <v>4513</v>
      </c>
      <c r="J5250" t="s">
        <v>4514</v>
      </c>
      <c r="K5250" t="s">
        <v>7557</v>
      </c>
    </row>
    <row r="5251" spans="1:11" ht="20" customHeight="1">
      <c r="A5251" t="s">
        <v>7556</v>
      </c>
      <c r="B5251" t="s">
        <v>4515</v>
      </c>
      <c r="C5251">
        <v>760.6300048828125</v>
      </c>
      <c r="D5251">
        <v>773.4099731445312</v>
      </c>
      <c r="E5251">
        <v>760.52001953125</v>
      </c>
      <c r="F5251">
        <v>771.3300170898438</v>
      </c>
      <c r="G5251">
        <v>769.4193725585938</v>
      </c>
      <c r="H5251">
        <v>69154800</v>
      </c>
      <c r="I5251" t="s">
        <v>4516</v>
      </c>
      <c r="J5251" t="s">
        <v>4517</v>
      </c>
      <c r="K5251" t="s">
        <v>7557</v>
      </c>
    </row>
    <row r="5252" spans="1:11" ht="20" customHeight="1">
      <c r="A5252" t="s">
        <v>7556</v>
      </c>
      <c r="B5252" t="s">
        <v>4518</v>
      </c>
      <c r="C5252">
        <v>775.8499755859375</v>
      </c>
      <c r="D5252">
        <v>776.8499755859375</v>
      </c>
      <c r="E5252">
        <v>769.510009765625</v>
      </c>
      <c r="F5252">
        <v>769.7899780273438</v>
      </c>
      <c r="G5252">
        <v>767.8831787109375</v>
      </c>
      <c r="H5252">
        <v>44689100</v>
      </c>
      <c r="I5252" t="s">
        <v>4519</v>
      </c>
      <c r="J5252" t="s">
        <v>4520</v>
      </c>
      <c r="K5252" t="s">
        <v>7557</v>
      </c>
    </row>
    <row r="5253" spans="1:11" ht="20" customHeight="1">
      <c r="A5253" t="s">
        <v>7556</v>
      </c>
      <c r="B5253" t="s">
        <v>4521</v>
      </c>
      <c r="C5253">
        <v>770.2100219726562</v>
      </c>
      <c r="D5253">
        <v>771.8200073242188</v>
      </c>
      <c r="E5253">
        <v>767.4600219726562</v>
      </c>
      <c r="F5253">
        <v>768.5599975585938</v>
      </c>
      <c r="G5253">
        <v>766.65625</v>
      </c>
      <c r="H5253">
        <v>38416900</v>
      </c>
      <c r="I5253" t="s">
        <v>4522</v>
      </c>
      <c r="J5253" t="s">
        <v>4523</v>
      </c>
      <c r="K5253" t="s">
        <v>7557</v>
      </c>
    </row>
    <row r="5254" spans="1:11" ht="20" customHeight="1">
      <c r="A5254" t="s">
        <v>7556</v>
      </c>
      <c r="B5254" t="s">
        <v>4524</v>
      </c>
      <c r="C5254">
        <v>771.02001953125</v>
      </c>
      <c r="D5254">
        <v>773.9199829101562</v>
      </c>
      <c r="E5254">
        <v>769.6099853515625</v>
      </c>
      <c r="F5254">
        <v>773.260009765625</v>
      </c>
      <c r="G5254">
        <v>771.3446044921875</v>
      </c>
      <c r="H5254">
        <v>43586300</v>
      </c>
      <c r="I5254" t="s">
        <v>4525</v>
      </c>
      <c r="J5254" t="s">
        <v>4526</v>
      </c>
      <c r="K5254" t="s">
        <v>7557</v>
      </c>
    </row>
    <row r="5255" spans="1:11" ht="20" customHeight="1">
      <c r="A5255" t="s">
        <v>7556</v>
      </c>
      <c r="B5255" t="s">
        <v>4527</v>
      </c>
      <c r="C5255">
        <v>772.5999755859375</v>
      </c>
      <c r="D5255">
        <v>775.0499877929688</v>
      </c>
      <c r="E5255">
        <v>771.6199951171875</v>
      </c>
      <c r="F5255">
        <v>773.030029296875</v>
      </c>
      <c r="G5255">
        <v>771.1151733398438</v>
      </c>
      <c r="H5255">
        <v>39249500</v>
      </c>
      <c r="I5255" t="s">
        <v>4528</v>
      </c>
      <c r="J5255" t="s">
        <v>4529</v>
      </c>
      <c r="K5255" t="s">
        <v>7557</v>
      </c>
    </row>
    <row r="5256" spans="1:11" ht="20" customHeight="1">
      <c r="A5256" t="s">
        <v>7556</v>
      </c>
      <c r="B5256" t="s">
        <v>4530</v>
      </c>
      <c r="C5256">
        <v>774.530029296875</v>
      </c>
      <c r="D5256">
        <v>774.6099853515625</v>
      </c>
      <c r="E5256">
        <v>769.2000122070312</v>
      </c>
      <c r="F5256">
        <v>770.5599975585938</v>
      </c>
      <c r="G5256">
        <v>768.6513061523438</v>
      </c>
      <c r="H5256">
        <v>36740600</v>
      </c>
      <c r="I5256" t="s">
        <v>4531</v>
      </c>
      <c r="J5256" t="s">
        <v>4532</v>
      </c>
      <c r="K5256" t="s">
        <v>7557</v>
      </c>
    </row>
    <row r="5257" spans="1:11" ht="20" customHeight="1">
      <c r="A5257" t="s">
        <v>7556</v>
      </c>
      <c r="B5257" t="s">
        <v>4533</v>
      </c>
      <c r="C5257">
        <v>774.7100219726562</v>
      </c>
      <c r="D5257">
        <v>774.9000244140625</v>
      </c>
      <c r="E5257">
        <v>771.280029296875</v>
      </c>
      <c r="F5257">
        <v>772.489990234375</v>
      </c>
      <c r="G5257">
        <v>770.5764770507812</v>
      </c>
      <c r="H5257">
        <v>33179100</v>
      </c>
      <c r="I5257" t="s">
        <v>4534</v>
      </c>
      <c r="J5257" t="s">
        <v>4535</v>
      </c>
      <c r="K5257" t="s">
        <v>7557</v>
      </c>
    </row>
    <row r="5258" spans="1:11" ht="20" customHeight="1">
      <c r="A5258" t="s">
        <v>7556</v>
      </c>
      <c r="B5258" t="s">
        <v>4536</v>
      </c>
      <c r="C5258">
        <v>774.8699951171875</v>
      </c>
      <c r="D5258">
        <v>779.3699951171875</v>
      </c>
      <c r="E5258">
        <v>774.1099853515625</v>
      </c>
      <c r="F5258">
        <v>777.8800048828125</v>
      </c>
      <c r="G5258">
        <v>775.9531860351562</v>
      </c>
      <c r="H5258">
        <v>35634500</v>
      </c>
      <c r="I5258" t="s">
        <v>4537</v>
      </c>
      <c r="J5258" t="s">
        <v>4538</v>
      </c>
      <c r="K5258" t="s">
        <v>7557</v>
      </c>
    </row>
    <row r="5259" spans="1:11" ht="20" customHeight="1">
      <c r="A5259" t="s">
        <v>7556</v>
      </c>
      <c r="B5259" t="s">
        <v>4539</v>
      </c>
      <c r="C5259">
        <v>778.5399780273438</v>
      </c>
      <c r="D5259">
        <v>778.7999877929688</v>
      </c>
      <c r="E5259">
        <v>775.4299926757812</v>
      </c>
      <c r="F5259">
        <v>776.3400268554688</v>
      </c>
      <c r="G5259">
        <v>774.4169921875</v>
      </c>
      <c r="H5259">
        <v>31367900</v>
      </c>
      <c r="I5259" t="s">
        <v>4540</v>
      </c>
      <c r="J5259" t="s">
        <v>4541</v>
      </c>
      <c r="K5259" t="s">
        <v>7557</v>
      </c>
    </row>
    <row r="5260" spans="1:11" ht="20" customHeight="1">
      <c r="A5260" t="s">
        <v>7556</v>
      </c>
      <c r="B5260" t="s">
        <v>4542</v>
      </c>
      <c r="C5260">
        <v>776.1799926757812</v>
      </c>
      <c r="D5260">
        <v>776.780029296875</v>
      </c>
      <c r="E5260">
        <v>772.510009765625</v>
      </c>
      <c r="F5260">
        <v>772.6699829101562</v>
      </c>
      <c r="G5260">
        <v>770.7560424804688</v>
      </c>
      <c r="H5260">
        <v>34356600</v>
      </c>
      <c r="I5260" t="s">
        <v>4543</v>
      </c>
      <c r="J5260" t="s">
        <v>4544</v>
      </c>
      <c r="K5260" t="s">
        <v>7557</v>
      </c>
    </row>
    <row r="5261" spans="1:11" ht="20" customHeight="1">
      <c r="A5261" t="s">
        <v>7556</v>
      </c>
      <c r="B5261" t="s">
        <v>4545</v>
      </c>
      <c r="C5261">
        <v>768.7000122070312</v>
      </c>
      <c r="D5261">
        <v>769.5</v>
      </c>
      <c r="E5261">
        <v>766.9199829101562</v>
      </c>
      <c r="F5261">
        <v>767.4500122070312</v>
      </c>
      <c r="G5261">
        <v>765.5490112304688</v>
      </c>
      <c r="H5261">
        <v>43920900</v>
      </c>
      <c r="I5261" t="s">
        <v>4546</v>
      </c>
      <c r="J5261" t="s">
        <v>4547</v>
      </c>
      <c r="K5261" t="s">
        <v>7557</v>
      </c>
    </row>
    <row r="5262" spans="1:11" ht="20" customHeight="1">
      <c r="A5262" t="s">
        <v>7556</v>
      </c>
      <c r="B5262" t="s">
        <v>4548</v>
      </c>
      <c r="C5262">
        <v>770.3599853515625</v>
      </c>
      <c r="D5262">
        <v>772.469970703125</v>
      </c>
      <c r="E5262">
        <v>768.0999755859375</v>
      </c>
      <c r="F5262">
        <v>769.0599975585938</v>
      </c>
      <c r="G5262">
        <v>767.1549682617188</v>
      </c>
      <c r="H5262">
        <v>40306000</v>
      </c>
      <c r="I5262" t="s">
        <v>4549</v>
      </c>
      <c r="J5262" t="s">
        <v>4550</v>
      </c>
      <c r="K5262" t="s">
        <v>7557</v>
      </c>
    </row>
    <row r="5263" spans="1:11" ht="20" customHeight="1">
      <c r="A5263" t="s">
        <v>7556</v>
      </c>
      <c r="B5263" t="s">
        <v>4551</v>
      </c>
      <c r="C5263">
        <v>765.9600219726562</v>
      </c>
      <c r="D5263">
        <v>768.1500244140625</v>
      </c>
      <c r="E5263">
        <v>762.0399780273438</v>
      </c>
      <c r="F5263">
        <v>762.5999755859375</v>
      </c>
      <c r="G5263">
        <v>760.7109985351562</v>
      </c>
      <c r="H5263">
        <v>45520300</v>
      </c>
      <c r="I5263" t="s">
        <v>4552</v>
      </c>
      <c r="J5263" t="s">
        <v>4553</v>
      </c>
      <c r="K5263" t="s">
        <v>7557</v>
      </c>
    </row>
    <row r="5264" spans="1:11" ht="20" customHeight="1">
      <c r="A5264" t="s">
        <v>7556</v>
      </c>
      <c r="B5264" t="s">
        <v>4554</v>
      </c>
      <c r="C5264">
        <v>766.0499877929688</v>
      </c>
      <c r="D5264">
        <v>767.8499755859375</v>
      </c>
      <c r="E5264">
        <v>764.1699829101562</v>
      </c>
      <c r="F5264">
        <v>765.719970703125</v>
      </c>
      <c r="G5264">
        <v>763.8232421875</v>
      </c>
      <c r="H5264">
        <v>39188700</v>
      </c>
      <c r="I5264" t="s">
        <v>4555</v>
      </c>
      <c r="J5264" t="s">
        <v>4556</v>
      </c>
      <c r="K5264" t="s">
        <v>7557</v>
      </c>
    </row>
    <row r="5265" spans="1:11" ht="20" customHeight="1">
      <c r="A5265" t="s">
        <v>7556</v>
      </c>
      <c r="B5265" t="s">
        <v>4557</v>
      </c>
      <c r="C5265">
        <v>764.780029296875</v>
      </c>
      <c r="D5265">
        <v>765.219970703125</v>
      </c>
      <c r="E5265">
        <v>762.0800170898438</v>
      </c>
      <c r="F5265">
        <v>763.469970703125</v>
      </c>
      <c r="G5265">
        <v>761.5787963867188</v>
      </c>
      <c r="H5265">
        <v>32430900</v>
      </c>
      <c r="I5265" t="s">
        <v>4558</v>
      </c>
      <c r="J5265" t="s">
        <v>4559</v>
      </c>
      <c r="K5265" t="s">
        <v>7557</v>
      </c>
    </row>
    <row r="5266" spans="1:11" ht="20" customHeight="1">
      <c r="A5266" t="s">
        <v>7556</v>
      </c>
      <c r="B5266" t="s">
        <v>4560</v>
      </c>
      <c r="C5266">
        <v>766.1599731445312</v>
      </c>
      <c r="D5266">
        <v>766.780029296875</v>
      </c>
      <c r="E5266">
        <v>763.0499877929688</v>
      </c>
      <c r="F5266">
        <v>765.9099731445312</v>
      </c>
      <c r="G5266">
        <v>764.0127563476562</v>
      </c>
      <c r="H5266">
        <v>27422300</v>
      </c>
      <c r="I5266" t="s">
        <v>4561</v>
      </c>
      <c r="J5266" t="s">
        <v>4562</v>
      </c>
      <c r="K5266" t="s">
        <v>7557</v>
      </c>
    </row>
    <row r="5267" spans="1:11" ht="20" customHeight="1">
      <c r="A5267" t="s">
        <v>7556</v>
      </c>
      <c r="B5267" t="s">
        <v>4563</v>
      </c>
      <c r="C5267">
        <v>764.72998046875</v>
      </c>
      <c r="D5267">
        <v>767.3499755859375</v>
      </c>
      <c r="E5267">
        <v>763.9299926757812</v>
      </c>
      <c r="F5267">
        <v>766.0800170898438</v>
      </c>
      <c r="G5267">
        <v>764.182373046875</v>
      </c>
      <c r="H5267">
        <v>28751600</v>
      </c>
      <c r="I5267" t="s">
        <v>4564</v>
      </c>
      <c r="J5267" t="s">
        <v>4565</v>
      </c>
      <c r="K5267" t="s">
        <v>7557</v>
      </c>
    </row>
    <row r="5268" spans="1:11" ht="20" customHeight="1">
      <c r="A5268" t="s">
        <v>7556</v>
      </c>
      <c r="B5268" t="s">
        <v>4566</v>
      </c>
      <c r="C5268">
        <v>768.5</v>
      </c>
      <c r="D5268">
        <v>772.3599853515625</v>
      </c>
      <c r="E5268">
        <v>767.1599731445312</v>
      </c>
      <c r="F5268">
        <v>771.0999755859375</v>
      </c>
      <c r="G5268">
        <v>769.18994140625</v>
      </c>
      <c r="H5268">
        <v>34557100</v>
      </c>
      <c r="I5268" t="s">
        <v>4567</v>
      </c>
      <c r="J5268" t="s">
        <v>4568</v>
      </c>
      <c r="K5268" t="s">
        <v>7557</v>
      </c>
    </row>
    <row r="5269" spans="1:11" ht="20" customHeight="1">
      <c r="A5269" t="s">
        <v>7556</v>
      </c>
      <c r="B5269" t="s">
        <v>4569</v>
      </c>
      <c r="C5269">
        <v>771.760009765625</v>
      </c>
      <c r="D5269">
        <v>775.2999877929688</v>
      </c>
      <c r="E5269">
        <v>768.3099975585938</v>
      </c>
      <c r="F5269">
        <v>769.3499755859375</v>
      </c>
      <c r="G5269">
        <v>767.4442749023438</v>
      </c>
      <c r="H5269">
        <v>36744300</v>
      </c>
      <c r="I5269" t="s">
        <v>4570</v>
      </c>
      <c r="J5269" t="s">
        <v>4571</v>
      </c>
      <c r="K5269" t="s">
        <v>7557</v>
      </c>
    </row>
    <row r="5270" spans="1:11" ht="20" customHeight="1">
      <c r="A5270" t="s">
        <v>7556</v>
      </c>
      <c r="B5270" t="s">
        <v>4572</v>
      </c>
      <c r="C5270">
        <v>767.3300170898438</v>
      </c>
      <c r="D5270">
        <v>768</v>
      </c>
      <c r="E5270">
        <v>764.719970703125</v>
      </c>
      <c r="F5270">
        <v>767.0499877929688</v>
      </c>
      <c r="G5270">
        <v>765.1499633789062</v>
      </c>
      <c r="H5270">
        <v>38810800</v>
      </c>
      <c r="I5270" t="s">
        <v>4573</v>
      </c>
      <c r="J5270" t="s">
        <v>4574</v>
      </c>
      <c r="K5270" t="s">
        <v>7557</v>
      </c>
    </row>
    <row r="5271" spans="1:11" ht="20" customHeight="1">
      <c r="A5271" t="s">
        <v>7556</v>
      </c>
      <c r="B5271" t="s">
        <v>4575</v>
      </c>
      <c r="C5271">
        <v>762.010009765625</v>
      </c>
      <c r="D5271">
        <v>764.6699829101562</v>
      </c>
      <c r="E5271">
        <v>759.47998046875</v>
      </c>
      <c r="F5271">
        <v>761.780029296875</v>
      </c>
      <c r="G5271">
        <v>759.89306640625</v>
      </c>
      <c r="H5271">
        <v>41126300</v>
      </c>
      <c r="I5271" t="s">
        <v>4576</v>
      </c>
      <c r="J5271" t="s">
        <v>4577</v>
      </c>
      <c r="K5271" t="s">
        <v>7557</v>
      </c>
    </row>
    <row r="5272" spans="1:11" ht="20" customHeight="1">
      <c r="A5272" t="s">
        <v>7556</v>
      </c>
      <c r="B5272" t="s">
        <v>4578</v>
      </c>
      <c r="C5272">
        <v>762.4500122070312</v>
      </c>
      <c r="D5272">
        <v>766.4299926757812</v>
      </c>
      <c r="E5272">
        <v>761.72998046875</v>
      </c>
      <c r="F5272">
        <v>765.1599731445312</v>
      </c>
      <c r="G5272">
        <v>763.2646484375</v>
      </c>
      <c r="H5272">
        <v>29566200</v>
      </c>
      <c r="I5272" t="s">
        <v>4579</v>
      </c>
      <c r="J5272" t="s">
        <v>4580</v>
      </c>
      <c r="K5272" t="s">
        <v>7557</v>
      </c>
    </row>
    <row r="5273" spans="1:11" ht="20" customHeight="1">
      <c r="A5273" t="s">
        <v>7556</v>
      </c>
      <c r="B5273" t="s">
        <v>4581</v>
      </c>
      <c r="C5273">
        <v>767.9000244140625</v>
      </c>
      <c r="D5273">
        <v>774.030029296875</v>
      </c>
      <c r="E5273">
        <v>767.4500122070312</v>
      </c>
      <c r="F5273">
        <v>773.1699829101562</v>
      </c>
      <c r="G5273">
        <v>771.2548217773438</v>
      </c>
      <c r="H5273">
        <v>43531600</v>
      </c>
      <c r="I5273" t="s">
        <v>4582</v>
      </c>
      <c r="J5273" t="s">
        <v>4583</v>
      </c>
      <c r="K5273" t="s">
        <v>7557</v>
      </c>
    </row>
    <row r="5274" spans="1:11" ht="20" customHeight="1">
      <c r="A5274" t="s">
        <v>7556</v>
      </c>
      <c r="B5274" t="s">
        <v>4584</v>
      </c>
      <c r="C5274">
        <v>772.010009765625</v>
      </c>
      <c r="D5274">
        <v>772.8699951171875</v>
      </c>
      <c r="E5274">
        <v>769</v>
      </c>
      <c r="F5274">
        <v>770.1900024414062</v>
      </c>
      <c r="G5274">
        <v>768.2822265625</v>
      </c>
      <c r="H5274">
        <v>34054200</v>
      </c>
      <c r="I5274" t="s">
        <v>4585</v>
      </c>
      <c r="J5274" t="s">
        <v>4586</v>
      </c>
      <c r="K5274" t="s">
        <v>7557</v>
      </c>
    </row>
    <row r="5275" spans="1:11" ht="20" customHeight="1">
      <c r="A5275" t="s">
        <v>7556</v>
      </c>
      <c r="B5275" t="s">
        <v>4587</v>
      </c>
      <c r="C5275">
        <v>769.0700073242188</v>
      </c>
      <c r="D5275">
        <v>769.7000122070312</v>
      </c>
      <c r="E5275">
        <v>765.1400146484375</v>
      </c>
      <c r="F5275">
        <v>765.9600219726562</v>
      </c>
      <c r="G5275">
        <v>764.0626831054688</v>
      </c>
      <c r="H5275">
        <v>44746100</v>
      </c>
      <c r="I5275" t="s">
        <v>4588</v>
      </c>
      <c r="J5275" t="s">
        <v>4589</v>
      </c>
      <c r="K5275" t="s">
        <v>7557</v>
      </c>
    </row>
    <row r="5276" spans="1:11" ht="20" customHeight="1">
      <c r="A5276" t="s">
        <v>7556</v>
      </c>
      <c r="B5276" t="s">
        <v>4590</v>
      </c>
      <c r="C5276">
        <v>764.0800170898438</v>
      </c>
      <c r="D5276">
        <v>764.469970703125</v>
      </c>
      <c r="E5276">
        <v>760.9400024414062</v>
      </c>
      <c r="F5276">
        <v>762.4000244140625</v>
      </c>
      <c r="G5276">
        <v>760.5115356445312</v>
      </c>
      <c r="H5276">
        <v>32812400</v>
      </c>
      <c r="I5276" t="s">
        <v>4591</v>
      </c>
      <c r="J5276" t="s">
        <v>4592</v>
      </c>
      <c r="K5276" t="s">
        <v>7557</v>
      </c>
    </row>
    <row r="5277" spans="1:11" ht="20" customHeight="1">
      <c r="A5277" t="s">
        <v>7556</v>
      </c>
      <c r="B5277" t="s">
        <v>4593</v>
      </c>
      <c r="C5277">
        <v>758.030029296875</v>
      </c>
      <c r="D5277">
        <v>760.1099853515625</v>
      </c>
      <c r="E5277">
        <v>756.6400146484375</v>
      </c>
      <c r="F5277">
        <v>757.8300170898438</v>
      </c>
      <c r="G5277">
        <v>755.9528198242188</v>
      </c>
      <c r="H5277">
        <v>42740400</v>
      </c>
      <c r="I5277" t="s">
        <v>4594</v>
      </c>
      <c r="J5277" t="s">
        <v>4595</v>
      </c>
      <c r="K5277" t="s">
        <v>7557</v>
      </c>
    </row>
    <row r="5278" spans="1:11" ht="20" customHeight="1">
      <c r="A5278" t="s">
        <v>7556</v>
      </c>
      <c r="B5278" t="s">
        <v>4596</v>
      </c>
      <c r="C5278">
        <v>764.719970703125</v>
      </c>
      <c r="D5278">
        <v>766.3800048828125</v>
      </c>
      <c r="E5278">
        <v>763.5999755859375</v>
      </c>
      <c r="F5278">
        <v>764.2899780273438</v>
      </c>
      <c r="G5278">
        <v>762.3967895507812</v>
      </c>
      <c r="H5278">
        <v>45512700</v>
      </c>
      <c r="I5278" t="s">
        <v>4597</v>
      </c>
      <c r="J5278" t="s">
        <v>4598</v>
      </c>
      <c r="K5278" t="s">
        <v>7557</v>
      </c>
    </row>
    <row r="5279" spans="1:11" ht="20" customHeight="1">
      <c r="A5279" t="s">
        <v>7556</v>
      </c>
      <c r="B5279" t="s">
        <v>4599</v>
      </c>
      <c r="C5279">
        <v>759</v>
      </c>
      <c r="D5279">
        <v>763.52001953125</v>
      </c>
      <c r="E5279">
        <v>757.9299926757812</v>
      </c>
      <c r="F5279">
        <v>760.8800048828125</v>
      </c>
      <c r="G5279">
        <v>758.9952392578125</v>
      </c>
      <c r="H5279">
        <v>43992400</v>
      </c>
      <c r="I5279" t="s">
        <v>4600</v>
      </c>
      <c r="J5279" t="s">
        <v>4601</v>
      </c>
      <c r="K5279" t="s">
        <v>7557</v>
      </c>
    </row>
    <row r="5280" spans="1:11" ht="20" customHeight="1">
      <c r="A5280" t="s">
        <v>7556</v>
      </c>
      <c r="B5280" t="s">
        <v>4602</v>
      </c>
      <c r="C5280">
        <v>760.1199951171875</v>
      </c>
      <c r="D5280">
        <v>760.3499755859375</v>
      </c>
      <c r="E5280">
        <v>756.1500244140625</v>
      </c>
      <c r="F5280">
        <v>757.3900146484375</v>
      </c>
      <c r="G5280">
        <v>755.513916015625</v>
      </c>
      <c r="H5280">
        <v>46195000</v>
      </c>
      <c r="I5280" t="s">
        <v>4603</v>
      </c>
      <c r="J5280" t="s">
        <v>4604</v>
      </c>
      <c r="K5280" t="s">
        <v>7557</v>
      </c>
    </row>
    <row r="5281" spans="1:11" ht="20" customHeight="1">
      <c r="A5281" t="s">
        <v>7556</v>
      </c>
      <c r="B5281" t="s">
        <v>4605</v>
      </c>
      <c r="C5281">
        <v>759.5</v>
      </c>
      <c r="D5281">
        <v>761.6699829101562</v>
      </c>
      <c r="E5281">
        <v>749.5999755859375</v>
      </c>
      <c r="F5281">
        <v>754.0499877929688</v>
      </c>
      <c r="G5281">
        <v>752.1821899414062</v>
      </c>
      <c r="H5281">
        <v>59217700</v>
      </c>
      <c r="I5281" t="s">
        <v>4606</v>
      </c>
      <c r="J5281" t="s">
        <v>4607</v>
      </c>
      <c r="K5281" t="s">
        <v>7557</v>
      </c>
    </row>
    <row r="5282" spans="1:11" ht="20" customHeight="1">
      <c r="A5282" t="s">
        <v>7556</v>
      </c>
      <c r="B5282" t="s">
        <v>4608</v>
      </c>
      <c r="C5282">
        <v>763.1500244140625</v>
      </c>
      <c r="D5282">
        <v>763.5700073242188</v>
      </c>
      <c r="E5282">
        <v>759.9600219726562</v>
      </c>
      <c r="F5282">
        <v>762.5999755859375</v>
      </c>
      <c r="G5282">
        <v>760.7109985351562</v>
      </c>
      <c r="H5282">
        <v>49652800</v>
      </c>
      <c r="I5282" t="s">
        <v>4609</v>
      </c>
      <c r="J5282" t="s">
        <v>4610</v>
      </c>
      <c r="K5282" t="s">
        <v>7557</v>
      </c>
    </row>
    <row r="5283" spans="1:11" ht="20" customHeight="1">
      <c r="A5283" t="s">
        <v>7556</v>
      </c>
      <c r="B5283" t="s">
        <v>4611</v>
      </c>
      <c r="C5283">
        <v>761.3099975585938</v>
      </c>
      <c r="D5283">
        <v>762</v>
      </c>
      <c r="E5283">
        <v>757.969970703125</v>
      </c>
      <c r="F5283">
        <v>761.6900024414062</v>
      </c>
      <c r="G5283">
        <v>761.6900024414062</v>
      </c>
      <c r="H5283">
        <v>65395100</v>
      </c>
      <c r="I5283" t="s">
        <v>4612</v>
      </c>
      <c r="J5283" t="s">
        <v>4613</v>
      </c>
      <c r="K5283" t="s">
        <v>7557</v>
      </c>
    </row>
    <row r="5284" spans="1:11" ht="20" customHeight="1">
      <c r="A5284" t="s">
        <v>7556</v>
      </c>
      <c r="B5284" t="s">
        <v>4614</v>
      </c>
      <c r="C5284">
        <v>766.25</v>
      </c>
      <c r="D5284">
        <v>774.8900146484375</v>
      </c>
      <c r="E5284">
        <v>766.030029296875</v>
      </c>
      <c r="F5284">
        <v>773.5</v>
      </c>
      <c r="G5284">
        <v>773.5</v>
      </c>
      <c r="H5284">
        <v>50484700</v>
      </c>
      <c r="I5284" t="s">
        <v>4615</v>
      </c>
      <c r="J5284" t="s">
        <v>4616</v>
      </c>
      <c r="K5284" t="s">
        <v>7557</v>
      </c>
    </row>
    <row r="5285" spans="1:11" ht="20" customHeight="1">
      <c r="A5285" t="s">
        <v>7556</v>
      </c>
      <c r="B5285" t="s">
        <v>4617</v>
      </c>
      <c r="C5285">
        <v>774.030029296875</v>
      </c>
      <c r="D5285">
        <v>775.1400146484375</v>
      </c>
      <c r="E5285">
        <v>772.5700073242188</v>
      </c>
      <c r="F5285">
        <v>773.3800048828125</v>
      </c>
      <c r="G5285">
        <v>773.3800048828125</v>
      </c>
      <c r="H5285">
        <v>34802300</v>
      </c>
      <c r="I5285" t="s">
        <v>4618</v>
      </c>
      <c r="J5285" t="s">
        <v>4619</v>
      </c>
      <c r="K5285" t="s">
        <v>7557</v>
      </c>
    </row>
    <row r="5286" spans="1:11" ht="20" customHeight="1">
      <c r="A5286" t="s">
        <v>7556</v>
      </c>
      <c r="B5286" t="s">
        <v>4620</v>
      </c>
      <c r="C5286">
        <v>772.7899780273438</v>
      </c>
      <c r="D5286">
        <v>773.0499877929688</v>
      </c>
      <c r="E5286">
        <v>766.5</v>
      </c>
      <c r="F5286">
        <v>767.8099975585938</v>
      </c>
      <c r="G5286">
        <v>767.8099975585938</v>
      </c>
      <c r="H5286">
        <v>54931700</v>
      </c>
      <c r="I5286" t="s">
        <v>4621</v>
      </c>
      <c r="J5286" t="s">
        <v>4622</v>
      </c>
      <c r="K5286" t="s">
        <v>7557</v>
      </c>
    </row>
    <row r="5287" spans="1:11" ht="20" customHeight="1">
      <c r="A5287" t="s">
        <v>7556</v>
      </c>
      <c r="B5287" t="s">
        <v>4623</v>
      </c>
      <c r="C5287">
        <v>764.0700073242188</v>
      </c>
      <c r="D5287">
        <v>768.9500122070312</v>
      </c>
      <c r="E5287">
        <v>763.25</v>
      </c>
      <c r="F5287">
        <v>767.1799926757812</v>
      </c>
      <c r="G5287">
        <v>767.1799926757812</v>
      </c>
      <c r="H5287">
        <v>43983700</v>
      </c>
      <c r="I5287" t="s">
        <v>4624</v>
      </c>
      <c r="J5287" t="s">
        <v>4625</v>
      </c>
      <c r="K5287" t="s">
        <v>7557</v>
      </c>
    </row>
    <row r="5288" spans="1:11" ht="20" customHeight="1">
      <c r="A5288" t="s">
        <v>7556</v>
      </c>
      <c r="B5288" t="s">
        <v>4626</v>
      </c>
      <c r="C5288">
        <v>768.780029296875</v>
      </c>
      <c r="D5288">
        <v>772.280029296875</v>
      </c>
      <c r="E5288">
        <v>766.2899780273438</v>
      </c>
      <c r="F5288">
        <v>771.3499755859375</v>
      </c>
      <c r="G5288">
        <v>771.3499755859375</v>
      </c>
      <c r="H5288">
        <v>36666700</v>
      </c>
      <c r="I5288" t="s">
        <v>4627</v>
      </c>
      <c r="J5288" t="s">
        <v>4628</v>
      </c>
      <c r="K5288" t="s">
        <v>7557</v>
      </c>
    </row>
    <row r="5289" spans="1:11" ht="20" customHeight="1">
      <c r="A5289" t="s">
        <v>7556</v>
      </c>
      <c r="B5289" t="s">
        <v>4629</v>
      </c>
      <c r="C5289">
        <v>768.3499755859375</v>
      </c>
      <c r="D5289">
        <v>769.5399780273438</v>
      </c>
      <c r="E5289">
        <v>763.719970703125</v>
      </c>
      <c r="F5289">
        <v>765.6099853515625</v>
      </c>
      <c r="G5289">
        <v>765.6099853515625</v>
      </c>
      <c r="H5289">
        <v>42296700</v>
      </c>
      <c r="I5289" t="s">
        <v>4630</v>
      </c>
      <c r="J5289" t="s">
        <v>4631</v>
      </c>
      <c r="K5289" t="s">
        <v>7557</v>
      </c>
    </row>
  </sheetData>
  <autoFilter ref="A1:K52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17.7109375" customWidth="1"/>
    <col min="2" max="2" width="30.7109375" customWidth="1"/>
    <col min="3" max="36" width="17.7109375" customWidth="1"/>
  </cols>
  <sheetData>
    <row r="1" spans="1:6" ht="32" customHeight="1">
      <c r="A1" s="7" t="s">
        <v>7558</v>
      </c>
      <c r="B1" s="7" t="s">
        <v>7559</v>
      </c>
      <c r="C1" s="7" t="s">
        <v>25</v>
      </c>
      <c r="D1" s="7" t="s">
        <v>26</v>
      </c>
      <c r="E1" s="7" t="s">
        <v>7560</v>
      </c>
      <c r="F1" s="7" t="s">
        <v>7561</v>
      </c>
    </row>
    <row r="2" spans="1:6" ht="20" customHeight="1">
      <c r="A2" t="s">
        <v>873</v>
      </c>
      <c r="B2" t="s">
        <v>875</v>
      </c>
      <c r="C2" s="3">
        <f>Daily!G280</f>
        <v>164.22000122070312</v>
      </c>
      <c r="D2" s="3">
        <f>Daily!G1934</f>
        <v>41564.36328125</v>
      </c>
      <c r="E2" t="s">
        <v>875</v>
      </c>
      <c r="F2" t="s">
        <v>5159</v>
      </c>
    </row>
    <row r="3" spans="1:6" ht="20" customHeight="1">
      <c r="A3" t="s">
        <v>936</v>
      </c>
      <c r="B3" t="s">
        <v>938</v>
      </c>
      <c r="C3" s="3">
        <f>Daily!G301</f>
        <v>166.64999389648438</v>
      </c>
      <c r="D3" s="3">
        <f>Daily!G1963</f>
        <v>60622.13671875</v>
      </c>
      <c r="E3" t="s">
        <v>938</v>
      </c>
      <c r="F3" t="s">
        <v>5196</v>
      </c>
    </row>
    <row r="4" spans="1:6" ht="20" customHeight="1">
      <c r="A4" t="s">
        <v>999</v>
      </c>
      <c r="B4" t="s">
        <v>1001</v>
      </c>
      <c r="C4" s="3">
        <f>Daily!G322</f>
        <v>165.5</v>
      </c>
      <c r="D4" s="3">
        <f>Daily!G1995</f>
        <v>57806.56640625</v>
      </c>
      <c r="E4" t="s">
        <v>1001</v>
      </c>
      <c r="F4" t="s">
        <v>5239</v>
      </c>
    </row>
    <row r="5" spans="1:6" ht="20" customHeight="1">
      <c r="A5" t="s">
        <v>1065</v>
      </c>
      <c r="B5" t="s">
        <v>1067</v>
      </c>
      <c r="C5" s="3">
        <f>Daily!G344</f>
        <v>170.9600067138672</v>
      </c>
      <c r="D5" s="3">
        <f>Daily!G2026</f>
        <v>47178.125</v>
      </c>
      <c r="E5" t="s">
        <v>1067</v>
      </c>
      <c r="F5" t="s">
        <v>5279</v>
      </c>
    </row>
    <row r="6" spans="1:6" ht="20" customHeight="1">
      <c r="A6" t="s">
        <v>1125</v>
      </c>
      <c r="B6" t="s">
        <v>1127</v>
      </c>
      <c r="C6" s="3">
        <f>Daily!G364</f>
        <v>168.08999633789062</v>
      </c>
      <c r="D6" s="3">
        <f>Daily!G2057</f>
        <v>37917.6015625</v>
      </c>
      <c r="E6" t="s">
        <v>1127</v>
      </c>
      <c r="F6" t="s">
        <v>5321</v>
      </c>
    </row>
    <row r="7" spans="1:6" ht="20" customHeight="1">
      <c r="A7" t="s">
        <v>1182</v>
      </c>
      <c r="B7" t="s">
        <v>1184</v>
      </c>
      <c r="C7" s="3">
        <f>Daily!G383</f>
        <v>178.3800048828125</v>
      </c>
      <c r="D7" s="3">
        <f>Daily!G2085</f>
        <v>37709.78515625</v>
      </c>
      <c r="E7" t="s">
        <v>1184</v>
      </c>
      <c r="F7" t="s">
        <v>5358</v>
      </c>
    </row>
    <row r="8" spans="1:6" ht="20" customHeight="1">
      <c r="A8" t="s">
        <v>1251</v>
      </c>
      <c r="B8" t="s">
        <v>1253</v>
      </c>
      <c r="C8" s="3">
        <f>Daily!G406</f>
        <v>180.64999389648438</v>
      </c>
      <c r="D8" s="3">
        <f>Daily!G2116</f>
        <v>47062.6640625</v>
      </c>
      <c r="E8" t="s">
        <v>1253</v>
      </c>
      <c r="F8" t="s">
        <v>5397</v>
      </c>
    </row>
    <row r="9" spans="1:6" ht="20" customHeight="1">
      <c r="A9" t="s">
        <v>1311</v>
      </c>
      <c r="B9" t="s">
        <v>1313</v>
      </c>
      <c r="C9" s="3">
        <f>Daily!G426</f>
        <v>176.91000366210938</v>
      </c>
      <c r="D9" s="3">
        <f>Daily!G2145</f>
        <v>39773.828125</v>
      </c>
      <c r="E9" t="s">
        <v>1313</v>
      </c>
      <c r="F9" t="s">
        <v>5435</v>
      </c>
    </row>
    <row r="10" spans="1:6" ht="20" customHeight="1">
      <c r="A10" t="s">
        <v>1374</v>
      </c>
      <c r="B10" t="s">
        <v>1376</v>
      </c>
      <c r="C10" s="3">
        <f>Daily!G447</f>
        <v>171.13999938964844</v>
      </c>
      <c r="D10" s="3">
        <f>Daily!G2177</f>
        <v>31726.390625</v>
      </c>
      <c r="E10" t="s">
        <v>1376</v>
      </c>
      <c r="F10" t="s">
        <v>5478</v>
      </c>
    </row>
    <row r="11" spans="1:6" ht="20" customHeight="1">
      <c r="A11" t="s">
        <v>1437</v>
      </c>
      <c r="B11" t="s">
        <v>1439</v>
      </c>
      <c r="C11" s="3">
        <f>Daily!G468</f>
        <v>168.4600067138672</v>
      </c>
      <c r="D11" s="3">
        <f>Daily!G2207</f>
        <v>20104.0234375</v>
      </c>
      <c r="E11" t="s">
        <v>1439</v>
      </c>
      <c r="F11" t="s">
        <v>5517</v>
      </c>
    </row>
    <row r="12" spans="1:6" ht="20" customHeight="1">
      <c r="A12" t="s">
        <v>1497</v>
      </c>
      <c r="B12" t="s">
        <v>1499</v>
      </c>
      <c r="C12" s="3">
        <f>Daily!G488</f>
        <v>164.10000610351562</v>
      </c>
      <c r="D12" s="3">
        <f>Daily!G2236</f>
        <v>23843.88671875</v>
      </c>
      <c r="E12" t="s">
        <v>1499</v>
      </c>
      <c r="F12" t="s">
        <v>5555</v>
      </c>
    </row>
    <row r="13" spans="1:6" ht="20" customHeight="1">
      <c r="A13" t="s">
        <v>1566</v>
      </c>
      <c r="B13" t="s">
        <v>1568</v>
      </c>
      <c r="C13" s="3">
        <f>Daily!G511</f>
        <v>159.27000427246094</v>
      </c>
      <c r="D13" s="3">
        <f>Daily!G2269</f>
        <v>19796.80859375</v>
      </c>
      <c r="E13" t="s">
        <v>1568</v>
      </c>
      <c r="F13" t="s">
        <v>5598</v>
      </c>
    </row>
    <row r="14" spans="1:6" ht="20" customHeight="1">
      <c r="A14" t="s">
        <v>1629</v>
      </c>
      <c r="B14" t="s">
        <v>1631</v>
      </c>
      <c r="C14" s="3">
        <f>Daily!G532</f>
        <v>154.6699981689453</v>
      </c>
      <c r="D14" s="3">
        <f>Daily!G2299</f>
        <v>19573.05078125</v>
      </c>
      <c r="E14" t="s">
        <v>1631</v>
      </c>
      <c r="F14" t="s">
        <v>5637</v>
      </c>
    </row>
    <row r="15" spans="1:6" ht="20" customHeight="1">
      <c r="A15" t="s">
        <v>1692</v>
      </c>
      <c r="B15" t="s">
        <v>1694</v>
      </c>
      <c r="C15" s="3">
        <f>Daily!G553</f>
        <v>151.91000366210938</v>
      </c>
      <c r="D15" s="3">
        <f>Daily!G2330</f>
        <v>20635.603515625</v>
      </c>
      <c r="E15" t="s">
        <v>1694</v>
      </c>
      <c r="F15" t="s">
        <v>5678</v>
      </c>
    </row>
    <row r="16" spans="1:6" ht="20" customHeight="1">
      <c r="A16" t="s">
        <v>1755</v>
      </c>
      <c r="B16" t="s">
        <v>1757</v>
      </c>
      <c r="C16" s="3">
        <f>Daily!G574</f>
        <v>164.80999755859375</v>
      </c>
      <c r="D16" s="3">
        <f>Daily!G2360</f>
        <v>16444.982421875</v>
      </c>
      <c r="E16" t="s">
        <v>1757</v>
      </c>
      <c r="F16" t="s">
        <v>5717</v>
      </c>
    </row>
    <row r="17" spans="1:6" ht="20" customHeight="1">
      <c r="A17" t="s">
        <v>1818</v>
      </c>
      <c r="B17" t="s">
        <v>1820</v>
      </c>
      <c r="C17" s="3">
        <f>Daily!G595</f>
        <v>169.63999938964844</v>
      </c>
      <c r="D17" s="3">
        <f>Daily!G2390</f>
        <v>16642.341796875</v>
      </c>
      <c r="E17" t="s">
        <v>1820</v>
      </c>
      <c r="F17" t="s">
        <v>5756</v>
      </c>
    </row>
    <row r="18" spans="1:6" ht="20" customHeight="1">
      <c r="A18" t="s">
        <v>1878</v>
      </c>
      <c r="B18" t="s">
        <v>1880</v>
      </c>
      <c r="C18" s="3">
        <f>Daily!G615</f>
        <v>179.41000366210938</v>
      </c>
      <c r="D18" s="3">
        <f>Daily!G2422</f>
        <v>22840.138671875</v>
      </c>
      <c r="E18" t="s">
        <v>1880</v>
      </c>
      <c r="F18" t="s">
        <v>5800</v>
      </c>
    </row>
    <row r="19" spans="1:6" ht="20" customHeight="1">
      <c r="A19" t="s">
        <v>1935</v>
      </c>
      <c r="B19" t="s">
        <v>1937</v>
      </c>
      <c r="C19" s="3">
        <f>Daily!G634</f>
        <v>169.77999877929688</v>
      </c>
      <c r="D19" s="3">
        <f>Daily!G2450</f>
        <v>23522.87109375</v>
      </c>
      <c r="E19" t="s">
        <v>1937</v>
      </c>
      <c r="F19" t="s">
        <v>5837</v>
      </c>
    </row>
    <row r="20" spans="1:6" ht="20" customHeight="1">
      <c r="A20" t="s">
        <v>2004</v>
      </c>
      <c r="B20" t="s">
        <v>2006</v>
      </c>
      <c r="C20" s="3">
        <f>Daily!G657</f>
        <v>183.22000122070312</v>
      </c>
      <c r="D20" s="3">
        <f>Daily!G2481</f>
        <v>28033.5625</v>
      </c>
      <c r="E20" t="s">
        <v>2006</v>
      </c>
      <c r="F20" t="s">
        <v>5876</v>
      </c>
    </row>
    <row r="21" spans="1:6" ht="20" customHeight="1">
      <c r="A21" t="s">
        <v>2061</v>
      </c>
      <c r="B21" t="s">
        <v>2063</v>
      </c>
      <c r="C21" s="3">
        <f>Daily!G676</f>
        <v>184.8000030517578</v>
      </c>
      <c r="D21" s="3">
        <f>Daily!G2509</f>
        <v>29473.787109375</v>
      </c>
      <c r="E21" t="s">
        <v>2063</v>
      </c>
      <c r="F21" t="s">
        <v>5913</v>
      </c>
    </row>
    <row r="22" spans="1:6" ht="20" customHeight="1">
      <c r="A22" t="s">
        <v>2127</v>
      </c>
      <c r="B22" t="s">
        <v>2129</v>
      </c>
      <c r="C22" s="3">
        <f>Daily!G698</f>
        <v>182.32000732421875</v>
      </c>
      <c r="D22" s="3">
        <f>Daily!G2542</f>
        <v>27702.349609375</v>
      </c>
      <c r="E22" t="s">
        <v>2129</v>
      </c>
      <c r="F22" t="s">
        <v>5957</v>
      </c>
    </row>
    <row r="23" spans="1:6" ht="20" customHeight="1">
      <c r="A23" t="s">
        <v>2190</v>
      </c>
      <c r="B23" t="s">
        <v>2192</v>
      </c>
      <c r="C23" s="3">
        <f>Daily!G719</f>
        <v>178.27000427246094</v>
      </c>
      <c r="D23" s="3">
        <f>Daily!G2572</f>
        <v>30445.3515625</v>
      </c>
      <c r="E23" t="s">
        <v>2192</v>
      </c>
      <c r="F23" t="s">
        <v>5996</v>
      </c>
    </row>
    <row r="24" spans="1:6" ht="20" customHeight="1">
      <c r="A24" t="s">
        <v>2250</v>
      </c>
      <c r="B24" t="s">
        <v>2252</v>
      </c>
      <c r="C24" s="3">
        <f>Daily!G739</f>
        <v>182.35000610351562</v>
      </c>
      <c r="D24" s="3">
        <f>Daily!G2603</f>
        <v>29275.30859375</v>
      </c>
      <c r="E24" t="s">
        <v>2252</v>
      </c>
      <c r="F24" t="s">
        <v>6038</v>
      </c>
    </row>
    <row r="25" spans="1:6" ht="20" customHeight="1">
      <c r="A25" t="s">
        <v>2319</v>
      </c>
      <c r="B25" t="s">
        <v>2321</v>
      </c>
      <c r="C25" s="3">
        <f>Daily!G762</f>
        <v>180.02000427246094</v>
      </c>
      <c r="D25" s="3">
        <f>Daily!G2634</f>
        <v>27297.265625</v>
      </c>
      <c r="E25" t="s">
        <v>2321</v>
      </c>
      <c r="F25" t="s">
        <v>6077</v>
      </c>
    </row>
    <row r="26" spans="1:6" ht="20" customHeight="1">
      <c r="A26" t="s">
        <v>2379</v>
      </c>
      <c r="B26" t="s">
        <v>2381</v>
      </c>
      <c r="C26" s="3">
        <f>Daily!G782</f>
        <v>171.4499969482422</v>
      </c>
      <c r="D26" s="3">
        <f>Daily!G2663</f>
        <v>27021.546875</v>
      </c>
      <c r="E26" t="s">
        <v>2381</v>
      </c>
      <c r="F26" t="s">
        <v>6115</v>
      </c>
    </row>
    <row r="27" spans="1:6" ht="20" customHeight="1">
      <c r="A27" t="s">
        <v>2445</v>
      </c>
      <c r="B27" t="s">
        <v>2447</v>
      </c>
      <c r="C27" s="3">
        <f>Daily!G804</f>
        <v>184.08999633789062</v>
      </c>
      <c r="D27" s="3">
        <f>Daily!G2695</f>
        <v>34502.36328125</v>
      </c>
      <c r="E27" t="s">
        <v>2447</v>
      </c>
      <c r="F27" t="s">
        <v>6157</v>
      </c>
    </row>
    <row r="28" spans="1:6" ht="20" customHeight="1">
      <c r="A28" t="s">
        <v>2508</v>
      </c>
      <c r="B28" t="s">
        <v>2510</v>
      </c>
      <c r="C28" s="3">
        <f>Daily!G825</f>
        <v>188.75</v>
      </c>
      <c r="D28" s="3">
        <f>Daily!G2725</f>
        <v>37858.4921875</v>
      </c>
      <c r="E28" t="s">
        <v>2510</v>
      </c>
      <c r="F28" t="s">
        <v>6196</v>
      </c>
    </row>
    <row r="29" spans="1:6" ht="20" customHeight="1">
      <c r="A29" t="s">
        <v>2568</v>
      </c>
      <c r="B29" t="s">
        <v>2570</v>
      </c>
      <c r="C29" s="3">
        <f>Daily!G845</f>
        <v>191.1699981689453</v>
      </c>
      <c r="D29" s="3">
        <f>Daily!G2754</f>
        <v>42627.85546875</v>
      </c>
      <c r="E29" t="s">
        <v>2570</v>
      </c>
      <c r="F29" t="s">
        <v>6234</v>
      </c>
    </row>
    <row r="30" spans="1:6" ht="20" customHeight="1">
      <c r="A30" t="s">
        <v>2631</v>
      </c>
      <c r="B30" t="s">
        <v>2633</v>
      </c>
      <c r="C30" s="3">
        <f>Daily!G866</f>
        <v>188.4499969482422</v>
      </c>
      <c r="D30" s="3">
        <f>Daily!G2787</f>
        <v>42952.609375</v>
      </c>
      <c r="E30" t="s">
        <v>2633</v>
      </c>
      <c r="F30" t="s">
        <v>6279</v>
      </c>
    </row>
    <row r="31" spans="1:6" ht="20" customHeight="1">
      <c r="A31" t="s">
        <v>2691</v>
      </c>
      <c r="B31" t="s">
        <v>2693</v>
      </c>
      <c r="C31" s="3">
        <f>Daily!G886</f>
        <v>189.30999755859375</v>
      </c>
      <c r="D31" s="3">
        <f>Daily!G2816</f>
        <v>62504.7890625</v>
      </c>
      <c r="E31" t="s">
        <v>2693</v>
      </c>
      <c r="F31" t="s">
        <v>6317</v>
      </c>
    </row>
    <row r="32" spans="1:6" ht="20" customHeight="1">
      <c r="A32" t="s">
        <v>2751</v>
      </c>
      <c r="B32" t="s">
        <v>2753</v>
      </c>
      <c r="C32" s="3">
        <f>Daily!G906</f>
        <v>205.72000122070312</v>
      </c>
      <c r="D32" s="3">
        <f>Daily!G2844</f>
        <v>69455.34375</v>
      </c>
      <c r="E32" t="s">
        <v>2753</v>
      </c>
      <c r="F32" t="s">
        <v>6353</v>
      </c>
    </row>
    <row r="33" spans="1:6" ht="20" customHeight="1">
      <c r="A33" t="s">
        <v>2817</v>
      </c>
      <c r="B33" t="s">
        <v>2819</v>
      </c>
      <c r="C33" s="3">
        <f>Daily!G928</f>
        <v>211.8699951171875</v>
      </c>
      <c r="D33" s="3">
        <f>Daily!G2877</f>
        <v>63841.12109375</v>
      </c>
      <c r="E33" t="s">
        <v>2819</v>
      </c>
      <c r="F33" t="s">
        <v>6397</v>
      </c>
    </row>
    <row r="34" spans="1:6" ht="20" customHeight="1">
      <c r="A34" t="s">
        <v>2883</v>
      </c>
      <c r="B34" t="s">
        <v>2885</v>
      </c>
      <c r="C34" s="3">
        <f>Daily!G950</f>
        <v>215.3000030517578</v>
      </c>
      <c r="D34" s="3">
        <f>Daily!G2908</f>
        <v>68364.9921875</v>
      </c>
      <c r="E34" t="s">
        <v>2885</v>
      </c>
      <c r="F34" t="s">
        <v>6437</v>
      </c>
    </row>
    <row r="35" spans="1:6" ht="20" customHeight="1">
      <c r="A35" t="s">
        <v>2940</v>
      </c>
      <c r="B35" t="s">
        <v>2942</v>
      </c>
      <c r="C35" s="3">
        <f>Daily!G969</f>
        <v>215.00999450683594</v>
      </c>
      <c r="D35" s="3">
        <f>Daily!G2936</f>
        <v>61604.80078125</v>
      </c>
      <c r="E35" t="s">
        <v>2942</v>
      </c>
      <c r="F35" t="s">
        <v>6474</v>
      </c>
    </row>
    <row r="36" spans="1:6" ht="20" customHeight="1">
      <c r="A36" t="s">
        <v>3006</v>
      </c>
      <c r="B36" t="s">
        <v>3008</v>
      </c>
      <c r="C36" s="3">
        <f>Daily!G991</f>
        <v>226.5500030517578</v>
      </c>
      <c r="D36" s="3">
        <f>Daily!G2969</f>
        <v>66201.015625</v>
      </c>
      <c r="E36" t="s">
        <v>3008</v>
      </c>
      <c r="F36" t="s">
        <v>6518</v>
      </c>
    </row>
    <row r="37" spans="1:6" ht="20" customHeight="1">
      <c r="A37" t="s">
        <v>3072</v>
      </c>
      <c r="B37" t="s">
        <v>3074</v>
      </c>
      <c r="C37" s="3">
        <f>Daily!G1013</f>
        <v>231.2899932861328</v>
      </c>
      <c r="D37" s="3">
        <f>Daily!G2999</f>
        <v>59388.1796875</v>
      </c>
      <c r="E37" t="s">
        <v>3074</v>
      </c>
      <c r="F37" t="s">
        <v>6556</v>
      </c>
    </row>
    <row r="38" spans="1:6" ht="20" customHeight="1">
      <c r="A38" t="s">
        <v>3132</v>
      </c>
      <c r="B38" t="s">
        <v>3134</v>
      </c>
      <c r="C38" s="3">
        <f>Daily!G1033</f>
        <v>243.05999755859375</v>
      </c>
      <c r="D38" s="3">
        <f>Daily!G3030</f>
        <v>65635.3046875</v>
      </c>
      <c r="E38" t="s">
        <v>3134</v>
      </c>
      <c r="F38" t="s">
        <v>6598</v>
      </c>
    </row>
    <row r="39" spans="1:6" ht="20" customHeight="1">
      <c r="A39" t="s">
        <v>3201</v>
      </c>
      <c r="B39" t="s">
        <v>3203</v>
      </c>
      <c r="C39" s="3">
        <f>Daily!G1056</f>
        <v>253.50999450683594</v>
      </c>
      <c r="D39" s="3">
        <f>Daily!G3061</f>
        <v>72339.5390625</v>
      </c>
      <c r="E39" t="s">
        <v>3203</v>
      </c>
      <c r="F39" t="s">
        <v>6637</v>
      </c>
    </row>
    <row r="40" spans="1:6" ht="20" customHeight="1">
      <c r="A40" t="s">
        <v>3261</v>
      </c>
      <c r="B40" t="s">
        <v>3263</v>
      </c>
      <c r="C40" s="3">
        <f>Daily!G1076</f>
        <v>245.58999633789062</v>
      </c>
      <c r="D40" s="3">
        <f>Daily!G3090</f>
        <v>95652.46875</v>
      </c>
      <c r="E40" t="s">
        <v>3263</v>
      </c>
      <c r="F40" t="s">
        <v>6675</v>
      </c>
    </row>
    <row r="41" spans="1:6" ht="20" customHeight="1">
      <c r="A41" t="s">
        <v>3324</v>
      </c>
      <c r="B41" t="s">
        <v>3326</v>
      </c>
      <c r="C41" s="3">
        <f>Daily!G1097</f>
        <v>242.1300048828125</v>
      </c>
      <c r="D41" s="3">
        <f>Daily!G3122</f>
        <v>92643.2109375</v>
      </c>
      <c r="E41" t="s">
        <v>3326</v>
      </c>
      <c r="F41" t="s">
        <v>6718</v>
      </c>
    </row>
    <row r="42" spans="1:6" ht="20" customHeight="1">
      <c r="A42" t="s">
        <v>3384</v>
      </c>
      <c r="B42" t="s">
        <v>3386</v>
      </c>
      <c r="C42" s="3">
        <f>Daily!G1117</f>
        <v>258.55999755859375</v>
      </c>
      <c r="D42" s="3">
        <f>Daily!G3153</f>
        <v>104735.3046875</v>
      </c>
      <c r="E42" t="s">
        <v>3386</v>
      </c>
      <c r="F42" t="s">
        <v>6760</v>
      </c>
    </row>
    <row r="43" spans="1:6" ht="20" customHeight="1">
      <c r="A43" t="s">
        <v>3441</v>
      </c>
      <c r="B43" t="s">
        <v>3443</v>
      </c>
      <c r="C43" s="3">
        <f>Daily!G1136</f>
        <v>263.2699890136719</v>
      </c>
      <c r="D43" s="3">
        <f>Daily!G3181</f>
        <v>84704.2265625</v>
      </c>
      <c r="E43" t="s">
        <v>3443</v>
      </c>
      <c r="F43" t="s">
        <v>6797</v>
      </c>
    </row>
    <row r="44" spans="1:6" ht="20" customHeight="1">
      <c r="A44" t="s">
        <v>3504</v>
      </c>
      <c r="B44" t="s">
        <v>3506</v>
      </c>
      <c r="C44" s="3">
        <f>Daily!G1157</f>
        <v>288.1400146484375</v>
      </c>
      <c r="D44" s="3">
        <f>Daily!G3212</f>
        <v>82334.5234375</v>
      </c>
      <c r="E44" t="s">
        <v>3506</v>
      </c>
      <c r="F44" t="s">
        <v>6838</v>
      </c>
    </row>
    <row r="45" spans="1:6" ht="20" customHeight="1">
      <c r="A45" t="s">
        <v>3567</v>
      </c>
      <c r="B45" t="s">
        <v>3569</v>
      </c>
      <c r="C45" s="3">
        <f>Daily!G1178</f>
        <v>303.7699890136719</v>
      </c>
      <c r="D45" s="3">
        <f>Daily!G3242</f>
        <v>94284.7890625</v>
      </c>
      <c r="E45" t="s">
        <v>3569</v>
      </c>
      <c r="F45" t="s">
        <v>6877</v>
      </c>
    </row>
    <row r="46" spans="1:6" ht="20" customHeight="1">
      <c r="A46" t="s">
        <v>3630</v>
      </c>
      <c r="B46" t="s">
        <v>3632</v>
      </c>
      <c r="C46" s="3">
        <f>Daily!G1199</f>
        <v>303.6000061035156</v>
      </c>
      <c r="D46" s="3">
        <f>Daily!G3272</f>
        <v>105641.7578125</v>
      </c>
      <c r="E46" t="s">
        <v>3632</v>
      </c>
      <c r="F46" t="s">
        <v>6916</v>
      </c>
    </row>
    <row r="47" spans="1:6" ht="20" customHeight="1">
      <c r="A47" t="s">
        <v>3690</v>
      </c>
      <c r="B47" t="s">
        <v>3692</v>
      </c>
      <c r="C47" s="3">
        <f>Daily!G1219</f>
        <v>304.8299865722656</v>
      </c>
      <c r="D47" s="3">
        <f>Daily!G3303</f>
        <v>108385.5703125</v>
      </c>
      <c r="E47" t="s">
        <v>3692</v>
      </c>
      <c r="F47" t="s">
        <v>6958</v>
      </c>
    </row>
    <row r="48" spans="1:6" ht="20" customHeight="1">
      <c r="A48" t="s">
        <v>3756</v>
      </c>
      <c r="B48" t="s">
        <v>3758</v>
      </c>
      <c r="C48" s="3">
        <f>Daily!G1241</f>
        <v>302.9599914550781</v>
      </c>
      <c r="D48" s="3">
        <f>Daily!G3334</f>
        <v>117831.1875</v>
      </c>
      <c r="E48" t="s">
        <v>3758</v>
      </c>
      <c r="F48" t="s">
        <v>6998</v>
      </c>
    </row>
    <row r="49" spans="1:6" ht="20" customHeight="1">
      <c r="A49" t="s">
        <v>3819</v>
      </c>
      <c r="B49" t="s">
        <v>3821</v>
      </c>
      <c r="C49" s="3">
        <f>Daily!G1262</f>
        <v>318.07000732421875</v>
      </c>
      <c r="D49" s="3">
        <f>Daily!G3363</f>
        <v>112544.8046875</v>
      </c>
      <c r="E49" t="s">
        <v>3821</v>
      </c>
      <c r="F49" t="s">
        <v>7035</v>
      </c>
    </row>
    <row r="50" spans="1:6" ht="20" customHeight="1">
      <c r="A50" t="s">
        <v>3882</v>
      </c>
      <c r="B50" t="s">
        <v>3884</v>
      </c>
      <c r="C50" s="3">
        <f>Daily!G1283</f>
        <v>355.4700012207031</v>
      </c>
      <c r="D50" s="3">
        <f>Daily!G3395</f>
        <v>114400.3828125</v>
      </c>
      <c r="E50" t="s">
        <v>3884</v>
      </c>
      <c r="F50" t="s">
        <v>7078</v>
      </c>
    </row>
    <row r="51" spans="1:6" ht="20" customHeight="1">
      <c r="A51" t="s">
        <v>3951</v>
      </c>
      <c r="B51" t="s">
        <v>3953</v>
      </c>
      <c r="C51" s="3">
        <f>Daily!G1306</f>
        <v>368.1199951171875</v>
      </c>
      <c r="D51" s="3">
        <f>Daily!G3426</f>
        <v>108305.546875</v>
      </c>
      <c r="E51" t="s">
        <v>3953</v>
      </c>
      <c r="F51" t="s">
        <v>7117</v>
      </c>
    </row>
    <row r="52" spans="1:6" ht="20" customHeight="1">
      <c r="A52" t="s">
        <v>4008</v>
      </c>
      <c r="B52" t="s">
        <v>4010</v>
      </c>
      <c r="C52" s="3">
        <f>Daily!G1325</f>
        <v>387.8800048828125</v>
      </c>
      <c r="D52" s="3">
        <f>Daily!G3454</f>
        <v>91285.375</v>
      </c>
      <c r="E52" t="s">
        <v>4010</v>
      </c>
      <c r="F52" t="s">
        <v>7154</v>
      </c>
    </row>
    <row r="53" spans="1:6" ht="20" customHeight="1">
      <c r="A53" t="s">
        <v>4074</v>
      </c>
      <c r="B53" t="s">
        <v>4076</v>
      </c>
      <c r="C53" s="3">
        <f>Daily!G1347</f>
        <v>396.30999755859375</v>
      </c>
      <c r="D53" s="3">
        <f>Daily!G3487</f>
        <v>88430.1328125</v>
      </c>
      <c r="E53" t="s">
        <v>4076</v>
      </c>
      <c r="F53" t="s">
        <v>7198</v>
      </c>
    </row>
    <row r="54" spans="1:6" ht="20" customHeight="1">
      <c r="A54" t="s">
        <v>4134</v>
      </c>
      <c r="B54" t="s">
        <v>4136</v>
      </c>
      <c r="C54" s="3">
        <f>Daily!G1367</f>
        <v>444.95001220703125</v>
      </c>
      <c r="D54" s="3">
        <f>Daily!G3517</f>
        <v>84561.5859375</v>
      </c>
      <c r="E54" t="s">
        <v>4136</v>
      </c>
      <c r="F54" t="s">
        <v>7238</v>
      </c>
    </row>
    <row r="55" spans="1:6" ht="20" customHeight="1">
      <c r="A55" t="s">
        <v>4191</v>
      </c>
      <c r="B55" t="s">
        <v>4193</v>
      </c>
      <c r="C55" s="3">
        <f>Daily!G1386</f>
        <v>483.75</v>
      </c>
      <c r="D55" s="3">
        <f>Daily!G3545</f>
        <v>67453.7734375</v>
      </c>
      <c r="E55" t="s">
        <v>4193</v>
      </c>
      <c r="F55" t="s">
        <v>7275</v>
      </c>
    </row>
    <row r="56" spans="1:6" ht="20" customHeight="1">
      <c r="A56" t="s">
        <v>4257</v>
      </c>
      <c r="B56" t="s">
        <v>4259</v>
      </c>
      <c r="C56" s="3">
        <f>Daily!G1408</f>
        <v>430.2900085449219</v>
      </c>
      <c r="D56" s="3">
        <f>Daily!G3577</f>
        <v>66691.4453125</v>
      </c>
      <c r="E56" t="s">
        <v>4259</v>
      </c>
      <c r="F56" t="s">
        <v>7317</v>
      </c>
    </row>
    <row r="57" spans="1:6" ht="20" customHeight="1">
      <c r="A57" t="s">
        <v>4320</v>
      </c>
      <c r="B57" t="s">
        <v>4322</v>
      </c>
      <c r="C57" s="3">
        <f>Daily!G1429</f>
        <v>423.6600036621094</v>
      </c>
      <c r="D57" s="3">
        <f>Daily!G3607</f>
        <v>75776.1328125</v>
      </c>
      <c r="E57" t="s">
        <v>4322</v>
      </c>
      <c r="F57" t="s">
        <v>7356</v>
      </c>
    </row>
    <row r="58" spans="1:6" ht="20" customHeight="1">
      <c r="A58" t="s">
        <v>4380</v>
      </c>
      <c r="B58" t="s">
        <v>4382</v>
      </c>
      <c r="C58" s="3">
        <f>Daily!G1449</f>
        <v>417.1199951171875</v>
      </c>
      <c r="D58" s="3">
        <f>Daily!G3636</f>
        <v>73536.5546875</v>
      </c>
      <c r="E58" t="s">
        <v>4382</v>
      </c>
      <c r="F58" t="s">
        <v>7394</v>
      </c>
    </row>
    <row r="59" spans="1:6" ht="20" customHeight="1">
      <c r="A59" t="s">
        <v>4443</v>
      </c>
      <c r="B59" t="s">
        <v>4445</v>
      </c>
      <c r="C59" s="3">
        <f>Daily!G1470</f>
        <v>368.3800048828125</v>
      </c>
      <c r="D59" s="3">
        <f>Daily!G3668</f>
        <v>60138.37890625</v>
      </c>
      <c r="E59" t="s">
        <v>4445</v>
      </c>
      <c r="F59" t="s">
        <v>7437</v>
      </c>
    </row>
    <row r="60" spans="1:6" ht="20" customHeight="1">
      <c r="A60" t="s">
        <v>4509</v>
      </c>
      <c r="B60" t="s">
        <v>4511</v>
      </c>
      <c r="C60" s="3">
        <f>Daily!G1492</f>
        <v>371.5400085449219</v>
      </c>
      <c r="D60" s="3">
        <f>Daily!G3699</f>
        <v>64725.30859375</v>
      </c>
      <c r="E60" t="s">
        <v>4511</v>
      </c>
      <c r="F60" t="s">
        <v>7477</v>
      </c>
    </row>
    <row r="61" spans="1:6" ht="20" customHeight="1">
      <c r="A61" t="s">
        <v>4572</v>
      </c>
      <c r="B61" t="s">
        <v>4574</v>
      </c>
      <c r="C61" s="3">
        <f>Daily!G1513</f>
        <v>408.4200134277344</v>
      </c>
      <c r="D61" s="3">
        <f>Daily!G3730</f>
        <v>77667.5703125</v>
      </c>
      <c r="E61" t="s">
        <v>4574</v>
      </c>
      <c r="F61" t="s">
        <v>7518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36" width="17.7109375" customWidth="1"/>
  </cols>
  <sheetData>
    <row r="1" spans="1:15" ht="32" customHeight="1">
      <c r="A1" s="7" t="s">
        <v>7558</v>
      </c>
      <c r="B1" s="7" t="s">
        <v>7562</v>
      </c>
      <c r="C1" s="7" t="s">
        <v>7563</v>
      </c>
      <c r="D1" s="7" t="s">
        <v>7564</v>
      </c>
      <c r="E1" s="7" t="s">
        <v>7565</v>
      </c>
      <c r="F1" s="7" t="s">
        <v>7566</v>
      </c>
      <c r="G1" s="7" t="s">
        <v>7567</v>
      </c>
      <c r="H1" s="7" t="s">
        <v>7568</v>
      </c>
      <c r="I1" s="7" t="s">
        <v>7569</v>
      </c>
      <c r="J1" s="7" t="s">
        <v>7570</v>
      </c>
      <c r="K1" s="7" t="s">
        <v>7571</v>
      </c>
      <c r="L1" s="7" t="s">
        <v>7572</v>
      </c>
      <c r="M1" s="7" t="s">
        <v>7573</v>
      </c>
      <c r="N1" s="7" t="s">
        <v>7574</v>
      </c>
      <c r="O1" s="7" t="s">
        <v>7575</v>
      </c>
    </row>
    <row r="2" spans="1:15" ht="20" customHeight="1">
      <c r="A2" t="str">
        <f>Monthly!A2</f>
        <v>2021-09-30</v>
      </c>
      <c r="B2" s="3">
        <f>Parameters!$B$2*Parameters!$B$8</f>
        <v>60000.0</v>
      </c>
      <c r="C2" s="3">
        <f>Parameters!$B$2*Parameters!$B$9</f>
        <v>40000.0</v>
      </c>
      <c r="D2" s="3">
        <f>SUM(B2:C2)</f>
        <v>100000.0</v>
      </c>
      <c r="E2" t="b">
        <f>TRUE()</f>
        <v>1</v>
      </c>
      <c r="F2" s="3">
        <f>D2</f>
        <v>100000.0</v>
      </c>
      <c r="G2" s="3">
        <f>IF(E2,F2*Parameters!$B$3/10000,0)</f>
        <v>200.0</v>
      </c>
      <c r="H2" s="3">
        <f>IF(ABS(Parameters!$B$5-1)&gt;0.00000001,NA(),D2-G2)</f>
        <v>99800.0</v>
      </c>
      <c r="I2" s="3">
        <f>IF(E2,H2*Parameters!$B$8,B2)</f>
        <v>59880.0</v>
      </c>
      <c r="J2" s="3">
        <f>IF(E2,H2*Parameters!$B$9,C2)</f>
        <v>39920.0</v>
      </c>
      <c r="K2" s="3">
        <f>MAX(Parameters!$B$2,H$2:H2)</f>
        <v>100000.0</v>
      </c>
      <c r="L2" s="4">
        <f>H2/K2-1</f>
        <v>-0.0020000000000000018</v>
      </c>
      <c r="M2" s="4">
        <f>H2/Parameters!$B$2-1</f>
        <v>-0.0020000000000000018</v>
      </c>
      <c r="N2" s="3">
        <v>99800</v>
      </c>
      <c r="O2" s="5">
        <f>H2-N2</f>
        <v>0</v>
      </c>
    </row>
    <row r="3" spans="1:15" ht="20" customHeight="1">
      <c r="A3" t="str">
        <f>Monthly!A3</f>
        <v>2021-10-29</v>
      </c>
      <c r="B3" s="3">
        <f>I2*Monthly!C3/Monthly!C2</f>
        <v>60766.05505020198</v>
      </c>
      <c r="C3" s="3">
        <f>J2*Monthly!D3/Monthly!D2</f>
        <v>58223.81258283815</v>
      </c>
      <c r="D3" s="3">
        <f>SUM(B3:C3)</f>
        <v>118989.86763304014</v>
      </c>
      <c r="E3" t="b">
        <f>IF(Parameters!$B$4=0,FALSE(),MOD(1,Parameters!$B$4)=0)</f>
        <v>0</v>
      </c>
      <c r="F3" s="3">
        <f>ABS(D3*Parameters!$B$8-B3)+ABS(D3*Parameters!$B$9-C3)</f>
        <v>0</v>
      </c>
      <c r="G3" s="3">
        <f>IF(E3,F3*Parameters!$B$3/10000,0)</f>
        <v>0.0</v>
      </c>
      <c r="H3" s="3">
        <f>IF(ABS(Parameters!$B$5-1)&gt;0.00000001,NA(),D3-G3)</f>
        <v>118989.86763304014</v>
      </c>
      <c r="I3" s="3">
        <f>IF(E3,H3*Parameters!$B$8,B3)</f>
        <v>60766.05505020198</v>
      </c>
      <c r="J3" s="3">
        <f>IF(E3,H3*Parameters!$B$9,C3)</f>
        <v>58223.81258283815</v>
      </c>
      <c r="K3" s="3">
        <f>MAX(Parameters!$B$2,H$2:H3)</f>
        <v>118989.86763304014</v>
      </c>
      <c r="L3" s="4">
        <f>H3/K3-1</f>
        <v>0.0</v>
      </c>
      <c r="M3" s="4">
        <f>H3/H2-1</f>
        <v>0.19228324281603348</v>
      </c>
      <c r="N3" s="3">
        <v>118989.8676330401</v>
      </c>
      <c r="O3" s="5">
        <f>H3-N3</f>
        <v>0</v>
      </c>
    </row>
    <row r="4" spans="1:15" ht="20" customHeight="1">
      <c r="A4" t="str">
        <f>Monthly!A4</f>
        <v>2021-11-30</v>
      </c>
      <c r="B4" s="3">
        <f>I3*Monthly!C4/Monthly!C3</f>
        <v>60346.729547768584</v>
      </c>
      <c r="C4" s="3">
        <f>J3*Monthly!D4/Monthly!D3</f>
        <v>55519.631452612506</v>
      </c>
      <c r="D4" s="3">
        <f>SUM(B4:C4)</f>
        <v>115866.36100038109</v>
      </c>
      <c r="E4" t="b">
        <f>IF(Parameters!$B$4=0,FALSE(),MOD(2,Parameters!$B$4)=0)</f>
        <v>0</v>
      </c>
      <c r="F4" s="3">
        <f>ABS(D4*Parameters!$B$8-B4)+ABS(D4*Parameters!$B$9-C4)</f>
        <v>0</v>
      </c>
      <c r="G4" s="3">
        <f>IF(E4,F4*Parameters!$B$3/10000,0)</f>
        <v>0.0</v>
      </c>
      <c r="H4" s="3">
        <f>IF(ABS(Parameters!$B$5-1)&gt;0.00000001,NA(),D4-G4)</f>
        <v>115866.36100038109</v>
      </c>
      <c r="I4" s="3">
        <f>IF(E4,H4*Parameters!$B$8,B4)</f>
        <v>60346.729547768584</v>
      </c>
      <c r="J4" s="3">
        <f>IF(E4,H4*Parameters!$B$9,C4)</f>
        <v>55519.631452612506</v>
      </c>
      <c r="K4" s="3">
        <f>MAX(Parameters!$B$2,H$2:H4)</f>
        <v>118989.86763304014</v>
      </c>
      <c r="L4" s="4">
        <f>H4/K4-1</f>
        <v>-0.02625018999341866</v>
      </c>
      <c r="M4" s="4">
        <f>H4/H3-1</f>
        <v>-0.02625018999341866</v>
      </c>
      <c r="N4" s="3">
        <v>115866.3610003811</v>
      </c>
      <c r="O4" s="5">
        <f>H4-N4</f>
        <v>0</v>
      </c>
    </row>
    <row r="5" spans="1:15" ht="20" customHeight="1">
      <c r="A5" t="str">
        <f>Monthly!A5</f>
        <v>2021-12-31</v>
      </c>
      <c r="B5" s="3">
        <f>I4*Monthly!C5/Monthly!C4</f>
        <v>62337.62712173078</v>
      </c>
      <c r="C5" s="3">
        <f>J4*Monthly!D5/Monthly!D4</f>
        <v>45311.67089595701</v>
      </c>
      <c r="D5" s="3">
        <f>SUM(B5:C5)</f>
        <v>107649.29801768779</v>
      </c>
      <c r="E5" t="b">
        <f>IF(Parameters!$B$4=0,FALSE(),MOD(3,Parameters!$B$4)=0)</f>
        <v>1</v>
      </c>
      <c r="F5" s="3">
        <f>ABS(D5*Parameters!$B$8-B5)+ABS(D5*Parameters!$B$9-C5)</f>
        <v>4503.9033777637815</v>
      </c>
      <c r="G5" s="3">
        <f>IF(E5,F5*Parameters!$B$3/10000,0)</f>
        <v>9.007806755527563</v>
      </c>
      <c r="H5" s="3">
        <f>IF(ABS(Parameters!$B$5-1)&gt;0.00000001,NA(),D5-G5)</f>
        <v>107640.29021093226</v>
      </c>
      <c r="I5" s="3">
        <f>IF(E5,H5*Parameters!$B$8,B5)</f>
        <v>64584.17412655935</v>
      </c>
      <c r="J5" s="3">
        <f>IF(E5,H5*Parameters!$B$9,C5)</f>
        <v>43056.11608437291</v>
      </c>
      <c r="K5" s="3">
        <f>MAX(Parameters!$B$2,H$2:H5)</f>
        <v>118989.86763304014</v>
      </c>
      <c r="L5" s="4">
        <f>H5/K5-1</f>
        <v>-0.09538272163735406</v>
      </c>
      <c r="M5" s="4">
        <f>H5/H4-1</f>
        <v>-0.07099619525827494</v>
      </c>
      <c r="N5" s="3">
        <v>107640.2902109323</v>
      </c>
      <c r="O5" s="5">
        <f>H5-N5</f>
        <v>0</v>
      </c>
    </row>
    <row r="6" spans="1:15" ht="20" customHeight="1">
      <c r="A6" t="str">
        <f>Monthly!A6</f>
        <v>2022-01-31</v>
      </c>
      <c r="B6" s="3">
        <f>I5*Monthly!C6/Monthly!C5</f>
        <v>63499.960026256165</v>
      </c>
      <c r="C6" s="3">
        <f>J5*Monthly!D6/Monthly!D5</f>
        <v>34604.69559814002</v>
      </c>
      <c r="D6" s="3">
        <f>SUM(B6:C6)</f>
        <v>98104.65562439618</v>
      </c>
      <c r="E6" t="b">
        <f>IF(Parameters!$B$4=0,FALSE(),MOD(4,Parameters!$B$4)=0)</f>
        <v>0</v>
      </c>
      <c r="F6" s="3">
        <f>ABS(D6*Parameters!$B$8-B6)+ABS(D6*Parameters!$B$9-C6)</f>
        <v>0</v>
      </c>
      <c r="G6" s="3">
        <f>IF(E6,F6*Parameters!$B$3/10000,0)</f>
        <v>0.0</v>
      </c>
      <c r="H6" s="3">
        <f>IF(ABS(Parameters!$B$5-1)&gt;0.00000001,NA(),D6-G6)</f>
        <v>98104.65562439618</v>
      </c>
      <c r="I6" s="3">
        <f>IF(E6,H6*Parameters!$B$8,B6)</f>
        <v>63499.960026256165</v>
      </c>
      <c r="J6" s="3">
        <f>IF(E6,H6*Parameters!$B$9,C6)</f>
        <v>34604.69559814002</v>
      </c>
      <c r="K6" s="3">
        <f>MAX(Parameters!$B$2,H$2:H6)</f>
        <v>118989.86763304014</v>
      </c>
      <c r="L6" s="4">
        <f>H6/K6-1</f>
        <v>-0.17552092816048082</v>
      </c>
      <c r="M6" s="4">
        <f>H6/H5-1</f>
        <v>-0.08858796801690161</v>
      </c>
      <c r="N6" s="3">
        <v>98104.65562439618</v>
      </c>
      <c r="O6" s="5">
        <f>H6-N6</f>
        <v>0</v>
      </c>
    </row>
    <row r="7" spans="1:15" ht="20" customHeight="1">
      <c r="A7" t="str">
        <f>Monthly!A7</f>
        <v>2022-02-28</v>
      </c>
      <c r="B7" s="3">
        <f>I6*Monthly!C7/Monthly!C6</f>
        <v>67387.25341377516</v>
      </c>
      <c r="C7" s="3">
        <f>J6*Monthly!D7/Monthly!D6</f>
        <v>34415.036358572164</v>
      </c>
      <c r="D7" s="3">
        <f>SUM(B7:C7)</f>
        <v>101802.28977234733</v>
      </c>
      <c r="E7" t="b">
        <f>IF(Parameters!$B$4=0,FALSE(),MOD(5,Parameters!$B$4)=0)</f>
        <v>0</v>
      </c>
      <c r="F7" s="3">
        <f>ABS(D7*Parameters!$B$8-B7)+ABS(D7*Parameters!$B$9-C7)</f>
        <v>0</v>
      </c>
      <c r="G7" s="3">
        <f>IF(E7,F7*Parameters!$B$3/10000,0)</f>
        <v>0.0</v>
      </c>
      <c r="H7" s="3">
        <f>IF(ABS(Parameters!$B$5-1)&gt;0.00000001,NA(),D7-G7)</f>
        <v>101802.28977234733</v>
      </c>
      <c r="I7" s="3">
        <f>IF(E7,H7*Parameters!$B$8,B7)</f>
        <v>67387.25341377516</v>
      </c>
      <c r="J7" s="3">
        <f>IF(E7,H7*Parameters!$B$9,C7)</f>
        <v>34415.036358572164</v>
      </c>
      <c r="K7" s="3">
        <f>MAX(Parameters!$B$2,H$2:H7)</f>
        <v>118989.86763304014</v>
      </c>
      <c r="L7" s="4">
        <f>H7/K7-1</f>
        <v>-0.14444572636805175</v>
      </c>
      <c r="M7" s="4">
        <f>H7/H6-1</f>
        <v>0.03769071023609638</v>
      </c>
      <c r="N7" s="3">
        <v>101802.2897723473</v>
      </c>
      <c r="O7" s="5">
        <f>H7-N7</f>
        <v>0</v>
      </c>
    </row>
    <row r="8" spans="1:15" ht="20" customHeight="1">
      <c r="A8" t="str">
        <f>Monthly!A8</f>
        <v>2022-03-31</v>
      </c>
      <c r="B8" s="3">
        <f>I7*Monthly!C8/Monthly!C7</f>
        <v>68244.79529472356</v>
      </c>
      <c r="C8" s="3">
        <f>J7*Monthly!D8/Monthly!D7</f>
        <v>42950.74310636222</v>
      </c>
      <c r="D8" s="3">
        <f>SUM(B8:C8)</f>
        <v>111195.53840108578</v>
      </c>
      <c r="E8" t="b">
        <f>IF(Parameters!$B$4=0,FALSE(),MOD(6,Parameters!$B$4)=0)</f>
        <v>1</v>
      </c>
      <c r="F8" s="3">
        <f>ABS(D8*Parameters!$B$8-B8)+ABS(D8*Parameters!$B$9-C8)</f>
        <v>3054.9445081441954</v>
      </c>
      <c r="G8" s="3">
        <f>IF(E8,F8*Parameters!$B$3/10000,0)</f>
        <v>6.109889016288391</v>
      </c>
      <c r="H8" s="3">
        <f>IF(ABS(Parameters!$B$5-1)&gt;0.00000001,NA(),D8-G8)</f>
        <v>111189.4285120695</v>
      </c>
      <c r="I8" s="3">
        <f>IF(E8,H8*Parameters!$B$8,B8)</f>
        <v>66713.6571072417</v>
      </c>
      <c r="J8" s="3">
        <f>IF(E8,H8*Parameters!$B$9,C8)</f>
        <v>44475.7714048278</v>
      </c>
      <c r="K8" s="3">
        <f>MAX(Parameters!$B$2,H$2:H8)</f>
        <v>118989.86763304014</v>
      </c>
      <c r="L8" s="4">
        <f>H8/K8-1</f>
        <v>-0.0655554903634894</v>
      </c>
      <c r="M8" s="4">
        <f>H8/H7-1</f>
        <v>0.09220950492090019</v>
      </c>
      <c r="N8" s="3">
        <v>111189.4285120695</v>
      </c>
      <c r="O8" s="5">
        <f>H8-N8</f>
        <v>0</v>
      </c>
    </row>
    <row r="9" spans="1:15" ht="20" customHeight="1">
      <c r="A9" t="str">
        <f>Monthly!A9</f>
        <v>2022-04-29</v>
      </c>
      <c r="B9" s="3">
        <f>I8*Monthly!C9/Monthly!C8</f>
        <v>65332.486697551576</v>
      </c>
      <c r="C9" s="3">
        <f>J8*Monthly!D9/Monthly!D8</f>
        <v>37587.580788737054</v>
      </c>
      <c r="D9" s="3">
        <f>SUM(B9:C9)</f>
        <v>102920.06748628864</v>
      </c>
      <c r="E9" t="b">
        <f>IF(Parameters!$B$4=0,FALSE(),MOD(7,Parameters!$B$4)=0)</f>
        <v>0</v>
      </c>
      <c r="F9" s="3">
        <f>ABS(D9*Parameters!$B$8-B9)+ABS(D9*Parameters!$B$9-C9)</f>
        <v>0</v>
      </c>
      <c r="G9" s="3">
        <f>IF(E9,F9*Parameters!$B$3/10000,0)</f>
        <v>0.0</v>
      </c>
      <c r="H9" s="3">
        <f>IF(ABS(Parameters!$B$5-1)&gt;0.00000001,NA(),D9-G9)</f>
        <v>102920.06748628864</v>
      </c>
      <c r="I9" s="3">
        <f>IF(E9,H9*Parameters!$B$8,B9)</f>
        <v>65332.486697551576</v>
      </c>
      <c r="J9" s="3">
        <f>IF(E9,H9*Parameters!$B$9,C9)</f>
        <v>37587.580788737054</v>
      </c>
      <c r="K9" s="3">
        <f>MAX(Parameters!$B$2,H$2:H9)</f>
        <v>118989.86763304014</v>
      </c>
      <c r="L9" s="4">
        <f>H9/K9-1</f>
        <v>-0.13505183648333907</v>
      </c>
      <c r="M9" s="4">
        <f>H9/H8-1</f>
        <v>-0.07437182775773721</v>
      </c>
      <c r="N9" s="3">
        <v>102920.0674862886</v>
      </c>
      <c r="O9" s="5">
        <f>H9-N9</f>
        <v>0</v>
      </c>
    </row>
    <row r="10" spans="1:15" ht="20" customHeight="1">
      <c r="A10" t="str">
        <f>Monthly!A10</f>
        <v>2022-05-31</v>
      </c>
      <c r="B10" s="3">
        <f>I9*Monthly!C10/Monthly!C9</f>
        <v>63201.63643712558</v>
      </c>
      <c r="C10" s="3">
        <f>J9*Monthly!D10/Monthly!D9</f>
        <v>29982.486649371705</v>
      </c>
      <c r="D10" s="3">
        <f>SUM(B10:C10)</f>
        <v>93184.12308649727</v>
      </c>
      <c r="E10" t="b">
        <f>IF(Parameters!$B$4=0,FALSE(),MOD(8,Parameters!$B$4)=0)</f>
        <v>0</v>
      </c>
      <c r="F10" s="3">
        <f>ABS(D10*Parameters!$B$8-B10)+ABS(D10*Parameters!$B$9-C10)</f>
        <v>0</v>
      </c>
      <c r="G10" s="3">
        <f>IF(E10,F10*Parameters!$B$3/10000,0)</f>
        <v>0.0</v>
      </c>
      <c r="H10" s="3">
        <f>IF(ABS(Parameters!$B$5-1)&gt;0.00000001,NA(),D10-G10)</f>
        <v>93184.12308649727</v>
      </c>
      <c r="I10" s="3">
        <f>IF(E10,H10*Parameters!$B$8,B10)</f>
        <v>63201.63643712558</v>
      </c>
      <c r="J10" s="3">
        <f>IF(E10,H10*Parameters!$B$9,C10)</f>
        <v>29982.486649371705</v>
      </c>
      <c r="K10" s="3">
        <f>MAX(Parameters!$B$2,H$2:H10)</f>
        <v>118989.86763304014</v>
      </c>
      <c r="L10" s="4">
        <f>H10/K10-1</f>
        <v>-0.21687346208440805</v>
      </c>
      <c r="M10" s="4">
        <f>H10/H9-1</f>
        <v>-0.09459714356569404</v>
      </c>
      <c r="N10" s="3">
        <v>93184.12308649727</v>
      </c>
      <c r="O10" s="5">
        <f>H10-N10</f>
        <v>0</v>
      </c>
    </row>
    <row r="11" spans="1:15" ht="20" customHeight="1">
      <c r="A11" t="str">
        <f>Monthly!A11</f>
        <v>2022-06-30</v>
      </c>
      <c r="B11" s="3">
        <f>I10*Monthly!C11/Monthly!C10</f>
        <v>62211.92086301689</v>
      </c>
      <c r="C11" s="3">
        <f>J10*Monthly!D11/Monthly!D10</f>
        <v>18998.965922033545</v>
      </c>
      <c r="D11" s="3">
        <f>SUM(B11:C11)</f>
        <v>81210.88678505043</v>
      </c>
      <c r="E11" t="b">
        <f>IF(Parameters!$B$4=0,FALSE(),MOD(9,Parameters!$B$4)=0)</f>
        <v>1</v>
      </c>
      <c r="F11" s="3">
        <f>ABS(D11*Parameters!$B$8-B11)+ABS(D11*Parameters!$B$9-C11)</f>
        <v>26970.77758397326</v>
      </c>
      <c r="G11" s="3">
        <f>IF(E11,F11*Parameters!$B$3/10000,0)</f>
        <v>53.941555167946525</v>
      </c>
      <c r="H11" s="3">
        <f>IF(ABS(Parameters!$B$5-1)&gt;0.00000001,NA(),D11-G11)</f>
        <v>81156.94522988249</v>
      </c>
      <c r="I11" s="3">
        <f>IF(E11,H11*Parameters!$B$8,B11)</f>
        <v>48694.16713792949</v>
      </c>
      <c r="J11" s="3">
        <f>IF(E11,H11*Parameters!$B$9,C11)</f>
        <v>32462.778091952998</v>
      </c>
      <c r="K11" s="3">
        <f>MAX(Parameters!$B$2,H$2:H11)</f>
        <v>118989.86763304014</v>
      </c>
      <c r="L11" s="4">
        <f>H11/K11-1</f>
        <v>-0.3179507898927396</v>
      </c>
      <c r="M11" s="4">
        <f>H11/H10-1</f>
        <v>-0.12906896001425772</v>
      </c>
      <c r="N11" s="3">
        <v>81156.94522988249</v>
      </c>
      <c r="O11" s="5">
        <f>H11-N11</f>
        <v>0</v>
      </c>
    </row>
    <row r="12" spans="1:15" ht="20" customHeight="1">
      <c r="A12" t="str">
        <f>Monthly!A12</f>
        <v>2022-07-29</v>
      </c>
      <c r="B12" s="3">
        <f>I11*Monthly!C12/Monthly!C11</f>
        <v>47433.888199424284</v>
      </c>
      <c r="C12" s="3">
        <f>J11*Monthly!D12/Monthly!D11</f>
        <v>38501.686282191324</v>
      </c>
      <c r="D12" s="3">
        <f>SUM(B12:C12)</f>
        <v>85935.57448161561</v>
      </c>
      <c r="E12" t="b">
        <f>IF(Parameters!$B$4=0,FALSE(),MOD(10,Parameters!$B$4)=0)</f>
        <v>0</v>
      </c>
      <c r="F12" s="3">
        <f>ABS(D12*Parameters!$B$8-B12)+ABS(D12*Parameters!$B$9-C12)</f>
        <v>0</v>
      </c>
      <c r="G12" s="3">
        <f>IF(E12,F12*Parameters!$B$3/10000,0)</f>
        <v>0.0</v>
      </c>
      <c r="H12" s="3">
        <f>IF(ABS(Parameters!$B$5-1)&gt;0.00000001,NA(),D12-G12)</f>
        <v>85935.57448161561</v>
      </c>
      <c r="I12" s="3">
        <f>IF(E12,H12*Parameters!$B$8,B12)</f>
        <v>47433.888199424284</v>
      </c>
      <c r="J12" s="3">
        <f>IF(E12,H12*Parameters!$B$9,C12)</f>
        <v>38501.686282191324</v>
      </c>
      <c r="K12" s="3">
        <f>MAX(Parameters!$B$2,H$2:H12)</f>
        <v>118989.86763304014</v>
      </c>
      <c r="L12" s="4">
        <f>H12/K12-1</f>
        <v>-0.2777908221006061</v>
      </c>
      <c r="M12" s="4">
        <f>H12/H11-1</f>
        <v>0.058881334655922934</v>
      </c>
      <c r="N12" s="3">
        <v>85935.57448161561</v>
      </c>
      <c r="O12" s="5">
        <f>H12-N12</f>
        <v>0</v>
      </c>
    </row>
    <row r="13" spans="1:15" ht="20" customHeight="1">
      <c r="A13" t="str">
        <f>Monthly!A13</f>
        <v>2022-08-31</v>
      </c>
      <c r="B13" s="3">
        <f>I12*Monthly!C13/Monthly!C12</f>
        <v>46037.75316995487</v>
      </c>
      <c r="C13" s="3">
        <f>J12*Monthly!D13/Monthly!D12</f>
        <v>31966.705883809453</v>
      </c>
      <c r="D13" s="3">
        <f>SUM(B13:C13)</f>
        <v>78004.45905376432</v>
      </c>
      <c r="E13" t="b">
        <f>IF(Parameters!$B$4=0,FALSE(),MOD(11,Parameters!$B$4)=0)</f>
        <v>0</v>
      </c>
      <c r="F13" s="3">
        <f>ABS(D13*Parameters!$B$8-B13)+ABS(D13*Parameters!$B$9-C13)</f>
        <v>0</v>
      </c>
      <c r="G13" s="3">
        <f>IF(E13,F13*Parameters!$B$3/10000,0)</f>
        <v>0.0</v>
      </c>
      <c r="H13" s="3">
        <f>IF(ABS(Parameters!$B$5-1)&gt;0.00000001,NA(),D13-G13)</f>
        <v>78004.45905376432</v>
      </c>
      <c r="I13" s="3">
        <f>IF(E13,H13*Parameters!$B$8,B13)</f>
        <v>46037.75316995487</v>
      </c>
      <c r="J13" s="3">
        <f>IF(E13,H13*Parameters!$B$9,C13)</f>
        <v>31966.705883809453</v>
      </c>
      <c r="K13" s="3">
        <f>MAX(Parameters!$B$2,H$2:H13)</f>
        <v>118989.86763304014</v>
      </c>
      <c r="L13" s="4">
        <f>H13/K13-1</f>
        <v>-0.3444445261984249</v>
      </c>
      <c r="M13" s="4">
        <f>H13/H12-1</f>
        <v>-0.09229141104477057</v>
      </c>
      <c r="N13" s="3">
        <v>78004.45905376432</v>
      </c>
      <c r="O13" s="5">
        <f>H13-N13</f>
        <v>0</v>
      </c>
    </row>
    <row r="14" spans="1:15" ht="20" customHeight="1">
      <c r="A14" t="str">
        <f>Monthly!A14</f>
        <v>2022-09-30</v>
      </c>
      <c r="B14" s="3">
        <f>I13*Monthly!C14/Monthly!C13</f>
        <v>44708.09950075763</v>
      </c>
      <c r="C14" s="3">
        <f>J13*Monthly!D14/Monthly!D13</f>
        <v>31605.395112554623</v>
      </c>
      <c r="D14" s="3">
        <f>SUM(B14:C14)</f>
        <v>76313.49461331224</v>
      </c>
      <c r="E14" t="b">
        <f>IF(Parameters!$B$4=0,FALSE(),MOD(12,Parameters!$B$4)=0)</f>
        <v>1</v>
      </c>
      <c r="F14" s="3">
        <f>ABS(D14*Parameters!$B$8-B14)+ABS(D14*Parameters!$B$9-C14)</f>
        <v>2159.9945344594375</v>
      </c>
      <c r="G14" s="3">
        <f>IF(E14,F14*Parameters!$B$3/10000,0)</f>
        <v>4.319989068918876</v>
      </c>
      <c r="H14" s="3">
        <f>IF(ABS(Parameters!$B$5-1)&gt;0.00000001,NA(),D14-G14)</f>
        <v>76309.17462424333</v>
      </c>
      <c r="I14" s="3">
        <f>IF(E14,H14*Parameters!$B$8,B14)</f>
        <v>45785.504774545996</v>
      </c>
      <c r="J14" s="3">
        <f>IF(E14,H14*Parameters!$B$9,C14)</f>
        <v>30523.669849697333</v>
      </c>
      <c r="K14" s="3">
        <f>MAX(Parameters!$B$2,H$2:H14)</f>
        <v>118989.86763304014</v>
      </c>
      <c r="L14" s="4">
        <f>H14/K14-1</f>
        <v>-0.35869182694128465</v>
      </c>
      <c r="M14" s="4">
        <f>H14/H13-1</f>
        <v>-0.021733173335033662</v>
      </c>
      <c r="N14" s="3">
        <v>76309.17462424333</v>
      </c>
      <c r="O14" s="5">
        <f>H14-N14</f>
        <v>0</v>
      </c>
    </row>
    <row r="15" spans="1:15" ht="20" customHeight="1">
      <c r="A15" t="str">
        <f>Monthly!A15</f>
        <v>2022-10-31</v>
      </c>
      <c r="B15" s="3">
        <f>I14*Monthly!C15/Monthly!C14</f>
        <v>44968.489560435584</v>
      </c>
      <c r="C15" s="3">
        <f>J14*Monthly!D15/Monthly!D14</f>
        <v>32180.69354132464</v>
      </c>
      <c r="D15" s="3">
        <f>SUM(B15:C15)</f>
        <v>77149.18310176022</v>
      </c>
      <c r="E15" t="b">
        <f>IF(Parameters!$B$4=0,FALSE(),MOD(13,Parameters!$B$4)=0)</f>
        <v>0</v>
      </c>
      <c r="F15" s="3">
        <f>ABS(D15*Parameters!$B$8-B15)+ABS(D15*Parameters!$B$9-C15)</f>
        <v>0</v>
      </c>
      <c r="G15" s="3">
        <f>IF(E15,F15*Parameters!$B$3/10000,0)</f>
        <v>0.0</v>
      </c>
      <c r="H15" s="3">
        <f>IF(ABS(Parameters!$B$5-1)&gt;0.00000001,NA(),D15-G15)</f>
        <v>77149.18310176022</v>
      </c>
      <c r="I15" s="3">
        <f>IF(E15,H15*Parameters!$B$8,B15)</f>
        <v>44968.489560435584</v>
      </c>
      <c r="J15" s="3">
        <f>IF(E15,H15*Parameters!$B$9,C15)</f>
        <v>32180.69354132464</v>
      </c>
      <c r="K15" s="3">
        <f>MAX(Parameters!$B$2,H$2:H15)</f>
        <v>118989.86763304014</v>
      </c>
      <c r="L15" s="4">
        <f>H15/K15-1</f>
        <v>-0.3516323310848186</v>
      </c>
      <c r="M15" s="4">
        <f>H15/H14-1</f>
        <v>0.0110079617772465</v>
      </c>
      <c r="N15" s="3">
        <v>77149.18310176022</v>
      </c>
      <c r="O15" s="5">
        <f>H15-N15</f>
        <v>0</v>
      </c>
    </row>
    <row r="16" spans="1:15" ht="20" customHeight="1">
      <c r="A16" t="str">
        <f>Monthly!A16</f>
        <v>2022-11-30</v>
      </c>
      <c r="B16" s="3">
        <f>I15*Monthly!C16/Monthly!C15</f>
        <v>48787.1534198219</v>
      </c>
      <c r="C16" s="3">
        <f>J15*Monthly!D16/Monthly!D15</f>
        <v>25645.527605243948</v>
      </c>
      <c r="D16" s="3">
        <f>SUM(B16:C16)</f>
        <v>74432.68102506585</v>
      </c>
      <c r="E16" t="b">
        <f>IF(Parameters!$B$4=0,FALSE(),MOD(14,Parameters!$B$4)=0)</f>
        <v>0</v>
      </c>
      <c r="F16" s="3">
        <f>ABS(D16*Parameters!$B$8-B16)+ABS(D16*Parameters!$B$9-C16)</f>
        <v>0</v>
      </c>
      <c r="G16" s="3">
        <f>IF(E16,F16*Parameters!$B$3/10000,0)</f>
        <v>0.0</v>
      </c>
      <c r="H16" s="3">
        <f>IF(ABS(Parameters!$B$5-1)&gt;0.00000001,NA(),D16-G16)</f>
        <v>74432.68102506585</v>
      </c>
      <c r="I16" s="3">
        <f>IF(E16,H16*Parameters!$B$8,B16)</f>
        <v>48787.1534198219</v>
      </c>
      <c r="J16" s="3">
        <f>IF(E16,H16*Parameters!$B$9,C16)</f>
        <v>25645.527605243948</v>
      </c>
      <c r="K16" s="3">
        <f>MAX(Parameters!$B$2,H$2:H16)</f>
        <v>118989.86763304014</v>
      </c>
      <c r="L16" s="4">
        <f>H16/K16-1</f>
        <v>-0.3744620234841073</v>
      </c>
      <c r="M16" s="4">
        <f>H16/H15-1</f>
        <v>-0.03521102839302004</v>
      </c>
      <c r="N16" s="3">
        <v>74432.68102506585</v>
      </c>
      <c r="O16" s="5">
        <f>H16-N16</f>
        <v>0</v>
      </c>
    </row>
    <row r="17" spans="1:15" ht="20" customHeight="1">
      <c r="A17" t="str">
        <f>Monthly!A17</f>
        <v>2022-12-30</v>
      </c>
      <c r="B17" s="3">
        <f>I16*Monthly!C17/Monthly!C16</f>
        <v>50216.93343220197</v>
      </c>
      <c r="C17" s="3">
        <f>J16*Monthly!D17/Monthly!D16</f>
        <v>25953.304480273233</v>
      </c>
      <c r="D17" s="3">
        <f>SUM(B17:C17)</f>
        <v>76170.2379124752</v>
      </c>
      <c r="E17" t="b">
        <f>IF(Parameters!$B$4=0,FALSE(),MOD(15,Parameters!$B$4)=0)</f>
        <v>1</v>
      </c>
      <c r="F17" s="3">
        <f>ABS(D17*Parameters!$B$8-B17)+ABS(D17*Parameters!$B$9-C17)</f>
        <v>9029.581369433698</v>
      </c>
      <c r="G17" s="3">
        <f>IF(E17,F17*Parameters!$B$3/10000,0)</f>
        <v>18.059162738867396</v>
      </c>
      <c r="H17" s="3">
        <f>IF(ABS(Parameters!$B$5-1)&gt;0.00000001,NA(),D17-G17)</f>
        <v>76152.17874973634</v>
      </c>
      <c r="I17" s="3">
        <f>IF(E17,H17*Parameters!$B$8,B17)</f>
        <v>45691.307249841804</v>
      </c>
      <c r="J17" s="3">
        <f>IF(E17,H17*Parameters!$B$9,C17)</f>
        <v>30460.871499894536</v>
      </c>
      <c r="K17" s="3">
        <f>MAX(Parameters!$B$2,H$2:H17)</f>
        <v>118989.86763304014</v>
      </c>
      <c r="L17" s="4">
        <f>H17/K17-1</f>
        <v>-0.3600112323463832</v>
      </c>
      <c r="M17" s="4">
        <f>H17/H16-1</f>
        <v>0.02310138101960124</v>
      </c>
      <c r="N17" s="3">
        <v>76152.17874973634</v>
      </c>
      <c r="O17" s="5">
        <f>H17-N17</f>
        <v>0</v>
      </c>
    </row>
    <row r="18" spans="1:15" ht="20" customHeight="1">
      <c r="A18" t="str">
        <f>Monthly!A18</f>
        <v>2023-01-31</v>
      </c>
      <c r="B18" s="3">
        <f>I17*Monthly!C18/Monthly!C17</f>
        <v>48322.78725839761</v>
      </c>
      <c r="C18" s="3">
        <f>J17*Monthly!D18/Monthly!D17</f>
        <v>41804.845592967955</v>
      </c>
      <c r="D18" s="3">
        <f>SUM(B18:C18)</f>
        <v>90127.63285136558</v>
      </c>
      <c r="E18" t="b">
        <f>IF(Parameters!$B$4=0,FALSE(),MOD(16,Parameters!$B$4)=0)</f>
        <v>0</v>
      </c>
      <c r="F18" s="3">
        <f>ABS(D18*Parameters!$B$8-B18)+ABS(D18*Parameters!$B$9-C18)</f>
        <v>0</v>
      </c>
      <c r="G18" s="3">
        <f>IF(E18,F18*Parameters!$B$3/10000,0)</f>
        <v>0.0</v>
      </c>
      <c r="H18" s="3">
        <f>IF(ABS(Parameters!$B$5-1)&gt;0.00000001,NA(),D18-G18)</f>
        <v>90127.63285136558</v>
      </c>
      <c r="I18" s="3">
        <f>IF(E18,H18*Parameters!$B$8,B18)</f>
        <v>48322.78725839761</v>
      </c>
      <c r="J18" s="3">
        <f>IF(E18,H18*Parameters!$B$9,C18)</f>
        <v>41804.845592967955</v>
      </c>
      <c r="K18" s="3">
        <f>MAX(Parameters!$B$2,H$2:H18)</f>
        <v>118989.86763304014</v>
      </c>
      <c r="L18" s="4">
        <f>H18/K18-1</f>
        <v>-0.24256044111826824</v>
      </c>
      <c r="M18" s="4">
        <f>H18/H17-1</f>
        <v>0.18352008217069726</v>
      </c>
      <c r="N18" s="3">
        <v>90127.63285136558</v>
      </c>
      <c r="O18" s="5">
        <f>H18-N18</f>
        <v>0</v>
      </c>
    </row>
    <row r="19" spans="1:15" ht="20" customHeight="1">
      <c r="A19" t="str">
        <f>Monthly!A19</f>
        <v>2023-02-28</v>
      </c>
      <c r="B19" s="3">
        <f>I18*Monthly!C19/Monthly!C18</f>
        <v>45729.01507317493</v>
      </c>
      <c r="C19" s="3">
        <f>J18*Monthly!D19/Monthly!D18</f>
        <v>43054.466879766136</v>
      </c>
      <c r="D19" s="3">
        <f>SUM(B19:C19)</f>
        <v>88783.48195294107</v>
      </c>
      <c r="E19" t="b">
        <f>IF(Parameters!$B$4=0,FALSE(),MOD(17,Parameters!$B$4)=0)</f>
        <v>0</v>
      </c>
      <c r="F19" s="3">
        <f>ABS(D19*Parameters!$B$8-B19)+ABS(D19*Parameters!$B$9-C19)</f>
        <v>0</v>
      </c>
      <c r="G19" s="3">
        <f>IF(E19,F19*Parameters!$B$3/10000,0)</f>
        <v>0.0</v>
      </c>
      <c r="H19" s="3">
        <f>IF(ABS(Parameters!$B$5-1)&gt;0.00000001,NA(),D19-G19)</f>
        <v>88783.48195294107</v>
      </c>
      <c r="I19" s="3">
        <f>IF(E19,H19*Parameters!$B$8,B19)</f>
        <v>45729.01507317493</v>
      </c>
      <c r="J19" s="3">
        <f>IF(E19,H19*Parameters!$B$9,C19)</f>
        <v>43054.466879766136</v>
      </c>
      <c r="K19" s="3">
        <f>MAX(Parameters!$B$2,H$2:H19)</f>
        <v>118989.86763304014</v>
      </c>
      <c r="L19" s="4">
        <f>H19/K19-1</f>
        <v>-0.25385678865745376</v>
      </c>
      <c r="M19" s="4">
        <f>H19/H18-1</f>
        <v>-0.014913859999421186</v>
      </c>
      <c r="N19" s="3">
        <v>88783.48195294107</v>
      </c>
      <c r="O19" s="5">
        <f>H19-N19</f>
        <v>0</v>
      </c>
    </row>
    <row r="20" spans="1:15" ht="20" customHeight="1">
      <c r="A20" t="str">
        <f>Monthly!A20</f>
        <v>2023-03-31</v>
      </c>
      <c r="B20" s="3">
        <f>I19*Monthly!C20/Monthly!C19</f>
        <v>49348.982552533394</v>
      </c>
      <c r="C20" s="3">
        <f>J19*Monthly!D20/Monthly!D19</f>
        <v>51310.49196196099</v>
      </c>
      <c r="D20" s="3">
        <f>SUM(B20:C20)</f>
        <v>100659.47451449439</v>
      </c>
      <c r="E20" t="b">
        <f>IF(Parameters!$B$4=0,FALSE(),MOD(18,Parameters!$B$4)=0)</f>
        <v>1</v>
      </c>
      <c r="F20" s="3">
        <f>ABS(D20*Parameters!$B$8-B20)+ABS(D20*Parameters!$B$9-C20)</f>
        <v>22093.404312326464</v>
      </c>
      <c r="G20" s="3">
        <f>IF(E20,F20*Parameters!$B$3/10000,0)</f>
        <v>44.186808624652926</v>
      </c>
      <c r="H20" s="3">
        <f>IF(ABS(Parameters!$B$5-1)&gt;0.00000001,NA(),D20-G20)</f>
        <v>100615.28770586973</v>
      </c>
      <c r="I20" s="3">
        <f>IF(E20,H20*Parameters!$B$8,B20)</f>
        <v>60369.17262352184</v>
      </c>
      <c r="J20" s="3">
        <f>IF(E20,H20*Parameters!$B$9,C20)</f>
        <v>40246.1150823479</v>
      </c>
      <c r="K20" s="3">
        <f>MAX(Parameters!$B$2,H$2:H20)</f>
        <v>118989.86763304014</v>
      </c>
      <c r="L20" s="4">
        <f>H20/K20-1</f>
        <v>-0.15442138303604847</v>
      </c>
      <c r="M20" s="4">
        <f>H20/H19-1</f>
        <v>0.13326584509492445</v>
      </c>
      <c r="N20" s="3">
        <v>100615.2877058697</v>
      </c>
      <c r="O20" s="5">
        <f>H20-N20</f>
        <v>0</v>
      </c>
    </row>
    <row r="21" spans="1:15" ht="20" customHeight="1">
      <c r="A21" t="str">
        <f>Monthly!A21</f>
        <v>2023-04-28</v>
      </c>
      <c r="B21" s="3">
        <f>I20*Monthly!C21/Monthly!C20</f>
        <v>60889.76755119855</v>
      </c>
      <c r="C21" s="3">
        <f>J20*Monthly!D21/Monthly!D20</f>
        <v>42313.75972698897</v>
      </c>
      <c r="D21" s="3">
        <f>SUM(B21:C21)</f>
        <v>103203.52727818751</v>
      </c>
      <c r="E21" t="b">
        <f>IF(Parameters!$B$4=0,FALSE(),MOD(19,Parameters!$B$4)=0)</f>
        <v>0</v>
      </c>
      <c r="F21" s="3">
        <f>ABS(D21*Parameters!$B$8-B21)+ABS(D21*Parameters!$B$9-C21)</f>
        <v>0</v>
      </c>
      <c r="G21" s="3">
        <f>IF(E21,F21*Parameters!$B$3/10000,0)</f>
        <v>0.0</v>
      </c>
      <c r="H21" s="3">
        <f>IF(ABS(Parameters!$B$5-1)&gt;0.00000001,NA(),D21-G21)</f>
        <v>103203.52727818751</v>
      </c>
      <c r="I21" s="3">
        <f>IF(E21,H21*Parameters!$B$8,B21)</f>
        <v>60889.76755119855</v>
      </c>
      <c r="J21" s="3">
        <f>IF(E21,H21*Parameters!$B$9,C21)</f>
        <v>42313.75972698897</v>
      </c>
      <c r="K21" s="3">
        <f>MAX(Parameters!$B$2,H$2:H21)</f>
        <v>118989.86763304014</v>
      </c>
      <c r="L21" s="4">
        <f>H21/K21-1</f>
        <v>-0.13266961858918147</v>
      </c>
      <c r="M21" s="4">
        <f>H21/H20-1</f>
        <v>0.025724118385309636</v>
      </c>
      <c r="N21" s="3">
        <v>103203.5272781875</v>
      </c>
      <c r="O21" s="5">
        <f>H21-N21</f>
        <v>0</v>
      </c>
    </row>
    <row r="22" spans="1:15" ht="20" customHeight="1">
      <c r="A22" t="str">
        <f>Monthly!A22</f>
        <v>2023-05-31</v>
      </c>
      <c r="B22" s="3">
        <f>I21*Monthly!C22/Monthly!C21</f>
        <v>60072.63356373035</v>
      </c>
      <c r="C22" s="3">
        <f>J21*Monthly!D22/Monthly!D21</f>
        <v>39770.61247318608</v>
      </c>
      <c r="D22" s="3">
        <f>SUM(B22:C22)</f>
        <v>99843.24603691642</v>
      </c>
      <c r="E22" t="b">
        <f>IF(Parameters!$B$4=0,FALSE(),MOD(20,Parameters!$B$4)=0)</f>
        <v>0</v>
      </c>
      <c r="F22" s="3">
        <f>ABS(D22*Parameters!$B$8-B22)+ABS(D22*Parameters!$B$9-C22)</f>
        <v>0</v>
      </c>
      <c r="G22" s="3">
        <f>IF(E22,F22*Parameters!$B$3/10000,0)</f>
        <v>0.0</v>
      </c>
      <c r="H22" s="3">
        <f>IF(ABS(Parameters!$B$5-1)&gt;0.00000001,NA(),D22-G22)</f>
        <v>99843.24603691642</v>
      </c>
      <c r="I22" s="3">
        <f>IF(E22,H22*Parameters!$B$8,B22)</f>
        <v>60072.63356373035</v>
      </c>
      <c r="J22" s="3">
        <f>IF(E22,H22*Parameters!$B$9,C22)</f>
        <v>39770.61247318608</v>
      </c>
      <c r="K22" s="3">
        <f>MAX(Parameters!$B$2,H$2:H22)</f>
        <v>118989.86763304014</v>
      </c>
      <c r="L22" s="4">
        <f>H22/K22-1</f>
        <v>-0.16090968060550426</v>
      </c>
      <c r="M22" s="4">
        <f>H22/H21-1</f>
        <v>-0.032559751879539744</v>
      </c>
      <c r="N22" s="3">
        <v>99843.24603691642</v>
      </c>
      <c r="O22" s="5">
        <f>H22-N22</f>
        <v>0</v>
      </c>
    </row>
    <row r="23" spans="1:15" ht="20" customHeight="1">
      <c r="A23" t="str">
        <f>Monthly!A23</f>
        <v>2023-06-30</v>
      </c>
      <c r="B23" s="3">
        <f>I22*Monthly!C23/Monthly!C22</f>
        <v>58738.197739429466</v>
      </c>
      <c r="C23" s="3">
        <f>J22*Monthly!D23/Monthly!D22</f>
        <v>43708.57691407987</v>
      </c>
      <c r="D23" s="3">
        <f>SUM(B23:C23)</f>
        <v>102446.77465350935</v>
      </c>
      <c r="E23" t="b">
        <f>IF(Parameters!$B$4=0,FALSE(),MOD(21,Parameters!$B$4)=0)</f>
        <v>1</v>
      </c>
      <c r="F23" s="3">
        <f>ABS(D23*Parameters!$B$8-B23)+ABS(D23*Parameters!$B$9-C23)</f>
        <v>5459.734105352276</v>
      </c>
      <c r="G23" s="3">
        <f>IF(E23,F23*Parameters!$B$3/10000,0)</f>
        <v>10.919468210704553</v>
      </c>
      <c r="H23" s="3">
        <f>IF(ABS(Parameters!$B$5-1)&gt;0.00000001,NA(),D23-G23)</f>
        <v>102435.85518529864</v>
      </c>
      <c r="I23" s="3">
        <f>IF(E23,H23*Parameters!$B$8,B23)</f>
        <v>61461.513111179185</v>
      </c>
      <c r="J23" s="3">
        <f>IF(E23,H23*Parameters!$B$9,C23)</f>
        <v>40974.34207411946</v>
      </c>
      <c r="K23" s="3">
        <f>MAX(Parameters!$B$2,H$2:H23)</f>
        <v>118989.86763304014</v>
      </c>
      <c r="L23" s="4">
        <f>H23/K23-1</f>
        <v>-0.13912119390529443</v>
      </c>
      <c r="M23" s="4">
        <f>H23/H22-1</f>
        <v>0.025966795464799075</v>
      </c>
      <c r="N23" s="3">
        <v>102435.8551852986</v>
      </c>
      <c r="O23" s="5">
        <f>H23-N23</f>
        <v>0</v>
      </c>
    </row>
    <row r="24" spans="1:15" ht="20" customHeight="1">
      <c r="A24" t="str">
        <f>Monthly!A24</f>
        <v>2023-07-31</v>
      </c>
      <c r="B24" s="3">
        <f>I23*Monthly!C24/Monthly!C23</f>
        <v>62868.1607805748</v>
      </c>
      <c r="C24" s="3">
        <f>J23*Monthly!D24/Monthly!D23</f>
        <v>39399.660279279175</v>
      </c>
      <c r="D24" s="3">
        <f>SUM(B24:C24)</f>
        <v>102267.82105985397</v>
      </c>
      <c r="E24" t="b">
        <f>IF(Parameters!$B$4=0,FALSE(),MOD(22,Parameters!$B$4)=0)</f>
        <v>0</v>
      </c>
      <c r="F24" s="3">
        <f>ABS(D24*Parameters!$B$8-B24)+ABS(D24*Parameters!$B$9-C24)</f>
        <v>0</v>
      </c>
      <c r="G24" s="3">
        <f>IF(E24,F24*Parameters!$B$3/10000,0)</f>
        <v>0.0</v>
      </c>
      <c r="H24" s="3">
        <f>IF(ABS(Parameters!$B$5-1)&gt;0.00000001,NA(),D24-G24)</f>
        <v>102267.82105985397</v>
      </c>
      <c r="I24" s="3">
        <f>IF(E24,H24*Parameters!$B$8,B24)</f>
        <v>62868.1607805748</v>
      </c>
      <c r="J24" s="3">
        <f>IF(E24,H24*Parameters!$B$9,C24)</f>
        <v>39399.660279279175</v>
      </c>
      <c r="K24" s="3">
        <f>MAX(Parameters!$B$2,H$2:H24)</f>
        <v>118989.86763304014</v>
      </c>
      <c r="L24" s="4">
        <f>H24/K24-1</f>
        <v>-0.14053336562030871</v>
      </c>
      <c r="M24" s="4">
        <f>H24/H23-1</f>
        <v>-0.0016403838786790415</v>
      </c>
      <c r="N24" s="3">
        <v>102267.821059854</v>
      </c>
      <c r="O24" s="5">
        <f>H24-N24</f>
        <v>0</v>
      </c>
    </row>
    <row r="25" spans="1:15" ht="20" customHeight="1">
      <c r="A25" t="str">
        <f>Monthly!A25</f>
        <v>2023-08-31</v>
      </c>
      <c r="B25" s="3">
        <f>I24*Monthly!C25/Monthly!C24</f>
        <v>62064.85436527024</v>
      </c>
      <c r="C25" s="3">
        <f>J24*Monthly!D25/Monthly!D24</f>
        <v>36737.545865113614</v>
      </c>
      <c r="D25" s="3">
        <f>SUM(B25:C25)</f>
        <v>98802.40023038385</v>
      </c>
      <c r="E25" t="b">
        <f>IF(Parameters!$B$4=0,FALSE(),MOD(23,Parameters!$B$4)=0)</f>
        <v>0</v>
      </c>
      <c r="F25" s="3">
        <f>ABS(D25*Parameters!$B$8-B25)+ABS(D25*Parameters!$B$9-C25)</f>
        <v>0</v>
      </c>
      <c r="G25" s="3">
        <f>IF(E25,F25*Parameters!$B$3/10000,0)</f>
        <v>0.0</v>
      </c>
      <c r="H25" s="3">
        <f>IF(ABS(Parameters!$B$5-1)&gt;0.00000001,NA(),D25-G25)</f>
        <v>98802.40023038385</v>
      </c>
      <c r="I25" s="3">
        <f>IF(E25,H25*Parameters!$B$8,B25)</f>
        <v>62064.85436527024</v>
      </c>
      <c r="J25" s="3">
        <f>IF(E25,H25*Parameters!$B$9,C25)</f>
        <v>36737.545865113614</v>
      </c>
      <c r="K25" s="3">
        <f>MAX(Parameters!$B$2,H$2:H25)</f>
        <v>118989.86763304014</v>
      </c>
      <c r="L25" s="4">
        <f>H25/K25-1</f>
        <v>-0.1696570288229382</v>
      </c>
      <c r="M25" s="4">
        <f>H25/H24-1</f>
        <v>-0.03388574033900582</v>
      </c>
      <c r="N25" s="3">
        <v>98802.40023038385</v>
      </c>
      <c r="O25" s="5">
        <f>H25-N25</f>
        <v>0</v>
      </c>
    </row>
    <row r="26" spans="1:15" ht="20" customHeight="1">
      <c r="A26" t="str">
        <f>Monthly!A26</f>
        <v>2023-09-29</v>
      </c>
      <c r="B26" s="3">
        <f>I25*Monthly!C26/Monthly!C25</f>
        <v>59110.203527233876</v>
      </c>
      <c r="C26" s="3">
        <f>J25*Monthly!D26/Monthly!D25</f>
        <v>36366.47462438392</v>
      </c>
      <c r="D26" s="3">
        <f>SUM(B26:C26)</f>
        <v>95476.67815161779</v>
      </c>
      <c r="E26" t="b">
        <f>IF(Parameters!$B$4=0,FALSE(),MOD(24,Parameters!$B$4)=0)</f>
        <v>1</v>
      </c>
      <c r="F26" s="3">
        <f>ABS(D26*Parameters!$B$8-B26)+ABS(D26*Parameters!$B$9-C26)</f>
        <v>3648.3932725264094</v>
      </c>
      <c r="G26" s="3">
        <f>IF(E26,F26*Parameters!$B$3/10000,0)</f>
        <v>7.296786545052819</v>
      </c>
      <c r="H26" s="3">
        <f>IF(ABS(Parameters!$B$5-1)&gt;0.00000001,NA(),D26-G26)</f>
        <v>95469.38136507274</v>
      </c>
      <c r="I26" s="3">
        <f>IF(E26,H26*Parameters!$B$8,B26)</f>
        <v>57281.62881904364</v>
      </c>
      <c r="J26" s="3">
        <f>IF(E26,H26*Parameters!$B$9,C26)</f>
        <v>38187.7525460291</v>
      </c>
      <c r="K26" s="3">
        <f>MAX(Parameters!$B$2,H$2:H26)</f>
        <v>118989.86763304014</v>
      </c>
      <c r="L26" s="4">
        <f>H26/K26-1</f>
        <v>-0.1976679757347375</v>
      </c>
      <c r="M26" s="4">
        <f>H26/H25-1</f>
        <v>-0.033734189225558264</v>
      </c>
      <c r="N26" s="3">
        <v>95469.38136507274</v>
      </c>
      <c r="O26" s="5">
        <f>H26-N26</f>
        <v>0</v>
      </c>
    </row>
    <row r="27" spans="1:15" ht="20" customHeight="1">
      <c r="A27" t="str">
        <f>Monthly!A27</f>
        <v>2023-10-31</v>
      </c>
      <c r="B27" s="3">
        <f>I26*Monthly!C27/Monthly!C26</f>
        <v>61504.666242190135</v>
      </c>
      <c r="C27" s="3">
        <f>J26*Monthly!D27/Monthly!D26</f>
        <v>48759.89214579618</v>
      </c>
      <c r="D27" s="3">
        <f>SUM(B27:C27)</f>
        <v>110264.55838798631</v>
      </c>
      <c r="E27" t="b">
        <f>IF(Parameters!$B$4=0,FALSE(),MOD(25,Parameters!$B$4)=0)</f>
        <v>0</v>
      </c>
      <c r="F27" s="3">
        <f>ABS(D27*Parameters!$B$8-B27)+ABS(D27*Parameters!$B$9-C27)</f>
        <v>0</v>
      </c>
      <c r="G27" s="3">
        <f>IF(E27,F27*Parameters!$B$3/10000,0)</f>
        <v>0.0</v>
      </c>
      <c r="H27" s="3">
        <f>IF(ABS(Parameters!$B$5-1)&gt;0.00000001,NA(),D27-G27)</f>
        <v>110264.55838798631</v>
      </c>
      <c r="I27" s="3">
        <f>IF(E27,H27*Parameters!$B$8,B27)</f>
        <v>61504.666242190135</v>
      </c>
      <c r="J27" s="3">
        <f>IF(E27,H27*Parameters!$B$9,C27)</f>
        <v>48759.89214579618</v>
      </c>
      <c r="K27" s="3">
        <f>MAX(Parameters!$B$2,H$2:H27)</f>
        <v>118989.86763304014</v>
      </c>
      <c r="L27" s="4">
        <f>H27/K27-1</f>
        <v>-0.07332817002505054</v>
      </c>
      <c r="M27" s="4">
        <f>H27/H26-1</f>
        <v>0.15497300612368226</v>
      </c>
      <c r="N27" s="3">
        <v>110264.5583879863</v>
      </c>
      <c r="O27" s="5">
        <f>H27-N27</f>
        <v>0</v>
      </c>
    </row>
    <row r="28" spans="1:15" ht="20" customHeight="1">
      <c r="A28" t="str">
        <f>Monthly!A28</f>
        <v>2023-11-30</v>
      </c>
      <c r="B28" s="3">
        <f>I27*Monthly!C28/Monthly!C27</f>
        <v>63061.57848960718</v>
      </c>
      <c r="C28" s="3">
        <f>J27*Monthly!D28/Monthly!D27</f>
        <v>53502.88560865471</v>
      </c>
      <c r="D28" s="3">
        <f>SUM(B28:C28)</f>
        <v>116564.46409826189</v>
      </c>
      <c r="E28" t="b">
        <f>IF(Parameters!$B$4=0,FALSE(),MOD(26,Parameters!$B$4)=0)</f>
        <v>0</v>
      </c>
      <c r="F28" s="3">
        <f>ABS(D28*Parameters!$B$8-B28)+ABS(D28*Parameters!$B$9-C28)</f>
        <v>0</v>
      </c>
      <c r="G28" s="3">
        <f>IF(E28,F28*Parameters!$B$3/10000,0)</f>
        <v>0.0</v>
      </c>
      <c r="H28" s="3">
        <f>IF(ABS(Parameters!$B$5-1)&gt;0.00000001,NA(),D28-G28)</f>
        <v>116564.46409826189</v>
      </c>
      <c r="I28" s="3">
        <f>IF(E28,H28*Parameters!$B$8,B28)</f>
        <v>63061.57848960718</v>
      </c>
      <c r="J28" s="3">
        <f>IF(E28,H28*Parameters!$B$9,C28)</f>
        <v>53502.88560865471</v>
      </c>
      <c r="K28" s="3">
        <f>MAX(Parameters!$B$2,H$2:H28)</f>
        <v>118989.86763304014</v>
      </c>
      <c r="L28" s="4">
        <f>H28/K28-1</f>
        <v>-0.02038327786243188</v>
      </c>
      <c r="M28" s="4">
        <f>H28/H27-1</f>
        <v>0.05713445736669254</v>
      </c>
      <c r="N28" s="3">
        <v>116564.4640982619</v>
      </c>
      <c r="O28" s="5">
        <f>H28-N28</f>
        <v>0</v>
      </c>
    </row>
    <row r="29" spans="1:15" ht="20" customHeight="1">
      <c r="A29" t="str">
        <f>Monthly!A29</f>
        <v>2023-12-29</v>
      </c>
      <c r="B29" s="3">
        <f>I28*Monthly!C29/Monthly!C28</f>
        <v>63870.102486829164</v>
      </c>
      <c r="C29" s="3">
        <f>J28*Monthly!D29/Monthly!D28</f>
        <v>60243.109091382044</v>
      </c>
      <c r="D29" s="3">
        <f>SUM(B29:C29)</f>
        <v>124113.21157821121</v>
      </c>
      <c r="E29" t="b">
        <f>IF(Parameters!$B$4=0,FALSE(),MOD(27,Parameters!$B$4)=0)</f>
        <v>1</v>
      </c>
      <c r="F29" s="3">
        <f>ABS(D29*Parameters!$B$8-B29)+ABS(D29*Parameters!$B$9-C29)</f>
        <v>21195.64892019511</v>
      </c>
      <c r="G29" s="3">
        <f>IF(E29,F29*Parameters!$B$3/10000,0)</f>
        <v>42.39129784039022</v>
      </c>
      <c r="H29" s="3">
        <f>IF(ABS(Parameters!$B$5-1)&gt;0.00000001,NA(),D29-G29)</f>
        <v>124070.82028037081</v>
      </c>
      <c r="I29" s="3">
        <f>IF(E29,H29*Parameters!$B$8,B29)</f>
        <v>74442.49216822248</v>
      </c>
      <c r="J29" s="3">
        <f>IF(E29,H29*Parameters!$B$9,C29)</f>
        <v>49628.32811214833</v>
      </c>
      <c r="K29" s="3">
        <f>MAX(Parameters!$B$2,H$2:H29)</f>
        <v>124070.82028037081</v>
      </c>
      <c r="L29" s="4">
        <f>H29/K29-1</f>
        <v>0.0</v>
      </c>
      <c r="M29" s="4">
        <f>H29/H28-1</f>
        <v>0.06439660869354835</v>
      </c>
      <c r="N29" s="3">
        <v>124070.8202803708</v>
      </c>
      <c r="O29" s="5">
        <f>H29-N29</f>
        <v>0</v>
      </c>
    </row>
    <row r="30" spans="1:15" ht="20" customHeight="1">
      <c r="A30" t="str">
        <f>Monthly!A30</f>
        <v>2024-01-31</v>
      </c>
      <c r="B30" s="3">
        <f>I29*Monthly!C30/Monthly!C29</f>
        <v>73383.31096034903</v>
      </c>
      <c r="C30" s="3">
        <f>J29*Monthly!D30/Monthly!D29</f>
        <v>50006.414066458</v>
      </c>
      <c r="D30" s="3">
        <f>SUM(B30:C30)</f>
        <v>123389.72502680702</v>
      </c>
      <c r="E30" t="b">
        <f>IF(Parameters!$B$4=0,FALSE(),MOD(28,Parameters!$B$4)=0)</f>
        <v>0</v>
      </c>
      <c r="F30" s="3">
        <f>ABS(D30*Parameters!$B$8-B30)+ABS(D30*Parameters!$B$9-C30)</f>
        <v>0</v>
      </c>
      <c r="G30" s="3">
        <f>IF(E30,F30*Parameters!$B$3/10000,0)</f>
        <v>0.0</v>
      </c>
      <c r="H30" s="3">
        <f>IF(ABS(Parameters!$B$5-1)&gt;0.00000001,NA(),D30-G30)</f>
        <v>123389.72502680702</v>
      </c>
      <c r="I30" s="3">
        <f>IF(E30,H30*Parameters!$B$8,B30)</f>
        <v>73383.31096034903</v>
      </c>
      <c r="J30" s="3">
        <f>IF(E30,H30*Parameters!$B$9,C30)</f>
        <v>50006.414066458</v>
      </c>
      <c r="K30" s="3">
        <f>MAX(Parameters!$B$2,H$2:H30)</f>
        <v>124070.82028037081</v>
      </c>
      <c r="L30" s="4">
        <f>H30/K30-1</f>
        <v>-0.005489568393476252</v>
      </c>
      <c r="M30" s="4">
        <f>H30/H29-1</f>
        <v>-0.005489568393476252</v>
      </c>
      <c r="N30" s="3">
        <v>123389.725026807</v>
      </c>
      <c r="O30" s="5">
        <f>H30-N30</f>
        <v>0</v>
      </c>
    </row>
    <row r="31" spans="1:15" ht="20" customHeight="1">
      <c r="A31" t="str">
        <f>Monthly!A31</f>
        <v>2024-02-29</v>
      </c>
      <c r="B31" s="3">
        <f>I30*Monthly!C31/Monthly!C30</f>
        <v>73718.1992237479</v>
      </c>
      <c r="C31" s="3">
        <f>J30*Monthly!D31/Monthly!D30</f>
        <v>72769.51059497744</v>
      </c>
      <c r="D31" s="3">
        <f>SUM(B31:C31)</f>
        <v>146487.70981872536</v>
      </c>
      <c r="E31" t="b">
        <f>IF(Parameters!$B$4=0,FALSE(),MOD(29,Parameters!$B$4)=0)</f>
        <v>0</v>
      </c>
      <c r="F31" s="3">
        <f>ABS(D31*Parameters!$B$8-B31)+ABS(D31*Parameters!$B$9-C31)</f>
        <v>0</v>
      </c>
      <c r="G31" s="3">
        <f>IF(E31,F31*Parameters!$B$3/10000,0)</f>
        <v>0.0</v>
      </c>
      <c r="H31" s="3">
        <f>IF(ABS(Parameters!$B$5-1)&gt;0.00000001,NA(),D31-G31)</f>
        <v>146487.70981872536</v>
      </c>
      <c r="I31" s="3">
        <f>IF(E31,H31*Parameters!$B$8,B31)</f>
        <v>73718.1992237479</v>
      </c>
      <c r="J31" s="3">
        <f>IF(E31,H31*Parameters!$B$9,C31)</f>
        <v>72769.51059497744</v>
      </c>
      <c r="K31" s="3">
        <f>MAX(Parameters!$B$2,H$2:H31)</f>
        <v>146487.70981872536</v>
      </c>
      <c r="L31" s="4">
        <f>H31/K31-1</f>
        <v>0.0</v>
      </c>
      <c r="M31" s="4">
        <f>H31/H30-1</f>
        <v>0.18719536644481694</v>
      </c>
      <c r="N31" s="3">
        <v>146487.7098187254</v>
      </c>
      <c r="O31" s="5">
        <f>H31-N31</f>
        <v>0</v>
      </c>
    </row>
    <row r="32" spans="1:15" ht="20" customHeight="1">
      <c r="A32" t="str">
        <f>Monthly!A32</f>
        <v>2024-03-28</v>
      </c>
      <c r="B32" s="3">
        <f>I31*Monthly!C32/Monthly!C31</f>
        <v>80108.33146624286</v>
      </c>
      <c r="C32" s="3">
        <f>J31*Monthly!D32/Monthly!D31</f>
        <v>80861.50595340114</v>
      </c>
      <c r="D32" s="3">
        <f>SUM(B32:C32)</f>
        <v>160969.837419644</v>
      </c>
      <c r="E32" t="b">
        <f>IF(Parameters!$B$4=0,FALSE(),MOD(30,Parameters!$B$4)=0)</f>
        <v>1</v>
      </c>
      <c r="F32" s="3">
        <f>ABS(D32*Parameters!$B$8-B32)+ABS(D32*Parameters!$B$9-C32)</f>
        <v>32947.141971087076</v>
      </c>
      <c r="G32" s="3">
        <f>IF(E32,F32*Parameters!$B$3/10000,0)</f>
        <v>65.89428394217416</v>
      </c>
      <c r="H32" s="3">
        <f>IF(ABS(Parameters!$B$5-1)&gt;0.00000001,NA(),D32-G32)</f>
        <v>160903.94313570182</v>
      </c>
      <c r="I32" s="3">
        <f>IF(E32,H32*Parameters!$B$8,B32)</f>
        <v>96542.3658814211</v>
      </c>
      <c r="J32" s="3">
        <f>IF(E32,H32*Parameters!$B$9,C32)</f>
        <v>64361.57725428073</v>
      </c>
      <c r="K32" s="3">
        <f>MAX(Parameters!$B$2,H$2:H32)</f>
        <v>160903.94313570182</v>
      </c>
      <c r="L32" s="4">
        <f>H32/K32-1</f>
        <v>0.0</v>
      </c>
      <c r="M32" s="4">
        <f>H32/H31-1</f>
        <v>0.09841257901305278</v>
      </c>
      <c r="N32" s="3">
        <v>160903.9431357018</v>
      </c>
      <c r="O32" s="5">
        <f>H32-N32</f>
        <v>0</v>
      </c>
    </row>
    <row r="33" spans="1:15" ht="20" customHeight="1">
      <c r="A33" t="str">
        <f>Monthly!A33</f>
        <v>2024-04-30</v>
      </c>
      <c r="B33" s="3">
        <f>I32*Monthly!C33/Monthly!C32</f>
        <v>99428.49730957486</v>
      </c>
      <c r="C33" s="3">
        <f>J32*Monthly!D33/Monthly!D32</f>
        <v>59159.09454087587</v>
      </c>
      <c r="D33" s="3">
        <f>SUM(B33:C33)</f>
        <v>158587.59185045073</v>
      </c>
      <c r="E33" t="b">
        <f>IF(Parameters!$B$4=0,FALSE(),MOD(31,Parameters!$B$4)=0)</f>
        <v>0</v>
      </c>
      <c r="F33" s="3">
        <f>ABS(D33*Parameters!$B$8-B33)+ABS(D33*Parameters!$B$9-C33)</f>
        <v>0</v>
      </c>
      <c r="G33" s="3">
        <f>IF(E33,F33*Parameters!$B$3/10000,0)</f>
        <v>0.0</v>
      </c>
      <c r="H33" s="3">
        <f>IF(ABS(Parameters!$B$5-1)&gt;0.00000001,NA(),D33-G33)</f>
        <v>158587.59185045073</v>
      </c>
      <c r="I33" s="3">
        <f>IF(E33,H33*Parameters!$B$8,B33)</f>
        <v>99428.49730957486</v>
      </c>
      <c r="J33" s="3">
        <f>IF(E33,H33*Parameters!$B$9,C33)</f>
        <v>59159.09454087587</v>
      </c>
      <c r="K33" s="3">
        <f>MAX(Parameters!$B$2,H$2:H33)</f>
        <v>160903.94313570182</v>
      </c>
      <c r="L33" s="4">
        <f>H33/K33-1</f>
        <v>-0.014395864017437643</v>
      </c>
      <c r="M33" s="4">
        <f>H33/H32-1</f>
        <v>-0.014395864017437643</v>
      </c>
      <c r="N33" s="3">
        <v>158587.5918504507</v>
      </c>
      <c r="O33" s="5">
        <f>H33-N33</f>
        <v>0</v>
      </c>
    </row>
    <row r="34" spans="1:15" ht="20" customHeight="1">
      <c r="A34" t="str">
        <f>Monthly!A34</f>
        <v>2024-05-31</v>
      </c>
      <c r="B34" s="3">
        <f>I33*Monthly!C34/Monthly!C33</f>
        <v>101038.16617517147</v>
      </c>
      <c r="C34" s="3">
        <f>J33*Monthly!D34/Monthly!D33</f>
        <v>63351.19068738437</v>
      </c>
      <c r="D34" s="3">
        <f>SUM(B34:C34)</f>
        <v>164389.35686255584</v>
      </c>
      <c r="E34" t="b">
        <f>IF(Parameters!$B$4=0,FALSE(),MOD(32,Parameters!$B$4)=0)</f>
        <v>0</v>
      </c>
      <c r="F34" s="3">
        <f>ABS(D34*Parameters!$B$8-B34)+ABS(D34*Parameters!$B$9-C34)</f>
        <v>0</v>
      </c>
      <c r="G34" s="3">
        <f>IF(E34,F34*Parameters!$B$3/10000,0)</f>
        <v>0.0</v>
      </c>
      <c r="H34" s="3">
        <f>IF(ABS(Parameters!$B$5-1)&gt;0.00000001,NA(),D34-G34)</f>
        <v>164389.35686255584</v>
      </c>
      <c r="I34" s="3">
        <f>IF(E34,H34*Parameters!$B$8,B34)</f>
        <v>101038.16617517147</v>
      </c>
      <c r="J34" s="3">
        <f>IF(E34,H34*Parameters!$B$9,C34)</f>
        <v>63351.19068738437</v>
      </c>
      <c r="K34" s="3">
        <f>MAX(Parameters!$B$2,H$2:H34)</f>
        <v>164389.35686255584</v>
      </c>
      <c r="L34" s="4">
        <f>H34/K34-1</f>
        <v>0.0</v>
      </c>
      <c r="M34" s="4">
        <f>H34/H33-1</f>
        <v>0.0365839782571149</v>
      </c>
      <c r="N34" s="3">
        <v>164389.3568625558</v>
      </c>
      <c r="O34" s="5">
        <f>H34-N34</f>
        <v>0</v>
      </c>
    </row>
    <row r="35" spans="1:15" ht="20" customHeight="1">
      <c r="A35" t="str">
        <f>Monthly!A35</f>
        <v>2024-06-28</v>
      </c>
      <c r="B35" s="3">
        <f>I34*Monthly!C35/Monthly!C34</f>
        <v>100902.06802775532</v>
      </c>
      <c r="C35" s="3">
        <f>J34*Monthly!D35/Monthly!D34</f>
        <v>57086.78311331511</v>
      </c>
      <c r="D35" s="3">
        <f>SUM(B35:C35)</f>
        <v>157988.85114107042</v>
      </c>
      <c r="E35" t="b">
        <f>IF(Parameters!$B$4=0,FALSE(),MOD(33,Parameters!$B$4)=0)</f>
        <v>1</v>
      </c>
      <c r="F35" s="3">
        <f>ABS(D35*Parameters!$B$8-B35)+ABS(D35*Parameters!$B$9-C35)</f>
        <v>12217.514686226132</v>
      </c>
      <c r="G35" s="3">
        <f>IF(E35,F35*Parameters!$B$3/10000,0)</f>
        <v>24.435029372452263</v>
      </c>
      <c r="H35" s="3">
        <f>IF(ABS(Parameters!$B$5-1)&gt;0.00000001,NA(),D35-G35)</f>
        <v>157964.41611169797</v>
      </c>
      <c r="I35" s="3">
        <f>IF(E35,H35*Parameters!$B$8,B35)</f>
        <v>94778.64966701878</v>
      </c>
      <c r="J35" s="3">
        <f>IF(E35,H35*Parameters!$B$9,C35)</f>
        <v>63185.76644467919</v>
      </c>
      <c r="K35" s="3">
        <f>MAX(Parameters!$B$2,H$2:H35)</f>
        <v>164389.35686255584</v>
      </c>
      <c r="L35" s="4">
        <f>H35/K35-1</f>
        <v>-0.03908367836872617</v>
      </c>
      <c r="M35" s="4">
        <f>H35/H34-1</f>
        <v>-0.03908367836872617</v>
      </c>
      <c r="N35" s="3">
        <v>157964.416111698</v>
      </c>
      <c r="O35" s="5">
        <f>H35-N35</f>
        <v>0</v>
      </c>
    </row>
    <row r="36" spans="1:15" ht="20" customHeight="1">
      <c r="A36" t="str">
        <f>Monthly!A36</f>
        <v>2024-07-31</v>
      </c>
      <c r="B36" s="3">
        <f>I35*Monthly!C36/Monthly!C35</f>
        <v>99865.605878251</v>
      </c>
      <c r="C36" s="3">
        <f>J35*Monthly!D36/Monthly!D35</f>
        <v>67899.93407388683</v>
      </c>
      <c r="D36" s="3">
        <f>SUM(B36:C36)</f>
        <v>167765.53995213783</v>
      </c>
      <c r="E36" t="b">
        <f>IF(Parameters!$B$4=0,FALSE(),MOD(34,Parameters!$B$4)=0)</f>
        <v>0</v>
      </c>
      <c r="F36" s="3">
        <f>ABS(D36*Parameters!$B$8-B36)+ABS(D36*Parameters!$B$9-C36)</f>
        <v>0</v>
      </c>
      <c r="G36" s="3">
        <f>IF(E36,F36*Parameters!$B$3/10000,0)</f>
        <v>0.0</v>
      </c>
      <c r="H36" s="3">
        <f>IF(ABS(Parameters!$B$5-1)&gt;0.00000001,NA(),D36-G36)</f>
        <v>167765.53995213783</v>
      </c>
      <c r="I36" s="3">
        <f>IF(E36,H36*Parameters!$B$8,B36)</f>
        <v>99865.605878251</v>
      </c>
      <c r="J36" s="3">
        <f>IF(E36,H36*Parameters!$B$9,C36)</f>
        <v>67899.93407388683</v>
      </c>
      <c r="K36" s="3">
        <f>MAX(Parameters!$B$2,H$2:H36)</f>
        <v>167765.53995213783</v>
      </c>
      <c r="L36" s="4">
        <f>H36/K36-1</f>
        <v>0.0</v>
      </c>
      <c r="M36" s="4">
        <f>H36/H35-1</f>
        <v>0.06204640311846821</v>
      </c>
      <c r="N36" s="3">
        <v>167765.5399521378</v>
      </c>
      <c r="O36" s="5">
        <f>H36-N36</f>
        <v>0</v>
      </c>
    </row>
    <row r="37" spans="1:15" ht="20" customHeight="1">
      <c r="A37" t="str">
        <f>Monthly!A37</f>
        <v>2024-08-30</v>
      </c>
      <c r="B37" s="3">
        <f>I36*Monthly!C37/Monthly!C36</f>
        <v>101955.04304548293</v>
      </c>
      <c r="C37" s="3">
        <f>J36*Monthly!D37/Monthly!D36</f>
        <v>60912.260144036045</v>
      </c>
      <c r="D37" s="3">
        <f>SUM(B37:C37)</f>
        <v>162867.30318951898</v>
      </c>
      <c r="E37" t="b">
        <f>IF(Parameters!$B$4=0,FALSE(),MOD(35,Parameters!$B$4)=0)</f>
        <v>0</v>
      </c>
      <c r="F37" s="3">
        <f>ABS(D37*Parameters!$B$8-B37)+ABS(D37*Parameters!$B$9-C37)</f>
        <v>0</v>
      </c>
      <c r="G37" s="3">
        <f>IF(E37,F37*Parameters!$B$3/10000,0)</f>
        <v>0.0</v>
      </c>
      <c r="H37" s="3">
        <f>IF(ABS(Parameters!$B$5-1)&gt;0.00000001,NA(),D37-G37)</f>
        <v>162867.30318951898</v>
      </c>
      <c r="I37" s="3">
        <f>IF(E37,H37*Parameters!$B$8,B37)</f>
        <v>101955.04304548293</v>
      </c>
      <c r="J37" s="3">
        <f>IF(E37,H37*Parameters!$B$9,C37)</f>
        <v>60912.260144036045</v>
      </c>
      <c r="K37" s="3">
        <f>MAX(Parameters!$B$2,H$2:H37)</f>
        <v>167765.53995213783</v>
      </c>
      <c r="L37" s="4">
        <f>H37/K37-1</f>
        <v>-0.029196918294521534</v>
      </c>
      <c r="M37" s="4">
        <f>H37/H36-1</f>
        <v>-0.029196918294521534</v>
      </c>
      <c r="N37" s="3">
        <v>162867.303189519</v>
      </c>
      <c r="O37" s="5">
        <f>H37-N37</f>
        <v>0</v>
      </c>
    </row>
    <row r="38" spans="1:15" ht="20" customHeight="1">
      <c r="A38" t="str">
        <f>Monthly!A38</f>
        <v>2024-09-30</v>
      </c>
      <c r="B38" s="3">
        <f>I37*Monthly!C38/Monthly!C37</f>
        <v>107143.3837739109</v>
      </c>
      <c r="C38" s="3">
        <f>J37*Monthly!D38/Monthly!D37</f>
        <v>67319.70528134514</v>
      </c>
      <c r="D38" s="3">
        <f>SUM(B38:C38)</f>
        <v>174463.08905525604</v>
      </c>
      <c r="E38" t="b">
        <f>IF(Parameters!$B$4=0,FALSE(),MOD(36,Parameters!$B$4)=0)</f>
        <v>1</v>
      </c>
      <c r="F38" s="3">
        <f>ABS(D38*Parameters!$B$8-B38)+ABS(D38*Parameters!$B$9-C38)</f>
        <v>4931.060681514558</v>
      </c>
      <c r="G38" s="3">
        <f>IF(E38,F38*Parameters!$B$3/10000,0)</f>
        <v>9.862121363029116</v>
      </c>
      <c r="H38" s="3">
        <f>IF(ABS(Parameters!$B$5-1)&gt;0.00000001,NA(),D38-G38)</f>
        <v>174453.22693389302</v>
      </c>
      <c r="I38" s="3">
        <f>IF(E38,H38*Parameters!$B$8,B38)</f>
        <v>104671.93616033581</v>
      </c>
      <c r="J38" s="3">
        <f>IF(E38,H38*Parameters!$B$9,C38)</f>
        <v>69781.29077355721</v>
      </c>
      <c r="K38" s="3">
        <f>MAX(Parameters!$B$2,H$2:H38)</f>
        <v>174453.22693389302</v>
      </c>
      <c r="L38" s="4">
        <f>H38/K38-1</f>
        <v>0.0</v>
      </c>
      <c r="M38" s="4">
        <f>H38/H37-1</f>
        <v>0.07113719891887804</v>
      </c>
      <c r="N38" s="3">
        <v>174453.226933893</v>
      </c>
      <c r="O38" s="5">
        <f>H38-N38</f>
        <v>0</v>
      </c>
    </row>
    <row r="39" spans="1:15" ht="20" customHeight="1">
      <c r="A39" t="str">
        <f>Monthly!A39</f>
        <v>2024-10-31</v>
      </c>
      <c r="B39" s="3">
        <f>I38*Monthly!C39/Monthly!C38</f>
        <v>109172.1477312605</v>
      </c>
      <c r="C39" s="3">
        <f>J38*Monthly!D39/Monthly!D38</f>
        <v>76909.011602513</v>
      </c>
      <c r="D39" s="3">
        <f>SUM(B39:C39)</f>
        <v>186081.15933377348</v>
      </c>
      <c r="E39" t="b">
        <f>IF(Parameters!$B$4=0,FALSE(),MOD(37,Parameters!$B$4)=0)</f>
        <v>0</v>
      </c>
      <c r="F39" s="3">
        <f>ABS(D39*Parameters!$B$8-B39)+ABS(D39*Parameters!$B$9-C39)</f>
        <v>0</v>
      </c>
      <c r="G39" s="3">
        <f>IF(E39,F39*Parameters!$B$3/10000,0)</f>
        <v>0.0</v>
      </c>
      <c r="H39" s="3">
        <f>IF(ABS(Parameters!$B$5-1)&gt;0.00000001,NA(),D39-G39)</f>
        <v>186081.15933377348</v>
      </c>
      <c r="I39" s="3">
        <f>IF(E39,H39*Parameters!$B$8,B39)</f>
        <v>109172.1477312605</v>
      </c>
      <c r="J39" s="3">
        <f>IF(E39,H39*Parameters!$B$9,C39)</f>
        <v>76909.011602513</v>
      </c>
      <c r="K39" s="3">
        <f>MAX(Parameters!$B$2,H$2:H39)</f>
        <v>186081.15933377348</v>
      </c>
      <c r="L39" s="4">
        <f>H39/K39-1</f>
        <v>0.0</v>
      </c>
      <c r="M39" s="4">
        <f>H39/H38-1</f>
        <v>0.06665358161753421</v>
      </c>
      <c r="N39" s="3">
        <v>186081.1593337735</v>
      </c>
      <c r="O39" s="5">
        <f>H39-N39</f>
        <v>0</v>
      </c>
    </row>
    <row r="40" spans="1:15" ht="20" customHeight="1">
      <c r="A40" t="str">
        <f>Monthly!A40</f>
        <v>2024-11-29</v>
      </c>
      <c r="B40" s="3">
        <f>I39*Monthly!C40/Monthly!C39</f>
        <v>105761.4608594729</v>
      </c>
      <c r="C40" s="3">
        <f>J39*Monthly!D40/Monthly!D39</f>
        <v>101694.5494019094</v>
      </c>
      <c r="D40" s="3">
        <f>SUM(B40:C40)</f>
        <v>207456.01026138233</v>
      </c>
      <c r="E40" t="b">
        <f>IF(Parameters!$B$4=0,FALSE(),MOD(38,Parameters!$B$4)=0)</f>
        <v>0</v>
      </c>
      <c r="F40" s="3">
        <f>ABS(D40*Parameters!$B$8-B40)+ABS(D40*Parameters!$B$9-C40)</f>
        <v>0</v>
      </c>
      <c r="G40" s="3">
        <f>IF(E40,F40*Parameters!$B$3/10000,0)</f>
        <v>0.0</v>
      </c>
      <c r="H40" s="3">
        <f>IF(ABS(Parameters!$B$5-1)&gt;0.00000001,NA(),D40-G40)</f>
        <v>207456.01026138233</v>
      </c>
      <c r="I40" s="3">
        <f>IF(E40,H40*Parameters!$B$8,B40)</f>
        <v>105761.4608594729</v>
      </c>
      <c r="J40" s="3">
        <f>IF(E40,H40*Parameters!$B$9,C40)</f>
        <v>101694.5494019094</v>
      </c>
      <c r="K40" s="3">
        <f>MAX(Parameters!$B$2,H$2:H40)</f>
        <v>207456.01026138233</v>
      </c>
      <c r="L40" s="4">
        <f>H40/K40-1</f>
        <v>0.0</v>
      </c>
      <c r="M40" s="4">
        <f>H40/H39-1</f>
        <v>0.11486843162487403</v>
      </c>
      <c r="N40" s="3">
        <v>207456.0102613823</v>
      </c>
      <c r="O40" s="5">
        <f>H40-N40</f>
        <v>0</v>
      </c>
    </row>
    <row r="41" spans="1:15" ht="20" customHeight="1">
      <c r="A41" t="str">
        <f>Monthly!A41</f>
        <v>2024-12-31</v>
      </c>
      <c r="B41" s="3">
        <f>I40*Monthly!C41/Monthly!C40</f>
        <v>104271.44189979634</v>
      </c>
      <c r="C41" s="3">
        <f>J40*Monthly!D41/Monthly!D40</f>
        <v>98495.20576472426</v>
      </c>
      <c r="D41" s="3">
        <f>SUM(B41:C41)</f>
        <v>202766.6476645206</v>
      </c>
      <c r="E41" t="b">
        <f>IF(Parameters!$B$4=0,FALSE(),MOD(39,Parameters!$B$4)=0)</f>
        <v>1</v>
      </c>
      <c r="F41" s="3">
        <f>ABS(D41*Parameters!$B$8-B41)+ABS(D41*Parameters!$B$9-C41)</f>
        <v>34777.09339783204</v>
      </c>
      <c r="G41" s="3">
        <f>IF(E41,F41*Parameters!$B$3/10000,0)</f>
        <v>69.55418679566408</v>
      </c>
      <c r="H41" s="3">
        <f>IF(ABS(Parameters!$B$5-1)&gt;0.00000001,NA(),D41-G41)</f>
        <v>202697.09347772493</v>
      </c>
      <c r="I41" s="3">
        <f>IF(E41,H41*Parameters!$B$8,B41)</f>
        <v>121618.25608663495</v>
      </c>
      <c r="J41" s="3">
        <f>IF(E41,H41*Parameters!$B$9,C41)</f>
        <v>81078.83739108998</v>
      </c>
      <c r="K41" s="3">
        <f>MAX(Parameters!$B$2,H$2:H41)</f>
        <v>207456.01026138233</v>
      </c>
      <c r="L41" s="4">
        <f>H41/K41-1</f>
        <v>-0.02293940184071519</v>
      </c>
      <c r="M41" s="4">
        <f>H41/H40-1</f>
        <v>-0.02293940184071519</v>
      </c>
      <c r="N41" s="3">
        <v>202697.0934777249</v>
      </c>
      <c r="O41" s="5">
        <f>H41-N41</f>
        <v>0</v>
      </c>
    </row>
    <row r="42" spans="1:15" ht="20" customHeight="1">
      <c r="A42" t="str">
        <f>Monthly!A42</f>
        <v>2025-01-31</v>
      </c>
      <c r="B42" s="3">
        <f>I41*Monthly!C42/Monthly!C41</f>
        <v>129870.79404743745</v>
      </c>
      <c r="C42" s="3">
        <f>J41*Monthly!D42/Monthly!D41</f>
        <v>91661.51142573115</v>
      </c>
      <c r="D42" s="3">
        <f>SUM(B42:C42)</f>
        <v>221532.3054731686</v>
      </c>
      <c r="E42" t="b">
        <f>IF(Parameters!$B$4=0,FALSE(),MOD(40,Parameters!$B$4)=0)</f>
        <v>0</v>
      </c>
      <c r="F42" s="3">
        <f>ABS(D42*Parameters!$B$8-B42)+ABS(D42*Parameters!$B$9-C42)</f>
        <v>0</v>
      </c>
      <c r="G42" s="3">
        <f>IF(E42,F42*Parameters!$B$3/10000,0)</f>
        <v>0.0</v>
      </c>
      <c r="H42" s="3">
        <f>IF(ABS(Parameters!$B$5-1)&gt;0.00000001,NA(),D42-G42)</f>
        <v>221532.3054731686</v>
      </c>
      <c r="I42" s="3">
        <f>IF(E42,H42*Parameters!$B$8,B42)</f>
        <v>129870.79404743745</v>
      </c>
      <c r="J42" s="3">
        <f>IF(E42,H42*Parameters!$B$9,C42)</f>
        <v>91661.51142573115</v>
      </c>
      <c r="K42" s="3">
        <f>MAX(Parameters!$B$2,H$2:H42)</f>
        <v>221532.3054731686</v>
      </c>
      <c r="L42" s="4">
        <f>H42/K42-1</f>
        <v>0.0</v>
      </c>
      <c r="M42" s="4">
        <f>H42/H41-1</f>
        <v>0.09292295055781619</v>
      </c>
      <c r="N42" s="3">
        <v>221532.3054731686</v>
      </c>
      <c r="O42" s="5">
        <f>H42-N42</f>
        <v>0</v>
      </c>
    </row>
    <row r="43" spans="1:15" ht="20" customHeight="1">
      <c r="A43" t="str">
        <f>Monthly!A43</f>
        <v>2025-02-28</v>
      </c>
      <c r="B43" s="3">
        <f>I42*Monthly!C43/Monthly!C42</f>
        <v>132236.55184448036</v>
      </c>
      <c r="C43" s="3">
        <f>J42*Monthly!D43/Monthly!D42</f>
        <v>74130.85257194033</v>
      </c>
      <c r="D43" s="3">
        <f>SUM(B43:C43)</f>
        <v>206367.40441642067</v>
      </c>
      <c r="E43" t="b">
        <f>IF(Parameters!$B$4=0,FALSE(),MOD(41,Parameters!$B$4)=0)</f>
        <v>0</v>
      </c>
      <c r="F43" s="3">
        <f>ABS(D43*Parameters!$B$8-B43)+ABS(D43*Parameters!$B$9-C43)</f>
        <v>0</v>
      </c>
      <c r="G43" s="3">
        <f>IF(E43,F43*Parameters!$B$3/10000,0)</f>
        <v>0.0</v>
      </c>
      <c r="H43" s="3">
        <f>IF(ABS(Parameters!$B$5-1)&gt;0.00000001,NA(),D43-G43)</f>
        <v>206367.40441642067</v>
      </c>
      <c r="I43" s="3">
        <f>IF(E43,H43*Parameters!$B$8,B43)</f>
        <v>132236.55184448036</v>
      </c>
      <c r="J43" s="3">
        <f>IF(E43,H43*Parameters!$B$9,C43)</f>
        <v>74130.85257194033</v>
      </c>
      <c r="K43" s="3">
        <f>MAX(Parameters!$B$2,H$2:H43)</f>
        <v>221532.3054731686</v>
      </c>
      <c r="L43" s="4">
        <f>H43/K43-1</f>
        <v>-0.06845458058298715</v>
      </c>
      <c r="M43" s="4">
        <f>H43/H42-1</f>
        <v>-0.06845458058298715</v>
      </c>
      <c r="N43" s="3">
        <v>206367.4044164207</v>
      </c>
      <c r="O43" s="5">
        <f>H43-N43</f>
        <v>0</v>
      </c>
    </row>
    <row r="44" spans="1:15" ht="20" customHeight="1">
      <c r="A44" t="str">
        <f>Monthly!A44</f>
        <v>2025-03-31</v>
      </c>
      <c r="B44" s="3">
        <f>I43*Monthly!C44/Monthly!C43</f>
        <v>144728.39129244135</v>
      </c>
      <c r="C44" s="3">
        <f>J43*Monthly!D44/Monthly!D43</f>
        <v>72056.95236497695</v>
      </c>
      <c r="D44" s="3">
        <f>SUM(B44:C44)</f>
        <v>216785.3436574183</v>
      </c>
      <c r="E44" t="b">
        <f>IF(Parameters!$B$4=0,FALSE(),MOD(42,Parameters!$B$4)=0)</f>
        <v>1</v>
      </c>
      <c r="F44" s="3">
        <f>ABS(D44*Parameters!$B$8-B44)+ABS(D44*Parameters!$B$9-C44)</f>
        <v>29314.370195980737</v>
      </c>
      <c r="G44" s="3">
        <f>IF(E44,F44*Parameters!$B$3/10000,0)</f>
        <v>58.62874039196147</v>
      </c>
      <c r="H44" s="3">
        <f>IF(ABS(Parameters!$B$5-1)&gt;0.00000001,NA(),D44-G44)</f>
        <v>216726.71491702634</v>
      </c>
      <c r="I44" s="3">
        <f>IF(E44,H44*Parameters!$B$8,B44)</f>
        <v>130036.0289502158</v>
      </c>
      <c r="J44" s="3">
        <f>IF(E44,H44*Parameters!$B$9,C44)</f>
        <v>86690.68596681055</v>
      </c>
      <c r="K44" s="3">
        <f>MAX(Parameters!$B$2,H$2:H44)</f>
        <v>221532.3054731686</v>
      </c>
      <c r="L44" s="4">
        <f>H44/K44-1</f>
        <v>-0.021692504602784934</v>
      </c>
      <c r="M44" s="4">
        <f>H44/H43-1</f>
        <v>0.05019838539860699</v>
      </c>
      <c r="N44" s="3">
        <v>216726.7149170263</v>
      </c>
      <c r="O44" s="5">
        <f>H44-N44</f>
        <v>0</v>
      </c>
    </row>
    <row r="45" spans="1:15" ht="20" customHeight="1">
      <c r="A45" t="str">
        <f>Monthly!A45</f>
        <v>2025-04-30</v>
      </c>
      <c r="B45" s="3">
        <f>I44*Monthly!C45/Monthly!C44</f>
        <v>137089.7517784338</v>
      </c>
      <c r="C45" s="3">
        <f>J44*Monthly!D45/Monthly!D44</f>
        <v>99273.2173432538</v>
      </c>
      <c r="D45" s="3">
        <f>SUM(B45:C45)</f>
        <v>236362.96912168758</v>
      </c>
      <c r="E45" t="b">
        <f>IF(Parameters!$B$4=0,FALSE(),MOD(43,Parameters!$B$4)=0)</f>
        <v>0</v>
      </c>
      <c r="F45" s="3">
        <f>ABS(D45*Parameters!$B$8-B45)+ABS(D45*Parameters!$B$9-C45)</f>
        <v>0</v>
      </c>
      <c r="G45" s="3">
        <f>IF(E45,F45*Parameters!$B$3/10000,0)</f>
        <v>0.0</v>
      </c>
      <c r="H45" s="3">
        <f>IF(ABS(Parameters!$B$5-1)&gt;0.00000001,NA(),D45-G45)</f>
        <v>236362.96912168758</v>
      </c>
      <c r="I45" s="3">
        <f>IF(E45,H45*Parameters!$B$8,B45)</f>
        <v>137089.7517784338</v>
      </c>
      <c r="J45" s="3">
        <f>IF(E45,H45*Parameters!$B$9,C45)</f>
        <v>99273.2173432538</v>
      </c>
      <c r="K45" s="3">
        <f>MAX(Parameters!$B$2,H$2:H45)</f>
        <v>236362.96912168758</v>
      </c>
      <c r="L45" s="4">
        <f>H45/K45-1</f>
        <v>0.0</v>
      </c>
      <c r="M45" s="4">
        <f>H45/H44-1</f>
        <v>0.0906037551124188</v>
      </c>
      <c r="N45" s="3">
        <v>236362.9691216876</v>
      </c>
      <c r="O45" s="5">
        <f>H45-N45</f>
        <v>0</v>
      </c>
    </row>
    <row r="46" spans="1:15" ht="20" customHeight="1">
      <c r="A46" t="str">
        <f>Monthly!A46</f>
        <v>2025-05-30</v>
      </c>
      <c r="B46" s="3">
        <f>I45*Monthly!C46/Monthly!C45</f>
        <v>137013.03941117343</v>
      </c>
      <c r="C46" s="3">
        <f>J45*Monthly!D46/Monthly!D45</f>
        <v>111231.06163913409</v>
      </c>
      <c r="D46" s="3">
        <f>SUM(B46:C46)</f>
        <v>248244.1010503075</v>
      </c>
      <c r="E46" t="b">
        <f>IF(Parameters!$B$4=0,FALSE(),MOD(44,Parameters!$B$4)=0)</f>
        <v>0</v>
      </c>
      <c r="F46" s="3">
        <f>ABS(D46*Parameters!$B$8-B46)+ABS(D46*Parameters!$B$9-C46)</f>
        <v>0</v>
      </c>
      <c r="G46" s="3">
        <f>IF(E46,F46*Parameters!$B$3/10000,0)</f>
        <v>0.0</v>
      </c>
      <c r="H46" s="3">
        <f>IF(ABS(Parameters!$B$5-1)&gt;0.00000001,NA(),D46-G46)</f>
        <v>248244.1010503075</v>
      </c>
      <c r="I46" s="3">
        <f>IF(E46,H46*Parameters!$B$8,B46)</f>
        <v>137013.03941117343</v>
      </c>
      <c r="J46" s="3">
        <f>IF(E46,H46*Parameters!$B$9,C46)</f>
        <v>111231.06163913409</v>
      </c>
      <c r="K46" s="3">
        <f>MAX(Parameters!$B$2,H$2:H46)</f>
        <v>248244.1010503075</v>
      </c>
      <c r="L46" s="4">
        <f>H46/K46-1</f>
        <v>0.0</v>
      </c>
      <c r="M46" s="4">
        <f>H46/H45-1</f>
        <v>0.0502664692898791</v>
      </c>
      <c r="N46" s="3">
        <v>248244.1010503075</v>
      </c>
      <c r="O46" s="5">
        <f>H46-N46</f>
        <v>0</v>
      </c>
    </row>
    <row r="47" spans="1:15" ht="20" customHeight="1">
      <c r="A47" t="str">
        <f>Monthly!A47</f>
        <v>2025-06-30</v>
      </c>
      <c r="B47" s="3">
        <f>I46*Monthly!C47/Monthly!C46</f>
        <v>137568.12293901222</v>
      </c>
      <c r="C47" s="3">
        <f>J46*Monthly!D47/Monthly!D46</f>
        <v>114120.04402293169</v>
      </c>
      <c r="D47" s="3">
        <f>SUM(B47:C47)</f>
        <v>251688.1669619439</v>
      </c>
      <c r="E47" t="b">
        <f>IF(Parameters!$B$4=0,FALSE(),MOD(45,Parameters!$B$4)=0)</f>
        <v>1</v>
      </c>
      <c r="F47" s="3">
        <f>ABS(D47*Parameters!$B$8-B47)+ABS(D47*Parameters!$B$9-C47)</f>
        <v>26889.55447630823</v>
      </c>
      <c r="G47" s="3">
        <f>IF(E47,F47*Parameters!$B$3/10000,0)</f>
        <v>53.77910895261646</v>
      </c>
      <c r="H47" s="3">
        <f>IF(ABS(Parameters!$B$5-1)&gt;0.00000001,NA(),D47-G47)</f>
        <v>251634.3878529913</v>
      </c>
      <c r="I47" s="3">
        <f>IF(E47,H47*Parameters!$B$8,B47)</f>
        <v>150980.63271179478</v>
      </c>
      <c r="J47" s="3">
        <f>IF(E47,H47*Parameters!$B$9,C47)</f>
        <v>100653.75514119653</v>
      </c>
      <c r="K47" s="3">
        <f>MAX(Parameters!$B$2,H$2:H47)</f>
        <v>251634.3878529913</v>
      </c>
      <c r="L47" s="4">
        <f>H47/K47-1</f>
        <v>0.0</v>
      </c>
      <c r="M47" s="4">
        <f>H47/H46-1</f>
        <v>0.013657068942785289</v>
      </c>
      <c r="N47" s="3">
        <v>251634.3878529913</v>
      </c>
      <c r="O47" s="5">
        <f>H47-N47</f>
        <v>0</v>
      </c>
    </row>
    <row r="48" spans="1:15" ht="20" customHeight="1">
      <c r="A48" t="str">
        <f>Monthly!A48</f>
        <v>2025-07-31</v>
      </c>
      <c r="B48" s="3">
        <f>I47*Monthly!C48/Monthly!C47</f>
        <v>150054.43431138247</v>
      </c>
      <c r="C48" s="3">
        <f>J47*Monthly!D48/Monthly!D47</f>
        <v>109425.55785263602</v>
      </c>
      <c r="D48" s="3">
        <f>SUM(B48:C48)</f>
        <v>259479.9921640185</v>
      </c>
      <c r="E48" t="b">
        <f>IF(Parameters!$B$4=0,FALSE(),MOD(46,Parameters!$B$4)=0)</f>
        <v>0</v>
      </c>
      <c r="F48" s="3">
        <f>ABS(D48*Parameters!$B$8-B48)+ABS(D48*Parameters!$B$9-C48)</f>
        <v>0</v>
      </c>
      <c r="G48" s="3">
        <f>IF(E48,F48*Parameters!$B$3/10000,0)</f>
        <v>0.0</v>
      </c>
      <c r="H48" s="3">
        <f>IF(ABS(Parameters!$B$5-1)&gt;0.00000001,NA(),D48-G48)</f>
        <v>259479.9921640185</v>
      </c>
      <c r="I48" s="3">
        <f>IF(E48,H48*Parameters!$B$8,B48)</f>
        <v>150054.43431138247</v>
      </c>
      <c r="J48" s="3">
        <f>IF(E48,H48*Parameters!$B$9,C48)</f>
        <v>109425.55785263602</v>
      </c>
      <c r="K48" s="3">
        <f>MAX(Parameters!$B$2,H$2:H48)</f>
        <v>259479.9921640185</v>
      </c>
      <c r="L48" s="4">
        <f>H48/K48-1</f>
        <v>0.0</v>
      </c>
      <c r="M48" s="4">
        <f>H48/H47-1</f>
        <v>0.03117858563755105</v>
      </c>
      <c r="N48" s="3">
        <v>259479.9921640185</v>
      </c>
      <c r="O48" s="5">
        <f>H48-N48</f>
        <v>0</v>
      </c>
    </row>
    <row r="49" spans="1:15" ht="20" customHeight="1">
      <c r="A49" t="str">
        <f>Monthly!A49</f>
        <v>2025-08-29</v>
      </c>
      <c r="B49" s="3">
        <f>I48*Monthly!C49/Monthly!C48</f>
        <v>157538.34290535306</v>
      </c>
      <c r="C49" s="3">
        <f>J48*Monthly!D49/Monthly!D48</f>
        <v>104516.2855236917</v>
      </c>
      <c r="D49" s="3">
        <f>SUM(B49:C49)</f>
        <v>262054.62842904474</v>
      </c>
      <c r="E49" t="b">
        <f>IF(Parameters!$B$4=0,FALSE(),MOD(47,Parameters!$B$4)=0)</f>
        <v>0</v>
      </c>
      <c r="F49" s="3">
        <f>ABS(D49*Parameters!$B$8-B49)+ABS(D49*Parameters!$B$9-C49)</f>
        <v>0</v>
      </c>
      <c r="G49" s="3">
        <f>IF(E49,F49*Parameters!$B$3/10000,0)</f>
        <v>0.0</v>
      </c>
      <c r="H49" s="3">
        <f>IF(ABS(Parameters!$B$5-1)&gt;0.00000001,NA(),D49-G49)</f>
        <v>262054.62842904474</v>
      </c>
      <c r="I49" s="3">
        <f>IF(E49,H49*Parameters!$B$8,B49)</f>
        <v>157538.34290535306</v>
      </c>
      <c r="J49" s="3">
        <f>IF(E49,H49*Parameters!$B$9,C49)</f>
        <v>104516.2855236917</v>
      </c>
      <c r="K49" s="3">
        <f>MAX(Parameters!$B$2,H$2:H49)</f>
        <v>262054.62842904474</v>
      </c>
      <c r="L49" s="4">
        <f>H49/K49-1</f>
        <v>0.0</v>
      </c>
      <c r="M49" s="4">
        <f>H49/H48-1</f>
        <v>0.009922292056332438</v>
      </c>
      <c r="N49" s="3">
        <v>262054.6284290447</v>
      </c>
      <c r="O49" s="5">
        <f>H49-N49</f>
        <v>0</v>
      </c>
    </row>
    <row r="50" spans="1:15" ht="20" customHeight="1">
      <c r="A50" t="str">
        <f>Monthly!A50</f>
        <v>2025-09-30</v>
      </c>
      <c r="B50" s="3">
        <f>I49*Monthly!C50/Monthly!C49</f>
        <v>176062.35625916996</v>
      </c>
      <c r="C50" s="3">
        <f>J49*Monthly!D50/Monthly!D49</f>
        <v>106239.49374874056</v>
      </c>
      <c r="D50" s="3">
        <f>SUM(B50:C50)</f>
        <v>282301.8500079105</v>
      </c>
      <c r="E50" t="b">
        <f>IF(Parameters!$B$4=0,FALSE(),MOD(48,Parameters!$B$4)=0)</f>
        <v>1</v>
      </c>
      <c r="F50" s="3">
        <f>ABS(D50*Parameters!$B$8-B50)+ABS(D50*Parameters!$B$9-C50)</f>
        <v>13362.492508847325</v>
      </c>
      <c r="G50" s="3">
        <f>IF(E50,F50*Parameters!$B$3/10000,0)</f>
        <v>26.72498501769465</v>
      </c>
      <c r="H50" s="3">
        <f>IF(ABS(Parameters!$B$5-1)&gt;0.00000001,NA(),D50-G50)</f>
        <v>282275.12502289284</v>
      </c>
      <c r="I50" s="3">
        <f>IF(E50,H50*Parameters!$B$8,B50)</f>
        <v>169365.0750137357</v>
      </c>
      <c r="J50" s="3">
        <f>IF(E50,H50*Parameters!$B$9,C50)</f>
        <v>112910.05000915714</v>
      </c>
      <c r="K50" s="3">
        <f>MAX(Parameters!$B$2,H$2:H50)</f>
        <v>282275.12502289284</v>
      </c>
      <c r="L50" s="4">
        <f>H50/K50-1</f>
        <v>0.0</v>
      </c>
      <c r="M50" s="4">
        <f>H50/H49-1</f>
        <v>0.0771613793469903</v>
      </c>
      <c r="N50" s="3">
        <v>282275.1250228928</v>
      </c>
      <c r="O50" s="5">
        <f>H50-N50</f>
        <v>0</v>
      </c>
    </row>
    <row r="51" spans="1:15" ht="20" customHeight="1">
      <c r="A51" t="str">
        <f>Monthly!A51</f>
        <v>2025-10-31</v>
      </c>
      <c r="B51" s="3">
        <f>I50*Monthly!C51/Monthly!C50</f>
        <v>175392.21417553286</v>
      </c>
      <c r="C51" s="3">
        <f>J50*Monthly!D51/Monthly!D50</f>
        <v>106894.61357806908</v>
      </c>
      <c r="D51" s="3">
        <f>SUM(B51:C51)</f>
        <v>282286.82775360195</v>
      </c>
      <c r="E51" t="b">
        <f>IF(Parameters!$B$4=0,FALSE(),MOD(49,Parameters!$B$4)=0)</f>
        <v>0</v>
      </c>
      <c r="F51" s="3">
        <f>ABS(D51*Parameters!$B$8-B51)+ABS(D51*Parameters!$B$9-C51)</f>
        <v>0</v>
      </c>
      <c r="G51" s="3">
        <f>IF(E51,F51*Parameters!$B$3/10000,0)</f>
        <v>0.0</v>
      </c>
      <c r="H51" s="3">
        <f>IF(ABS(Parameters!$B$5-1)&gt;0.00000001,NA(),D51-G51)</f>
        <v>282286.82775360195</v>
      </c>
      <c r="I51" s="3">
        <f>IF(E51,H51*Parameters!$B$8,B51)</f>
        <v>175392.21417553286</v>
      </c>
      <c r="J51" s="3">
        <f>IF(E51,H51*Parameters!$B$9,C51)</f>
        <v>106894.61357806908</v>
      </c>
      <c r="K51" s="3">
        <f>MAX(Parameters!$B$2,H$2:H51)</f>
        <v>282286.82775360195</v>
      </c>
      <c r="L51" s="4">
        <f>H51/K51-1</f>
        <v>0.0</v>
      </c>
      <c r="M51" s="4">
        <f>H51/H50-1</f>
        <v>4.145859720416922e-05</v>
      </c>
      <c r="N51" s="3">
        <v>282286.8277536019</v>
      </c>
      <c r="O51" s="5">
        <f>H51-N51</f>
        <v>0</v>
      </c>
    </row>
    <row r="52" spans="1:15" ht="20" customHeight="1">
      <c r="A52" t="str">
        <f>Monthly!A52</f>
        <v>2025-11-28</v>
      </c>
      <c r="B52" s="3">
        <f>I51*Monthly!C52/Monthly!C51</f>
        <v>184806.94825923792</v>
      </c>
      <c r="C52" s="3">
        <f>J51*Monthly!D52/Monthly!D51</f>
        <v>90096.16928684317</v>
      </c>
      <c r="D52" s="3">
        <f>SUM(B52:C52)</f>
        <v>274903.1175460811</v>
      </c>
      <c r="E52" t="b">
        <f>IF(Parameters!$B$4=0,FALSE(),MOD(50,Parameters!$B$4)=0)</f>
        <v>0</v>
      </c>
      <c r="F52" s="3">
        <f>ABS(D52*Parameters!$B$8-B52)+ABS(D52*Parameters!$B$9-C52)</f>
        <v>0</v>
      </c>
      <c r="G52" s="3">
        <f>IF(E52,F52*Parameters!$B$3/10000,0)</f>
        <v>0.0</v>
      </c>
      <c r="H52" s="3">
        <f>IF(ABS(Parameters!$B$5-1)&gt;0.00000001,NA(),D52-G52)</f>
        <v>274903.1175460811</v>
      </c>
      <c r="I52" s="3">
        <f>IF(E52,H52*Parameters!$B$8,B52)</f>
        <v>184806.94825923792</v>
      </c>
      <c r="J52" s="3">
        <f>IF(E52,H52*Parameters!$B$9,C52)</f>
        <v>90096.16928684317</v>
      </c>
      <c r="K52" s="3">
        <f>MAX(Parameters!$B$2,H$2:H52)</f>
        <v>282286.82775360195</v>
      </c>
      <c r="L52" s="4">
        <f>H52/K52-1</f>
        <v>-0.02615676496944397</v>
      </c>
      <c r="M52" s="4">
        <f>H52/H51-1</f>
        <v>-0.02615676496944397</v>
      </c>
      <c r="N52" s="3">
        <v>274903.1175460811</v>
      </c>
      <c r="O52" s="5">
        <f>H52-N52</f>
        <v>0</v>
      </c>
    </row>
    <row r="53" spans="1:15" ht="20" customHeight="1">
      <c r="A53" t="str">
        <f>Monthly!A53</f>
        <v>2025-12-31</v>
      </c>
      <c r="B53" s="3">
        <f>I52*Monthly!C53/Monthly!C52</f>
        <v>188823.45130308403</v>
      </c>
      <c r="C53" s="3">
        <f>J52*Monthly!D53/Monthly!D52</f>
        <v>87278.12331310492</v>
      </c>
      <c r="D53" s="3">
        <f>SUM(B53:C53)</f>
        <v>276101.57461618894</v>
      </c>
      <c r="E53" t="b">
        <f>IF(Parameters!$B$4=0,FALSE(),MOD(51,Parameters!$B$4)=0)</f>
        <v>1</v>
      </c>
      <c r="F53" s="3">
        <f>ABS(D53*Parameters!$B$8-B53)+ABS(D53*Parameters!$B$9-C53)</f>
        <v>46325.01306674133</v>
      </c>
      <c r="G53" s="3">
        <f>IF(E53,F53*Parameters!$B$3/10000,0)</f>
        <v>92.65002613348267</v>
      </c>
      <c r="H53" s="3">
        <f>IF(ABS(Parameters!$B$5-1)&gt;0.00000001,NA(),D53-G53)</f>
        <v>276008.9245900555</v>
      </c>
      <c r="I53" s="3">
        <f>IF(E53,H53*Parameters!$B$8,B53)</f>
        <v>165605.3547540333</v>
      </c>
      <c r="J53" s="3">
        <f>IF(E53,H53*Parameters!$B$9,C53)</f>
        <v>110403.5698360222</v>
      </c>
      <c r="K53" s="3">
        <f>MAX(Parameters!$B$2,H$2:H53)</f>
        <v>282286.82775360195</v>
      </c>
      <c r="L53" s="4">
        <f>H53/K53-1</f>
        <v>-0.022239447775530663</v>
      </c>
      <c r="M53" s="4">
        <f>H53/H52-1</f>
        <v>0.004022533661478089</v>
      </c>
      <c r="N53" s="3">
        <v>276008.9245900555</v>
      </c>
      <c r="O53" s="5">
        <f>H53-N53</f>
        <v>0</v>
      </c>
    </row>
    <row r="54" spans="1:15" ht="20" customHeight="1">
      <c r="A54" t="str">
        <f>Monthly!A54</f>
        <v>2026-01-30</v>
      </c>
      <c r="B54" s="3">
        <f>I53*Monthly!C54/Monthly!C53</f>
        <v>185930.47128078694</v>
      </c>
      <c r="C54" s="3">
        <f>J53*Monthly!D54/Monthly!D53</f>
        <v>105573.75253852273</v>
      </c>
      <c r="D54" s="3">
        <f>SUM(B54:C54)</f>
        <v>291504.2238193097</v>
      </c>
      <c r="E54" t="b">
        <f>IF(Parameters!$B$4=0,FALSE(),MOD(52,Parameters!$B$4)=0)</f>
        <v>0</v>
      </c>
      <c r="F54" s="3">
        <f>ABS(D54*Parameters!$B$8-B54)+ABS(D54*Parameters!$B$9-C54)</f>
        <v>0</v>
      </c>
      <c r="G54" s="3">
        <f>IF(E54,F54*Parameters!$B$3/10000,0)</f>
        <v>0.0</v>
      </c>
      <c r="H54" s="3">
        <f>IF(ABS(Parameters!$B$5-1)&gt;0.00000001,NA(),D54-G54)</f>
        <v>291504.2238193097</v>
      </c>
      <c r="I54" s="3">
        <f>IF(E54,H54*Parameters!$B$8,B54)</f>
        <v>185930.47128078694</v>
      </c>
      <c r="J54" s="3">
        <f>IF(E54,H54*Parameters!$B$9,C54)</f>
        <v>105573.75253852273</v>
      </c>
      <c r="K54" s="3">
        <f>MAX(Parameters!$B$2,H$2:H54)</f>
        <v>291504.2238193097</v>
      </c>
      <c r="L54" s="4">
        <f>H54/K54-1</f>
        <v>0.0</v>
      </c>
      <c r="M54" s="4">
        <f>H54/H53-1</f>
        <v>0.05614057317990251</v>
      </c>
      <c r="N54" s="3">
        <v>291504.2238193097</v>
      </c>
      <c r="O54" s="5">
        <f>H54-N54</f>
        <v>0</v>
      </c>
    </row>
    <row r="55" spans="1:15" ht="20" customHeight="1">
      <c r="A55" t="str">
        <f>Monthly!A55</f>
        <v>2026-02-27</v>
      </c>
      <c r="B55" s="3">
        <f>I54*Monthly!C55/Monthly!C54</f>
        <v>202143.75326330052</v>
      </c>
      <c r="C55" s="3">
        <f>J54*Monthly!D55/Monthly!D54</f>
        <v>84214.9293408905</v>
      </c>
      <c r="D55" s="3">
        <f>SUM(B55:C55)</f>
        <v>286358.682604191</v>
      </c>
      <c r="E55" t="b">
        <f>IF(Parameters!$B$4=0,FALSE(),MOD(53,Parameters!$B$4)=0)</f>
        <v>0</v>
      </c>
      <c r="F55" s="3">
        <f>ABS(D55*Parameters!$B$8-B55)+ABS(D55*Parameters!$B$9-C55)</f>
        <v>0</v>
      </c>
      <c r="G55" s="3">
        <f>IF(E55,F55*Parameters!$B$3/10000,0)</f>
        <v>0.0</v>
      </c>
      <c r="H55" s="3">
        <f>IF(ABS(Parameters!$B$5-1)&gt;0.00000001,NA(),D55-G55)</f>
        <v>286358.682604191</v>
      </c>
      <c r="I55" s="3">
        <f>IF(E55,H55*Parameters!$B$8,B55)</f>
        <v>202143.75326330052</v>
      </c>
      <c r="J55" s="3">
        <f>IF(E55,H55*Parameters!$B$9,C55)</f>
        <v>84214.9293408905</v>
      </c>
      <c r="K55" s="3">
        <f>MAX(Parameters!$B$2,H$2:H55)</f>
        <v>291504.2238193097</v>
      </c>
      <c r="L55" s="4">
        <f>H55/K55-1</f>
        <v>-0.0176516866469425</v>
      </c>
      <c r="M55" s="4">
        <f>H55/H54-1</f>
        <v>-0.0176516866469425</v>
      </c>
      <c r="N55" s="3">
        <v>286358.682604191</v>
      </c>
      <c r="O55" s="5">
        <f>H55-N55</f>
        <v>0</v>
      </c>
    </row>
    <row r="56" spans="1:15" ht="20" customHeight="1">
      <c r="A56" t="str">
        <f>Monthly!A56</f>
        <v>2026-03-31</v>
      </c>
      <c r="B56" s="3">
        <f>I55*Monthly!C56/Monthly!C55</f>
        <v>179804.52158959827</v>
      </c>
      <c r="C56" s="3">
        <f>J55*Monthly!D56/Monthly!D55</f>
        <v>83263.17518526965</v>
      </c>
      <c r="D56" s="3">
        <f>SUM(B56:C56)</f>
        <v>263067.69677486795</v>
      </c>
      <c r="E56" t="b">
        <f>IF(Parameters!$B$4=0,FALSE(),MOD(54,Parameters!$B$4)=0)</f>
        <v>1</v>
      </c>
      <c r="F56" s="3">
        <f>ABS(D56*Parameters!$B$8-B56)+ABS(D56*Parameters!$B$9-C56)</f>
        <v>43927.80704935503</v>
      </c>
      <c r="G56" s="3">
        <f>IF(E56,F56*Parameters!$B$3/10000,0)</f>
        <v>87.85561409871006</v>
      </c>
      <c r="H56" s="3">
        <f>IF(ABS(Parameters!$B$5-1)&gt;0.00000001,NA(),D56-G56)</f>
        <v>262979.8411607692</v>
      </c>
      <c r="I56" s="3">
        <f>IF(E56,H56*Parameters!$B$8,B56)</f>
        <v>157787.90469646154</v>
      </c>
      <c r="J56" s="3">
        <f>IF(E56,H56*Parameters!$B$9,C56)</f>
        <v>105191.9364643077</v>
      </c>
      <c r="K56" s="3">
        <f>MAX(Parameters!$B$2,H$2:H56)</f>
        <v>291504.2238193097</v>
      </c>
      <c r="L56" s="4">
        <f>H56/K56-1</f>
        <v>-0.09785238198202373</v>
      </c>
      <c r="M56" s="4">
        <f>H56/H55-1</f>
        <v>-0.08164181100014467</v>
      </c>
      <c r="N56" s="3">
        <v>262979.8411607692</v>
      </c>
      <c r="O56" s="5">
        <f>H56-N56</f>
        <v>0</v>
      </c>
    </row>
    <row r="57" spans="1:15" ht="20" customHeight="1">
      <c r="A57" t="str">
        <f>Monthly!A57</f>
        <v>2026-04-30</v>
      </c>
      <c r="B57" s="3">
        <f>I56*Monthly!C57/Monthly!C56</f>
        <v>155356.67329946972</v>
      </c>
      <c r="C57" s="3">
        <f>J56*Monthly!D57/Monthly!D56</f>
        <v>119521.14864167487</v>
      </c>
      <c r="D57" s="3">
        <f>SUM(B57:C57)</f>
        <v>274877.8219411446</v>
      </c>
      <c r="E57" t="b">
        <f>IF(Parameters!$B$4=0,FALSE(),MOD(55,Parameters!$B$4)=0)</f>
        <v>0</v>
      </c>
      <c r="F57" s="3">
        <f>ABS(D57*Parameters!$B$8-B57)+ABS(D57*Parameters!$B$9-C57)</f>
        <v>0</v>
      </c>
      <c r="G57" s="3">
        <f>IF(E57,F57*Parameters!$B$3/10000,0)</f>
        <v>0.0</v>
      </c>
      <c r="H57" s="3">
        <f>IF(ABS(Parameters!$B$5-1)&gt;0.00000001,NA(),D57-G57)</f>
        <v>274877.8219411446</v>
      </c>
      <c r="I57" s="3">
        <f>IF(E57,H57*Parameters!$B$8,B57)</f>
        <v>155356.67329946972</v>
      </c>
      <c r="J57" s="3">
        <f>IF(E57,H57*Parameters!$B$9,C57)</f>
        <v>119521.14864167487</v>
      </c>
      <c r="K57" s="3">
        <f>MAX(Parameters!$B$2,H$2:H57)</f>
        <v>291504.2238193097</v>
      </c>
      <c r="L57" s="4">
        <f>H57/K57-1</f>
        <v>-0.05703657278211871</v>
      </c>
      <c r="M57" s="4">
        <f>H57/H56-1</f>
        <v>0.045242938499995944</v>
      </c>
      <c r="N57" s="3">
        <v>274877.8219411446</v>
      </c>
      <c r="O57" s="5">
        <f>H57-N57</f>
        <v>0</v>
      </c>
    </row>
    <row r="58" spans="1:15" ht="20" customHeight="1">
      <c r="A58" t="str">
        <f>Monthly!A58</f>
        <v>2026-05-29</v>
      </c>
      <c r="B58" s="3">
        <f>I57*Monthly!C58/Monthly!C57</f>
        <v>152958.4436764074</v>
      </c>
      <c r="C58" s="3">
        <f>J57*Monthly!D58/Monthly!D57</f>
        <v>115988.67819171002</v>
      </c>
      <c r="D58" s="3">
        <f>SUM(B58:C58)</f>
        <v>268947.1218681174</v>
      </c>
      <c r="E58" t="b">
        <f>IF(Parameters!$B$4=0,FALSE(),MOD(56,Parameters!$B$4)=0)</f>
        <v>0</v>
      </c>
      <c r="F58" s="3">
        <f>ABS(D58*Parameters!$B$8-B58)+ABS(D58*Parameters!$B$9-C58)</f>
        <v>0</v>
      </c>
      <c r="G58" s="3">
        <f>IF(E58,F58*Parameters!$B$3/10000,0)</f>
        <v>0.0</v>
      </c>
      <c r="H58" s="3">
        <f>IF(ABS(Parameters!$B$5-1)&gt;0.00000001,NA(),D58-G58)</f>
        <v>268947.1218681174</v>
      </c>
      <c r="I58" s="3">
        <f>IF(E58,H58*Parameters!$B$8,B58)</f>
        <v>152958.4436764074</v>
      </c>
      <c r="J58" s="3">
        <f>IF(E58,H58*Parameters!$B$9,C58)</f>
        <v>115988.67819171002</v>
      </c>
      <c r="K58" s="3">
        <f>MAX(Parameters!$B$2,H$2:H58)</f>
        <v>291504.2238193097</v>
      </c>
      <c r="L58" s="4">
        <f>H58/K58-1</f>
        <v>-0.07738173277782201</v>
      </c>
      <c r="M58" s="4">
        <f>H58/H57-1</f>
        <v>-0.0215757678489501</v>
      </c>
      <c r="N58" s="3">
        <v>268947.1218681174</v>
      </c>
      <c r="O58" s="5">
        <f>H58-N58</f>
        <v>0</v>
      </c>
    </row>
    <row r="59" spans="1:15" ht="20" customHeight="1">
      <c r="A59" t="str">
        <f>Monthly!A59</f>
        <v>2026-06-30</v>
      </c>
      <c r="B59" s="3">
        <f>I58*Monthly!C59/Monthly!C58</f>
        <v>135085.4259876754</v>
      </c>
      <c r="C59" s="3">
        <f>J58*Monthly!D59/Monthly!D58</f>
        <v>94855.83200859219</v>
      </c>
      <c r="D59" s="3">
        <f>SUM(B59:C59)</f>
        <v>229941.25799626758</v>
      </c>
      <c r="E59" t="b">
        <f>IF(Parameters!$B$4=0,FALSE(),MOD(57,Parameters!$B$4)=0)</f>
        <v>1</v>
      </c>
      <c r="F59" s="3">
        <f>ABS(D59*Parameters!$B$8-B59)+ABS(D59*Parameters!$B$9-C59)</f>
        <v>5758.657620170285</v>
      </c>
      <c r="G59" s="3">
        <f>IF(E59,F59*Parameters!$B$3/10000,0)</f>
        <v>11.517315240340569</v>
      </c>
      <c r="H59" s="3">
        <f>IF(ABS(Parameters!$B$5-1)&gt;0.00000001,NA(),D59-G59)</f>
        <v>229929.74068102724</v>
      </c>
      <c r="I59" s="3">
        <f>IF(E59,H59*Parameters!$B$8,B59)</f>
        <v>137957.84440861634</v>
      </c>
      <c r="J59" s="3">
        <f>IF(E59,H59*Parameters!$B$9,C59)</f>
        <v>91971.8962724109</v>
      </c>
      <c r="K59" s="3">
        <f>MAX(Parameters!$B$2,H$2:H59)</f>
        <v>291504.2238193097</v>
      </c>
      <c r="L59" s="4">
        <f>H59/K59-1</f>
        <v>-0.21123015759953334</v>
      </c>
      <c r="M59" s="4">
        <f>H59/H58-1</f>
        <v>-0.14507454445347434</v>
      </c>
      <c r="N59" s="3">
        <v>229929.7406810272</v>
      </c>
      <c r="O59" s="5">
        <f>H59-N59</f>
        <v>0</v>
      </c>
    </row>
    <row r="60" spans="1:15" ht="20" customHeight="1">
      <c r="A60" t="str">
        <f>Monthly!A60</f>
        <v>2026-07-31</v>
      </c>
      <c r="B60" s="3">
        <f>I59*Monthly!C60/Monthly!C59</f>
        <v>139141.26177049684</v>
      </c>
      <c r="C60" s="3">
        <f>J59*Monthly!D60/Monthly!D59</f>
        <v>98986.86124320344</v>
      </c>
      <c r="D60" s="3">
        <f>SUM(B60:C60)</f>
        <v>238128.1230137003</v>
      </c>
      <c r="E60" t="b">
        <f>IF(Parameters!$B$4=0,FALSE(),MOD(58,Parameters!$B$4)=0)</f>
        <v>0</v>
      </c>
      <c r="F60" s="3">
        <f>ABS(D60*Parameters!$B$8-B60)+ABS(D60*Parameters!$B$9-C60)</f>
        <v>0</v>
      </c>
      <c r="G60" s="3">
        <f>IF(E60,F60*Parameters!$B$3/10000,0)</f>
        <v>0.0</v>
      </c>
      <c r="H60" s="3">
        <f>IF(ABS(Parameters!$B$5-1)&gt;0.00000001,NA(),D60-G60)</f>
        <v>238128.1230137003</v>
      </c>
      <c r="I60" s="3">
        <f>IF(E60,H60*Parameters!$B$8,B60)</f>
        <v>139141.26177049684</v>
      </c>
      <c r="J60" s="3">
        <f>IF(E60,H60*Parameters!$B$9,C60)</f>
        <v>98986.86124320344</v>
      </c>
      <c r="K60" s="3">
        <f>MAX(Parameters!$B$2,H$2:H60)</f>
        <v>291504.2238193097</v>
      </c>
      <c r="L60" s="4">
        <f>H60/K60-1</f>
        <v>-0.18310575437388799</v>
      </c>
      <c r="M60" s="4">
        <f>H60/H59-1</f>
        <v>0.03565603261409489</v>
      </c>
      <c r="N60" s="3">
        <v>238128.1230137003</v>
      </c>
      <c r="O60" s="5">
        <f>H60-N60</f>
        <v>0</v>
      </c>
    </row>
    <row r="61" spans="1:15" ht="20" customHeight="1">
      <c r="A61" t="str">
        <f>Monthly!A61</f>
        <v>2026-08-31</v>
      </c>
      <c r="B61" s="3">
        <f>I60*Monthly!C61/Monthly!C60</f>
        <v>152952.77680381303</v>
      </c>
      <c r="C61" s="3">
        <f>J60*Monthly!D61/Monthly!D60</f>
        <v>118779.95134599572</v>
      </c>
      <c r="D61" s="3">
        <f>SUM(B61:C61)</f>
        <v>271732.72814980877</v>
      </c>
      <c r="E61" t="b">
        <f>IF(Parameters!$B$4=0,FALSE(),MOD(59,Parameters!$B$4)=0)</f>
        <v>0</v>
      </c>
      <c r="F61" s="3">
        <f>ABS(D61*Parameters!$B$8-B61)+ABS(D61*Parameters!$B$9-C61)</f>
        <v>0</v>
      </c>
      <c r="G61" s="3">
        <f>IF(E61,F61*Parameters!$B$3/10000,0)</f>
        <v>0.0</v>
      </c>
      <c r="H61" s="3">
        <f>IF(ABS(Parameters!$B$5-1)&gt;0.00000001,NA(),D61-G61)</f>
        <v>271732.72814980877</v>
      </c>
      <c r="I61" s="3">
        <f>IF(E61,H61*Parameters!$B$8,B61)</f>
        <v>152952.77680381303</v>
      </c>
      <c r="J61" s="3">
        <f>IF(E61,H61*Parameters!$B$9,C61)</f>
        <v>118779.95134599572</v>
      </c>
      <c r="K61" s="3">
        <f>MAX(Parameters!$B$2,H$2:H61)</f>
        <v>291504.2238193097</v>
      </c>
      <c r="L61" s="4">
        <f>H61/K61-1</f>
        <v>-0.06782576049997946</v>
      </c>
      <c r="M61" s="4">
        <f>H61/H60-1</f>
        <v>0.1411198505695821</v>
      </c>
      <c r="N61" s="3">
        <v>271732.7281498088</v>
      </c>
      <c r="O61" s="5">
        <f>H61-N61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17.7109375" customWidth="1"/>
    <col min="2" max="3" width="30.7109375" customWidth="1"/>
    <col min="4" max="36" width="17.7109375" customWidth="1"/>
  </cols>
  <sheetData>
    <row r="1" spans="1:8" ht="32" customHeight="1">
      <c r="A1" s="7" t="s">
        <v>27</v>
      </c>
      <c r="B1" s="7" t="s">
        <v>7581</v>
      </c>
      <c r="C1" s="7" t="s">
        <v>7582</v>
      </c>
      <c r="D1" s="7" t="s">
        <v>7583</v>
      </c>
      <c r="E1" s="7" t="s">
        <v>7584</v>
      </c>
      <c r="F1" s="7" t="s">
        <v>7585</v>
      </c>
      <c r="G1" s="7" t="s">
        <v>7586</v>
      </c>
      <c r="H1" s="7" t="s">
        <v>7587</v>
      </c>
    </row>
    <row r="2" spans="1:8" ht="20" customHeight="1">
      <c r="A2" t="s">
        <v>26</v>
      </c>
      <c r="B2" t="s">
        <v>875</v>
      </c>
      <c r="C2" t="s">
        <v>5160</v>
      </c>
      <c r="D2">
        <v>0.9585287564881722</v>
      </c>
      <c r="E2">
        <v>43816.7421875</v>
      </c>
      <c r="F2">
        <v>41999.60740234721</v>
      </c>
      <c r="G2">
        <v>83.99921480469442</v>
      </c>
      <c r="H2">
        <v>57916.39338284809</v>
      </c>
    </row>
    <row r="3" spans="1:8" ht="20" customHeight="1">
      <c r="A3" t="s">
        <v>25</v>
      </c>
      <c r="B3" t="s">
        <v>875</v>
      </c>
      <c r="C3" t="s">
        <v>877</v>
      </c>
      <c r="D3">
        <v>351.8645540629575</v>
      </c>
      <c r="E3">
        <v>164.2700042724609</v>
      </c>
      <c r="F3">
        <v>57800.79179924959</v>
      </c>
      <c r="G3">
        <v>115.6015835984992</v>
      </c>
      <c r="H3">
        <v>0</v>
      </c>
    </row>
    <row r="4" spans="1:8" ht="20" customHeight="1">
      <c r="A4" t="s">
        <v>26</v>
      </c>
      <c r="B4" t="s">
        <v>1067</v>
      </c>
      <c r="C4" t="s">
        <v>5280</v>
      </c>
      <c r="D4">
        <v>-0.06865422336428628</v>
      </c>
      <c r="E4">
        <v>46311.74609375</v>
      </c>
      <c r="F4">
        <v>-3179.496960710425</v>
      </c>
      <c r="G4">
        <v>6.358993921420851</v>
      </c>
      <c r="H4">
        <v>3173.137966789005</v>
      </c>
    </row>
    <row r="5" spans="1:8" ht="20" customHeight="1">
      <c r="A5" t="s">
        <v>25</v>
      </c>
      <c r="B5" t="s">
        <v>1067</v>
      </c>
      <c r="C5" t="s">
        <v>1069</v>
      </c>
      <c r="D5">
        <v>16.49012225880551</v>
      </c>
      <c r="E5">
        <v>168.8600006103516</v>
      </c>
      <c r="F5">
        <v>2784.522054686671</v>
      </c>
      <c r="G5">
        <v>5.569044109373341</v>
      </c>
      <c r="H5">
        <v>383.0468679929604</v>
      </c>
    </row>
    <row r="6" spans="1:8" ht="20" customHeight="1">
      <c r="A6" t="s">
        <v>26</v>
      </c>
      <c r="B6" t="s">
        <v>1253</v>
      </c>
      <c r="C6" t="s">
        <v>5398</v>
      </c>
      <c r="D6">
        <v>0.008391819085115892</v>
      </c>
      <c r="E6">
        <v>45554.1640625</v>
      </c>
      <c r="F6">
        <v>382.282303386188</v>
      </c>
      <c r="G6">
        <v>0.764564606772376</v>
      </c>
      <c r="H6">
        <v>5.684341886080801E-14</v>
      </c>
    </row>
    <row r="7" spans="1:8" ht="20" customHeight="1">
      <c r="A7" t="s">
        <v>25</v>
      </c>
      <c r="B7" t="s">
        <v>1253</v>
      </c>
      <c r="C7" t="s">
        <v>1255</v>
      </c>
      <c r="D7">
        <v>-8.412148783594944</v>
      </c>
      <c r="E7">
        <v>179.5500030517578</v>
      </c>
      <c r="F7">
        <v>-1510.401339766313</v>
      </c>
      <c r="G7">
        <v>3.020802679532626</v>
      </c>
      <c r="H7">
        <v>1507.38053708678</v>
      </c>
    </row>
    <row r="8" spans="1:8" ht="20" customHeight="1">
      <c r="A8" t="s">
        <v>26</v>
      </c>
      <c r="B8" t="s">
        <v>1439</v>
      </c>
      <c r="C8" t="s">
        <v>5518</v>
      </c>
      <c r="D8">
        <v>0.07589990248125608</v>
      </c>
      <c r="E8">
        <v>19820.470703125</v>
      </c>
      <c r="F8">
        <v>1504.371793499781</v>
      </c>
      <c r="G8">
        <v>3.008743586999561</v>
      </c>
      <c r="H8">
        <v>2.273736754432321E-13</v>
      </c>
    </row>
    <row r="9" spans="1:8" ht="20" customHeight="1">
      <c r="A9" t="s">
        <v>25</v>
      </c>
      <c r="B9" t="s">
        <v>1439</v>
      </c>
      <c r="C9" t="s">
        <v>1441</v>
      </c>
      <c r="D9">
        <v>-75.42678872103664</v>
      </c>
      <c r="E9">
        <v>167.1399993896484</v>
      </c>
      <c r="F9">
        <v>-12606.83342079721</v>
      </c>
      <c r="G9">
        <v>25.21366684159441</v>
      </c>
      <c r="H9">
        <v>12581.61975395561</v>
      </c>
    </row>
    <row r="10" spans="1:8" ht="20" customHeight="1">
      <c r="A10" t="s">
        <v>26</v>
      </c>
      <c r="B10" t="s">
        <v>1631</v>
      </c>
      <c r="C10" t="s">
        <v>5638</v>
      </c>
      <c r="D10">
        <v>0.5657808967776938</v>
      </c>
      <c r="E10">
        <v>19431.10546875</v>
      </c>
      <c r="F10">
        <v>10993.74827749133</v>
      </c>
      <c r="G10">
        <v>21.98749655498265</v>
      </c>
      <c r="H10">
        <v>1565.883979909302</v>
      </c>
    </row>
    <row r="11" spans="1:8" ht="20" customHeight="1">
      <c r="A11" t="s">
        <v>25</v>
      </c>
      <c r="B11" t="s">
        <v>1631</v>
      </c>
      <c r="C11" t="s">
        <v>1633</v>
      </c>
      <c r="D11">
        <v>7.798195555584982</v>
      </c>
      <c r="E11">
        <v>155.4400024414062</v>
      </c>
      <c r="F11">
        <v>1212.151536198693</v>
      </c>
      <c r="G11">
        <v>2.424303072397386</v>
      </c>
      <c r="H11">
        <v>351.3081406382116</v>
      </c>
    </row>
    <row r="12" spans="1:8" ht="20" customHeight="1">
      <c r="A12" t="s">
        <v>26</v>
      </c>
      <c r="B12" t="s">
        <v>1820</v>
      </c>
      <c r="C12" t="s">
        <v>5757</v>
      </c>
      <c r="D12">
        <v>0.02111622586747931</v>
      </c>
      <c r="E12">
        <v>16603.673828125</v>
      </c>
      <c r="F12">
        <v>350.6069267846423</v>
      </c>
      <c r="G12">
        <v>0.7012138535692847</v>
      </c>
      <c r="H12">
        <v>0</v>
      </c>
    </row>
    <row r="13" spans="1:8" ht="20" customHeight="1">
      <c r="A13" t="s">
        <v>25</v>
      </c>
      <c r="B13" t="s">
        <v>1820</v>
      </c>
      <c r="C13" t="s">
        <v>1822</v>
      </c>
      <c r="D13">
        <v>-26.10300267524707</v>
      </c>
      <c r="E13">
        <v>171.3200073242188</v>
      </c>
      <c r="F13">
        <v>-4471.96660950743</v>
      </c>
      <c r="G13">
        <v>8.943933219014861</v>
      </c>
      <c r="H13">
        <v>4463.022676288415</v>
      </c>
    </row>
    <row r="14" spans="1:8" ht="20" customHeight="1">
      <c r="A14" t="s">
        <v>26</v>
      </c>
      <c r="B14" t="s">
        <v>2006</v>
      </c>
      <c r="C14" t="s">
        <v>5877</v>
      </c>
      <c r="D14">
        <v>-0.182517185731812</v>
      </c>
      <c r="E14">
        <v>28473.33203125</v>
      </c>
      <c r="F14">
        <v>-5196.872430751208</v>
      </c>
      <c r="G14">
        <v>10.39374486150242</v>
      </c>
      <c r="H14">
        <v>9649.50136217812</v>
      </c>
    </row>
    <row r="15" spans="1:8" ht="20" customHeight="1">
      <c r="A15" t="s">
        <v>25</v>
      </c>
      <c r="B15" t="s">
        <v>2006</v>
      </c>
      <c r="C15" t="s">
        <v>2008</v>
      </c>
      <c r="D15">
        <v>50.17560277459438</v>
      </c>
      <c r="E15">
        <v>183.8500061035156</v>
      </c>
      <c r="F15">
        <v>9224.784876356753</v>
      </c>
      <c r="G15">
        <v>18.4495697527135</v>
      </c>
      <c r="H15">
        <v>406.2669160686546</v>
      </c>
    </row>
    <row r="16" spans="1:8" ht="20" customHeight="1">
      <c r="A16" t="s">
        <v>26</v>
      </c>
      <c r="B16" t="s">
        <v>2192</v>
      </c>
      <c r="C16" t="s">
        <v>5997</v>
      </c>
      <c r="D16">
        <v>-0.08593141719666675</v>
      </c>
      <c r="E16">
        <v>30471.84765625</v>
      </c>
      <c r="F16">
        <v>-2618.489053702491</v>
      </c>
      <c r="G16">
        <v>5.236978107404981</v>
      </c>
      <c r="H16">
        <v>3019.518991663741</v>
      </c>
    </row>
    <row r="17" spans="1:8" ht="20" customHeight="1">
      <c r="A17" t="s">
        <v>25</v>
      </c>
      <c r="B17" t="s">
        <v>2192</v>
      </c>
      <c r="C17" t="s">
        <v>2194</v>
      </c>
      <c r="D17">
        <v>14.74694534953869</v>
      </c>
      <c r="E17">
        <v>178.6100006103516</v>
      </c>
      <c r="F17">
        <v>2633.951917881927</v>
      </c>
      <c r="G17">
        <v>5.267903835763854</v>
      </c>
      <c r="H17">
        <v>380.2991699460499</v>
      </c>
    </row>
    <row r="18" spans="1:8" ht="20" customHeight="1">
      <c r="A18" t="s">
        <v>26</v>
      </c>
      <c r="B18" t="s">
        <v>2381</v>
      </c>
      <c r="C18" t="s">
        <v>6116</v>
      </c>
      <c r="D18">
        <v>0.01410316845501665</v>
      </c>
      <c r="E18">
        <v>26911.689453125</v>
      </c>
      <c r="F18">
        <v>379.5400897665169</v>
      </c>
      <c r="G18">
        <v>0.7590801795330337</v>
      </c>
      <c r="H18">
        <v>0</v>
      </c>
    </row>
    <row r="19" spans="1:8" ht="20" customHeight="1">
      <c r="A19" t="s">
        <v>25</v>
      </c>
      <c r="B19" t="s">
        <v>2381</v>
      </c>
      <c r="C19" t="s">
        <v>2383</v>
      </c>
      <c r="D19">
        <v>-10.17205646237159</v>
      </c>
      <c r="E19">
        <v>170.2299957275391</v>
      </c>
      <c r="F19">
        <v>-1731.589128129801</v>
      </c>
      <c r="G19">
        <v>3.463178256259602</v>
      </c>
      <c r="H19">
        <v>1728.125949873541</v>
      </c>
    </row>
    <row r="20" spans="1:8" ht="20" customHeight="1">
      <c r="A20" t="s">
        <v>26</v>
      </c>
      <c r="B20" t="s">
        <v>2570</v>
      </c>
      <c r="C20" t="s">
        <v>6235</v>
      </c>
      <c r="D20">
        <v>-0.1964989050554315</v>
      </c>
      <c r="E20">
        <v>42091.75390625</v>
      </c>
      <c r="F20">
        <v>-8270.983554440809</v>
      </c>
      <c r="G20">
        <v>16.54196710888162</v>
      </c>
      <c r="H20">
        <v>9982.567537205468</v>
      </c>
    </row>
    <row r="21" spans="1:8" ht="20" customHeight="1">
      <c r="A21" t="s">
        <v>25</v>
      </c>
      <c r="B21" t="s">
        <v>2570</v>
      </c>
      <c r="C21" t="s">
        <v>2572</v>
      </c>
      <c r="D21">
        <v>50.38023957613837</v>
      </c>
      <c r="E21">
        <v>191.4400024414062</v>
      </c>
      <c r="F21">
        <v>9644.793187454561</v>
      </c>
      <c r="G21">
        <v>19.28958637490912</v>
      </c>
      <c r="H21">
        <v>318.4847633759982</v>
      </c>
    </row>
    <row r="22" spans="1:8" ht="20" customHeight="1">
      <c r="A22" t="s">
        <v>26</v>
      </c>
      <c r="B22" t="s">
        <v>2753</v>
      </c>
      <c r="C22" t="s">
        <v>6354</v>
      </c>
      <c r="D22">
        <v>-0.2278753968795666</v>
      </c>
      <c r="E22">
        <v>70744.796875</v>
      </c>
      <c r="F22">
        <v>-16120.99866505495</v>
      </c>
      <c r="G22">
        <v>32.2419973301099</v>
      </c>
      <c r="H22">
        <v>16407.24143110084</v>
      </c>
    </row>
    <row r="23" spans="1:8" ht="20" customHeight="1">
      <c r="A23" t="s">
        <v>25</v>
      </c>
      <c r="B23" t="s">
        <v>2753</v>
      </c>
      <c r="C23" t="s">
        <v>2755</v>
      </c>
      <c r="D23">
        <v>75.50463681111773</v>
      </c>
      <c r="E23">
        <v>208.6799926757812</v>
      </c>
      <c r="F23">
        <v>15756.30705673157</v>
      </c>
      <c r="G23">
        <v>31.51261411346314</v>
      </c>
      <c r="H23">
        <v>619.4217602558019</v>
      </c>
    </row>
    <row r="24" spans="1:8" ht="20" customHeight="1">
      <c r="A24" t="s">
        <v>26</v>
      </c>
      <c r="B24" t="s">
        <v>2942</v>
      </c>
      <c r="C24" t="s">
        <v>6475</v>
      </c>
      <c r="D24">
        <v>0.01024845276083295</v>
      </c>
      <c r="E24">
        <v>60319.875</v>
      </c>
      <c r="F24">
        <v>618.1853894768483</v>
      </c>
      <c r="G24">
        <v>1.236370778953697</v>
      </c>
      <c r="H24">
        <v>0</v>
      </c>
    </row>
    <row r="25" spans="1:8" ht="20" customHeight="1">
      <c r="A25" t="s">
        <v>25</v>
      </c>
      <c r="B25" t="s">
        <v>2942</v>
      </c>
      <c r="C25" t="s">
        <v>2944</v>
      </c>
      <c r="D25">
        <v>-27.00355465817285</v>
      </c>
      <c r="E25">
        <v>215.25</v>
      </c>
      <c r="F25">
        <v>-5812.515140171705</v>
      </c>
      <c r="G25">
        <v>11.62503028034341</v>
      </c>
      <c r="H25">
        <v>5800.890109891361</v>
      </c>
    </row>
    <row r="26" spans="1:8" ht="20" customHeight="1">
      <c r="A26" t="s">
        <v>26</v>
      </c>
      <c r="B26" t="s">
        <v>3134</v>
      </c>
      <c r="C26" t="s">
        <v>6599</v>
      </c>
      <c r="D26">
        <v>0.09140690207459991</v>
      </c>
      <c r="E26">
        <v>63335.60546875</v>
      </c>
      <c r="F26">
        <v>5789.311486917526</v>
      </c>
      <c r="G26">
        <v>11.57862297383505</v>
      </c>
      <c r="H26">
        <v>0</v>
      </c>
    </row>
    <row r="27" spans="1:8" ht="20" customHeight="1">
      <c r="A27" t="s">
        <v>25</v>
      </c>
      <c r="B27" t="s">
        <v>3134</v>
      </c>
      <c r="C27" t="s">
        <v>3136</v>
      </c>
      <c r="D27">
        <v>-10.63430015012921</v>
      </c>
      <c r="E27">
        <v>245.1999969482422</v>
      </c>
      <c r="F27">
        <v>-2607.530364358373</v>
      </c>
      <c r="G27">
        <v>5.215060728716746</v>
      </c>
      <c r="H27">
        <v>2602.315303629656</v>
      </c>
    </row>
    <row r="28" spans="1:8" ht="20" customHeight="1">
      <c r="A28" t="s">
        <v>26</v>
      </c>
      <c r="B28" t="s">
        <v>3326</v>
      </c>
      <c r="C28" t="s">
        <v>6719</v>
      </c>
      <c r="D28">
        <v>-0.1546819773091485</v>
      </c>
      <c r="E28">
        <v>93425.1015625</v>
      </c>
      <c r="F28">
        <v>-14451.17943999551</v>
      </c>
      <c r="G28">
        <v>28.90235887999103</v>
      </c>
      <c r="H28">
        <v>17024.59238474518</v>
      </c>
    </row>
    <row r="29" spans="1:8" ht="20" customHeight="1">
      <c r="A29" t="s">
        <v>25</v>
      </c>
      <c r="B29" t="s">
        <v>3326</v>
      </c>
      <c r="C29" t="s">
        <v>3328</v>
      </c>
      <c r="D29">
        <v>66.75853514638834</v>
      </c>
      <c r="E29">
        <v>244.2200012207031</v>
      </c>
      <c r="F29">
        <v>16303.76953494331</v>
      </c>
      <c r="G29">
        <v>32.60753906988663</v>
      </c>
      <c r="H29">
        <v>688.2153107319791</v>
      </c>
    </row>
    <row r="30" spans="1:8" ht="20" customHeight="1">
      <c r="A30" t="s">
        <v>26</v>
      </c>
      <c r="B30" t="s">
        <v>3506</v>
      </c>
      <c r="C30" t="s">
        <v>6839</v>
      </c>
      <c r="D30">
        <v>0.00832011674442952</v>
      </c>
      <c r="E30">
        <v>82551.921875</v>
      </c>
      <c r="F30">
        <v>686.8416274770251</v>
      </c>
      <c r="G30">
        <v>1.37368325495405</v>
      </c>
      <c r="H30">
        <v>0</v>
      </c>
    </row>
    <row r="31" spans="1:8" ht="20" customHeight="1">
      <c r="A31" t="s">
        <v>25</v>
      </c>
      <c r="B31" t="s">
        <v>3506</v>
      </c>
      <c r="C31" t="s">
        <v>3508</v>
      </c>
      <c r="D31">
        <v>-48.4798184258313</v>
      </c>
      <c r="E31">
        <v>288.5400085449219</v>
      </c>
      <c r="F31">
        <v>-13988.36722284562</v>
      </c>
      <c r="G31">
        <v>27.97673444569125</v>
      </c>
      <c r="H31">
        <v>13960.39048839993</v>
      </c>
    </row>
    <row r="32" spans="1:8" ht="20" customHeight="1">
      <c r="A32" t="s">
        <v>26</v>
      </c>
      <c r="B32" t="s">
        <v>3692</v>
      </c>
      <c r="C32" t="s">
        <v>6959</v>
      </c>
      <c r="D32">
        <v>0.0263988571836038</v>
      </c>
      <c r="E32">
        <v>107144.3828125</v>
      </c>
      <c r="F32">
        <v>2828.489259892561</v>
      </c>
      <c r="G32">
        <v>5.656978519785121</v>
      </c>
      <c r="H32">
        <v>11126.24424998759</v>
      </c>
    </row>
    <row r="33" spans="1:8" ht="20" customHeight="1">
      <c r="A33" t="s">
        <v>25</v>
      </c>
      <c r="B33" t="s">
        <v>3692</v>
      </c>
      <c r="C33" t="s">
        <v>3694</v>
      </c>
      <c r="D33">
        <v>33.33873111758243</v>
      </c>
      <c r="E33">
        <v>308.5599975585938</v>
      </c>
      <c r="F33">
        <v>10286.99879224785</v>
      </c>
      <c r="G33">
        <v>20.57399758449569</v>
      </c>
      <c r="H33">
        <v>818.6714601552449</v>
      </c>
    </row>
    <row r="34" spans="1:8" ht="20" customHeight="1">
      <c r="A34" t="s">
        <v>26</v>
      </c>
      <c r="B34" t="s">
        <v>3884</v>
      </c>
      <c r="C34" t="s">
        <v>7079</v>
      </c>
      <c r="D34">
        <v>0.007163375611581985</v>
      </c>
      <c r="E34">
        <v>114057.59375</v>
      </c>
      <c r="F34">
        <v>817.0373853844759</v>
      </c>
      <c r="G34">
        <v>1.634074770768952</v>
      </c>
      <c r="H34">
        <v>0</v>
      </c>
    </row>
    <row r="35" spans="1:8" ht="20" customHeight="1">
      <c r="A35" t="s">
        <v>25</v>
      </c>
      <c r="B35" t="s">
        <v>3884</v>
      </c>
      <c r="C35" t="s">
        <v>3886</v>
      </c>
      <c r="D35">
        <v>-17.877457779206</v>
      </c>
      <c r="E35">
        <v>356.1700134277344</v>
      </c>
      <c r="F35">
        <v>-6367.414377273554</v>
      </c>
      <c r="G35">
        <v>12.73482875454711</v>
      </c>
      <c r="H35">
        <v>6354.679548519007</v>
      </c>
    </row>
    <row r="36" spans="1:8" ht="20" customHeight="1">
      <c r="A36" t="s">
        <v>26</v>
      </c>
      <c r="B36" t="s">
        <v>4076</v>
      </c>
      <c r="C36" t="s">
        <v>7199</v>
      </c>
      <c r="D36">
        <v>0.07247328427365496</v>
      </c>
      <c r="E36">
        <v>87508.046875</v>
      </c>
      <c r="F36">
        <v>6341.995557404199</v>
      </c>
      <c r="G36">
        <v>12.6839911148084</v>
      </c>
      <c r="H36">
        <v>0</v>
      </c>
    </row>
    <row r="37" spans="1:8" ht="20" customHeight="1">
      <c r="A37" t="s">
        <v>25</v>
      </c>
      <c r="B37" t="s">
        <v>4076</v>
      </c>
      <c r="C37" t="s">
        <v>4078</v>
      </c>
      <c r="D37">
        <v>-52.48407535248793</v>
      </c>
      <c r="E37">
        <v>401.6199951171875</v>
      </c>
      <c r="F37">
        <v>-21078.6540867963</v>
      </c>
      <c r="G37">
        <v>42.15730817359261</v>
      </c>
      <c r="H37">
        <v>21036.49677862271</v>
      </c>
    </row>
    <row r="38" spans="1:8" ht="20" customHeight="1">
      <c r="A38" t="s">
        <v>26</v>
      </c>
      <c r="B38" t="s">
        <v>4259</v>
      </c>
      <c r="C38" t="s">
        <v>7318</v>
      </c>
      <c r="D38">
        <v>0.3076889689237978</v>
      </c>
      <c r="E38">
        <v>68232.890625</v>
      </c>
      <c r="F38">
        <v>20994.50776309652</v>
      </c>
      <c r="G38">
        <v>41.98901552619304</v>
      </c>
      <c r="H38">
        <v>0</v>
      </c>
    </row>
    <row r="39" spans="1:8" ht="20" customHeight="1">
      <c r="A39" t="s">
        <v>25</v>
      </c>
      <c r="B39" t="s">
        <v>4259</v>
      </c>
      <c r="C39" t="s">
        <v>4261</v>
      </c>
      <c r="D39">
        <v>-40.49520953642741</v>
      </c>
      <c r="E39">
        <v>435</v>
      </c>
      <c r="F39">
        <v>-17615.41614834592</v>
      </c>
      <c r="G39">
        <v>35.23083229669185</v>
      </c>
      <c r="H39">
        <v>17580.18531604923</v>
      </c>
    </row>
    <row r="40" spans="1:8" ht="20" customHeight="1">
      <c r="A40" t="s">
        <v>26</v>
      </c>
      <c r="B40" t="s">
        <v>4445</v>
      </c>
      <c r="C40" t="s">
        <v>7438</v>
      </c>
      <c r="D40">
        <v>0.2177380993293085</v>
      </c>
      <c r="E40">
        <v>58562.4453125</v>
      </c>
      <c r="F40">
        <v>12751.27553442033</v>
      </c>
      <c r="G40">
        <v>25.50255106884065</v>
      </c>
      <c r="H40">
        <v>4803.407230560066</v>
      </c>
    </row>
    <row r="41" spans="1:8" ht="20" customHeight="1">
      <c r="A41" t="s">
        <v>25</v>
      </c>
      <c r="B41" t="s">
        <v>4445</v>
      </c>
      <c r="C41" t="s">
        <v>4447</v>
      </c>
      <c r="D41">
        <v>9.77869643322731</v>
      </c>
      <c r="E41">
        <v>371.2099914550781</v>
      </c>
      <c r="F41">
        <v>3629.949819420113</v>
      </c>
      <c r="G41">
        <v>7.259899638840226</v>
      </c>
      <c r="H41">
        <v>1166.197511501113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32.7109375" customWidth="1"/>
    <col min="2" max="2" width="55.7109375" customWidth="1"/>
    <col min="3" max="11" width="17.7109375" customWidth="1"/>
    <col min="12" max="12" width="40.7109375" customWidth="1"/>
    <col min="13" max="13" width="80.7109375" customWidth="1"/>
    <col min="14" max="15" width="30.7109375" customWidth="1"/>
    <col min="16" max="36" width="17.7109375" customWidth="1"/>
  </cols>
  <sheetData>
    <row r="1" spans="1:15" ht="32" customHeight="1">
      <c r="A1" s="7" t="s">
        <v>7588</v>
      </c>
      <c r="B1" s="7" t="s">
        <v>7589</v>
      </c>
      <c r="C1" s="7" t="s">
        <v>7590</v>
      </c>
      <c r="D1" s="7" t="s">
        <v>7591</v>
      </c>
      <c r="E1" s="7" t="s">
        <v>27</v>
      </c>
      <c r="F1" s="7" t="s">
        <v>7592</v>
      </c>
      <c r="G1" s="7" t="s">
        <v>7593</v>
      </c>
      <c r="H1" s="7" t="s">
        <v>7594</v>
      </c>
      <c r="I1" s="7" t="s">
        <v>7595</v>
      </c>
      <c r="J1" s="7" t="s">
        <v>7596</v>
      </c>
      <c r="K1" s="7" t="s">
        <v>7597</v>
      </c>
      <c r="L1" s="7" t="s">
        <v>7598</v>
      </c>
      <c r="M1" s="7" t="s">
        <v>7599</v>
      </c>
      <c r="N1" s="7" t="s">
        <v>7600</v>
      </c>
      <c r="O1" s="7" t="s">
        <v>7601</v>
      </c>
    </row>
    <row r="2" spans="1:15" ht="20" customHeight="1">
      <c r="A2" t="s">
        <v>7602</v>
      </c>
      <c r="B2" t="s">
        <v>7603</v>
      </c>
      <c r="C2" t="s">
        <v>1407</v>
      </c>
      <c r="D2" t="s">
        <v>1407</v>
      </c>
      <c r="E2" t="s">
        <v>25</v>
      </c>
      <c r="F2">
        <v>1</v>
      </c>
      <c r="G2">
        <v>0.0130509393881133</v>
      </c>
      <c r="H2">
        <v>0.0142565566375612</v>
      </c>
      <c r="I2">
        <v>-0.001205617249447899</v>
      </c>
      <c r="J2" t="s">
        <v>7604</v>
      </c>
      <c r="K2" t="s">
        <v>7605</v>
      </c>
      <c r="L2" t="s">
        <v>7606</v>
      </c>
      <c r="M2" t="s">
        <v>7607</v>
      </c>
      <c r="N2" t="s">
        <v>1406</v>
      </c>
      <c r="O2" t="s">
        <v>1409</v>
      </c>
    </row>
    <row r="3" spans="1:15" ht="20" customHeight="1">
      <c r="A3" t="s">
        <v>7602</v>
      </c>
      <c r="B3" t="s">
        <v>7603</v>
      </c>
      <c r="C3" t="s">
        <v>1407</v>
      </c>
      <c r="D3" t="s">
        <v>1407</v>
      </c>
      <c r="E3" t="s">
        <v>25</v>
      </c>
      <c r="F3">
        <v>5</v>
      </c>
      <c r="G3">
        <v>0.01625431639867614</v>
      </c>
      <c r="H3">
        <v>0.005716494274229156</v>
      </c>
      <c r="I3">
        <v>0.01053782212444698</v>
      </c>
      <c r="J3" t="s">
        <v>7604</v>
      </c>
      <c r="K3" t="s">
        <v>7605</v>
      </c>
      <c r="L3" t="s">
        <v>7606</v>
      </c>
      <c r="M3" t="s">
        <v>7607</v>
      </c>
      <c r="N3" t="s">
        <v>1406</v>
      </c>
      <c r="O3" t="s">
        <v>1421</v>
      </c>
    </row>
    <row r="4" spans="1:15" ht="20" customHeight="1">
      <c r="A4" t="s">
        <v>7602</v>
      </c>
      <c r="B4" t="s">
        <v>7603</v>
      </c>
      <c r="C4" t="s">
        <v>1407</v>
      </c>
      <c r="D4" t="s">
        <v>1407</v>
      </c>
      <c r="E4" t="s">
        <v>25</v>
      </c>
      <c r="F4">
        <v>20</v>
      </c>
      <c r="G4">
        <v>-0.05481405405287976</v>
      </c>
      <c r="H4">
        <v>0.01517208350506682</v>
      </c>
      <c r="I4">
        <v>-0.06998613755794658</v>
      </c>
      <c r="J4" t="s">
        <v>7604</v>
      </c>
      <c r="K4" t="s">
        <v>7605</v>
      </c>
      <c r="L4" t="s">
        <v>7606</v>
      </c>
      <c r="M4" t="s">
        <v>7607</v>
      </c>
      <c r="N4" t="s">
        <v>1406</v>
      </c>
      <c r="O4" t="s">
        <v>1466</v>
      </c>
    </row>
    <row r="5" spans="1:15" ht="20" customHeight="1">
      <c r="A5" t="s">
        <v>7608</v>
      </c>
      <c r="B5" t="s">
        <v>7609</v>
      </c>
      <c r="C5" t="s">
        <v>1608</v>
      </c>
      <c r="D5" t="s">
        <v>1608</v>
      </c>
      <c r="E5" t="s">
        <v>25</v>
      </c>
      <c r="F5">
        <v>1</v>
      </c>
      <c r="G5">
        <v>0.004642973675810236</v>
      </c>
      <c r="H5">
        <v>-0.01744368107889449</v>
      </c>
      <c r="I5">
        <v>0.02208665475470473</v>
      </c>
      <c r="J5" t="s">
        <v>7610</v>
      </c>
      <c r="K5" t="s">
        <v>7611</v>
      </c>
      <c r="L5" t="s">
        <v>7612</v>
      </c>
      <c r="M5" t="s">
        <v>7613</v>
      </c>
      <c r="N5" t="s">
        <v>1607</v>
      </c>
      <c r="O5" t="s">
        <v>1610</v>
      </c>
    </row>
    <row r="6" spans="1:15" ht="20" customHeight="1">
      <c r="A6" t="s">
        <v>7608</v>
      </c>
      <c r="B6" t="s">
        <v>7609</v>
      </c>
      <c r="C6" t="s">
        <v>1608</v>
      </c>
      <c r="D6" t="s">
        <v>1608</v>
      </c>
      <c r="E6" t="s">
        <v>25</v>
      </c>
      <c r="F6">
        <v>5</v>
      </c>
      <c r="G6">
        <v>-0.02276400252374666</v>
      </c>
      <c r="H6">
        <v>-0.05391953313694364</v>
      </c>
      <c r="I6">
        <v>0.03115553061319698</v>
      </c>
      <c r="J6" t="s">
        <v>7610</v>
      </c>
      <c r="K6" t="s">
        <v>7611</v>
      </c>
      <c r="L6" t="s">
        <v>7612</v>
      </c>
      <c r="M6" t="s">
        <v>7613</v>
      </c>
      <c r="N6" t="s">
        <v>1607</v>
      </c>
      <c r="O6" t="s">
        <v>1622</v>
      </c>
    </row>
    <row r="7" spans="1:15" ht="20" customHeight="1">
      <c r="A7" t="s">
        <v>7608</v>
      </c>
      <c r="B7" t="s">
        <v>7609</v>
      </c>
      <c r="C7" t="s">
        <v>1608</v>
      </c>
      <c r="D7" t="s">
        <v>1608</v>
      </c>
      <c r="E7" t="s">
        <v>25</v>
      </c>
      <c r="F7">
        <v>20</v>
      </c>
      <c r="G7">
        <v>-0.008512331604259793</v>
      </c>
      <c r="H7">
        <v>-0.03374206278074943</v>
      </c>
      <c r="I7">
        <v>0.02522973117648963</v>
      </c>
      <c r="J7" t="s">
        <v>7610</v>
      </c>
      <c r="K7" t="s">
        <v>7611</v>
      </c>
      <c r="L7" t="s">
        <v>7612</v>
      </c>
      <c r="M7" t="s">
        <v>7613</v>
      </c>
      <c r="N7" t="s">
        <v>1607</v>
      </c>
      <c r="O7" t="s">
        <v>1667</v>
      </c>
    </row>
    <row r="8" spans="1:15" ht="20" customHeight="1">
      <c r="A8" t="s">
        <v>7614</v>
      </c>
      <c r="B8" t="s">
        <v>7615</v>
      </c>
      <c r="C8" t="s">
        <v>4134</v>
      </c>
      <c r="D8" t="s">
        <v>4134</v>
      </c>
      <c r="E8" t="s">
        <v>25</v>
      </c>
      <c r="F8">
        <v>1</v>
      </c>
      <c r="G8">
        <v>-0.1027424527456005</v>
      </c>
      <c r="H8">
        <v>-0.002982534024791095</v>
      </c>
      <c r="I8">
        <v>-0.09975991872080936</v>
      </c>
      <c r="J8" t="s">
        <v>7616</v>
      </c>
      <c r="K8" t="s">
        <v>7605</v>
      </c>
      <c r="L8" t="s">
        <v>7617</v>
      </c>
      <c r="N8" t="s">
        <v>4133</v>
      </c>
      <c r="O8" t="s">
        <v>4136</v>
      </c>
    </row>
    <row r="9" spans="1:15" ht="20" customHeight="1">
      <c r="A9" t="s">
        <v>7614</v>
      </c>
      <c r="B9" t="s">
        <v>7615</v>
      </c>
      <c r="C9" t="s">
        <v>4134</v>
      </c>
      <c r="D9" t="s">
        <v>4134</v>
      </c>
      <c r="E9" t="s">
        <v>25</v>
      </c>
      <c r="F9">
        <v>5</v>
      </c>
      <c r="G9">
        <v>-0.1089332318583335</v>
      </c>
      <c r="H9">
        <v>-0.02365855320865695</v>
      </c>
      <c r="I9">
        <v>-0.08527467864967653</v>
      </c>
      <c r="J9" t="s">
        <v>7616</v>
      </c>
      <c r="K9" t="s">
        <v>7605</v>
      </c>
      <c r="L9" t="s">
        <v>7617</v>
      </c>
      <c r="N9" t="s">
        <v>4133</v>
      </c>
      <c r="O9" t="s">
        <v>4148</v>
      </c>
    </row>
    <row r="10" spans="1:15" ht="20" customHeight="1">
      <c r="A10" t="s">
        <v>7614</v>
      </c>
      <c r="B10" t="s">
        <v>7615</v>
      </c>
      <c r="C10" t="s">
        <v>4134</v>
      </c>
      <c r="D10" t="s">
        <v>4134</v>
      </c>
      <c r="E10" t="s">
        <v>25</v>
      </c>
      <c r="F10">
        <v>20</v>
      </c>
      <c r="G10">
        <v>-0.02450089543461575</v>
      </c>
      <c r="H10">
        <v>-0.01159875327737969</v>
      </c>
      <c r="I10">
        <v>-0.01290214215723606</v>
      </c>
      <c r="J10" t="s">
        <v>7616</v>
      </c>
      <c r="K10" t="s">
        <v>7605</v>
      </c>
      <c r="L10" t="s">
        <v>7617</v>
      </c>
      <c r="N10" t="s">
        <v>4133</v>
      </c>
      <c r="O10" t="s">
        <v>4193</v>
      </c>
    </row>
    <row r="11" spans="1:15" ht="20" customHeight="1">
      <c r="A11" t="s">
        <v>7618</v>
      </c>
      <c r="B11" t="s">
        <v>7619</v>
      </c>
      <c r="C11" t="s">
        <v>4146</v>
      </c>
      <c r="D11" t="s">
        <v>4146</v>
      </c>
      <c r="E11" t="s">
        <v>25</v>
      </c>
      <c r="F11">
        <v>1</v>
      </c>
      <c r="G11">
        <v>-0.02663170761367761</v>
      </c>
      <c r="H11">
        <v>-0.0124892809817948</v>
      </c>
      <c r="I11">
        <v>-0.01414242663188281</v>
      </c>
      <c r="J11" t="s">
        <v>7604</v>
      </c>
      <c r="K11" t="s">
        <v>7605</v>
      </c>
      <c r="L11" t="s">
        <v>7620</v>
      </c>
      <c r="N11" t="s">
        <v>4145</v>
      </c>
      <c r="O11" t="s">
        <v>4148</v>
      </c>
    </row>
    <row r="12" spans="1:15" ht="20" customHeight="1">
      <c r="A12" t="s">
        <v>7618</v>
      </c>
      <c r="B12" t="s">
        <v>7619</v>
      </c>
      <c r="C12" t="s">
        <v>4146</v>
      </c>
      <c r="D12" t="s">
        <v>4146</v>
      </c>
      <c r="E12" t="s">
        <v>25</v>
      </c>
      <c r="F12">
        <v>5</v>
      </c>
      <c r="G12">
        <v>0.03009010204502127</v>
      </c>
      <c r="H12">
        <v>0.00840874818899473</v>
      </c>
      <c r="I12">
        <v>0.02168135385602654</v>
      </c>
      <c r="J12" t="s">
        <v>7604</v>
      </c>
      <c r="K12" t="s">
        <v>7605</v>
      </c>
      <c r="L12" t="s">
        <v>7620</v>
      </c>
      <c r="N12" t="s">
        <v>4145</v>
      </c>
      <c r="O12" t="s">
        <v>4160</v>
      </c>
    </row>
    <row r="13" spans="1:15" ht="20" customHeight="1">
      <c r="A13" t="s">
        <v>7618</v>
      </c>
      <c r="B13" t="s">
        <v>7619</v>
      </c>
      <c r="C13" t="s">
        <v>4146</v>
      </c>
      <c r="D13" t="s">
        <v>4146</v>
      </c>
      <c r="E13" t="s">
        <v>25</v>
      </c>
      <c r="F13">
        <v>20</v>
      </c>
      <c r="G13">
        <v>0.02678591895810678</v>
      </c>
      <c r="H13">
        <v>-0.007111798530685443</v>
      </c>
      <c r="I13">
        <v>0.03389771748879222</v>
      </c>
      <c r="J13" t="s">
        <v>7604</v>
      </c>
      <c r="K13" t="s">
        <v>7605</v>
      </c>
      <c r="L13" t="s">
        <v>7620</v>
      </c>
      <c r="N13" t="s">
        <v>4145</v>
      </c>
      <c r="O13" t="s">
        <v>4205</v>
      </c>
    </row>
    <row r="14" spans="1:15" ht="20" customHeight="1">
      <c r="A14" t="s">
        <v>7602</v>
      </c>
      <c r="B14" t="s">
        <v>7603</v>
      </c>
      <c r="C14" t="s">
        <v>1407</v>
      </c>
      <c r="D14" t="s">
        <v>1407</v>
      </c>
      <c r="E14" t="s">
        <v>26</v>
      </c>
      <c r="F14">
        <v>1</v>
      </c>
      <c r="G14">
        <v>0.01648355417709846</v>
      </c>
      <c r="H14">
        <v>0.0142565566375612</v>
      </c>
      <c r="I14">
        <v>0.002226997539537257</v>
      </c>
      <c r="J14" t="s">
        <v>7604</v>
      </c>
      <c r="K14" t="s">
        <v>7605</v>
      </c>
      <c r="L14" t="s">
        <v>7606</v>
      </c>
      <c r="M14" t="s">
        <v>7621</v>
      </c>
      <c r="N14" t="s">
        <v>5497</v>
      </c>
      <c r="O14" t="s">
        <v>5498</v>
      </c>
    </row>
    <row r="15" spans="1:15" ht="20" customHeight="1">
      <c r="A15" t="s">
        <v>7602</v>
      </c>
      <c r="B15" t="s">
        <v>7603</v>
      </c>
      <c r="C15" t="s">
        <v>1407</v>
      </c>
      <c r="D15" t="s">
        <v>1407</v>
      </c>
      <c r="E15" t="s">
        <v>26</v>
      </c>
      <c r="F15">
        <v>5</v>
      </c>
      <c r="G15">
        <v>-0.07446016571154057</v>
      </c>
      <c r="H15">
        <v>-0.01719751330418329</v>
      </c>
      <c r="I15">
        <v>-0.05726265240735728</v>
      </c>
      <c r="J15" t="s">
        <v>7604</v>
      </c>
      <c r="K15" t="s">
        <v>7605</v>
      </c>
      <c r="L15" t="s">
        <v>7606</v>
      </c>
      <c r="M15" t="s">
        <v>7621</v>
      </c>
      <c r="N15" t="s">
        <v>5497</v>
      </c>
      <c r="O15" t="s">
        <v>5504</v>
      </c>
    </row>
    <row r="16" spans="1:15" ht="20" customHeight="1">
      <c r="A16" t="s">
        <v>7602</v>
      </c>
      <c r="B16" t="s">
        <v>7603</v>
      </c>
      <c r="C16" t="s">
        <v>1407</v>
      </c>
      <c r="D16" t="s">
        <v>1407</v>
      </c>
      <c r="E16" t="s">
        <v>26</v>
      </c>
      <c r="F16">
        <v>20</v>
      </c>
      <c r="G16">
        <v>-0.08896067310484779</v>
      </c>
      <c r="H16">
        <v>0.02411763063727435</v>
      </c>
      <c r="I16">
        <v>-0.1130783037421221</v>
      </c>
      <c r="J16" t="s">
        <v>7604</v>
      </c>
      <c r="K16" t="s">
        <v>7605</v>
      </c>
      <c r="L16" t="s">
        <v>7606</v>
      </c>
      <c r="M16" t="s">
        <v>7621</v>
      </c>
      <c r="N16" t="s">
        <v>5497</v>
      </c>
      <c r="O16" t="s">
        <v>5525</v>
      </c>
    </row>
    <row r="17" spans="1:15" ht="20" customHeight="1">
      <c r="A17" t="s">
        <v>7622</v>
      </c>
      <c r="B17" t="s">
        <v>7623</v>
      </c>
      <c r="C17" t="s">
        <v>1401</v>
      </c>
      <c r="D17" t="s">
        <v>1401</v>
      </c>
      <c r="E17" t="s">
        <v>26</v>
      </c>
      <c r="F17">
        <v>1</v>
      </c>
      <c r="G17">
        <v>-0.159747260276172</v>
      </c>
      <c r="H17">
        <v>-0.03796820169967907</v>
      </c>
      <c r="I17">
        <v>-0.121779058576493</v>
      </c>
      <c r="J17" t="s">
        <v>7616</v>
      </c>
      <c r="K17" t="s">
        <v>7605</v>
      </c>
      <c r="L17" t="s">
        <v>7624</v>
      </c>
      <c r="M17" t="s">
        <v>7621</v>
      </c>
      <c r="N17" t="s">
        <v>5495</v>
      </c>
      <c r="O17" t="s">
        <v>5496</v>
      </c>
    </row>
    <row r="18" spans="1:15" ht="20" customHeight="1">
      <c r="A18" t="s">
        <v>7622</v>
      </c>
      <c r="B18" t="s">
        <v>7623</v>
      </c>
      <c r="C18" t="s">
        <v>1401</v>
      </c>
      <c r="D18" t="s">
        <v>1401</v>
      </c>
      <c r="E18" t="s">
        <v>26</v>
      </c>
      <c r="F18">
        <v>5</v>
      </c>
      <c r="G18">
        <v>-0.235072624830724</v>
      </c>
      <c r="H18">
        <v>-0.05736167240433065</v>
      </c>
      <c r="I18">
        <v>-0.1777109524263933</v>
      </c>
      <c r="J18" t="s">
        <v>7616</v>
      </c>
      <c r="K18" t="s">
        <v>7605</v>
      </c>
      <c r="L18" t="s">
        <v>7624</v>
      </c>
      <c r="M18" t="s">
        <v>7621</v>
      </c>
      <c r="N18" t="s">
        <v>5495</v>
      </c>
      <c r="O18" t="s">
        <v>5500</v>
      </c>
    </row>
    <row r="19" spans="1:15" ht="20" customHeight="1">
      <c r="A19" t="s">
        <v>7622</v>
      </c>
      <c r="B19" t="s">
        <v>7623</v>
      </c>
      <c r="C19" t="s">
        <v>1401</v>
      </c>
      <c r="D19" t="s">
        <v>1401</v>
      </c>
      <c r="E19" t="s">
        <v>26</v>
      </c>
      <c r="F19">
        <v>20</v>
      </c>
      <c r="G19">
        <v>-0.2810033018850024</v>
      </c>
      <c r="H19">
        <v>-0.01773495318398777</v>
      </c>
      <c r="I19">
        <v>-0.2632683487010147</v>
      </c>
      <c r="J19" t="s">
        <v>7616</v>
      </c>
      <c r="K19" t="s">
        <v>7605</v>
      </c>
      <c r="L19" t="s">
        <v>7624</v>
      </c>
      <c r="M19" t="s">
        <v>7621</v>
      </c>
      <c r="N19" t="s">
        <v>5495</v>
      </c>
      <c r="O19" t="s">
        <v>5521</v>
      </c>
    </row>
    <row r="20" spans="1:15" ht="20" customHeight="1">
      <c r="A20" t="s">
        <v>7625</v>
      </c>
      <c r="B20" t="s">
        <v>7626</v>
      </c>
      <c r="C20" t="s">
        <v>1341</v>
      </c>
      <c r="D20" t="s">
        <v>1341</v>
      </c>
      <c r="E20" t="s">
        <v>26</v>
      </c>
      <c r="F20">
        <v>1</v>
      </c>
      <c r="G20">
        <v>0.008102229834508146</v>
      </c>
      <c r="H20">
        <v>0.02390797281893842</v>
      </c>
      <c r="I20">
        <v>-0.01580574298443027</v>
      </c>
      <c r="J20" t="s">
        <v>7604</v>
      </c>
      <c r="K20" t="s">
        <v>7605</v>
      </c>
      <c r="L20" t="s">
        <v>7627</v>
      </c>
      <c r="M20" t="s">
        <v>7607</v>
      </c>
      <c r="N20" t="s">
        <v>5453</v>
      </c>
      <c r="O20" t="s">
        <v>5454</v>
      </c>
    </row>
    <row r="21" spans="1:15" ht="20" customHeight="1">
      <c r="A21" t="s">
        <v>7625</v>
      </c>
      <c r="B21" t="s">
        <v>7626</v>
      </c>
      <c r="C21" t="s">
        <v>1341</v>
      </c>
      <c r="D21" t="s">
        <v>1341</v>
      </c>
      <c r="E21" t="s">
        <v>26</v>
      </c>
      <c r="F21">
        <v>5</v>
      </c>
      <c r="G21">
        <v>0.04744275808241127</v>
      </c>
      <c r="H21">
        <v>0.04073003643457218</v>
      </c>
      <c r="I21">
        <v>0.006712721647839093</v>
      </c>
      <c r="J21" t="s">
        <v>7604</v>
      </c>
      <c r="K21" t="s">
        <v>7605</v>
      </c>
      <c r="L21" t="s">
        <v>7627</v>
      </c>
      <c r="M21" t="s">
        <v>7607</v>
      </c>
      <c r="N21" t="s">
        <v>5453</v>
      </c>
      <c r="O21" t="s">
        <v>5460</v>
      </c>
    </row>
    <row r="22" spans="1:15" ht="20" customHeight="1">
      <c r="A22" t="s">
        <v>7625</v>
      </c>
      <c r="B22" t="s">
        <v>7626</v>
      </c>
      <c r="C22" t="s">
        <v>1341</v>
      </c>
      <c r="D22" t="s">
        <v>1341</v>
      </c>
      <c r="E22" t="s">
        <v>26</v>
      </c>
      <c r="F22">
        <v>20</v>
      </c>
      <c r="G22">
        <v>0.02586527612231171</v>
      </c>
      <c r="H22">
        <v>0.04396685669219758</v>
      </c>
      <c r="I22">
        <v>-0.01810158056988587</v>
      </c>
      <c r="J22" t="s">
        <v>7604</v>
      </c>
      <c r="K22" t="s">
        <v>7605</v>
      </c>
      <c r="L22" t="s">
        <v>7627</v>
      </c>
      <c r="M22" t="s">
        <v>7607</v>
      </c>
      <c r="N22" t="s">
        <v>5453</v>
      </c>
      <c r="O22" t="s">
        <v>5480</v>
      </c>
    </row>
    <row r="23" spans="1:15" ht="20" customHeight="1">
      <c r="A23" t="s">
        <v>7608</v>
      </c>
      <c r="B23" t="s">
        <v>7609</v>
      </c>
      <c r="C23" t="s">
        <v>1608</v>
      </c>
      <c r="D23" t="s">
        <v>1608</v>
      </c>
      <c r="E23" t="s">
        <v>26</v>
      </c>
      <c r="F23">
        <v>1</v>
      </c>
      <c r="G23">
        <v>-0.01817757165880696</v>
      </c>
      <c r="H23">
        <v>-0.01744368107889449</v>
      </c>
      <c r="I23">
        <v>-0.0007338905799124662</v>
      </c>
      <c r="J23" t="s">
        <v>7604</v>
      </c>
      <c r="K23" t="s">
        <v>7611</v>
      </c>
      <c r="L23" t="s">
        <v>7612</v>
      </c>
      <c r="M23" t="s">
        <v>7613</v>
      </c>
      <c r="N23" t="s">
        <v>5626</v>
      </c>
      <c r="O23" t="s">
        <v>5627</v>
      </c>
    </row>
    <row r="24" spans="1:15" ht="20" customHeight="1">
      <c r="A24" t="s">
        <v>7608</v>
      </c>
      <c r="B24" t="s">
        <v>7609</v>
      </c>
      <c r="C24" t="s">
        <v>1608</v>
      </c>
      <c r="D24" t="s">
        <v>1608</v>
      </c>
      <c r="E24" t="s">
        <v>26</v>
      </c>
      <c r="F24">
        <v>5</v>
      </c>
      <c r="G24">
        <v>-0.004694955089306507</v>
      </c>
      <c r="H24">
        <v>-0.04202125674304846</v>
      </c>
      <c r="I24">
        <v>0.03732630165374196</v>
      </c>
      <c r="J24" t="s">
        <v>7604</v>
      </c>
      <c r="K24" t="s">
        <v>7611</v>
      </c>
      <c r="L24" t="s">
        <v>7612</v>
      </c>
      <c r="M24" t="s">
        <v>7613</v>
      </c>
      <c r="N24" t="s">
        <v>5626</v>
      </c>
      <c r="O24" t="s">
        <v>5633</v>
      </c>
    </row>
    <row r="25" spans="1:15" ht="20" customHeight="1">
      <c r="A25" t="s">
        <v>7608</v>
      </c>
      <c r="B25" t="s">
        <v>7609</v>
      </c>
      <c r="C25" t="s">
        <v>1608</v>
      </c>
      <c r="D25" t="s">
        <v>1608</v>
      </c>
      <c r="E25" t="s">
        <v>26</v>
      </c>
      <c r="F25">
        <v>20</v>
      </c>
      <c r="G25">
        <v>0.01327076977412522</v>
      </c>
      <c r="H25">
        <v>-0.0626674412458742</v>
      </c>
      <c r="I25">
        <v>0.07593821101999942</v>
      </c>
      <c r="J25" t="s">
        <v>7604</v>
      </c>
      <c r="K25" t="s">
        <v>7611</v>
      </c>
      <c r="L25" t="s">
        <v>7612</v>
      </c>
      <c r="M25" t="s">
        <v>7613</v>
      </c>
      <c r="N25" t="s">
        <v>5626</v>
      </c>
      <c r="O25" t="s">
        <v>5652</v>
      </c>
    </row>
    <row r="26" spans="1:15" ht="20" customHeight="1">
      <c r="A26" t="s">
        <v>7628</v>
      </c>
      <c r="B26" t="s">
        <v>7629</v>
      </c>
      <c r="C26" t="s">
        <v>2427</v>
      </c>
      <c r="D26" t="s">
        <v>2427</v>
      </c>
      <c r="E26" t="s">
        <v>26</v>
      </c>
      <c r="F26">
        <v>1</v>
      </c>
      <c r="G26">
        <v>0.103098905213463</v>
      </c>
      <c r="H26">
        <v>-0.001733176081043175</v>
      </c>
      <c r="I26">
        <v>0.1048320812945062</v>
      </c>
      <c r="J26" t="s">
        <v>7616</v>
      </c>
      <c r="K26" t="s">
        <v>7611</v>
      </c>
      <c r="L26" t="s">
        <v>7630</v>
      </c>
      <c r="M26" t="s">
        <v>7631</v>
      </c>
      <c r="N26" t="s">
        <v>6147</v>
      </c>
      <c r="O26" t="s">
        <v>6148</v>
      </c>
    </row>
    <row r="27" spans="1:15" ht="20" customHeight="1">
      <c r="A27" t="s">
        <v>7628</v>
      </c>
      <c r="B27" t="s">
        <v>7629</v>
      </c>
      <c r="C27" t="s">
        <v>2427</v>
      </c>
      <c r="D27" t="s">
        <v>2427</v>
      </c>
      <c r="E27" t="s">
        <v>26</v>
      </c>
      <c r="F27">
        <v>5</v>
      </c>
      <c r="G27">
        <v>0.1305567050588092</v>
      </c>
      <c r="H27">
        <v>-0.02495310755338409</v>
      </c>
      <c r="I27">
        <v>0.1555098126121933</v>
      </c>
      <c r="J27" t="s">
        <v>7616</v>
      </c>
      <c r="K27" t="s">
        <v>7611</v>
      </c>
      <c r="L27" t="s">
        <v>7630</v>
      </c>
      <c r="M27" t="s">
        <v>7631</v>
      </c>
      <c r="N27" t="s">
        <v>6147</v>
      </c>
      <c r="O27" t="s">
        <v>6152</v>
      </c>
    </row>
    <row r="28" spans="1:15" ht="20" customHeight="1">
      <c r="A28" t="s">
        <v>7628</v>
      </c>
      <c r="B28" t="s">
        <v>7629</v>
      </c>
      <c r="C28" t="s">
        <v>2427</v>
      </c>
      <c r="D28" t="s">
        <v>2427</v>
      </c>
      <c r="E28" t="s">
        <v>26</v>
      </c>
      <c r="F28">
        <v>20</v>
      </c>
      <c r="G28">
        <v>0.2381869358186479</v>
      </c>
      <c r="H28">
        <v>0.04610756254993342</v>
      </c>
      <c r="I28">
        <v>0.1920793732687145</v>
      </c>
      <c r="J28" t="s">
        <v>7616</v>
      </c>
      <c r="K28" t="s">
        <v>7611</v>
      </c>
      <c r="L28" t="s">
        <v>7630</v>
      </c>
      <c r="M28" t="s">
        <v>7631</v>
      </c>
      <c r="N28" t="s">
        <v>6147</v>
      </c>
      <c r="O28" t="s">
        <v>6172</v>
      </c>
    </row>
    <row r="29" spans="1:15" ht="20" customHeight="1">
      <c r="A29" t="s">
        <v>7632</v>
      </c>
      <c r="B29" t="s">
        <v>7633</v>
      </c>
      <c r="C29" t="s">
        <v>2589</v>
      </c>
      <c r="D29" t="s">
        <v>2589</v>
      </c>
      <c r="E29" t="s">
        <v>26</v>
      </c>
      <c r="F29">
        <v>1</v>
      </c>
      <c r="G29">
        <v>0.01057758400497266</v>
      </c>
      <c r="H29">
        <v>0.005655409297403713</v>
      </c>
      <c r="I29">
        <v>0.004922174707568949</v>
      </c>
      <c r="J29" t="s">
        <v>7610</v>
      </c>
      <c r="K29" t="s">
        <v>7605</v>
      </c>
      <c r="L29" t="s">
        <v>7634</v>
      </c>
      <c r="M29" t="s">
        <v>7607</v>
      </c>
      <c r="N29" t="s">
        <v>6251</v>
      </c>
      <c r="O29" t="s">
        <v>6252</v>
      </c>
    </row>
    <row r="30" spans="1:15" ht="20" customHeight="1">
      <c r="A30" t="s">
        <v>7632</v>
      </c>
      <c r="B30" t="s">
        <v>7633</v>
      </c>
      <c r="C30" t="s">
        <v>2589</v>
      </c>
      <c r="D30" t="s">
        <v>2589</v>
      </c>
      <c r="E30" t="s">
        <v>26</v>
      </c>
      <c r="F30">
        <v>5</v>
      </c>
      <c r="G30">
        <v>-0.09413711119187795</v>
      </c>
      <c r="H30">
        <v>0.005908667351199437</v>
      </c>
      <c r="I30">
        <v>-0.1000457785430774</v>
      </c>
      <c r="J30" t="s">
        <v>7610</v>
      </c>
      <c r="K30" t="s">
        <v>7605</v>
      </c>
      <c r="L30" t="s">
        <v>7634</v>
      </c>
      <c r="M30" t="s">
        <v>7607</v>
      </c>
      <c r="N30" t="s">
        <v>6251</v>
      </c>
      <c r="O30" t="s">
        <v>6258</v>
      </c>
    </row>
    <row r="31" spans="1:15" ht="20" customHeight="1">
      <c r="A31" t="s">
        <v>7632</v>
      </c>
      <c r="B31" t="s">
        <v>7633</v>
      </c>
      <c r="C31" t="s">
        <v>2589</v>
      </c>
      <c r="D31" t="s">
        <v>2589</v>
      </c>
      <c r="E31" t="s">
        <v>26</v>
      </c>
      <c r="F31">
        <v>20</v>
      </c>
      <c r="G31">
        <v>-0.06180106268568875</v>
      </c>
      <c r="H31">
        <v>0.03669701218678023</v>
      </c>
      <c r="I31">
        <v>-0.09849807487246898</v>
      </c>
      <c r="J31" t="s">
        <v>7610</v>
      </c>
      <c r="K31" t="s">
        <v>7605</v>
      </c>
      <c r="L31" t="s">
        <v>7634</v>
      </c>
      <c r="M31" t="s">
        <v>7607</v>
      </c>
      <c r="N31" t="s">
        <v>6251</v>
      </c>
      <c r="O31" t="s">
        <v>6278</v>
      </c>
    </row>
    <row r="32" spans="1:15" ht="20" customHeight="1">
      <c r="A32" t="s">
        <v>7635</v>
      </c>
      <c r="B32" t="s">
        <v>7636</v>
      </c>
      <c r="C32" t="s">
        <v>4137</v>
      </c>
      <c r="D32" t="s">
        <v>4137</v>
      </c>
      <c r="E32" t="s">
        <v>26</v>
      </c>
      <c r="F32">
        <v>1</v>
      </c>
      <c r="G32">
        <v>0.02227129153760354</v>
      </c>
      <c r="H32">
        <v>0.004971300173138626</v>
      </c>
      <c r="I32">
        <v>0.01729999136446492</v>
      </c>
      <c r="J32" t="s">
        <v>7610</v>
      </c>
      <c r="K32" t="s">
        <v>7605</v>
      </c>
      <c r="L32" t="s">
        <v>7637</v>
      </c>
      <c r="M32" t="s">
        <v>7621</v>
      </c>
      <c r="N32" t="s">
        <v>7243</v>
      </c>
      <c r="O32" t="s">
        <v>7244</v>
      </c>
    </row>
    <row r="33" spans="1:15" ht="20" customHeight="1">
      <c r="A33" t="s">
        <v>7635</v>
      </c>
      <c r="B33" t="s">
        <v>7636</v>
      </c>
      <c r="C33" t="s">
        <v>4137</v>
      </c>
      <c r="D33" t="s">
        <v>4137</v>
      </c>
      <c r="E33" t="s">
        <v>26</v>
      </c>
      <c r="F33">
        <v>5</v>
      </c>
      <c r="G33">
        <v>-0.08339202265686996</v>
      </c>
      <c r="H33">
        <v>-0.00195095352442376</v>
      </c>
      <c r="I33">
        <v>-0.0814410691324462</v>
      </c>
      <c r="J33" t="s">
        <v>7610</v>
      </c>
      <c r="K33" t="s">
        <v>7605</v>
      </c>
      <c r="L33" t="s">
        <v>7637</v>
      </c>
      <c r="M33" t="s">
        <v>7621</v>
      </c>
      <c r="N33" t="s">
        <v>7243</v>
      </c>
      <c r="O33" t="s">
        <v>7248</v>
      </c>
    </row>
    <row r="34" spans="1:15" ht="20" customHeight="1">
      <c r="A34" t="s">
        <v>7635</v>
      </c>
      <c r="B34" t="s">
        <v>7636</v>
      </c>
      <c r="C34" t="s">
        <v>4137</v>
      </c>
      <c r="D34" t="s">
        <v>4137</v>
      </c>
      <c r="E34" t="s">
        <v>26</v>
      </c>
      <c r="F34">
        <v>20</v>
      </c>
      <c r="G34">
        <v>-0.1165410111249381</v>
      </c>
      <c r="H34">
        <v>-0.003670694121475804</v>
      </c>
      <c r="I34">
        <v>-0.1128703170034623</v>
      </c>
      <c r="J34" t="s">
        <v>7610</v>
      </c>
      <c r="K34" t="s">
        <v>7605</v>
      </c>
      <c r="L34" t="s">
        <v>7637</v>
      </c>
      <c r="M34" t="s">
        <v>7621</v>
      </c>
      <c r="N34" t="s">
        <v>7243</v>
      </c>
      <c r="O34" t="s">
        <v>7269</v>
      </c>
    </row>
    <row r="35" spans="1:15" ht="20" customHeight="1">
      <c r="A35" t="s">
        <v>7618</v>
      </c>
      <c r="B35" t="s">
        <v>7619</v>
      </c>
      <c r="C35" t="s">
        <v>4146</v>
      </c>
      <c r="D35" t="s">
        <v>4146</v>
      </c>
      <c r="E35" t="s">
        <v>26</v>
      </c>
      <c r="F35">
        <v>1</v>
      </c>
      <c r="G35">
        <v>-0.1412989238135854</v>
      </c>
      <c r="H35">
        <v>-0.0124892809817948</v>
      </c>
      <c r="I35">
        <v>-0.1288096428317906</v>
      </c>
      <c r="J35" t="s">
        <v>7610</v>
      </c>
      <c r="K35" t="s">
        <v>7605</v>
      </c>
      <c r="L35" t="s">
        <v>7620</v>
      </c>
      <c r="M35" t="s">
        <v>7621</v>
      </c>
      <c r="N35" t="s">
        <v>7246</v>
      </c>
      <c r="O35" t="s">
        <v>7247</v>
      </c>
    </row>
    <row r="36" spans="1:15" ht="20" customHeight="1">
      <c r="A36" t="s">
        <v>7618</v>
      </c>
      <c r="B36" t="s">
        <v>7619</v>
      </c>
      <c r="C36" t="s">
        <v>4146</v>
      </c>
      <c r="D36" t="s">
        <v>4146</v>
      </c>
      <c r="E36" t="s">
        <v>26</v>
      </c>
      <c r="F36">
        <v>5</v>
      </c>
      <c r="G36">
        <v>-0.03970054315391325</v>
      </c>
      <c r="H36">
        <v>0.01130877710770894</v>
      </c>
      <c r="I36">
        <v>-0.05100932026162219</v>
      </c>
      <c r="J36" t="s">
        <v>7610</v>
      </c>
      <c r="K36" t="s">
        <v>7605</v>
      </c>
      <c r="L36" t="s">
        <v>7620</v>
      </c>
      <c r="M36" t="s">
        <v>7621</v>
      </c>
      <c r="N36" t="s">
        <v>7246</v>
      </c>
      <c r="O36" t="s">
        <v>7253</v>
      </c>
    </row>
    <row r="37" spans="1:15" ht="20" customHeight="1">
      <c r="A37" t="s">
        <v>7618</v>
      </c>
      <c r="B37" t="s">
        <v>7619</v>
      </c>
      <c r="C37" t="s">
        <v>4146</v>
      </c>
      <c r="D37" t="s">
        <v>4146</v>
      </c>
      <c r="E37" t="s">
        <v>26</v>
      </c>
      <c r="F37">
        <v>20</v>
      </c>
      <c r="G37">
        <v>-0.122428053986285</v>
      </c>
      <c r="H37">
        <v>0.001690391187913809</v>
      </c>
      <c r="I37">
        <v>-0.1241184451741988</v>
      </c>
      <c r="J37" t="s">
        <v>7610</v>
      </c>
      <c r="K37" t="s">
        <v>7605</v>
      </c>
      <c r="L37" t="s">
        <v>7620</v>
      </c>
      <c r="M37" t="s">
        <v>7621</v>
      </c>
      <c r="N37" t="s">
        <v>7246</v>
      </c>
      <c r="O37" t="s">
        <v>7273</v>
      </c>
    </row>
    <row r="38" spans="1:15" ht="20" customHeight="1">
      <c r="A38" t="s">
        <v>7638</v>
      </c>
      <c r="B38" t="s">
        <v>7639</v>
      </c>
      <c r="C38" t="s">
        <v>6801</v>
      </c>
      <c r="D38" t="s">
        <v>6801</v>
      </c>
      <c r="E38" t="s">
        <v>26</v>
      </c>
      <c r="F38">
        <v>1</v>
      </c>
      <c r="G38">
        <v>0.09550452979612856</v>
      </c>
      <c r="H38">
        <v>0</v>
      </c>
      <c r="I38">
        <v>0.09550452979612856</v>
      </c>
      <c r="J38" t="s">
        <v>7610</v>
      </c>
      <c r="K38" t="s">
        <v>7605</v>
      </c>
      <c r="L38" t="s">
        <v>7640</v>
      </c>
      <c r="M38" t="s">
        <v>7607</v>
      </c>
      <c r="N38" t="s">
        <v>6800</v>
      </c>
      <c r="O38" t="s">
        <v>6802</v>
      </c>
    </row>
    <row r="39" spans="1:15" ht="20" customHeight="1">
      <c r="A39" t="s">
        <v>7638</v>
      </c>
      <c r="B39" t="s">
        <v>7639</v>
      </c>
      <c r="C39" t="s">
        <v>6801</v>
      </c>
      <c r="D39" t="s">
        <v>6801</v>
      </c>
      <c r="E39" t="s">
        <v>26</v>
      </c>
      <c r="F39">
        <v>5</v>
      </c>
      <c r="G39">
        <v>0.04567854316416908</v>
      </c>
      <c r="H39">
        <v>-0.03613372702888373</v>
      </c>
      <c r="I39">
        <v>0.08181227019305282</v>
      </c>
      <c r="J39" t="s">
        <v>7610</v>
      </c>
      <c r="K39" t="s">
        <v>7605</v>
      </c>
      <c r="L39" t="s">
        <v>7640</v>
      </c>
      <c r="M39" t="s">
        <v>7607</v>
      </c>
      <c r="N39" t="s">
        <v>6800</v>
      </c>
      <c r="O39" t="s">
        <v>6806</v>
      </c>
    </row>
    <row r="40" spans="1:15" ht="20" customHeight="1">
      <c r="A40" t="s">
        <v>7638</v>
      </c>
      <c r="B40" t="s">
        <v>7639</v>
      </c>
      <c r="C40" t="s">
        <v>6801</v>
      </c>
      <c r="D40" t="s">
        <v>6801</v>
      </c>
      <c r="E40" t="s">
        <v>26</v>
      </c>
      <c r="F40">
        <v>20</v>
      </c>
      <c r="G40">
        <v>-0.02311551354716201</v>
      </c>
      <c r="H40">
        <v>-0.04797098794351895</v>
      </c>
      <c r="I40">
        <v>0.02485547439635694</v>
      </c>
      <c r="J40" t="s">
        <v>7610</v>
      </c>
      <c r="K40" t="s">
        <v>7605</v>
      </c>
      <c r="L40" t="s">
        <v>7640</v>
      </c>
      <c r="M40" t="s">
        <v>7607</v>
      </c>
      <c r="N40" t="s">
        <v>6800</v>
      </c>
      <c r="O40" t="s">
        <v>6825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34.7109375" customWidth="1"/>
    <col min="2" max="2" width="65.7109375" customWidth="1"/>
    <col min="3" max="3" width="85.7109375" customWidth="1"/>
    <col min="4" max="4" width="30.7109375" customWidth="1"/>
    <col min="5" max="5" width="70.7109375" customWidth="1"/>
    <col min="6" max="36" width="17.7109375" customWidth="1"/>
  </cols>
  <sheetData>
    <row r="1" spans="1:6" ht="32" customHeight="1">
      <c r="A1" s="7" t="s">
        <v>7641</v>
      </c>
      <c r="B1" s="7" t="s">
        <v>7642</v>
      </c>
      <c r="C1" s="7" t="s">
        <v>7643</v>
      </c>
      <c r="D1" s="7" t="s">
        <v>7644</v>
      </c>
      <c r="E1" s="7" t="s">
        <v>7645</v>
      </c>
      <c r="F1" s="7" t="s">
        <v>7646</v>
      </c>
    </row>
    <row r="2" spans="1:6" ht="20" customHeight="1">
      <c r="A2" t="s">
        <v>7647</v>
      </c>
      <c r="B2" t="s">
        <v>7648</v>
      </c>
      <c r="C2" s="6" t="s">
        <v>7649</v>
      </c>
      <c r="D2" t="s">
        <v>7650</v>
      </c>
      <c r="E2" t="s">
        <v>7651</v>
      </c>
      <c r="F2" t="s">
        <v>7652</v>
      </c>
    </row>
    <row r="3" spans="1:6" ht="20" customHeight="1">
      <c r="A3" t="s">
        <v>7612</v>
      </c>
      <c r="B3" t="s">
        <v>7648</v>
      </c>
      <c r="C3" s="6" t="s">
        <v>7653</v>
      </c>
      <c r="D3" t="s">
        <v>7654</v>
      </c>
      <c r="E3" t="s">
        <v>7655</v>
      </c>
      <c r="F3" t="s">
        <v>7652</v>
      </c>
    </row>
    <row r="4" spans="1:6" ht="20" customHeight="1">
      <c r="A4" t="s">
        <v>7627</v>
      </c>
      <c r="B4" t="s">
        <v>7656</v>
      </c>
      <c r="C4" s="6" t="s">
        <v>7657</v>
      </c>
      <c r="D4" t="s">
        <v>7658</v>
      </c>
      <c r="E4" t="s">
        <v>7659</v>
      </c>
      <c r="F4" t="s">
        <v>7652</v>
      </c>
    </row>
    <row r="5" spans="1:6" ht="20" customHeight="1">
      <c r="A5" t="s">
        <v>7660</v>
      </c>
      <c r="B5" t="s">
        <v>7661</v>
      </c>
      <c r="C5" s="6" t="s">
        <v>7662</v>
      </c>
      <c r="D5" t="s">
        <v>7663</v>
      </c>
      <c r="E5" t="s">
        <v>7664</v>
      </c>
      <c r="F5" t="s">
        <v>7652</v>
      </c>
    </row>
    <row r="6" spans="1:6" ht="20" customHeight="1">
      <c r="A6" t="s">
        <v>7630</v>
      </c>
      <c r="B6" t="s">
        <v>7665</v>
      </c>
      <c r="C6" s="6" t="s">
        <v>7666</v>
      </c>
      <c r="D6" t="s">
        <v>7667</v>
      </c>
      <c r="E6" t="s">
        <v>7668</v>
      </c>
      <c r="F6" t="s">
        <v>7652</v>
      </c>
    </row>
    <row r="7" spans="1:6" ht="20" customHeight="1">
      <c r="A7" t="s">
        <v>7669</v>
      </c>
      <c r="B7" t="s">
        <v>7670</v>
      </c>
      <c r="C7" s="6" t="s">
        <v>7671</v>
      </c>
      <c r="D7" t="s">
        <v>7672</v>
      </c>
      <c r="E7" t="s">
        <v>7673</v>
      </c>
      <c r="F7" t="s">
        <v>7652</v>
      </c>
    </row>
    <row r="8" spans="1:6" ht="20" customHeight="1">
      <c r="A8" t="s">
        <v>7620</v>
      </c>
      <c r="B8" t="s">
        <v>7674</v>
      </c>
      <c r="C8" s="6" t="s">
        <v>7675</v>
      </c>
      <c r="D8" t="s">
        <v>7676</v>
      </c>
      <c r="E8" t="s">
        <v>7677</v>
      </c>
      <c r="F8" t="s">
        <v>7652</v>
      </c>
    </row>
    <row r="9" spans="1:6" ht="20" customHeight="1">
      <c r="A9" t="s">
        <v>7634</v>
      </c>
      <c r="B9" t="s">
        <v>7678</v>
      </c>
      <c r="C9" s="6" t="s">
        <v>7679</v>
      </c>
      <c r="D9" t="s">
        <v>7680</v>
      </c>
      <c r="E9" t="s">
        <v>7681</v>
      </c>
      <c r="F9" t="s">
        <v>7652</v>
      </c>
    </row>
    <row r="10" spans="1:6" ht="20" customHeight="1">
      <c r="A10" t="s">
        <v>7637</v>
      </c>
      <c r="B10" t="s">
        <v>7682</v>
      </c>
      <c r="C10" s="6" t="s">
        <v>7683</v>
      </c>
      <c r="D10" t="s">
        <v>7684</v>
      </c>
      <c r="E10" t="s">
        <v>7685</v>
      </c>
      <c r="F10" t="s">
        <v>7652</v>
      </c>
    </row>
    <row r="11" spans="1:6" ht="20" customHeight="1">
      <c r="A11" t="s">
        <v>7686</v>
      </c>
      <c r="B11" t="s">
        <v>7687</v>
      </c>
      <c r="C11" s="6" t="s">
        <v>7688</v>
      </c>
      <c r="D11" t="s">
        <v>7689</v>
      </c>
      <c r="E11" t="s">
        <v>7690</v>
      </c>
      <c r="F11" t="s">
        <v>7652</v>
      </c>
    </row>
    <row r="12" spans="1:6" ht="20" customHeight="1">
      <c r="A12" t="s">
        <v>7617</v>
      </c>
      <c r="B12" t="s">
        <v>7691</v>
      </c>
      <c r="C12" s="6" t="s">
        <v>7692</v>
      </c>
      <c r="D12" t="s">
        <v>7693</v>
      </c>
      <c r="E12" t="s">
        <v>7694</v>
      </c>
      <c r="F12" t="s">
        <v>7652</v>
      </c>
    </row>
    <row r="13" spans="1:6" ht="20" customHeight="1">
      <c r="A13" t="s">
        <v>7695</v>
      </c>
      <c r="B13" t="s">
        <v>7696</v>
      </c>
      <c r="C13" s="6" t="s">
        <v>7697</v>
      </c>
      <c r="D13" t="s">
        <v>7698</v>
      </c>
      <c r="E13" t="s">
        <v>7699</v>
      </c>
      <c r="F13" t="s">
        <v>7652</v>
      </c>
    </row>
    <row r="14" spans="1:6" ht="20" customHeight="1">
      <c r="A14" t="s">
        <v>7624</v>
      </c>
      <c r="B14" t="s">
        <v>7700</v>
      </c>
      <c r="C14" s="6" t="s">
        <v>7701</v>
      </c>
      <c r="D14" t="s">
        <v>7702</v>
      </c>
      <c r="E14" t="s">
        <v>7703</v>
      </c>
      <c r="F14" t="s">
        <v>7652</v>
      </c>
    </row>
    <row r="15" spans="1:6" ht="20" customHeight="1">
      <c r="A15" t="s">
        <v>7704</v>
      </c>
      <c r="B15" t="s">
        <v>7705</v>
      </c>
      <c r="C15" s="6" t="s">
        <v>7706</v>
      </c>
      <c r="D15" t="s">
        <v>7707</v>
      </c>
      <c r="E15" t="s">
        <v>7708</v>
      </c>
      <c r="F15" t="s">
        <v>7652</v>
      </c>
    </row>
    <row r="16" spans="1:6" ht="20" customHeight="1">
      <c r="A16" t="s">
        <v>7709</v>
      </c>
      <c r="B16" t="s">
        <v>7710</v>
      </c>
      <c r="C16" s="6" t="s">
        <v>7711</v>
      </c>
      <c r="D16" t="s">
        <v>7712</v>
      </c>
      <c r="E16" t="s">
        <v>7713</v>
      </c>
      <c r="F16" t="s">
        <v>7652</v>
      </c>
    </row>
    <row r="17" spans="1:6" ht="20" customHeight="1">
      <c r="A17" t="s">
        <v>41</v>
      </c>
      <c r="B17" t="s">
        <v>25</v>
      </c>
      <c r="C17" s="6" t="s">
        <v>7714</v>
      </c>
      <c r="D17" t="s">
        <v>7715</v>
      </c>
      <c r="E17" t="s">
        <v>7716</v>
      </c>
      <c r="F17" t="s">
        <v>7717</v>
      </c>
    </row>
    <row r="18" spans="1:6" ht="20" customHeight="1">
      <c r="A18" t="s">
        <v>4634</v>
      </c>
      <c r="B18" t="s">
        <v>26</v>
      </c>
      <c r="C18" s="6" t="s">
        <v>7718</v>
      </c>
      <c r="D18" t="s">
        <v>7719</v>
      </c>
      <c r="E18" t="s">
        <v>7720</v>
      </c>
      <c r="F18" t="s">
        <v>7717</v>
      </c>
    </row>
    <row r="19" spans="1:6" ht="20" customHeight="1">
      <c r="A19" t="s">
        <v>7557</v>
      </c>
      <c r="B19" t="s">
        <v>7556</v>
      </c>
      <c r="C19" s="6" t="s">
        <v>7721</v>
      </c>
      <c r="D19" t="s">
        <v>7722</v>
      </c>
      <c r="E19" t="s">
        <v>7723</v>
      </c>
      <c r="F19" t="s">
        <v>7717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9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3" width="17.7109375" customWidth="1"/>
    <col min="4" max="4" width="60.7109375" customWidth="1"/>
    <col min="5" max="36" width="17.7109375" customWidth="1"/>
  </cols>
  <sheetData>
    <row r="1" spans="1:4" ht="32" customHeight="1">
      <c r="A1" s="7" t="s">
        <v>7724</v>
      </c>
      <c r="B1" s="7" t="s">
        <v>7725</v>
      </c>
      <c r="C1" s="7" t="s">
        <v>7726</v>
      </c>
      <c r="D1" s="7" t="s">
        <v>7727</v>
      </c>
    </row>
    <row r="2" spans="1:4" ht="20" customHeight="1">
      <c r="A2" t="s">
        <v>7728</v>
      </c>
      <c r="B2" t="s">
        <v>57</v>
      </c>
      <c r="C2">
        <v>260.28</v>
      </c>
      <c r="D2" t="s">
        <v>7729</v>
      </c>
    </row>
    <row r="3" spans="1:4" ht="20" customHeight="1">
      <c r="A3" t="s">
        <v>7728</v>
      </c>
      <c r="B3" t="s">
        <v>120</v>
      </c>
      <c r="C3">
        <v>260.388</v>
      </c>
      <c r="D3" t="s">
        <v>7729</v>
      </c>
    </row>
    <row r="4" spans="1:4" ht="20" customHeight="1">
      <c r="A4" t="s">
        <v>7728</v>
      </c>
      <c r="B4" t="s">
        <v>4723</v>
      </c>
      <c r="C4">
        <v>260.229</v>
      </c>
      <c r="D4" t="s">
        <v>7729</v>
      </c>
    </row>
    <row r="5" spans="1:4" ht="20" customHeight="1">
      <c r="A5" t="s">
        <v>7728</v>
      </c>
      <c r="B5" t="s">
        <v>246</v>
      </c>
      <c r="C5">
        <v>260.474</v>
      </c>
      <c r="D5" t="s">
        <v>7729</v>
      </c>
    </row>
    <row r="6" spans="1:4" ht="20" customHeight="1">
      <c r="A6" t="s">
        <v>7728</v>
      </c>
      <c r="B6" t="s">
        <v>4803</v>
      </c>
      <c r="C6">
        <v>261.582</v>
      </c>
      <c r="D6" t="s">
        <v>7729</v>
      </c>
    </row>
    <row r="7" spans="1:4" ht="20" customHeight="1">
      <c r="A7" t="s">
        <v>7728</v>
      </c>
      <c r="B7" t="s">
        <v>369</v>
      </c>
      <c r="C7">
        <v>263.014</v>
      </c>
      <c r="D7" t="s">
        <v>7729</v>
      </c>
    </row>
    <row r="8" spans="1:4" ht="20" customHeight="1">
      <c r="A8" t="s">
        <v>7728</v>
      </c>
      <c r="B8" t="s">
        <v>426</v>
      </c>
      <c r="C8">
        <v>264.877</v>
      </c>
      <c r="D8" t="s">
        <v>7729</v>
      </c>
    </row>
    <row r="9" spans="1:4" ht="20" customHeight="1">
      <c r="A9" t="s">
        <v>7728</v>
      </c>
      <c r="B9" t="s">
        <v>495</v>
      </c>
      <c r="C9">
        <v>267.054</v>
      </c>
      <c r="D9" t="s">
        <v>7729</v>
      </c>
    </row>
    <row r="10" spans="1:4" ht="20" customHeight="1">
      <c r="A10" t="s">
        <v>7728</v>
      </c>
      <c r="B10" t="s">
        <v>4961</v>
      </c>
      <c r="C10">
        <v>269.195</v>
      </c>
      <c r="D10" t="s">
        <v>7729</v>
      </c>
    </row>
    <row r="11" spans="1:4" ht="20" customHeight="1">
      <c r="A11" t="s">
        <v>7728</v>
      </c>
      <c r="B11" t="s">
        <v>618</v>
      </c>
      <c r="C11">
        <v>271.696</v>
      </c>
      <c r="D11" t="s">
        <v>7729</v>
      </c>
    </row>
    <row r="12" spans="1:4" ht="20" customHeight="1">
      <c r="A12" t="s">
        <v>7728</v>
      </c>
      <c r="B12" t="s">
        <v>684</v>
      </c>
      <c r="C12">
        <v>273.003</v>
      </c>
      <c r="D12" t="s">
        <v>7729</v>
      </c>
    </row>
    <row r="13" spans="1:4" ht="20" customHeight="1">
      <c r="A13" t="s">
        <v>7728</v>
      </c>
      <c r="B13" t="s">
        <v>5082</v>
      </c>
      <c r="C13">
        <v>273.567</v>
      </c>
      <c r="D13" t="s">
        <v>7729</v>
      </c>
    </row>
    <row r="14" spans="1:4" ht="20" customHeight="1">
      <c r="A14" t="s">
        <v>7728</v>
      </c>
      <c r="B14" t="s">
        <v>813</v>
      </c>
      <c r="C14">
        <v>274.31</v>
      </c>
      <c r="D14" t="s">
        <v>7729</v>
      </c>
    </row>
    <row r="15" spans="1:4" ht="20" customHeight="1">
      <c r="A15" t="s">
        <v>7728</v>
      </c>
      <c r="B15" t="s">
        <v>876</v>
      </c>
      <c r="C15">
        <v>276.589</v>
      </c>
      <c r="D15" t="s">
        <v>7729</v>
      </c>
    </row>
    <row r="16" spans="1:4" ht="20" customHeight="1">
      <c r="A16" t="s">
        <v>7728</v>
      </c>
      <c r="B16" t="s">
        <v>939</v>
      </c>
      <c r="C16">
        <v>277.948</v>
      </c>
      <c r="D16" t="s">
        <v>7729</v>
      </c>
    </row>
    <row r="17" spans="1:4" ht="20" customHeight="1">
      <c r="A17" t="s">
        <v>7728</v>
      </c>
      <c r="B17" t="s">
        <v>1002</v>
      </c>
      <c r="C17">
        <v>278.802</v>
      </c>
      <c r="D17" t="s">
        <v>7729</v>
      </c>
    </row>
    <row r="18" spans="1:4" ht="20" customHeight="1">
      <c r="A18" t="s">
        <v>7728</v>
      </c>
      <c r="B18" t="s">
        <v>5281</v>
      </c>
      <c r="C18">
        <v>281.148</v>
      </c>
      <c r="D18" t="s">
        <v>7729</v>
      </c>
    </row>
    <row r="19" spans="1:4" ht="20" customHeight="1">
      <c r="A19" t="s">
        <v>7728</v>
      </c>
      <c r="B19" t="s">
        <v>1128</v>
      </c>
      <c r="C19">
        <v>283.716</v>
      </c>
      <c r="D19" t="s">
        <v>7729</v>
      </c>
    </row>
    <row r="20" spans="1:4" ht="20" customHeight="1">
      <c r="A20" t="s">
        <v>7728</v>
      </c>
      <c r="B20" t="s">
        <v>1185</v>
      </c>
      <c r="C20">
        <v>287.504</v>
      </c>
      <c r="D20" t="s">
        <v>7729</v>
      </c>
    </row>
    <row r="21" spans="1:4" ht="20" customHeight="1">
      <c r="A21" t="s">
        <v>7728</v>
      </c>
      <c r="B21" t="s">
        <v>1254</v>
      </c>
      <c r="C21">
        <v>289.109</v>
      </c>
      <c r="D21" t="s">
        <v>7729</v>
      </c>
    </row>
    <row r="22" spans="1:4" ht="20" customHeight="1">
      <c r="A22" t="s">
        <v>7728</v>
      </c>
      <c r="B22" t="s">
        <v>5439</v>
      </c>
      <c r="C22">
        <v>292.296</v>
      </c>
      <c r="D22" t="s">
        <v>7729</v>
      </c>
    </row>
    <row r="23" spans="1:4" ht="20" customHeight="1">
      <c r="A23" t="s">
        <v>7728</v>
      </c>
      <c r="B23" t="s">
        <v>1377</v>
      </c>
      <c r="C23">
        <v>296.311</v>
      </c>
      <c r="D23" t="s">
        <v>7729</v>
      </c>
    </row>
    <row r="24" spans="1:4" ht="20" customHeight="1">
      <c r="A24" t="s">
        <v>7728</v>
      </c>
      <c r="B24" t="s">
        <v>1440</v>
      </c>
      <c r="C24">
        <v>296.276</v>
      </c>
      <c r="D24" t="s">
        <v>7729</v>
      </c>
    </row>
    <row r="25" spans="1:4" ht="20" customHeight="1">
      <c r="A25" t="s">
        <v>7728</v>
      </c>
      <c r="B25" t="s">
        <v>1500</v>
      </c>
      <c r="C25">
        <v>296.171</v>
      </c>
      <c r="D25" t="s">
        <v>7729</v>
      </c>
    </row>
    <row r="26" spans="1:4" ht="20" customHeight="1">
      <c r="A26" t="s">
        <v>7728</v>
      </c>
      <c r="B26" t="s">
        <v>1569</v>
      </c>
      <c r="C26">
        <v>296.808</v>
      </c>
      <c r="D26" t="s">
        <v>7729</v>
      </c>
    </row>
    <row r="27" spans="1:4" ht="20" customHeight="1">
      <c r="A27" t="s">
        <v>7728</v>
      </c>
      <c r="B27" t="s">
        <v>5639</v>
      </c>
      <c r="C27">
        <v>298.012</v>
      </c>
      <c r="D27" t="s">
        <v>7729</v>
      </c>
    </row>
    <row r="28" spans="1:4" ht="20" customHeight="1">
      <c r="A28" t="s">
        <v>7728</v>
      </c>
      <c r="B28" t="s">
        <v>1695</v>
      </c>
      <c r="C28">
        <v>297.711</v>
      </c>
      <c r="D28" t="s">
        <v>7729</v>
      </c>
    </row>
    <row r="29" spans="1:4" ht="20" customHeight="1">
      <c r="A29" t="s">
        <v>7728</v>
      </c>
      <c r="B29" t="s">
        <v>1758</v>
      </c>
      <c r="C29">
        <v>296.797</v>
      </c>
      <c r="D29" t="s">
        <v>7729</v>
      </c>
    </row>
    <row r="30" spans="1:4" ht="20" customHeight="1">
      <c r="A30" t="s">
        <v>7728</v>
      </c>
      <c r="B30" t="s">
        <v>5760</v>
      </c>
      <c r="C30">
        <v>299.17</v>
      </c>
      <c r="D30" t="s">
        <v>7729</v>
      </c>
    </row>
    <row r="31" spans="1:4" ht="20" customHeight="1">
      <c r="A31" t="s">
        <v>7728</v>
      </c>
      <c r="B31" t="s">
        <v>1881</v>
      </c>
      <c r="C31">
        <v>300.84</v>
      </c>
      <c r="D31" t="s">
        <v>7729</v>
      </c>
    </row>
    <row r="32" spans="1:4" ht="20" customHeight="1">
      <c r="A32" t="s">
        <v>7728</v>
      </c>
      <c r="B32" t="s">
        <v>1938</v>
      </c>
      <c r="C32">
        <v>301.836</v>
      </c>
      <c r="D32" t="s">
        <v>7729</v>
      </c>
    </row>
    <row r="33" spans="1:4" ht="20" customHeight="1">
      <c r="A33" t="s">
        <v>7728</v>
      </c>
      <c r="B33" t="s">
        <v>5878</v>
      </c>
      <c r="C33">
        <v>303.363</v>
      </c>
      <c r="D33" t="s">
        <v>7729</v>
      </c>
    </row>
    <row r="34" spans="1:4" ht="20" customHeight="1">
      <c r="A34" t="s">
        <v>7728</v>
      </c>
      <c r="B34" t="s">
        <v>2064</v>
      </c>
      <c r="C34">
        <v>304.127</v>
      </c>
      <c r="D34" t="s">
        <v>7729</v>
      </c>
    </row>
    <row r="35" spans="1:4" ht="20" customHeight="1">
      <c r="A35" t="s">
        <v>7728</v>
      </c>
      <c r="B35" t="s">
        <v>2130</v>
      </c>
      <c r="C35">
        <v>305.109</v>
      </c>
      <c r="D35" t="s">
        <v>7729</v>
      </c>
    </row>
    <row r="36" spans="1:4" ht="20" customHeight="1">
      <c r="A36" t="s">
        <v>7728</v>
      </c>
      <c r="B36" t="s">
        <v>5998</v>
      </c>
      <c r="C36">
        <v>305.691</v>
      </c>
      <c r="D36" t="s">
        <v>7729</v>
      </c>
    </row>
    <row r="37" spans="1:4" ht="20" customHeight="1">
      <c r="A37" t="s">
        <v>7728</v>
      </c>
      <c r="B37" t="s">
        <v>2253</v>
      </c>
      <c r="C37">
        <v>307.026</v>
      </c>
      <c r="D37" t="s">
        <v>7729</v>
      </c>
    </row>
    <row r="38" spans="1:4" ht="20" customHeight="1">
      <c r="A38" t="s">
        <v>7728</v>
      </c>
      <c r="B38" t="s">
        <v>2322</v>
      </c>
      <c r="C38">
        <v>307.789</v>
      </c>
      <c r="D38" t="s">
        <v>7729</v>
      </c>
    </row>
    <row r="39" spans="1:4" ht="20" customHeight="1">
      <c r="A39" t="s">
        <v>7728</v>
      </c>
      <c r="B39" t="s">
        <v>6119</v>
      </c>
      <c r="C39">
        <v>307.671</v>
      </c>
      <c r="D39" t="s">
        <v>7729</v>
      </c>
    </row>
    <row r="40" spans="1:4" ht="20" customHeight="1">
      <c r="A40" t="s">
        <v>7728</v>
      </c>
      <c r="B40" t="s">
        <v>2448</v>
      </c>
      <c r="C40">
        <v>307.051</v>
      </c>
      <c r="D40" t="s">
        <v>7729</v>
      </c>
    </row>
    <row r="41" spans="1:4" ht="20" customHeight="1">
      <c r="A41" t="s">
        <v>7728</v>
      </c>
      <c r="B41" t="s">
        <v>2511</v>
      </c>
      <c r="C41">
        <v>306.746</v>
      </c>
      <c r="D41" t="s">
        <v>7729</v>
      </c>
    </row>
    <row r="42" spans="1:4" ht="20" customHeight="1">
      <c r="A42" t="s">
        <v>7728</v>
      </c>
      <c r="B42" t="s">
        <v>6240</v>
      </c>
      <c r="C42">
        <v>308.417</v>
      </c>
      <c r="D42" t="s">
        <v>7729</v>
      </c>
    </row>
    <row r="43" spans="1:4" ht="20" customHeight="1">
      <c r="A43" t="s">
        <v>7728</v>
      </c>
      <c r="B43" t="s">
        <v>2634</v>
      </c>
      <c r="C43">
        <v>310.326</v>
      </c>
      <c r="D43" t="s">
        <v>7729</v>
      </c>
    </row>
    <row r="44" spans="1:4" ht="20" customHeight="1">
      <c r="A44" t="s">
        <v>7728</v>
      </c>
      <c r="B44" t="s">
        <v>2694</v>
      </c>
      <c r="C44">
        <v>312.332</v>
      </c>
      <c r="D44" t="s">
        <v>7729</v>
      </c>
    </row>
    <row r="45" spans="1:4" ht="20" customHeight="1">
      <c r="A45" t="s">
        <v>7728</v>
      </c>
      <c r="B45" t="s">
        <v>2754</v>
      </c>
      <c r="C45">
        <v>313.548</v>
      </c>
      <c r="D45" t="s">
        <v>7729</v>
      </c>
    </row>
    <row r="46" spans="1:4" ht="20" customHeight="1">
      <c r="A46" t="s">
        <v>7728</v>
      </c>
      <c r="B46" t="s">
        <v>2820</v>
      </c>
      <c r="C46">
        <v>314.069</v>
      </c>
      <c r="D46" t="s">
        <v>7729</v>
      </c>
    </row>
    <row r="47" spans="1:4" ht="20" customHeight="1">
      <c r="A47" t="s">
        <v>7728</v>
      </c>
      <c r="B47" t="s">
        <v>6439</v>
      </c>
      <c r="C47">
        <v>314.175</v>
      </c>
      <c r="D47" t="s">
        <v>7729</v>
      </c>
    </row>
    <row r="48" spans="1:4" ht="20" customHeight="1">
      <c r="A48" t="s">
        <v>7728</v>
      </c>
      <c r="B48" t="s">
        <v>2943</v>
      </c>
      <c r="C48">
        <v>314.54</v>
      </c>
      <c r="D48" t="s">
        <v>7729</v>
      </c>
    </row>
    <row r="49" spans="1:4" ht="20" customHeight="1">
      <c r="A49" t="s">
        <v>7728</v>
      </c>
      <c r="B49" t="s">
        <v>3009</v>
      </c>
      <c r="C49">
        <v>314.796</v>
      </c>
      <c r="D49" t="s">
        <v>7729</v>
      </c>
    </row>
    <row r="50" spans="1:4" ht="20" customHeight="1">
      <c r="A50" t="s">
        <v>7728</v>
      </c>
      <c r="B50" t="s">
        <v>6560</v>
      </c>
      <c r="C50">
        <v>315.301</v>
      </c>
      <c r="D50" t="s">
        <v>7729</v>
      </c>
    </row>
    <row r="51" spans="1:4" ht="20" customHeight="1">
      <c r="A51" t="s">
        <v>7728</v>
      </c>
      <c r="B51" t="s">
        <v>3135</v>
      </c>
      <c r="C51">
        <v>315.664</v>
      </c>
      <c r="D51" t="s">
        <v>7729</v>
      </c>
    </row>
    <row r="52" spans="1:4" ht="20" customHeight="1">
      <c r="A52" t="s">
        <v>7728</v>
      </c>
      <c r="B52" t="s">
        <v>3204</v>
      </c>
      <c r="C52">
        <v>315.493</v>
      </c>
      <c r="D52" t="s">
        <v>7729</v>
      </c>
    </row>
    <row r="53" spans="1:4" ht="20" customHeight="1">
      <c r="A53" t="s">
        <v>7728</v>
      </c>
      <c r="B53" t="s">
        <v>6679</v>
      </c>
      <c r="C53">
        <v>315.605</v>
      </c>
      <c r="D53" t="s">
        <v>7729</v>
      </c>
    </row>
    <row r="54" spans="1:4" ht="20" customHeight="1">
      <c r="A54" t="s">
        <v>7728</v>
      </c>
      <c r="B54" t="s">
        <v>6720</v>
      </c>
      <c r="C54">
        <v>317.671</v>
      </c>
      <c r="D54" t="s">
        <v>7729</v>
      </c>
    </row>
    <row r="55" spans="1:4" ht="20" customHeight="1">
      <c r="A55" t="s">
        <v>7728</v>
      </c>
      <c r="B55" t="s">
        <v>6762</v>
      </c>
      <c r="C55">
        <v>319.082</v>
      </c>
      <c r="D55" t="s">
        <v>7729</v>
      </c>
    </row>
    <row r="56" spans="1:4" ht="20" customHeight="1">
      <c r="A56" t="s">
        <v>7728</v>
      </c>
      <c r="B56" t="s">
        <v>6799</v>
      </c>
      <c r="C56">
        <v>319.799</v>
      </c>
      <c r="D56" t="s">
        <v>7729</v>
      </c>
    </row>
    <row r="57" spans="1:4" ht="20" customHeight="1">
      <c r="A57" t="s">
        <v>7728</v>
      </c>
      <c r="B57" t="s">
        <v>3507</v>
      </c>
      <c r="C57">
        <v>320.795</v>
      </c>
      <c r="D57" t="s">
        <v>7729</v>
      </c>
    </row>
    <row r="58" spans="1:4" ht="20" customHeight="1">
      <c r="A58" t="s">
        <v>7728</v>
      </c>
      <c r="B58" t="s">
        <v>3570</v>
      </c>
      <c r="C58">
        <v>321.465</v>
      </c>
      <c r="D58" t="s">
        <v>7729</v>
      </c>
    </row>
    <row r="59" spans="1:4" ht="20" customHeight="1">
      <c r="A59" t="s">
        <v>7728</v>
      </c>
      <c r="B59" t="s">
        <v>6920</v>
      </c>
      <c r="C59">
        <v>322.561</v>
      </c>
      <c r="D59" t="s">
        <v>7729</v>
      </c>
    </row>
    <row r="60" spans="1:4" ht="20" customHeight="1">
      <c r="A60" t="s">
        <v>7728</v>
      </c>
      <c r="B60" t="s">
        <v>3693</v>
      </c>
      <c r="C60">
        <v>323.048</v>
      </c>
      <c r="D60" t="s">
        <v>7729</v>
      </c>
    </row>
    <row r="61" spans="1:4" ht="20" customHeight="1">
      <c r="A61" t="s">
        <v>7728</v>
      </c>
      <c r="B61" t="s">
        <v>3759</v>
      </c>
      <c r="C61">
        <v>323.976</v>
      </c>
      <c r="D61" t="s">
        <v>7729</v>
      </c>
    </row>
    <row r="62" spans="1:4" ht="20" customHeight="1">
      <c r="A62" t="s">
        <v>7728</v>
      </c>
      <c r="B62" t="s">
        <v>7041</v>
      </c>
      <c r="C62">
        <v>324.8</v>
      </c>
      <c r="D62" t="s">
        <v>7729</v>
      </c>
    </row>
    <row r="63" spans="1:4" ht="20" customHeight="1">
      <c r="A63" t="s">
        <v>7728</v>
      </c>
      <c r="B63" t="s">
        <v>7119</v>
      </c>
      <c r="C63">
        <v>324.122</v>
      </c>
      <c r="D63" t="s">
        <v>7729</v>
      </c>
    </row>
    <row r="64" spans="1:4" ht="20" customHeight="1">
      <c r="A64" t="s">
        <v>7728</v>
      </c>
      <c r="B64" t="s">
        <v>4011</v>
      </c>
      <c r="C64">
        <v>324.054</v>
      </c>
      <c r="D64" t="s">
        <v>7729</v>
      </c>
    </row>
    <row r="65" spans="1:4" ht="20" customHeight="1">
      <c r="A65" t="s">
        <v>7728</v>
      </c>
      <c r="B65" t="s">
        <v>7200</v>
      </c>
      <c r="C65">
        <v>325.252</v>
      </c>
      <c r="D65" t="s">
        <v>7729</v>
      </c>
    </row>
    <row r="66" spans="1:4" ht="20" customHeight="1">
      <c r="A66" t="s">
        <v>7728</v>
      </c>
      <c r="B66" t="s">
        <v>7242</v>
      </c>
      <c r="C66">
        <v>326.785</v>
      </c>
      <c r="D66" t="s">
        <v>7729</v>
      </c>
    </row>
    <row r="67" spans="1:4" ht="20" customHeight="1">
      <c r="A67" t="s">
        <v>7728</v>
      </c>
      <c r="B67" t="s">
        <v>7279</v>
      </c>
      <c r="C67">
        <v>330.213</v>
      </c>
      <c r="D67" t="s">
        <v>7729</v>
      </c>
    </row>
    <row r="68" spans="1:4" ht="20" customHeight="1">
      <c r="A68" t="s">
        <v>7728</v>
      </c>
      <c r="B68" t="s">
        <v>4260</v>
      </c>
      <c r="C68">
        <v>333.02</v>
      </c>
      <c r="D68" t="s">
        <v>7729</v>
      </c>
    </row>
    <row r="69" spans="1:4" ht="20" customHeight="1">
      <c r="A69" t="s">
        <v>7728</v>
      </c>
      <c r="B69" t="s">
        <v>4323</v>
      </c>
      <c r="C69">
        <v>335.123</v>
      </c>
      <c r="D69" t="s">
        <v>7729</v>
      </c>
    </row>
    <row r="70" spans="1:4" ht="20" customHeight="1">
      <c r="A70" t="s">
        <v>7728</v>
      </c>
      <c r="B70" t="s">
        <v>4383</v>
      </c>
      <c r="C70">
        <v>333.952</v>
      </c>
      <c r="D70" t="s">
        <v>7729</v>
      </c>
    </row>
    <row r="71" spans="1:4" ht="20" customHeight="1">
      <c r="A71" t="s">
        <v>7728</v>
      </c>
      <c r="B71" t="s">
        <v>4446</v>
      </c>
      <c r="C71">
        <v>333.918</v>
      </c>
      <c r="D71" t="s">
        <v>7729</v>
      </c>
    </row>
    <row r="72" spans="1:4" ht="20" customHeight="1">
      <c r="A72" t="s">
        <v>7728</v>
      </c>
      <c r="B72" t="s">
        <v>7479</v>
      </c>
      <c r="C72">
        <v>334.98</v>
      </c>
      <c r="D72" t="s">
        <v>7729</v>
      </c>
    </row>
    <row r="73" spans="1:4" ht="20" customHeight="1">
      <c r="A73" t="s">
        <v>7730</v>
      </c>
      <c r="B73" t="s">
        <v>38</v>
      </c>
      <c r="C73">
        <v>0.12</v>
      </c>
      <c r="D73" t="s">
        <v>7729</v>
      </c>
    </row>
    <row r="74" spans="1:4" ht="20" customHeight="1">
      <c r="A74" t="s">
        <v>7730</v>
      </c>
      <c r="B74" t="s">
        <v>42</v>
      </c>
      <c r="C74">
        <v>0.11</v>
      </c>
      <c r="D74" t="s">
        <v>7729</v>
      </c>
    </row>
    <row r="75" spans="1:4" ht="20" customHeight="1">
      <c r="A75" t="s">
        <v>7730</v>
      </c>
      <c r="B75" t="s">
        <v>45</v>
      </c>
      <c r="C75">
        <v>0.11</v>
      </c>
      <c r="D75" t="s">
        <v>7729</v>
      </c>
    </row>
    <row r="76" spans="1:4" ht="20" customHeight="1">
      <c r="A76" t="s">
        <v>7730</v>
      </c>
      <c r="B76" t="s">
        <v>48</v>
      </c>
      <c r="C76">
        <v>0.11</v>
      </c>
      <c r="D76" t="s">
        <v>7729</v>
      </c>
    </row>
    <row r="77" spans="1:4" ht="20" customHeight="1">
      <c r="A77" t="s">
        <v>7730</v>
      </c>
      <c r="B77" t="s">
        <v>51</v>
      </c>
      <c r="C77">
        <v>0.1</v>
      </c>
      <c r="D77" t="s">
        <v>7729</v>
      </c>
    </row>
    <row r="78" spans="1:4" ht="20" customHeight="1">
      <c r="A78" t="s">
        <v>7730</v>
      </c>
      <c r="B78" t="s">
        <v>54</v>
      </c>
      <c r="C78">
        <v>0.11</v>
      </c>
      <c r="D78" t="s">
        <v>7729</v>
      </c>
    </row>
    <row r="79" spans="1:4" ht="20" customHeight="1">
      <c r="A79" t="s">
        <v>7730</v>
      </c>
      <c r="B79" t="s">
        <v>57</v>
      </c>
      <c r="C79">
        <v>0.12</v>
      </c>
      <c r="D79" t="s">
        <v>7729</v>
      </c>
    </row>
    <row r="80" spans="1:4" ht="20" customHeight="1">
      <c r="A80" t="s">
        <v>7730</v>
      </c>
      <c r="B80" t="s">
        <v>60</v>
      </c>
      <c r="C80">
        <v>0.12</v>
      </c>
      <c r="D80" t="s">
        <v>7729</v>
      </c>
    </row>
    <row r="81" spans="1:4" ht="20" customHeight="1">
      <c r="A81" t="s">
        <v>7730</v>
      </c>
      <c r="B81" t="s">
        <v>63</v>
      </c>
      <c r="C81">
        <v>0.11</v>
      </c>
      <c r="D81" t="s">
        <v>7729</v>
      </c>
    </row>
    <row r="82" spans="1:4" ht="20" customHeight="1">
      <c r="A82" t="s">
        <v>7730</v>
      </c>
      <c r="B82" t="s">
        <v>66</v>
      </c>
      <c r="C82">
        <v>0.11</v>
      </c>
      <c r="D82" t="s">
        <v>7729</v>
      </c>
    </row>
    <row r="83" spans="1:4" ht="20" customHeight="1">
      <c r="A83" t="s">
        <v>7730</v>
      </c>
      <c r="B83" t="s">
        <v>69</v>
      </c>
      <c r="C83">
        <v>0.13</v>
      </c>
      <c r="D83" t="s">
        <v>7729</v>
      </c>
    </row>
    <row r="84" spans="1:4" ht="20" customHeight="1">
      <c r="A84" t="s">
        <v>7730</v>
      </c>
      <c r="B84" t="s">
        <v>72</v>
      </c>
      <c r="C84">
        <v>0.12</v>
      </c>
      <c r="D84" t="s">
        <v>7729</v>
      </c>
    </row>
    <row r="85" spans="1:4" ht="20" customHeight="1">
      <c r="A85" t="s">
        <v>7730</v>
      </c>
      <c r="B85" t="s">
        <v>75</v>
      </c>
      <c r="C85">
        <v>0.12</v>
      </c>
      <c r="D85" t="s">
        <v>7729</v>
      </c>
    </row>
    <row r="86" spans="1:4" ht="20" customHeight="1">
      <c r="A86" t="s">
        <v>7730</v>
      </c>
      <c r="B86" t="s">
        <v>78</v>
      </c>
      <c r="C86">
        <v>0.11</v>
      </c>
      <c r="D86" t="s">
        <v>7729</v>
      </c>
    </row>
    <row r="87" spans="1:4" ht="20" customHeight="1">
      <c r="A87" t="s">
        <v>7730</v>
      </c>
      <c r="B87" t="s">
        <v>81</v>
      </c>
      <c r="C87">
        <v>0.11</v>
      </c>
      <c r="D87" t="s">
        <v>7729</v>
      </c>
    </row>
    <row r="88" spans="1:4" ht="20" customHeight="1">
      <c r="A88" t="s">
        <v>7730</v>
      </c>
      <c r="B88" t="s">
        <v>84</v>
      </c>
      <c r="C88">
        <v>0.11</v>
      </c>
      <c r="D88" t="s">
        <v>7729</v>
      </c>
    </row>
    <row r="89" spans="1:4" ht="20" customHeight="1">
      <c r="A89" t="s">
        <v>7730</v>
      </c>
      <c r="B89" t="s">
        <v>87</v>
      </c>
      <c r="C89">
        <v>0.12</v>
      </c>
      <c r="D89" t="s">
        <v>7729</v>
      </c>
    </row>
    <row r="90" spans="1:4" ht="20" customHeight="1">
      <c r="A90" t="s">
        <v>7730</v>
      </c>
      <c r="B90" t="s">
        <v>90</v>
      </c>
      <c r="C90">
        <v>0.09</v>
      </c>
      <c r="D90" t="s">
        <v>7729</v>
      </c>
    </row>
    <row r="91" spans="1:4" ht="20" customHeight="1">
      <c r="A91" t="s">
        <v>7730</v>
      </c>
      <c r="B91" t="s">
        <v>93</v>
      </c>
      <c r="C91">
        <v>0.1</v>
      </c>
      <c r="D91" t="s">
        <v>7729</v>
      </c>
    </row>
    <row r="92" spans="1:4" ht="20" customHeight="1">
      <c r="A92" t="s">
        <v>7730</v>
      </c>
      <c r="B92" t="s">
        <v>96</v>
      </c>
      <c r="C92">
        <v>0.1</v>
      </c>
      <c r="D92" t="s">
        <v>7729</v>
      </c>
    </row>
    <row r="93" spans="1:4" ht="20" customHeight="1">
      <c r="A93" t="s">
        <v>7730</v>
      </c>
      <c r="B93" t="s">
        <v>99</v>
      </c>
      <c r="C93">
        <v>0.1</v>
      </c>
      <c r="D93" t="s">
        <v>7729</v>
      </c>
    </row>
    <row r="94" spans="1:4" ht="20" customHeight="1">
      <c r="A94" t="s">
        <v>7730</v>
      </c>
      <c r="B94" t="s">
        <v>102</v>
      </c>
      <c r="C94">
        <v>0.11</v>
      </c>
      <c r="D94" t="s">
        <v>7729</v>
      </c>
    </row>
    <row r="95" spans="1:4" ht="20" customHeight="1">
      <c r="A95" t="s">
        <v>7730</v>
      </c>
      <c r="B95" t="s">
        <v>105</v>
      </c>
      <c r="C95">
        <v>0.1</v>
      </c>
      <c r="D95" t="s">
        <v>7729</v>
      </c>
    </row>
    <row r="96" spans="1:4" ht="20" customHeight="1">
      <c r="A96" t="s">
        <v>7730</v>
      </c>
      <c r="B96" t="s">
        <v>108</v>
      </c>
      <c r="C96">
        <v>0.1</v>
      </c>
      <c r="D96" t="s">
        <v>7729</v>
      </c>
    </row>
    <row r="97" spans="1:4" ht="20" customHeight="1">
      <c r="A97" t="s">
        <v>7730</v>
      </c>
      <c r="B97" t="s">
        <v>111</v>
      </c>
      <c r="C97">
        <v>0.11</v>
      </c>
      <c r="D97" t="s">
        <v>7729</v>
      </c>
    </row>
    <row r="98" spans="1:4" ht="20" customHeight="1">
      <c r="A98" t="s">
        <v>7730</v>
      </c>
      <c r="B98" t="s">
        <v>114</v>
      </c>
      <c r="C98">
        <v>0.09</v>
      </c>
      <c r="D98" t="s">
        <v>7729</v>
      </c>
    </row>
    <row r="99" spans="1:4" ht="20" customHeight="1">
      <c r="A99" t="s">
        <v>7730</v>
      </c>
      <c r="B99" t="s">
        <v>117</v>
      </c>
      <c r="C99">
        <v>0.1</v>
      </c>
      <c r="D99" t="s">
        <v>7729</v>
      </c>
    </row>
    <row r="100" spans="1:4" ht="20" customHeight="1">
      <c r="A100" t="s">
        <v>7730</v>
      </c>
      <c r="B100" t="s">
        <v>120</v>
      </c>
      <c r="C100">
        <v>0.09</v>
      </c>
      <c r="D100" t="s">
        <v>7729</v>
      </c>
    </row>
    <row r="101" spans="1:4" ht="20" customHeight="1">
      <c r="A101" t="s">
        <v>7730</v>
      </c>
      <c r="B101" t="s">
        <v>123</v>
      </c>
      <c r="C101">
        <v>0.09</v>
      </c>
      <c r="D101" t="s">
        <v>7729</v>
      </c>
    </row>
    <row r="102" spans="1:4" ht="20" customHeight="1">
      <c r="A102" t="s">
        <v>7730</v>
      </c>
      <c r="B102" t="s">
        <v>126</v>
      </c>
      <c r="C102">
        <v>0.1</v>
      </c>
      <c r="D102" t="s">
        <v>7729</v>
      </c>
    </row>
    <row r="103" spans="1:4" ht="20" customHeight="1">
      <c r="A103" t="s">
        <v>7730</v>
      </c>
      <c r="B103" t="s">
        <v>129</v>
      </c>
      <c r="C103">
        <v>0.1</v>
      </c>
      <c r="D103" t="s">
        <v>7729</v>
      </c>
    </row>
    <row r="104" spans="1:4" ht="20" customHeight="1">
      <c r="A104" t="s">
        <v>7730</v>
      </c>
      <c r="B104" t="s">
        <v>132</v>
      </c>
      <c r="C104">
        <v>0.1</v>
      </c>
      <c r="D104" t="s">
        <v>7729</v>
      </c>
    </row>
    <row r="105" spans="1:4" ht="20" customHeight="1">
      <c r="A105" t="s">
        <v>7730</v>
      </c>
      <c r="B105" t="s">
        <v>135</v>
      </c>
      <c r="C105">
        <v>0.09</v>
      </c>
      <c r="D105" t="s">
        <v>7729</v>
      </c>
    </row>
    <row r="106" spans="1:4" ht="20" customHeight="1">
      <c r="A106" t="s">
        <v>7730</v>
      </c>
      <c r="B106" t="s">
        <v>138</v>
      </c>
      <c r="C106">
        <v>0.1</v>
      </c>
      <c r="D106" t="s">
        <v>7729</v>
      </c>
    </row>
    <row r="107" spans="1:4" ht="20" customHeight="1">
      <c r="A107" t="s">
        <v>7730</v>
      </c>
      <c r="B107" t="s">
        <v>144</v>
      </c>
      <c r="C107">
        <v>0.11</v>
      </c>
      <c r="D107" t="s">
        <v>7729</v>
      </c>
    </row>
    <row r="108" spans="1:4" ht="20" customHeight="1">
      <c r="A108" t="s">
        <v>7730</v>
      </c>
      <c r="B108" t="s">
        <v>147</v>
      </c>
      <c r="C108">
        <v>0.12</v>
      </c>
      <c r="D108" t="s">
        <v>7729</v>
      </c>
    </row>
    <row r="109" spans="1:4" ht="20" customHeight="1">
      <c r="A109" t="s">
        <v>7730</v>
      </c>
      <c r="B109" t="s">
        <v>150</v>
      </c>
      <c r="C109">
        <v>0.11</v>
      </c>
      <c r="D109" t="s">
        <v>7729</v>
      </c>
    </row>
    <row r="110" spans="1:4" ht="20" customHeight="1">
      <c r="A110" t="s">
        <v>7730</v>
      </c>
      <c r="B110" t="s">
        <v>153</v>
      </c>
      <c r="C110">
        <v>0.11</v>
      </c>
      <c r="D110" t="s">
        <v>7729</v>
      </c>
    </row>
    <row r="111" spans="1:4" ht="20" customHeight="1">
      <c r="A111" t="s">
        <v>7730</v>
      </c>
      <c r="B111" t="s">
        <v>156</v>
      </c>
      <c r="C111">
        <v>0.11</v>
      </c>
      <c r="D111" t="s">
        <v>7729</v>
      </c>
    </row>
    <row r="112" spans="1:4" ht="20" customHeight="1">
      <c r="A112" t="s">
        <v>7730</v>
      </c>
      <c r="B112" t="s">
        <v>159</v>
      </c>
      <c r="C112">
        <v>0.1</v>
      </c>
      <c r="D112" t="s">
        <v>7729</v>
      </c>
    </row>
    <row r="113" spans="1:4" ht="20" customHeight="1">
      <c r="A113" t="s">
        <v>7730</v>
      </c>
      <c r="B113" t="s">
        <v>162</v>
      </c>
      <c r="C113">
        <v>0.1</v>
      </c>
      <c r="D113" t="s">
        <v>7729</v>
      </c>
    </row>
    <row r="114" spans="1:4" ht="20" customHeight="1">
      <c r="A114" t="s">
        <v>7730</v>
      </c>
      <c r="B114" t="s">
        <v>165</v>
      </c>
      <c r="C114">
        <v>0.09</v>
      </c>
      <c r="D114" t="s">
        <v>7729</v>
      </c>
    </row>
    <row r="115" spans="1:4" ht="20" customHeight="1">
      <c r="A115" t="s">
        <v>7730</v>
      </c>
      <c r="B115" t="s">
        <v>168</v>
      </c>
      <c r="C115">
        <v>0.1</v>
      </c>
      <c r="D115" t="s">
        <v>7729</v>
      </c>
    </row>
    <row r="116" spans="1:4" ht="20" customHeight="1">
      <c r="A116" t="s">
        <v>7730</v>
      </c>
      <c r="B116" t="s">
        <v>171</v>
      </c>
      <c r="C116">
        <v>0.11</v>
      </c>
      <c r="D116" t="s">
        <v>7729</v>
      </c>
    </row>
    <row r="117" spans="1:4" ht="20" customHeight="1">
      <c r="A117" t="s">
        <v>7730</v>
      </c>
      <c r="B117" t="s">
        <v>174</v>
      </c>
      <c r="C117">
        <v>0.1</v>
      </c>
      <c r="D117" t="s">
        <v>7729</v>
      </c>
    </row>
    <row r="118" spans="1:4" ht="20" customHeight="1">
      <c r="A118" t="s">
        <v>7730</v>
      </c>
      <c r="B118" t="s">
        <v>177</v>
      </c>
      <c r="C118">
        <v>0.1</v>
      </c>
      <c r="D118" t="s">
        <v>7729</v>
      </c>
    </row>
    <row r="119" spans="1:4" ht="20" customHeight="1">
      <c r="A119" t="s">
        <v>7730</v>
      </c>
      <c r="B119" t="s">
        <v>180</v>
      </c>
      <c r="C119">
        <v>0.09</v>
      </c>
      <c r="D119" t="s">
        <v>7729</v>
      </c>
    </row>
    <row r="120" spans="1:4" ht="20" customHeight="1">
      <c r="A120" t="s">
        <v>7730</v>
      </c>
      <c r="B120" t="s">
        <v>183</v>
      </c>
      <c r="C120">
        <v>0.09</v>
      </c>
      <c r="D120" t="s">
        <v>7729</v>
      </c>
    </row>
    <row r="121" spans="1:4" ht="20" customHeight="1">
      <c r="A121" t="s">
        <v>7730</v>
      </c>
      <c r="B121" t="s">
        <v>186</v>
      </c>
      <c r="C121">
        <v>0.09</v>
      </c>
      <c r="D121" t="s">
        <v>7729</v>
      </c>
    </row>
    <row r="122" spans="1:4" ht="20" customHeight="1">
      <c r="A122" t="s">
        <v>7730</v>
      </c>
      <c r="B122" t="s">
        <v>189</v>
      </c>
      <c r="C122">
        <v>0.1</v>
      </c>
      <c r="D122" t="s">
        <v>7729</v>
      </c>
    </row>
    <row r="123" spans="1:4" ht="20" customHeight="1">
      <c r="A123" t="s">
        <v>7730</v>
      </c>
      <c r="B123" t="s">
        <v>192</v>
      </c>
      <c r="C123">
        <v>0.1</v>
      </c>
      <c r="D123" t="s">
        <v>7729</v>
      </c>
    </row>
    <row r="124" spans="1:4" ht="20" customHeight="1">
      <c r="A124" t="s">
        <v>7730</v>
      </c>
      <c r="B124" t="s">
        <v>195</v>
      </c>
      <c r="C124">
        <v>0.1</v>
      </c>
      <c r="D124" t="s">
        <v>7729</v>
      </c>
    </row>
    <row r="125" spans="1:4" ht="20" customHeight="1">
      <c r="A125" t="s">
        <v>7730</v>
      </c>
      <c r="B125" t="s">
        <v>198</v>
      </c>
      <c r="C125">
        <v>0.1</v>
      </c>
      <c r="D125" t="s">
        <v>7729</v>
      </c>
    </row>
    <row r="126" spans="1:4" ht="20" customHeight="1">
      <c r="A126" t="s">
        <v>7730</v>
      </c>
      <c r="B126" t="s">
        <v>201</v>
      </c>
      <c r="C126">
        <v>0.11</v>
      </c>
      <c r="D126" t="s">
        <v>7729</v>
      </c>
    </row>
    <row r="127" spans="1:4" ht="20" customHeight="1">
      <c r="A127" t="s">
        <v>7730</v>
      </c>
      <c r="B127" t="s">
        <v>204</v>
      </c>
      <c r="C127">
        <v>0.1</v>
      </c>
      <c r="D127" t="s">
        <v>7729</v>
      </c>
    </row>
    <row r="128" spans="1:4" ht="20" customHeight="1">
      <c r="A128" t="s">
        <v>7730</v>
      </c>
      <c r="B128" t="s">
        <v>210</v>
      </c>
      <c r="C128">
        <v>0.1</v>
      </c>
      <c r="D128" t="s">
        <v>7729</v>
      </c>
    </row>
    <row r="129" spans="1:4" ht="20" customHeight="1">
      <c r="A129" t="s">
        <v>7730</v>
      </c>
      <c r="B129" t="s">
        <v>213</v>
      </c>
      <c r="C129">
        <v>0.09</v>
      </c>
      <c r="D129" t="s">
        <v>7729</v>
      </c>
    </row>
    <row r="130" spans="1:4" ht="20" customHeight="1">
      <c r="A130" t="s">
        <v>7730</v>
      </c>
      <c r="B130" t="s">
        <v>216</v>
      </c>
      <c r="C130">
        <v>0.09</v>
      </c>
      <c r="D130" t="s">
        <v>7729</v>
      </c>
    </row>
    <row r="131" spans="1:4" ht="20" customHeight="1">
      <c r="A131" t="s">
        <v>7730</v>
      </c>
      <c r="B131" t="s">
        <v>219</v>
      </c>
      <c r="C131">
        <v>0.09</v>
      </c>
      <c r="D131" t="s">
        <v>7729</v>
      </c>
    </row>
    <row r="132" spans="1:4" ht="20" customHeight="1">
      <c r="A132" t="s">
        <v>7730</v>
      </c>
      <c r="B132" t="s">
        <v>222</v>
      </c>
      <c r="C132">
        <v>0.09</v>
      </c>
      <c r="D132" t="s">
        <v>7729</v>
      </c>
    </row>
    <row r="133" spans="1:4" ht="20" customHeight="1">
      <c r="A133" t="s">
        <v>7730</v>
      </c>
      <c r="B133" t="s">
        <v>225</v>
      </c>
      <c r="C133">
        <v>0.07000000000000001</v>
      </c>
      <c r="D133" t="s">
        <v>7729</v>
      </c>
    </row>
    <row r="134" spans="1:4" ht="20" customHeight="1">
      <c r="A134" t="s">
        <v>7730</v>
      </c>
      <c r="B134" t="s">
        <v>228</v>
      </c>
      <c r="C134">
        <v>0.07000000000000001</v>
      </c>
      <c r="D134" t="s">
        <v>7729</v>
      </c>
    </row>
    <row r="135" spans="1:4" ht="20" customHeight="1">
      <c r="A135" t="s">
        <v>7730</v>
      </c>
      <c r="B135" t="s">
        <v>231</v>
      </c>
      <c r="C135">
        <v>0.08</v>
      </c>
      <c r="D135" t="s">
        <v>7729</v>
      </c>
    </row>
    <row r="136" spans="1:4" ht="20" customHeight="1">
      <c r="A136" t="s">
        <v>7730</v>
      </c>
      <c r="B136" t="s">
        <v>234</v>
      </c>
      <c r="C136">
        <v>0.09</v>
      </c>
      <c r="D136" t="s">
        <v>7729</v>
      </c>
    </row>
    <row r="137" spans="1:4" ht="20" customHeight="1">
      <c r="A137" t="s">
        <v>7730</v>
      </c>
      <c r="B137" t="s">
        <v>237</v>
      </c>
      <c r="C137">
        <v>0.09</v>
      </c>
      <c r="D137" t="s">
        <v>7729</v>
      </c>
    </row>
    <row r="138" spans="1:4" ht="20" customHeight="1">
      <c r="A138" t="s">
        <v>7730</v>
      </c>
      <c r="B138" t="s">
        <v>240</v>
      </c>
      <c r="C138">
        <v>0.09</v>
      </c>
      <c r="D138" t="s">
        <v>7729</v>
      </c>
    </row>
    <row r="139" spans="1:4" ht="20" customHeight="1">
      <c r="A139" t="s">
        <v>7730</v>
      </c>
      <c r="B139" t="s">
        <v>243</v>
      </c>
      <c r="C139">
        <v>0.08</v>
      </c>
      <c r="D139" t="s">
        <v>7729</v>
      </c>
    </row>
    <row r="140" spans="1:4" ht="20" customHeight="1">
      <c r="A140" t="s">
        <v>7730</v>
      </c>
      <c r="B140" t="s">
        <v>246</v>
      </c>
      <c r="C140">
        <v>0.09</v>
      </c>
      <c r="D140" t="s">
        <v>7729</v>
      </c>
    </row>
    <row r="141" spans="1:4" ht="20" customHeight="1">
      <c r="A141" t="s">
        <v>7730</v>
      </c>
      <c r="B141" t="s">
        <v>249</v>
      </c>
      <c r="C141">
        <v>0.09</v>
      </c>
      <c r="D141" t="s">
        <v>7729</v>
      </c>
    </row>
    <row r="142" spans="1:4" ht="20" customHeight="1">
      <c r="A142" t="s">
        <v>7730</v>
      </c>
      <c r="B142" t="s">
        <v>252</v>
      </c>
      <c r="C142">
        <v>0.08</v>
      </c>
      <c r="D142" t="s">
        <v>7729</v>
      </c>
    </row>
    <row r="143" spans="1:4" ht="20" customHeight="1">
      <c r="A143" t="s">
        <v>7730</v>
      </c>
      <c r="B143" t="s">
        <v>255</v>
      </c>
      <c r="C143">
        <v>0.09</v>
      </c>
      <c r="D143" t="s">
        <v>7729</v>
      </c>
    </row>
    <row r="144" spans="1:4" ht="20" customHeight="1">
      <c r="A144" t="s">
        <v>7730</v>
      </c>
      <c r="B144" t="s">
        <v>258</v>
      </c>
      <c r="C144">
        <v>0.08</v>
      </c>
      <c r="D144" t="s">
        <v>7729</v>
      </c>
    </row>
    <row r="145" spans="1:4" ht="20" customHeight="1">
      <c r="A145" t="s">
        <v>7730</v>
      </c>
      <c r="B145" t="s">
        <v>261</v>
      </c>
      <c r="C145">
        <v>0.09</v>
      </c>
      <c r="D145" t="s">
        <v>7729</v>
      </c>
    </row>
    <row r="146" spans="1:4" ht="20" customHeight="1">
      <c r="A146" t="s">
        <v>7730</v>
      </c>
      <c r="B146" t="s">
        <v>264</v>
      </c>
      <c r="C146">
        <v>0.08</v>
      </c>
      <c r="D146" t="s">
        <v>7729</v>
      </c>
    </row>
    <row r="147" spans="1:4" ht="20" customHeight="1">
      <c r="A147" t="s">
        <v>7730</v>
      </c>
      <c r="B147" t="s">
        <v>267</v>
      </c>
      <c r="C147">
        <v>0.08</v>
      </c>
      <c r="D147" t="s">
        <v>7729</v>
      </c>
    </row>
    <row r="148" spans="1:4" ht="20" customHeight="1">
      <c r="A148" t="s">
        <v>7730</v>
      </c>
      <c r="B148" t="s">
        <v>270</v>
      </c>
      <c r="C148">
        <v>0.08</v>
      </c>
      <c r="D148" t="s">
        <v>7729</v>
      </c>
    </row>
    <row r="149" spans="1:4" ht="20" customHeight="1">
      <c r="A149" t="s">
        <v>7730</v>
      </c>
      <c r="B149" t="s">
        <v>273</v>
      </c>
      <c r="C149">
        <v>0.09</v>
      </c>
      <c r="D149" t="s">
        <v>7729</v>
      </c>
    </row>
    <row r="150" spans="1:4" ht="20" customHeight="1">
      <c r="A150" t="s">
        <v>7730</v>
      </c>
      <c r="B150" t="s">
        <v>276</v>
      </c>
      <c r="C150">
        <v>0.08</v>
      </c>
      <c r="D150" t="s">
        <v>7729</v>
      </c>
    </row>
    <row r="151" spans="1:4" ht="20" customHeight="1">
      <c r="A151" t="s">
        <v>7730</v>
      </c>
      <c r="B151" t="s">
        <v>279</v>
      </c>
      <c r="C151">
        <v>0.09</v>
      </c>
      <c r="D151" t="s">
        <v>7729</v>
      </c>
    </row>
    <row r="152" spans="1:4" ht="20" customHeight="1">
      <c r="A152" t="s">
        <v>7730</v>
      </c>
      <c r="B152" t="s">
        <v>282</v>
      </c>
      <c r="C152">
        <v>0.08</v>
      </c>
      <c r="D152" t="s">
        <v>7729</v>
      </c>
    </row>
    <row r="153" spans="1:4" ht="20" customHeight="1">
      <c r="A153" t="s">
        <v>7730</v>
      </c>
      <c r="B153" t="s">
        <v>285</v>
      </c>
      <c r="C153">
        <v>0.08</v>
      </c>
      <c r="D153" t="s">
        <v>7729</v>
      </c>
    </row>
    <row r="154" spans="1:4" ht="20" customHeight="1">
      <c r="A154" t="s">
        <v>7730</v>
      </c>
      <c r="B154" t="s">
        <v>288</v>
      </c>
      <c r="C154">
        <v>0.09</v>
      </c>
      <c r="D154" t="s">
        <v>7729</v>
      </c>
    </row>
    <row r="155" spans="1:4" ht="20" customHeight="1">
      <c r="A155" t="s">
        <v>7730</v>
      </c>
      <c r="B155" t="s">
        <v>291</v>
      </c>
      <c r="C155">
        <v>0.09</v>
      </c>
      <c r="D155" t="s">
        <v>7729</v>
      </c>
    </row>
    <row r="156" spans="1:4" ht="20" customHeight="1">
      <c r="A156" t="s">
        <v>7730</v>
      </c>
      <c r="B156" t="s">
        <v>294</v>
      </c>
      <c r="C156">
        <v>0.09</v>
      </c>
      <c r="D156" t="s">
        <v>7729</v>
      </c>
    </row>
    <row r="157" spans="1:4" ht="20" customHeight="1">
      <c r="A157" t="s">
        <v>7730</v>
      </c>
      <c r="B157" t="s">
        <v>297</v>
      </c>
      <c r="C157">
        <v>0.09</v>
      </c>
      <c r="D157" t="s">
        <v>7729</v>
      </c>
    </row>
    <row r="158" spans="1:4" ht="20" customHeight="1">
      <c r="A158" t="s">
        <v>7730</v>
      </c>
      <c r="B158" t="s">
        <v>300</v>
      </c>
      <c r="C158">
        <v>0.11</v>
      </c>
      <c r="D158" t="s">
        <v>7729</v>
      </c>
    </row>
    <row r="159" spans="1:4" ht="20" customHeight="1">
      <c r="A159" t="s">
        <v>7730</v>
      </c>
      <c r="B159" t="s">
        <v>303</v>
      </c>
      <c r="C159">
        <v>0.1</v>
      </c>
      <c r="D159" t="s">
        <v>7729</v>
      </c>
    </row>
    <row r="160" spans="1:4" ht="20" customHeight="1">
      <c r="A160" t="s">
        <v>7730</v>
      </c>
      <c r="B160" t="s">
        <v>306</v>
      </c>
      <c r="C160">
        <v>0.08</v>
      </c>
      <c r="D160" t="s">
        <v>7729</v>
      </c>
    </row>
    <row r="161" spans="1:4" ht="20" customHeight="1">
      <c r="A161" t="s">
        <v>7730</v>
      </c>
      <c r="B161" t="s">
        <v>309</v>
      </c>
      <c r="C161">
        <v>0.09</v>
      </c>
      <c r="D161" t="s">
        <v>7729</v>
      </c>
    </row>
    <row r="162" spans="1:4" ht="20" customHeight="1">
      <c r="A162" t="s">
        <v>7730</v>
      </c>
      <c r="B162" t="s">
        <v>312</v>
      </c>
      <c r="C162">
        <v>0.09</v>
      </c>
      <c r="D162" t="s">
        <v>7729</v>
      </c>
    </row>
    <row r="163" spans="1:4" ht="20" customHeight="1">
      <c r="A163" t="s">
        <v>7730</v>
      </c>
      <c r="B163" t="s">
        <v>315</v>
      </c>
      <c r="C163">
        <v>0.09</v>
      </c>
      <c r="D163" t="s">
        <v>7729</v>
      </c>
    </row>
    <row r="164" spans="1:4" ht="20" customHeight="1">
      <c r="A164" t="s">
        <v>7730</v>
      </c>
      <c r="B164" t="s">
        <v>318</v>
      </c>
      <c r="C164">
        <v>0.09</v>
      </c>
      <c r="D164" t="s">
        <v>7729</v>
      </c>
    </row>
    <row r="165" spans="1:4" ht="20" customHeight="1">
      <c r="A165" t="s">
        <v>7730</v>
      </c>
      <c r="B165" t="s">
        <v>321</v>
      </c>
      <c r="C165">
        <v>0.09</v>
      </c>
      <c r="D165" t="s">
        <v>7729</v>
      </c>
    </row>
    <row r="166" spans="1:4" ht="20" customHeight="1">
      <c r="A166" t="s">
        <v>7730</v>
      </c>
      <c r="B166" t="s">
        <v>324</v>
      </c>
      <c r="C166">
        <v>0.08</v>
      </c>
      <c r="D166" t="s">
        <v>7729</v>
      </c>
    </row>
    <row r="167" spans="1:4" ht="20" customHeight="1">
      <c r="A167" t="s">
        <v>7730</v>
      </c>
      <c r="B167" t="s">
        <v>327</v>
      </c>
      <c r="C167">
        <v>0.08</v>
      </c>
      <c r="D167" t="s">
        <v>7729</v>
      </c>
    </row>
    <row r="168" spans="1:4" ht="20" customHeight="1">
      <c r="A168" t="s">
        <v>7730</v>
      </c>
      <c r="B168" t="s">
        <v>330</v>
      </c>
      <c r="C168">
        <v>0.09</v>
      </c>
      <c r="D168" t="s">
        <v>7729</v>
      </c>
    </row>
    <row r="169" spans="1:4" ht="20" customHeight="1">
      <c r="A169" t="s">
        <v>7730</v>
      </c>
      <c r="B169" t="s">
        <v>333</v>
      </c>
      <c r="C169">
        <v>0.09</v>
      </c>
      <c r="D169" t="s">
        <v>7729</v>
      </c>
    </row>
    <row r="170" spans="1:4" ht="20" customHeight="1">
      <c r="A170" t="s">
        <v>7730</v>
      </c>
      <c r="B170" t="s">
        <v>336</v>
      </c>
      <c r="C170">
        <v>0.09</v>
      </c>
      <c r="D170" t="s">
        <v>7729</v>
      </c>
    </row>
    <row r="171" spans="1:4" ht="20" customHeight="1">
      <c r="A171" t="s">
        <v>7730</v>
      </c>
      <c r="B171" t="s">
        <v>339</v>
      </c>
      <c r="C171">
        <v>0.09</v>
      </c>
      <c r="D171" t="s">
        <v>7729</v>
      </c>
    </row>
    <row r="172" spans="1:4" ht="20" customHeight="1">
      <c r="A172" t="s">
        <v>7730</v>
      </c>
      <c r="B172" t="s">
        <v>342</v>
      </c>
      <c r="C172">
        <v>0.09</v>
      </c>
      <c r="D172" t="s">
        <v>7729</v>
      </c>
    </row>
    <row r="173" spans="1:4" ht="20" customHeight="1">
      <c r="A173" t="s">
        <v>7730</v>
      </c>
      <c r="B173" t="s">
        <v>345</v>
      </c>
      <c r="C173">
        <v>0.08</v>
      </c>
      <c r="D173" t="s">
        <v>7729</v>
      </c>
    </row>
    <row r="174" spans="1:4" ht="20" customHeight="1">
      <c r="A174" t="s">
        <v>7730</v>
      </c>
      <c r="B174" t="s">
        <v>348</v>
      </c>
      <c r="C174">
        <v>0.09</v>
      </c>
      <c r="D174" t="s">
        <v>7729</v>
      </c>
    </row>
    <row r="175" spans="1:4" ht="20" customHeight="1">
      <c r="A175" t="s">
        <v>7730</v>
      </c>
      <c r="B175" t="s">
        <v>351</v>
      </c>
      <c r="C175">
        <v>0.08</v>
      </c>
      <c r="D175" t="s">
        <v>7729</v>
      </c>
    </row>
    <row r="176" spans="1:4" ht="20" customHeight="1">
      <c r="A176" t="s">
        <v>7730</v>
      </c>
      <c r="B176" t="s">
        <v>354</v>
      </c>
      <c r="C176">
        <v>0.09</v>
      </c>
      <c r="D176" t="s">
        <v>7729</v>
      </c>
    </row>
    <row r="177" spans="1:4" ht="20" customHeight="1">
      <c r="A177" t="s">
        <v>7730</v>
      </c>
      <c r="B177" t="s">
        <v>357</v>
      </c>
      <c r="C177">
        <v>0.07000000000000001</v>
      </c>
      <c r="D177" t="s">
        <v>7729</v>
      </c>
    </row>
    <row r="178" spans="1:4" ht="20" customHeight="1">
      <c r="A178" t="s">
        <v>7730</v>
      </c>
      <c r="B178" t="s">
        <v>360</v>
      </c>
      <c r="C178">
        <v>0.08</v>
      </c>
      <c r="D178" t="s">
        <v>7729</v>
      </c>
    </row>
    <row r="179" spans="1:4" ht="20" customHeight="1">
      <c r="A179" t="s">
        <v>7730</v>
      </c>
      <c r="B179" t="s">
        <v>363</v>
      </c>
      <c r="C179">
        <v>0.07000000000000001</v>
      </c>
      <c r="D179" t="s">
        <v>7729</v>
      </c>
    </row>
    <row r="180" spans="1:4" ht="20" customHeight="1">
      <c r="A180" t="s">
        <v>7730</v>
      </c>
      <c r="B180" t="s">
        <v>366</v>
      </c>
      <c r="C180">
        <v>0.06</v>
      </c>
      <c r="D180" t="s">
        <v>7729</v>
      </c>
    </row>
    <row r="181" spans="1:4" ht="20" customHeight="1">
      <c r="A181" t="s">
        <v>7730</v>
      </c>
      <c r="B181" t="s">
        <v>369</v>
      </c>
      <c r="C181">
        <v>0.07000000000000001</v>
      </c>
      <c r="D181" t="s">
        <v>7729</v>
      </c>
    </row>
    <row r="182" spans="1:4" ht="20" customHeight="1">
      <c r="A182" t="s">
        <v>7730</v>
      </c>
      <c r="B182" t="s">
        <v>372</v>
      </c>
      <c r="C182">
        <v>0.07000000000000001</v>
      </c>
      <c r="D182" t="s">
        <v>7729</v>
      </c>
    </row>
    <row r="183" spans="1:4" ht="20" customHeight="1">
      <c r="A183" t="s">
        <v>7730</v>
      </c>
      <c r="B183" t="s">
        <v>375</v>
      </c>
      <c r="C183">
        <v>0.04</v>
      </c>
      <c r="D183" t="s">
        <v>7729</v>
      </c>
    </row>
    <row r="184" spans="1:4" ht="20" customHeight="1">
      <c r="A184" t="s">
        <v>7730</v>
      </c>
      <c r="B184" t="s">
        <v>378</v>
      </c>
      <c r="C184">
        <v>0.04</v>
      </c>
      <c r="D184" t="s">
        <v>7729</v>
      </c>
    </row>
    <row r="185" spans="1:4" ht="20" customHeight="1">
      <c r="A185" t="s">
        <v>7730</v>
      </c>
      <c r="B185" t="s">
        <v>381</v>
      </c>
      <c r="C185">
        <v>0.03</v>
      </c>
      <c r="D185" t="s">
        <v>7729</v>
      </c>
    </row>
    <row r="186" spans="1:4" ht="20" customHeight="1">
      <c r="A186" t="s">
        <v>7730</v>
      </c>
      <c r="B186" t="s">
        <v>384</v>
      </c>
      <c r="C186">
        <v>0.05</v>
      </c>
      <c r="D186" t="s">
        <v>7729</v>
      </c>
    </row>
    <row r="187" spans="1:4" ht="20" customHeight="1">
      <c r="A187" t="s">
        <v>7730</v>
      </c>
      <c r="B187" t="s">
        <v>387</v>
      </c>
      <c r="C187">
        <v>0.04</v>
      </c>
      <c r="D187" t="s">
        <v>7729</v>
      </c>
    </row>
    <row r="188" spans="1:4" ht="20" customHeight="1">
      <c r="A188" t="s">
        <v>7730</v>
      </c>
      <c r="B188" t="s">
        <v>390</v>
      </c>
      <c r="C188">
        <v>0.05</v>
      </c>
      <c r="D188" t="s">
        <v>7729</v>
      </c>
    </row>
    <row r="189" spans="1:4" ht="20" customHeight="1">
      <c r="A189" t="s">
        <v>7730</v>
      </c>
      <c r="B189" t="s">
        <v>393</v>
      </c>
      <c r="C189">
        <v>0.05</v>
      </c>
      <c r="D189" t="s">
        <v>7729</v>
      </c>
    </row>
    <row r="190" spans="1:4" ht="20" customHeight="1">
      <c r="A190" t="s">
        <v>7730</v>
      </c>
      <c r="B190" t="s">
        <v>396</v>
      </c>
      <c r="C190">
        <v>0.04</v>
      </c>
      <c r="D190" t="s">
        <v>7729</v>
      </c>
    </row>
    <row r="191" spans="1:4" ht="20" customHeight="1">
      <c r="A191" t="s">
        <v>7730</v>
      </c>
      <c r="B191" t="s">
        <v>399</v>
      </c>
      <c r="C191">
        <v>0.04</v>
      </c>
      <c r="D191" t="s">
        <v>7729</v>
      </c>
    </row>
    <row r="192" spans="1:4" ht="20" customHeight="1">
      <c r="A192" t="s">
        <v>7730</v>
      </c>
      <c r="B192" t="s">
        <v>402</v>
      </c>
      <c r="C192">
        <v>0.04</v>
      </c>
      <c r="D192" t="s">
        <v>7729</v>
      </c>
    </row>
    <row r="193" spans="1:4" ht="20" customHeight="1">
      <c r="A193" t="s">
        <v>7730</v>
      </c>
      <c r="B193" t="s">
        <v>405</v>
      </c>
      <c r="C193">
        <v>0.03</v>
      </c>
      <c r="D193" t="s">
        <v>7729</v>
      </c>
    </row>
    <row r="194" spans="1:4" ht="20" customHeight="1">
      <c r="A194" t="s">
        <v>7730</v>
      </c>
      <c r="B194" t="s">
        <v>408</v>
      </c>
      <c r="C194">
        <v>0.04</v>
      </c>
      <c r="D194" t="s">
        <v>7729</v>
      </c>
    </row>
    <row r="195" spans="1:4" ht="20" customHeight="1">
      <c r="A195" t="s">
        <v>7730</v>
      </c>
      <c r="B195" t="s">
        <v>411</v>
      </c>
      <c r="C195">
        <v>0.03</v>
      </c>
      <c r="D195" t="s">
        <v>7729</v>
      </c>
    </row>
    <row r="196" spans="1:4" ht="20" customHeight="1">
      <c r="A196" t="s">
        <v>7730</v>
      </c>
      <c r="B196" t="s">
        <v>414</v>
      </c>
      <c r="C196">
        <v>0.04</v>
      </c>
      <c r="D196" t="s">
        <v>7729</v>
      </c>
    </row>
    <row r="197" spans="1:4" ht="20" customHeight="1">
      <c r="A197" t="s">
        <v>7730</v>
      </c>
      <c r="B197" t="s">
        <v>417</v>
      </c>
      <c r="C197">
        <v>0.03</v>
      </c>
      <c r="D197" t="s">
        <v>7729</v>
      </c>
    </row>
    <row r="198" spans="1:4" ht="20" customHeight="1">
      <c r="A198" t="s">
        <v>7730</v>
      </c>
      <c r="B198" t="s">
        <v>420</v>
      </c>
      <c r="C198">
        <v>0.04</v>
      </c>
      <c r="D198" t="s">
        <v>7729</v>
      </c>
    </row>
    <row r="199" spans="1:4" ht="20" customHeight="1">
      <c r="A199" t="s">
        <v>7730</v>
      </c>
      <c r="B199" t="s">
        <v>423</v>
      </c>
      <c r="C199">
        <v>0.04</v>
      </c>
      <c r="D199" t="s">
        <v>7729</v>
      </c>
    </row>
    <row r="200" spans="1:4" ht="20" customHeight="1">
      <c r="A200" t="s">
        <v>7730</v>
      </c>
      <c r="B200" t="s">
        <v>426</v>
      </c>
      <c r="C200">
        <v>0.05</v>
      </c>
      <c r="D200" t="s">
        <v>7729</v>
      </c>
    </row>
    <row r="201" spans="1:4" ht="20" customHeight="1">
      <c r="A201" t="s">
        <v>7730</v>
      </c>
      <c r="B201" t="s">
        <v>429</v>
      </c>
      <c r="C201">
        <v>0.04</v>
      </c>
      <c r="D201" t="s">
        <v>7729</v>
      </c>
    </row>
    <row r="202" spans="1:4" ht="20" customHeight="1">
      <c r="A202" t="s">
        <v>7730</v>
      </c>
      <c r="B202" t="s">
        <v>432</v>
      </c>
      <c r="C202">
        <v>0.05</v>
      </c>
      <c r="D202" t="s">
        <v>7729</v>
      </c>
    </row>
    <row r="203" spans="1:4" ht="20" customHeight="1">
      <c r="A203" t="s">
        <v>7730</v>
      </c>
      <c r="B203" t="s">
        <v>435</v>
      </c>
      <c r="C203">
        <v>0.04</v>
      </c>
      <c r="D203" t="s">
        <v>7729</v>
      </c>
    </row>
    <row r="204" spans="1:4" ht="20" customHeight="1">
      <c r="A204" t="s">
        <v>7730</v>
      </c>
      <c r="B204" t="s">
        <v>438</v>
      </c>
      <c r="C204">
        <v>0.04</v>
      </c>
      <c r="D204" t="s">
        <v>7729</v>
      </c>
    </row>
    <row r="205" spans="1:4" ht="20" customHeight="1">
      <c r="A205" t="s">
        <v>7730</v>
      </c>
      <c r="B205" t="s">
        <v>441</v>
      </c>
      <c r="C205">
        <v>0.05</v>
      </c>
      <c r="D205" t="s">
        <v>7729</v>
      </c>
    </row>
    <row r="206" spans="1:4" ht="20" customHeight="1">
      <c r="A206" t="s">
        <v>7730</v>
      </c>
      <c r="B206" t="s">
        <v>444</v>
      </c>
      <c r="C206">
        <v>0.05</v>
      </c>
      <c r="D206" t="s">
        <v>7729</v>
      </c>
    </row>
    <row r="207" spans="1:4" ht="20" customHeight="1">
      <c r="A207" t="s">
        <v>7730</v>
      </c>
      <c r="B207" t="s">
        <v>447</v>
      </c>
      <c r="C207">
        <v>0.04</v>
      </c>
      <c r="D207" t="s">
        <v>7729</v>
      </c>
    </row>
    <row r="208" spans="1:4" ht="20" customHeight="1">
      <c r="A208" t="s">
        <v>7730</v>
      </c>
      <c r="B208" t="s">
        <v>450</v>
      </c>
      <c r="C208">
        <v>0.04</v>
      </c>
      <c r="D208" t="s">
        <v>7729</v>
      </c>
    </row>
    <row r="209" spans="1:4" ht="20" customHeight="1">
      <c r="A209" t="s">
        <v>7730</v>
      </c>
      <c r="B209" t="s">
        <v>453</v>
      </c>
      <c r="C209">
        <v>0.04</v>
      </c>
      <c r="D209" t="s">
        <v>7729</v>
      </c>
    </row>
    <row r="210" spans="1:4" ht="20" customHeight="1">
      <c r="A210" t="s">
        <v>7730</v>
      </c>
      <c r="B210" t="s">
        <v>456</v>
      </c>
      <c r="C210">
        <v>0.04</v>
      </c>
      <c r="D210" t="s">
        <v>7729</v>
      </c>
    </row>
    <row r="211" spans="1:4" ht="20" customHeight="1">
      <c r="A211" t="s">
        <v>7730</v>
      </c>
      <c r="B211" t="s">
        <v>459</v>
      </c>
      <c r="C211">
        <v>0.02</v>
      </c>
      <c r="D211" t="s">
        <v>7729</v>
      </c>
    </row>
    <row r="212" spans="1:4" ht="20" customHeight="1">
      <c r="A212" t="s">
        <v>7730</v>
      </c>
      <c r="B212" t="s">
        <v>462</v>
      </c>
      <c r="C212">
        <v>0.02</v>
      </c>
      <c r="D212" t="s">
        <v>7729</v>
      </c>
    </row>
    <row r="213" spans="1:4" ht="20" customHeight="1">
      <c r="A213" t="s">
        <v>7730</v>
      </c>
      <c r="B213" t="s">
        <v>465</v>
      </c>
      <c r="C213">
        <v>0.01</v>
      </c>
      <c r="D213" t="s">
        <v>7729</v>
      </c>
    </row>
    <row r="214" spans="1:4" ht="20" customHeight="1">
      <c r="A214" t="s">
        <v>7730</v>
      </c>
      <c r="B214" t="s">
        <v>468</v>
      </c>
      <c r="C214">
        <v>0.01</v>
      </c>
      <c r="D214" t="s">
        <v>7729</v>
      </c>
    </row>
    <row r="215" spans="1:4" ht="20" customHeight="1">
      <c r="A215" t="s">
        <v>7730</v>
      </c>
      <c r="B215" t="s">
        <v>471</v>
      </c>
      <c r="C215">
        <v>0.03</v>
      </c>
      <c r="D215" t="s">
        <v>7729</v>
      </c>
    </row>
    <row r="216" spans="1:4" ht="20" customHeight="1">
      <c r="A216" t="s">
        <v>7730</v>
      </c>
      <c r="B216" t="s">
        <v>474</v>
      </c>
      <c r="C216">
        <v>0.01</v>
      </c>
      <c r="D216" t="s">
        <v>7729</v>
      </c>
    </row>
    <row r="217" spans="1:4" ht="20" customHeight="1">
      <c r="A217" t="s">
        <v>7730</v>
      </c>
      <c r="B217" t="s">
        <v>477</v>
      </c>
      <c r="C217">
        <v>0.02</v>
      </c>
      <c r="D217" t="s">
        <v>7729</v>
      </c>
    </row>
    <row r="218" spans="1:4" ht="20" customHeight="1">
      <c r="A218" t="s">
        <v>7730</v>
      </c>
      <c r="B218" t="s">
        <v>480</v>
      </c>
      <c r="C218">
        <v>0.02</v>
      </c>
      <c r="D218" t="s">
        <v>7729</v>
      </c>
    </row>
    <row r="219" spans="1:4" ht="20" customHeight="1">
      <c r="A219" t="s">
        <v>7730</v>
      </c>
      <c r="B219" t="s">
        <v>483</v>
      </c>
      <c r="C219">
        <v>0.02</v>
      </c>
      <c r="D219" t="s">
        <v>7729</v>
      </c>
    </row>
    <row r="220" spans="1:4" ht="20" customHeight="1">
      <c r="A220" t="s">
        <v>7730</v>
      </c>
      <c r="B220" t="s">
        <v>486</v>
      </c>
      <c r="C220">
        <v>0.03</v>
      </c>
      <c r="D220" t="s">
        <v>7729</v>
      </c>
    </row>
    <row r="221" spans="1:4" ht="20" customHeight="1">
      <c r="A221" t="s">
        <v>7730</v>
      </c>
      <c r="B221" t="s">
        <v>489</v>
      </c>
      <c r="C221">
        <v>0.02</v>
      </c>
      <c r="D221" t="s">
        <v>7729</v>
      </c>
    </row>
    <row r="222" spans="1:4" ht="20" customHeight="1">
      <c r="A222" t="s">
        <v>7730</v>
      </c>
      <c r="B222" t="s">
        <v>492</v>
      </c>
      <c r="C222">
        <v>0.03</v>
      </c>
      <c r="D222" t="s">
        <v>7729</v>
      </c>
    </row>
    <row r="223" spans="1:4" ht="20" customHeight="1">
      <c r="A223" t="s">
        <v>7730</v>
      </c>
      <c r="B223" t="s">
        <v>495</v>
      </c>
      <c r="C223">
        <v>0.02</v>
      </c>
      <c r="D223" t="s">
        <v>7729</v>
      </c>
    </row>
    <row r="224" spans="1:4" ht="20" customHeight="1">
      <c r="A224" t="s">
        <v>7730</v>
      </c>
      <c r="B224" t="s">
        <v>4923</v>
      </c>
      <c r="C224">
        <v>0.02</v>
      </c>
      <c r="D224" t="s">
        <v>7729</v>
      </c>
    </row>
    <row r="225" spans="1:4" ht="20" customHeight="1">
      <c r="A225" t="s">
        <v>7730</v>
      </c>
      <c r="B225" t="s">
        <v>498</v>
      </c>
      <c r="C225">
        <v>0.03</v>
      </c>
      <c r="D225" t="s">
        <v>7729</v>
      </c>
    </row>
    <row r="226" spans="1:4" ht="20" customHeight="1">
      <c r="A226" t="s">
        <v>7730</v>
      </c>
      <c r="B226" t="s">
        <v>501</v>
      </c>
      <c r="C226">
        <v>0.02</v>
      </c>
      <c r="D226" t="s">
        <v>7729</v>
      </c>
    </row>
    <row r="227" spans="1:4" ht="20" customHeight="1">
      <c r="A227" t="s">
        <v>7730</v>
      </c>
      <c r="B227" t="s">
        <v>504</v>
      </c>
      <c r="C227">
        <v>0.02</v>
      </c>
      <c r="D227" t="s">
        <v>7729</v>
      </c>
    </row>
    <row r="228" spans="1:4" ht="20" customHeight="1">
      <c r="A228" t="s">
        <v>7730</v>
      </c>
      <c r="B228" t="s">
        <v>507</v>
      </c>
      <c r="C228">
        <v>0.01</v>
      </c>
      <c r="D228" t="s">
        <v>7729</v>
      </c>
    </row>
    <row r="229" spans="1:4" ht="20" customHeight="1">
      <c r="A229" t="s">
        <v>7730</v>
      </c>
      <c r="B229" t="s">
        <v>510</v>
      </c>
      <c r="C229">
        <v>0.02</v>
      </c>
      <c r="D229" t="s">
        <v>7729</v>
      </c>
    </row>
    <row r="230" spans="1:4" ht="20" customHeight="1">
      <c r="A230" t="s">
        <v>7730</v>
      </c>
      <c r="B230" t="s">
        <v>513</v>
      </c>
      <c r="C230">
        <v>0.02</v>
      </c>
      <c r="D230" t="s">
        <v>7729</v>
      </c>
    </row>
    <row r="231" spans="1:4" ht="20" customHeight="1">
      <c r="A231" t="s">
        <v>7730</v>
      </c>
      <c r="B231" t="s">
        <v>516</v>
      </c>
      <c r="C231">
        <v>0.03</v>
      </c>
      <c r="D231" t="s">
        <v>7729</v>
      </c>
    </row>
    <row r="232" spans="1:4" ht="20" customHeight="1">
      <c r="A232" t="s">
        <v>7730</v>
      </c>
      <c r="B232" t="s">
        <v>519</v>
      </c>
      <c r="C232">
        <v>0.02</v>
      </c>
      <c r="D232" t="s">
        <v>7729</v>
      </c>
    </row>
    <row r="233" spans="1:4" ht="20" customHeight="1">
      <c r="A233" t="s">
        <v>7730</v>
      </c>
      <c r="B233" t="s">
        <v>522</v>
      </c>
      <c r="C233">
        <v>0.02</v>
      </c>
      <c r="D233" t="s">
        <v>7729</v>
      </c>
    </row>
    <row r="234" spans="1:4" ht="20" customHeight="1">
      <c r="A234" t="s">
        <v>7730</v>
      </c>
      <c r="B234" t="s">
        <v>525</v>
      </c>
      <c r="C234">
        <v>0.02</v>
      </c>
      <c r="D234" t="s">
        <v>7729</v>
      </c>
    </row>
    <row r="235" spans="1:4" ht="20" customHeight="1">
      <c r="A235" t="s">
        <v>7730</v>
      </c>
      <c r="B235" t="s">
        <v>528</v>
      </c>
      <c r="C235">
        <v>0.02</v>
      </c>
      <c r="D235" t="s">
        <v>7729</v>
      </c>
    </row>
    <row r="236" spans="1:4" ht="20" customHeight="1">
      <c r="A236" t="s">
        <v>7730</v>
      </c>
      <c r="B236" t="s">
        <v>531</v>
      </c>
      <c r="C236">
        <v>0.03</v>
      </c>
      <c r="D236" t="s">
        <v>7729</v>
      </c>
    </row>
    <row r="237" spans="1:4" ht="20" customHeight="1">
      <c r="A237" t="s">
        <v>7730</v>
      </c>
      <c r="B237" t="s">
        <v>534</v>
      </c>
      <c r="C237">
        <v>0.03</v>
      </c>
      <c r="D237" t="s">
        <v>7729</v>
      </c>
    </row>
    <row r="238" spans="1:4" ht="20" customHeight="1">
      <c r="A238" t="s">
        <v>7730</v>
      </c>
      <c r="B238" t="s">
        <v>537</v>
      </c>
      <c r="C238">
        <v>0.03</v>
      </c>
      <c r="D238" t="s">
        <v>7729</v>
      </c>
    </row>
    <row r="239" spans="1:4" ht="20" customHeight="1">
      <c r="A239" t="s">
        <v>7730</v>
      </c>
      <c r="B239" t="s">
        <v>540</v>
      </c>
      <c r="C239">
        <v>0.03</v>
      </c>
      <c r="D239" t="s">
        <v>7729</v>
      </c>
    </row>
    <row r="240" spans="1:4" ht="20" customHeight="1">
      <c r="A240" t="s">
        <v>7730</v>
      </c>
      <c r="B240" t="s">
        <v>543</v>
      </c>
      <c r="C240">
        <v>0.03</v>
      </c>
      <c r="D240" t="s">
        <v>7729</v>
      </c>
    </row>
    <row r="241" spans="1:4" ht="20" customHeight="1">
      <c r="A241" t="s">
        <v>7730</v>
      </c>
      <c r="B241" t="s">
        <v>546</v>
      </c>
      <c r="C241">
        <v>0.01</v>
      </c>
      <c r="D241" t="s">
        <v>7729</v>
      </c>
    </row>
    <row r="242" spans="1:4" ht="20" customHeight="1">
      <c r="A242" t="s">
        <v>7730</v>
      </c>
      <c r="B242" t="s">
        <v>549</v>
      </c>
      <c r="C242">
        <v>0.01</v>
      </c>
      <c r="D242" t="s">
        <v>7729</v>
      </c>
    </row>
    <row r="243" spans="1:4" ht="20" customHeight="1">
      <c r="A243" t="s">
        <v>7730</v>
      </c>
      <c r="B243" t="s">
        <v>552</v>
      </c>
      <c r="C243">
        <v>0.01</v>
      </c>
      <c r="D243" t="s">
        <v>7729</v>
      </c>
    </row>
    <row r="244" spans="1:4" ht="20" customHeight="1">
      <c r="A244" t="s">
        <v>7730</v>
      </c>
      <c r="B244" t="s">
        <v>555</v>
      </c>
      <c r="C244">
        <v>0.01</v>
      </c>
      <c r="D244" t="s">
        <v>7729</v>
      </c>
    </row>
    <row r="245" spans="1:4" ht="20" customHeight="1">
      <c r="A245" t="s">
        <v>7730</v>
      </c>
      <c r="B245" t="s">
        <v>558</v>
      </c>
      <c r="C245">
        <v>0.04</v>
      </c>
      <c r="D245" t="s">
        <v>7729</v>
      </c>
    </row>
    <row r="246" spans="1:4" ht="20" customHeight="1">
      <c r="A246" t="s">
        <v>7730</v>
      </c>
      <c r="B246" t="s">
        <v>561</v>
      </c>
      <c r="C246">
        <v>0.02</v>
      </c>
      <c r="D246" t="s">
        <v>7729</v>
      </c>
    </row>
    <row r="247" spans="1:4" ht="20" customHeight="1">
      <c r="A247" t="s">
        <v>7730</v>
      </c>
      <c r="B247" t="s">
        <v>564</v>
      </c>
      <c r="C247">
        <v>0.02</v>
      </c>
      <c r="D247" t="s">
        <v>7729</v>
      </c>
    </row>
    <row r="248" spans="1:4" ht="20" customHeight="1">
      <c r="A248" t="s">
        <v>7730</v>
      </c>
      <c r="B248" t="s">
        <v>567</v>
      </c>
      <c r="C248">
        <v>0.02</v>
      </c>
      <c r="D248" t="s">
        <v>7729</v>
      </c>
    </row>
    <row r="249" spans="1:4" ht="20" customHeight="1">
      <c r="A249" t="s">
        <v>7730</v>
      </c>
      <c r="B249" t="s">
        <v>570</v>
      </c>
      <c r="C249">
        <v>0.02</v>
      </c>
      <c r="D249" t="s">
        <v>7729</v>
      </c>
    </row>
    <row r="250" spans="1:4" ht="20" customHeight="1">
      <c r="A250" t="s">
        <v>7730</v>
      </c>
      <c r="B250" t="s">
        <v>573</v>
      </c>
      <c r="C250">
        <v>0.02</v>
      </c>
      <c r="D250" t="s">
        <v>7729</v>
      </c>
    </row>
    <row r="251" spans="1:4" ht="20" customHeight="1">
      <c r="A251" t="s">
        <v>7730</v>
      </c>
      <c r="B251" t="s">
        <v>576</v>
      </c>
      <c r="C251">
        <v>0.01</v>
      </c>
      <c r="D251" t="s">
        <v>7729</v>
      </c>
    </row>
    <row r="252" spans="1:4" ht="20" customHeight="1">
      <c r="A252" t="s">
        <v>7730</v>
      </c>
      <c r="B252" t="s">
        <v>579</v>
      </c>
      <c r="C252">
        <v>0.02</v>
      </c>
      <c r="D252" t="s">
        <v>7729</v>
      </c>
    </row>
    <row r="253" spans="1:4" ht="20" customHeight="1">
      <c r="A253" t="s">
        <v>7730</v>
      </c>
      <c r="B253" t="s">
        <v>582</v>
      </c>
      <c r="C253">
        <v>0.02</v>
      </c>
      <c r="D253" t="s">
        <v>7729</v>
      </c>
    </row>
    <row r="254" spans="1:4" ht="20" customHeight="1">
      <c r="A254" t="s">
        <v>7730</v>
      </c>
      <c r="B254" t="s">
        <v>585</v>
      </c>
      <c r="C254">
        <v>0.01</v>
      </c>
      <c r="D254" t="s">
        <v>7729</v>
      </c>
    </row>
    <row r="255" spans="1:4" ht="20" customHeight="1">
      <c r="A255" t="s">
        <v>7730</v>
      </c>
      <c r="B255" t="s">
        <v>588</v>
      </c>
      <c r="C255">
        <v>0.02</v>
      </c>
      <c r="D255" t="s">
        <v>7729</v>
      </c>
    </row>
    <row r="256" spans="1:4" ht="20" customHeight="1">
      <c r="A256" t="s">
        <v>7730</v>
      </c>
      <c r="B256" t="s">
        <v>591</v>
      </c>
      <c r="C256">
        <v>0.02</v>
      </c>
      <c r="D256" t="s">
        <v>7729</v>
      </c>
    </row>
    <row r="257" spans="1:4" ht="20" customHeight="1">
      <c r="A257" t="s">
        <v>7730</v>
      </c>
      <c r="B257" t="s">
        <v>594</v>
      </c>
      <c r="C257">
        <v>0.01</v>
      </c>
      <c r="D257" t="s">
        <v>7729</v>
      </c>
    </row>
    <row r="258" spans="1:4" ht="20" customHeight="1">
      <c r="A258" t="s">
        <v>7730</v>
      </c>
      <c r="B258" t="s">
        <v>597</v>
      </c>
      <c r="C258">
        <v>0.01</v>
      </c>
      <c r="D258" t="s">
        <v>7729</v>
      </c>
    </row>
    <row r="259" spans="1:4" ht="20" customHeight="1">
      <c r="A259" t="s">
        <v>7730</v>
      </c>
      <c r="B259" t="s">
        <v>600</v>
      </c>
      <c r="C259">
        <v>0.01</v>
      </c>
      <c r="D259" t="s">
        <v>7729</v>
      </c>
    </row>
    <row r="260" spans="1:4" ht="20" customHeight="1">
      <c r="A260" t="s">
        <v>7730</v>
      </c>
      <c r="B260" t="s">
        <v>603</v>
      </c>
      <c r="C260">
        <v>0.02</v>
      </c>
      <c r="D260" t="s">
        <v>7729</v>
      </c>
    </row>
    <row r="261" spans="1:4" ht="20" customHeight="1">
      <c r="A261" t="s">
        <v>7730</v>
      </c>
      <c r="B261" t="s">
        <v>606</v>
      </c>
      <c r="C261">
        <v>0.02</v>
      </c>
      <c r="D261" t="s">
        <v>7729</v>
      </c>
    </row>
    <row r="262" spans="1:4" ht="20" customHeight="1">
      <c r="A262" t="s">
        <v>7730</v>
      </c>
      <c r="B262" t="s">
        <v>609</v>
      </c>
      <c r="C262">
        <v>0.02</v>
      </c>
      <c r="D262" t="s">
        <v>7729</v>
      </c>
    </row>
    <row r="263" spans="1:4" ht="20" customHeight="1">
      <c r="A263" t="s">
        <v>7730</v>
      </c>
      <c r="B263" t="s">
        <v>612</v>
      </c>
      <c r="C263">
        <v>0.02</v>
      </c>
      <c r="D263" t="s">
        <v>7729</v>
      </c>
    </row>
    <row r="264" spans="1:4" ht="20" customHeight="1">
      <c r="A264" t="s">
        <v>7730</v>
      </c>
      <c r="B264" t="s">
        <v>615</v>
      </c>
      <c r="C264">
        <v>0.01</v>
      </c>
      <c r="D264" t="s">
        <v>7729</v>
      </c>
    </row>
    <row r="265" spans="1:4" ht="20" customHeight="1">
      <c r="A265" t="s">
        <v>7730</v>
      </c>
      <c r="B265" t="s">
        <v>618</v>
      </c>
      <c r="C265">
        <v>0.02</v>
      </c>
      <c r="D265" t="s">
        <v>7729</v>
      </c>
    </row>
    <row r="266" spans="1:4" ht="20" customHeight="1">
      <c r="A266" t="s">
        <v>7730</v>
      </c>
      <c r="B266" t="s">
        <v>621</v>
      </c>
      <c r="C266">
        <v>0.02</v>
      </c>
      <c r="D266" t="s">
        <v>7729</v>
      </c>
    </row>
    <row r="267" spans="1:4" ht="20" customHeight="1">
      <c r="A267" t="s">
        <v>7730</v>
      </c>
      <c r="B267" t="s">
        <v>624</v>
      </c>
      <c r="C267">
        <v>0.02</v>
      </c>
      <c r="D267" t="s">
        <v>7729</v>
      </c>
    </row>
    <row r="268" spans="1:4" ht="20" customHeight="1">
      <c r="A268" t="s">
        <v>7730</v>
      </c>
      <c r="B268" t="s">
        <v>627</v>
      </c>
      <c r="C268">
        <v>0.02</v>
      </c>
      <c r="D268" t="s">
        <v>7729</v>
      </c>
    </row>
    <row r="269" spans="1:4" ht="20" customHeight="1">
      <c r="A269" t="s">
        <v>7730</v>
      </c>
      <c r="B269" t="s">
        <v>630</v>
      </c>
      <c r="C269">
        <v>0.02</v>
      </c>
      <c r="D269" t="s">
        <v>7729</v>
      </c>
    </row>
    <row r="270" spans="1:4" ht="20" customHeight="1">
      <c r="A270" t="s">
        <v>7730</v>
      </c>
      <c r="B270" t="s">
        <v>633</v>
      </c>
      <c r="C270">
        <v>0.02</v>
      </c>
      <c r="D270" t="s">
        <v>7729</v>
      </c>
    </row>
    <row r="271" spans="1:4" ht="20" customHeight="1">
      <c r="A271" t="s">
        <v>7730</v>
      </c>
      <c r="B271" t="s">
        <v>636</v>
      </c>
      <c r="C271">
        <v>0.03</v>
      </c>
      <c r="D271" t="s">
        <v>7729</v>
      </c>
    </row>
    <row r="272" spans="1:4" ht="20" customHeight="1">
      <c r="A272" t="s">
        <v>7730</v>
      </c>
      <c r="B272" t="s">
        <v>639</v>
      </c>
      <c r="C272">
        <v>0.03</v>
      </c>
      <c r="D272" t="s">
        <v>7729</v>
      </c>
    </row>
    <row r="273" spans="1:4" ht="20" customHeight="1">
      <c r="A273" t="s">
        <v>7730</v>
      </c>
      <c r="B273" t="s">
        <v>642</v>
      </c>
      <c r="C273">
        <v>0.03</v>
      </c>
      <c r="D273" t="s">
        <v>7729</v>
      </c>
    </row>
    <row r="274" spans="1:4" ht="20" customHeight="1">
      <c r="A274" t="s">
        <v>7730</v>
      </c>
      <c r="B274" t="s">
        <v>645</v>
      </c>
      <c r="C274">
        <v>0.03</v>
      </c>
      <c r="D274" t="s">
        <v>7729</v>
      </c>
    </row>
    <row r="275" spans="1:4" ht="20" customHeight="1">
      <c r="A275" t="s">
        <v>7730</v>
      </c>
      <c r="B275" t="s">
        <v>648</v>
      </c>
      <c r="C275">
        <v>0.03</v>
      </c>
      <c r="D275" t="s">
        <v>7729</v>
      </c>
    </row>
    <row r="276" spans="1:4" ht="20" customHeight="1">
      <c r="A276" t="s">
        <v>7730</v>
      </c>
      <c r="B276" t="s">
        <v>651</v>
      </c>
      <c r="C276">
        <v>0.04</v>
      </c>
      <c r="D276" t="s">
        <v>7729</v>
      </c>
    </row>
    <row r="277" spans="1:4" ht="20" customHeight="1">
      <c r="A277" t="s">
        <v>7730</v>
      </c>
      <c r="B277" t="s">
        <v>654</v>
      </c>
      <c r="C277">
        <v>0.04</v>
      </c>
      <c r="D277" t="s">
        <v>7729</v>
      </c>
    </row>
    <row r="278" spans="1:4" ht="20" customHeight="1">
      <c r="A278" t="s">
        <v>7730</v>
      </c>
      <c r="B278" t="s">
        <v>657</v>
      </c>
      <c r="C278">
        <v>0.05</v>
      </c>
      <c r="D278" t="s">
        <v>7729</v>
      </c>
    </row>
    <row r="279" spans="1:4" ht="20" customHeight="1">
      <c r="A279" t="s">
        <v>7730</v>
      </c>
      <c r="B279" t="s">
        <v>660</v>
      </c>
      <c r="C279">
        <v>0.05</v>
      </c>
      <c r="D279" t="s">
        <v>7729</v>
      </c>
    </row>
    <row r="280" spans="1:4" ht="20" customHeight="1">
      <c r="A280" t="s">
        <v>7730</v>
      </c>
      <c r="B280" t="s">
        <v>663</v>
      </c>
      <c r="C280">
        <v>0.04</v>
      </c>
      <c r="D280" t="s">
        <v>7729</v>
      </c>
    </row>
    <row r="281" spans="1:4" ht="20" customHeight="1">
      <c r="A281" t="s">
        <v>7730</v>
      </c>
      <c r="B281" t="s">
        <v>666</v>
      </c>
      <c r="C281">
        <v>0.05</v>
      </c>
      <c r="D281" t="s">
        <v>7729</v>
      </c>
    </row>
    <row r="282" spans="1:4" ht="20" customHeight="1">
      <c r="A282" t="s">
        <v>7730</v>
      </c>
      <c r="B282" t="s">
        <v>669</v>
      </c>
      <c r="C282">
        <v>0.05</v>
      </c>
      <c r="D282" t="s">
        <v>7729</v>
      </c>
    </row>
    <row r="283" spans="1:4" ht="20" customHeight="1">
      <c r="A283" t="s">
        <v>7730</v>
      </c>
      <c r="B283" t="s">
        <v>672</v>
      </c>
      <c r="C283">
        <v>0.06</v>
      </c>
      <c r="D283" t="s">
        <v>7729</v>
      </c>
    </row>
    <row r="284" spans="1:4" ht="20" customHeight="1">
      <c r="A284" t="s">
        <v>7730</v>
      </c>
      <c r="B284" t="s">
        <v>675</v>
      </c>
      <c r="C284">
        <v>0.05</v>
      </c>
      <c r="D284" t="s">
        <v>7729</v>
      </c>
    </row>
    <row r="285" spans="1:4" ht="20" customHeight="1">
      <c r="A285" t="s">
        <v>7730</v>
      </c>
      <c r="B285" t="s">
        <v>678</v>
      </c>
      <c r="C285">
        <v>0.04</v>
      </c>
      <c r="D285" t="s">
        <v>7729</v>
      </c>
    </row>
    <row r="286" spans="1:4" ht="20" customHeight="1">
      <c r="A286" t="s">
        <v>7730</v>
      </c>
      <c r="B286" t="s">
        <v>681</v>
      </c>
      <c r="C286">
        <v>0.05</v>
      </c>
      <c r="D286" t="s">
        <v>7729</v>
      </c>
    </row>
    <row r="287" spans="1:4" ht="20" customHeight="1">
      <c r="A287" t="s">
        <v>7730</v>
      </c>
      <c r="B287" t="s">
        <v>684</v>
      </c>
      <c r="C287">
        <v>0.05</v>
      </c>
      <c r="D287" t="s">
        <v>7729</v>
      </c>
    </row>
    <row r="288" spans="1:4" ht="20" customHeight="1">
      <c r="A288" t="s">
        <v>7730</v>
      </c>
      <c r="B288" t="s">
        <v>687</v>
      </c>
      <c r="C288">
        <v>0.05</v>
      </c>
      <c r="D288" t="s">
        <v>7729</v>
      </c>
    </row>
    <row r="289" spans="1:4" ht="20" customHeight="1">
      <c r="A289" t="s">
        <v>7730</v>
      </c>
      <c r="B289" t="s">
        <v>690</v>
      </c>
      <c r="C289">
        <v>0.05</v>
      </c>
      <c r="D289" t="s">
        <v>7729</v>
      </c>
    </row>
    <row r="290" spans="1:4" ht="20" customHeight="1">
      <c r="A290" t="s">
        <v>7730</v>
      </c>
      <c r="B290" t="s">
        <v>693</v>
      </c>
      <c r="C290">
        <v>0.05</v>
      </c>
      <c r="D290" t="s">
        <v>7729</v>
      </c>
    </row>
    <row r="291" spans="1:4" ht="20" customHeight="1">
      <c r="A291" t="s">
        <v>7730</v>
      </c>
      <c r="B291" t="s">
        <v>696</v>
      </c>
      <c r="C291">
        <v>0.06</v>
      </c>
      <c r="D291" t="s">
        <v>7729</v>
      </c>
    </row>
    <row r="292" spans="1:4" ht="20" customHeight="1">
      <c r="A292" t="s">
        <v>7730</v>
      </c>
      <c r="B292" t="s">
        <v>699</v>
      </c>
      <c r="C292">
        <v>0.06</v>
      </c>
      <c r="D292" t="s">
        <v>7729</v>
      </c>
    </row>
    <row r="293" spans="1:4" ht="20" customHeight="1">
      <c r="A293" t="s">
        <v>7730</v>
      </c>
      <c r="B293" t="s">
        <v>702</v>
      </c>
      <c r="C293">
        <v>0.05</v>
      </c>
      <c r="D293" t="s">
        <v>7729</v>
      </c>
    </row>
    <row r="294" spans="1:4" ht="20" customHeight="1">
      <c r="A294" t="s">
        <v>7730</v>
      </c>
      <c r="B294" t="s">
        <v>705</v>
      </c>
      <c r="C294">
        <v>0.05</v>
      </c>
      <c r="D294" t="s">
        <v>7729</v>
      </c>
    </row>
    <row r="295" spans="1:4" ht="20" customHeight="1">
      <c r="A295" t="s">
        <v>7730</v>
      </c>
      <c r="B295" t="s">
        <v>708</v>
      </c>
      <c r="C295">
        <v>0.06</v>
      </c>
      <c r="D295" t="s">
        <v>7729</v>
      </c>
    </row>
    <row r="296" spans="1:4" ht="20" customHeight="1">
      <c r="A296" t="s">
        <v>7730</v>
      </c>
      <c r="B296" t="s">
        <v>711</v>
      </c>
      <c r="C296">
        <v>0.05</v>
      </c>
      <c r="D296" t="s">
        <v>7729</v>
      </c>
    </row>
    <row r="297" spans="1:4" ht="20" customHeight="1">
      <c r="A297" t="s">
        <v>7730</v>
      </c>
      <c r="B297" t="s">
        <v>714</v>
      </c>
      <c r="C297">
        <v>0.05</v>
      </c>
      <c r="D297" t="s">
        <v>7729</v>
      </c>
    </row>
    <row r="298" spans="1:4" ht="20" customHeight="1">
      <c r="A298" t="s">
        <v>7730</v>
      </c>
      <c r="B298" t="s">
        <v>717</v>
      </c>
      <c r="C298">
        <v>0.05</v>
      </c>
      <c r="D298" t="s">
        <v>7729</v>
      </c>
    </row>
    <row r="299" spans="1:4" ht="20" customHeight="1">
      <c r="A299" t="s">
        <v>7730</v>
      </c>
      <c r="B299" t="s">
        <v>720</v>
      </c>
      <c r="C299">
        <v>0.05</v>
      </c>
      <c r="D299" t="s">
        <v>7729</v>
      </c>
    </row>
    <row r="300" spans="1:4" ht="20" customHeight="1">
      <c r="A300" t="s">
        <v>7730</v>
      </c>
      <c r="B300" t="s">
        <v>723</v>
      </c>
      <c r="C300">
        <v>0.05</v>
      </c>
      <c r="D300" t="s">
        <v>7729</v>
      </c>
    </row>
    <row r="301" spans="1:4" ht="20" customHeight="1">
      <c r="A301" t="s">
        <v>7730</v>
      </c>
      <c r="B301" t="s">
        <v>726</v>
      </c>
      <c r="C301">
        <v>0.05</v>
      </c>
      <c r="D301" t="s">
        <v>7729</v>
      </c>
    </row>
    <row r="302" spans="1:4" ht="20" customHeight="1">
      <c r="A302" t="s">
        <v>7730</v>
      </c>
      <c r="B302" t="s">
        <v>729</v>
      </c>
      <c r="C302">
        <v>0.05</v>
      </c>
      <c r="D302" t="s">
        <v>7729</v>
      </c>
    </row>
    <row r="303" spans="1:4" ht="20" customHeight="1">
      <c r="A303" t="s">
        <v>7730</v>
      </c>
      <c r="B303" t="s">
        <v>732</v>
      </c>
      <c r="C303">
        <v>0.05</v>
      </c>
      <c r="D303" t="s">
        <v>7729</v>
      </c>
    </row>
    <row r="304" spans="1:4" ht="20" customHeight="1">
      <c r="A304" t="s">
        <v>7730</v>
      </c>
      <c r="B304" t="s">
        <v>735</v>
      </c>
      <c r="C304">
        <v>0.05</v>
      </c>
      <c r="D304" t="s">
        <v>7729</v>
      </c>
    </row>
    <row r="305" spans="1:4" ht="20" customHeight="1">
      <c r="A305" t="s">
        <v>7730</v>
      </c>
      <c r="B305" t="s">
        <v>738</v>
      </c>
      <c r="C305">
        <v>0.05</v>
      </c>
      <c r="D305" t="s">
        <v>7729</v>
      </c>
    </row>
    <row r="306" spans="1:4" ht="20" customHeight="1">
      <c r="A306" t="s">
        <v>7730</v>
      </c>
      <c r="B306" t="s">
        <v>741</v>
      </c>
      <c r="C306">
        <v>0.06</v>
      </c>
      <c r="D306" t="s">
        <v>7729</v>
      </c>
    </row>
    <row r="307" spans="1:4" ht="20" customHeight="1">
      <c r="A307" t="s">
        <v>7730</v>
      </c>
      <c r="B307" t="s">
        <v>744</v>
      </c>
      <c r="C307">
        <v>0.06</v>
      </c>
      <c r="D307" t="s">
        <v>7729</v>
      </c>
    </row>
    <row r="308" spans="1:4" ht="20" customHeight="1">
      <c r="A308" t="s">
        <v>7730</v>
      </c>
      <c r="B308" t="s">
        <v>747</v>
      </c>
      <c r="C308">
        <v>0.05</v>
      </c>
      <c r="D308" t="s">
        <v>7729</v>
      </c>
    </row>
    <row r="309" spans="1:4" ht="20" customHeight="1">
      <c r="A309" t="s">
        <v>7730</v>
      </c>
      <c r="B309" t="s">
        <v>750</v>
      </c>
      <c r="C309">
        <v>0.05</v>
      </c>
      <c r="D309" t="s">
        <v>7729</v>
      </c>
    </row>
    <row r="310" spans="1:4" ht="20" customHeight="1">
      <c r="A310" t="s">
        <v>7730</v>
      </c>
      <c r="B310" t="s">
        <v>753</v>
      </c>
      <c r="C310">
        <v>0.05</v>
      </c>
      <c r="D310" t="s">
        <v>7729</v>
      </c>
    </row>
    <row r="311" spans="1:4" ht="20" customHeight="1">
      <c r="A311" t="s">
        <v>7730</v>
      </c>
      <c r="B311" t="s">
        <v>756</v>
      </c>
      <c r="C311">
        <v>0.05</v>
      </c>
      <c r="D311" t="s">
        <v>7729</v>
      </c>
    </row>
    <row r="312" spans="1:4" ht="20" customHeight="1">
      <c r="A312" t="s">
        <v>7730</v>
      </c>
      <c r="B312" t="s">
        <v>759</v>
      </c>
      <c r="C312">
        <v>0.06</v>
      </c>
      <c r="D312" t="s">
        <v>7729</v>
      </c>
    </row>
    <row r="313" spans="1:4" ht="20" customHeight="1">
      <c r="A313" t="s">
        <v>7730</v>
      </c>
      <c r="B313" t="s">
        <v>762</v>
      </c>
      <c r="C313">
        <v>0.06</v>
      </c>
      <c r="D313" t="s">
        <v>7729</v>
      </c>
    </row>
    <row r="314" spans="1:4" ht="20" customHeight="1">
      <c r="A314" t="s">
        <v>7730</v>
      </c>
      <c r="B314" t="s">
        <v>765</v>
      </c>
      <c r="C314">
        <v>0.05</v>
      </c>
      <c r="D314" t="s">
        <v>7729</v>
      </c>
    </row>
    <row r="315" spans="1:4" ht="20" customHeight="1">
      <c r="A315" t="s">
        <v>7730</v>
      </c>
      <c r="B315" t="s">
        <v>768</v>
      </c>
      <c r="C315">
        <v>0.05</v>
      </c>
      <c r="D315" t="s">
        <v>7729</v>
      </c>
    </row>
    <row r="316" spans="1:4" ht="20" customHeight="1">
      <c r="A316" t="s">
        <v>7730</v>
      </c>
      <c r="B316" t="s">
        <v>771</v>
      </c>
      <c r="C316">
        <v>0.06</v>
      </c>
      <c r="D316" t="s">
        <v>7729</v>
      </c>
    </row>
    <row r="317" spans="1:4" ht="20" customHeight="1">
      <c r="A317" t="s">
        <v>7730</v>
      </c>
      <c r="B317" t="s">
        <v>774</v>
      </c>
      <c r="C317">
        <v>0.06</v>
      </c>
      <c r="D317" t="s">
        <v>7729</v>
      </c>
    </row>
    <row r="318" spans="1:4" ht="20" customHeight="1">
      <c r="A318" t="s">
        <v>7730</v>
      </c>
      <c r="B318" t="s">
        <v>777</v>
      </c>
      <c r="C318">
        <v>0.06</v>
      </c>
      <c r="D318" t="s">
        <v>7729</v>
      </c>
    </row>
    <row r="319" spans="1:4" ht="20" customHeight="1">
      <c r="A319" t="s">
        <v>7730</v>
      </c>
      <c r="B319" t="s">
        <v>780</v>
      </c>
      <c r="C319">
        <v>0.07000000000000001</v>
      </c>
      <c r="D319" t="s">
        <v>7729</v>
      </c>
    </row>
    <row r="320" spans="1:4" ht="20" customHeight="1">
      <c r="A320" t="s">
        <v>7730</v>
      </c>
      <c r="B320" t="s">
        <v>783</v>
      </c>
      <c r="C320">
        <v>0.07000000000000001</v>
      </c>
      <c r="D320" t="s">
        <v>7729</v>
      </c>
    </row>
    <row r="321" spans="1:4" ht="20" customHeight="1">
      <c r="A321" t="s">
        <v>7730</v>
      </c>
      <c r="B321" t="s">
        <v>786</v>
      </c>
      <c r="C321">
        <v>0.06</v>
      </c>
      <c r="D321" t="s">
        <v>7729</v>
      </c>
    </row>
    <row r="322" spans="1:4" ht="20" customHeight="1">
      <c r="A322" t="s">
        <v>7730</v>
      </c>
      <c r="B322" t="s">
        <v>789</v>
      </c>
      <c r="C322">
        <v>0.05</v>
      </c>
      <c r="D322" t="s">
        <v>7729</v>
      </c>
    </row>
    <row r="323" spans="1:4" ht="20" customHeight="1">
      <c r="A323" t="s">
        <v>7730</v>
      </c>
      <c r="B323" t="s">
        <v>792</v>
      </c>
      <c r="C323">
        <v>0.05</v>
      </c>
      <c r="D323" t="s">
        <v>7729</v>
      </c>
    </row>
    <row r="324" spans="1:4" ht="20" customHeight="1">
      <c r="A324" t="s">
        <v>7730</v>
      </c>
      <c r="B324" t="s">
        <v>795</v>
      </c>
      <c r="C324">
        <v>0.05</v>
      </c>
      <c r="D324" t="s">
        <v>7729</v>
      </c>
    </row>
    <row r="325" spans="1:4" ht="20" customHeight="1">
      <c r="A325" t="s">
        <v>7730</v>
      </c>
      <c r="B325" t="s">
        <v>798</v>
      </c>
      <c r="C325">
        <v>0.06</v>
      </c>
      <c r="D325" t="s">
        <v>7729</v>
      </c>
    </row>
    <row r="326" spans="1:4" ht="20" customHeight="1">
      <c r="A326" t="s">
        <v>7730</v>
      </c>
      <c r="B326" t="s">
        <v>801</v>
      </c>
      <c r="C326">
        <v>0.05</v>
      </c>
      <c r="D326" t="s">
        <v>7729</v>
      </c>
    </row>
    <row r="327" spans="1:4" ht="20" customHeight="1">
      <c r="A327" t="s">
        <v>7730</v>
      </c>
      <c r="B327" t="s">
        <v>804</v>
      </c>
      <c r="C327">
        <v>0.05</v>
      </c>
      <c r="D327" t="s">
        <v>7729</v>
      </c>
    </row>
    <row r="328" spans="1:4" ht="20" customHeight="1">
      <c r="A328" t="s">
        <v>7730</v>
      </c>
      <c r="B328" t="s">
        <v>807</v>
      </c>
      <c r="C328">
        <v>0.05</v>
      </c>
      <c r="D328" t="s">
        <v>7729</v>
      </c>
    </row>
    <row r="329" spans="1:4" ht="20" customHeight="1">
      <c r="A329" t="s">
        <v>7730</v>
      </c>
      <c r="B329" t="s">
        <v>810</v>
      </c>
      <c r="C329">
        <v>0.04</v>
      </c>
      <c r="D329" t="s">
        <v>7729</v>
      </c>
    </row>
    <row r="330" spans="1:4" ht="20" customHeight="1">
      <c r="A330" t="s">
        <v>7730</v>
      </c>
      <c r="B330" t="s">
        <v>813</v>
      </c>
      <c r="C330">
        <v>0.05</v>
      </c>
      <c r="D330" t="s">
        <v>7729</v>
      </c>
    </row>
    <row r="331" spans="1:4" ht="20" customHeight="1">
      <c r="A331" t="s">
        <v>7730</v>
      </c>
      <c r="B331" t="s">
        <v>816</v>
      </c>
      <c r="C331">
        <v>0.05</v>
      </c>
      <c r="D331" t="s">
        <v>7729</v>
      </c>
    </row>
    <row r="332" spans="1:4" ht="20" customHeight="1">
      <c r="A332" t="s">
        <v>7730</v>
      </c>
      <c r="B332" t="s">
        <v>819</v>
      </c>
      <c r="C332">
        <v>0.05</v>
      </c>
      <c r="D332" t="s">
        <v>7729</v>
      </c>
    </row>
    <row r="333" spans="1:4" ht="20" customHeight="1">
      <c r="A333" t="s">
        <v>7730</v>
      </c>
      <c r="B333" t="s">
        <v>822</v>
      </c>
      <c r="C333">
        <v>0.05</v>
      </c>
      <c r="D333" t="s">
        <v>7729</v>
      </c>
    </row>
    <row r="334" spans="1:4" ht="20" customHeight="1">
      <c r="A334" t="s">
        <v>7730</v>
      </c>
      <c r="B334" t="s">
        <v>825</v>
      </c>
      <c r="C334">
        <v>0.05</v>
      </c>
      <c r="D334" t="s">
        <v>7729</v>
      </c>
    </row>
    <row r="335" spans="1:4" ht="20" customHeight="1">
      <c r="A335" t="s">
        <v>7730</v>
      </c>
      <c r="B335" t="s">
        <v>828</v>
      </c>
      <c r="C335">
        <v>0.04</v>
      </c>
      <c r="D335" t="s">
        <v>7729</v>
      </c>
    </row>
    <row r="336" spans="1:4" ht="20" customHeight="1">
      <c r="A336" t="s">
        <v>7730</v>
      </c>
      <c r="B336" t="s">
        <v>831</v>
      </c>
      <c r="C336">
        <v>0.05</v>
      </c>
      <c r="D336" t="s">
        <v>7729</v>
      </c>
    </row>
    <row r="337" spans="1:4" ht="20" customHeight="1">
      <c r="A337" t="s">
        <v>7730</v>
      </c>
      <c r="B337" t="s">
        <v>834</v>
      </c>
      <c r="C337">
        <v>0.06</v>
      </c>
      <c r="D337" t="s">
        <v>7729</v>
      </c>
    </row>
    <row r="338" spans="1:4" ht="20" customHeight="1">
      <c r="A338" t="s">
        <v>7730</v>
      </c>
      <c r="B338" t="s">
        <v>837</v>
      </c>
      <c r="C338">
        <v>0.04</v>
      </c>
      <c r="D338" t="s">
        <v>7729</v>
      </c>
    </row>
    <row r="339" spans="1:4" ht="20" customHeight="1">
      <c r="A339" t="s">
        <v>7730</v>
      </c>
      <c r="B339" t="s">
        <v>840</v>
      </c>
      <c r="C339">
        <v>0.04</v>
      </c>
      <c r="D339" t="s">
        <v>7729</v>
      </c>
    </row>
    <row r="340" spans="1:4" ht="20" customHeight="1">
      <c r="A340" t="s">
        <v>7730</v>
      </c>
      <c r="B340" t="s">
        <v>843</v>
      </c>
      <c r="C340">
        <v>0.04</v>
      </c>
      <c r="D340" t="s">
        <v>7729</v>
      </c>
    </row>
    <row r="341" spans="1:4" ht="20" customHeight="1">
      <c r="A341" t="s">
        <v>7730</v>
      </c>
      <c r="B341" t="s">
        <v>846</v>
      </c>
      <c r="C341">
        <v>0.04</v>
      </c>
      <c r="D341" t="s">
        <v>7729</v>
      </c>
    </row>
    <row r="342" spans="1:4" ht="20" customHeight="1">
      <c r="A342" t="s">
        <v>7730</v>
      </c>
      <c r="B342" t="s">
        <v>849</v>
      </c>
      <c r="C342">
        <v>0.04</v>
      </c>
      <c r="D342" t="s">
        <v>7729</v>
      </c>
    </row>
    <row r="343" spans="1:4" ht="20" customHeight="1">
      <c r="A343" t="s">
        <v>7730</v>
      </c>
      <c r="B343" t="s">
        <v>852</v>
      </c>
      <c r="C343">
        <v>0.03</v>
      </c>
      <c r="D343" t="s">
        <v>7729</v>
      </c>
    </row>
    <row r="344" spans="1:4" ht="20" customHeight="1">
      <c r="A344" t="s">
        <v>7730</v>
      </c>
      <c r="B344" t="s">
        <v>855</v>
      </c>
      <c r="C344">
        <v>0.03</v>
      </c>
      <c r="D344" t="s">
        <v>7729</v>
      </c>
    </row>
    <row r="345" spans="1:4" ht="20" customHeight="1">
      <c r="A345" t="s">
        <v>7730</v>
      </c>
      <c r="B345" t="s">
        <v>858</v>
      </c>
      <c r="C345">
        <v>0.03</v>
      </c>
      <c r="D345" t="s">
        <v>7729</v>
      </c>
    </row>
    <row r="346" spans="1:4" ht="20" customHeight="1">
      <c r="A346" t="s">
        <v>7730</v>
      </c>
      <c r="B346" t="s">
        <v>861</v>
      </c>
      <c r="C346">
        <v>0.03</v>
      </c>
      <c r="D346" t="s">
        <v>7729</v>
      </c>
    </row>
    <row r="347" spans="1:4" ht="20" customHeight="1">
      <c r="A347" t="s">
        <v>7730</v>
      </c>
      <c r="B347" t="s">
        <v>864</v>
      </c>
      <c r="C347">
        <v>0.04</v>
      </c>
      <c r="D347" t="s">
        <v>7729</v>
      </c>
    </row>
    <row r="348" spans="1:4" ht="20" customHeight="1">
      <c r="A348" t="s">
        <v>7730</v>
      </c>
      <c r="B348" t="s">
        <v>867</v>
      </c>
      <c r="C348">
        <v>0.04</v>
      </c>
      <c r="D348" t="s">
        <v>7729</v>
      </c>
    </row>
    <row r="349" spans="1:4" ht="20" customHeight="1">
      <c r="A349" t="s">
        <v>7730</v>
      </c>
      <c r="B349" t="s">
        <v>870</v>
      </c>
      <c r="C349">
        <v>0.04</v>
      </c>
      <c r="D349" t="s">
        <v>7729</v>
      </c>
    </row>
    <row r="350" spans="1:4" ht="20" customHeight="1">
      <c r="A350" t="s">
        <v>7730</v>
      </c>
      <c r="B350" t="s">
        <v>873</v>
      </c>
      <c r="C350">
        <v>0.04</v>
      </c>
      <c r="D350" t="s">
        <v>7729</v>
      </c>
    </row>
    <row r="351" spans="1:4" ht="20" customHeight="1">
      <c r="A351" t="s">
        <v>7730</v>
      </c>
      <c r="B351" t="s">
        <v>876</v>
      </c>
      <c r="C351">
        <v>0.04</v>
      </c>
      <c r="D351" t="s">
        <v>7729</v>
      </c>
    </row>
    <row r="352" spans="1:4" ht="20" customHeight="1">
      <c r="A352" t="s">
        <v>7730</v>
      </c>
      <c r="B352" t="s">
        <v>879</v>
      </c>
      <c r="C352">
        <v>0.04</v>
      </c>
      <c r="D352" t="s">
        <v>7729</v>
      </c>
    </row>
    <row r="353" spans="1:4" ht="20" customHeight="1">
      <c r="A353" t="s">
        <v>7730</v>
      </c>
      <c r="B353" t="s">
        <v>882</v>
      </c>
      <c r="C353">
        <v>0.04</v>
      </c>
      <c r="D353" t="s">
        <v>7729</v>
      </c>
    </row>
    <row r="354" spans="1:4" ht="20" customHeight="1">
      <c r="A354" t="s">
        <v>7730</v>
      </c>
      <c r="B354" t="s">
        <v>885</v>
      </c>
      <c r="C354">
        <v>0.04</v>
      </c>
      <c r="D354" t="s">
        <v>7729</v>
      </c>
    </row>
    <row r="355" spans="1:4" ht="20" customHeight="1">
      <c r="A355" t="s">
        <v>7730</v>
      </c>
      <c r="B355" t="s">
        <v>888</v>
      </c>
      <c r="C355">
        <v>0.05</v>
      </c>
      <c r="D355" t="s">
        <v>7729</v>
      </c>
    </row>
    <row r="356" spans="1:4" ht="20" customHeight="1">
      <c r="A356" t="s">
        <v>7730</v>
      </c>
      <c r="B356" t="s">
        <v>891</v>
      </c>
      <c r="C356">
        <v>0.05</v>
      </c>
      <c r="D356" t="s">
        <v>7729</v>
      </c>
    </row>
    <row r="357" spans="1:4" ht="20" customHeight="1">
      <c r="A357" t="s">
        <v>7730</v>
      </c>
      <c r="B357" t="s">
        <v>897</v>
      </c>
      <c r="C357">
        <v>0.06</v>
      </c>
      <c r="D357" t="s">
        <v>7729</v>
      </c>
    </row>
    <row r="358" spans="1:4" ht="20" customHeight="1">
      <c r="A358" t="s">
        <v>7730</v>
      </c>
      <c r="B358" t="s">
        <v>900</v>
      </c>
      <c r="C358">
        <v>0.05</v>
      </c>
      <c r="D358" t="s">
        <v>7729</v>
      </c>
    </row>
    <row r="359" spans="1:4" ht="20" customHeight="1">
      <c r="A359" t="s">
        <v>7730</v>
      </c>
      <c r="B359" t="s">
        <v>903</v>
      </c>
      <c r="C359">
        <v>0.05</v>
      </c>
      <c r="D359" t="s">
        <v>7729</v>
      </c>
    </row>
    <row r="360" spans="1:4" ht="20" customHeight="1">
      <c r="A360" t="s">
        <v>7730</v>
      </c>
      <c r="B360" t="s">
        <v>906</v>
      </c>
      <c r="C360">
        <v>0.05</v>
      </c>
      <c r="D360" t="s">
        <v>7729</v>
      </c>
    </row>
    <row r="361" spans="1:4" ht="20" customHeight="1">
      <c r="A361" t="s">
        <v>7730</v>
      </c>
      <c r="B361" t="s">
        <v>909</v>
      </c>
      <c r="C361">
        <v>0.06</v>
      </c>
      <c r="D361" t="s">
        <v>7729</v>
      </c>
    </row>
    <row r="362" spans="1:4" ht="20" customHeight="1">
      <c r="A362" t="s">
        <v>7730</v>
      </c>
      <c r="B362" t="s">
        <v>912</v>
      </c>
      <c r="C362">
        <v>0.05</v>
      </c>
      <c r="D362" t="s">
        <v>7729</v>
      </c>
    </row>
    <row r="363" spans="1:4" ht="20" customHeight="1">
      <c r="A363" t="s">
        <v>7730</v>
      </c>
      <c r="B363" t="s">
        <v>915</v>
      </c>
      <c r="C363">
        <v>0.05</v>
      </c>
      <c r="D363" t="s">
        <v>7729</v>
      </c>
    </row>
    <row r="364" spans="1:4" ht="20" customHeight="1">
      <c r="A364" t="s">
        <v>7730</v>
      </c>
      <c r="B364" t="s">
        <v>918</v>
      </c>
      <c r="C364">
        <v>0.06</v>
      </c>
      <c r="D364" t="s">
        <v>7729</v>
      </c>
    </row>
    <row r="365" spans="1:4" ht="20" customHeight="1">
      <c r="A365" t="s">
        <v>7730</v>
      </c>
      <c r="B365" t="s">
        <v>921</v>
      </c>
      <c r="C365">
        <v>0.06</v>
      </c>
      <c r="D365" t="s">
        <v>7729</v>
      </c>
    </row>
    <row r="366" spans="1:4" ht="20" customHeight="1">
      <c r="A366" t="s">
        <v>7730</v>
      </c>
      <c r="B366" t="s">
        <v>924</v>
      </c>
      <c r="C366">
        <v>0.06</v>
      </c>
      <c r="D366" t="s">
        <v>7729</v>
      </c>
    </row>
    <row r="367" spans="1:4" ht="20" customHeight="1">
      <c r="A367" t="s">
        <v>7730</v>
      </c>
      <c r="B367" t="s">
        <v>927</v>
      </c>
      <c r="C367">
        <v>0.06</v>
      </c>
      <c r="D367" t="s">
        <v>7729</v>
      </c>
    </row>
    <row r="368" spans="1:4" ht="20" customHeight="1">
      <c r="A368" t="s">
        <v>7730</v>
      </c>
      <c r="B368" t="s">
        <v>930</v>
      </c>
      <c r="C368">
        <v>0.06</v>
      </c>
      <c r="D368" t="s">
        <v>7729</v>
      </c>
    </row>
    <row r="369" spans="1:4" ht="20" customHeight="1">
      <c r="A369" t="s">
        <v>7730</v>
      </c>
      <c r="B369" t="s">
        <v>933</v>
      </c>
      <c r="C369">
        <v>0.06</v>
      </c>
      <c r="D369" t="s">
        <v>7729</v>
      </c>
    </row>
    <row r="370" spans="1:4" ht="20" customHeight="1">
      <c r="A370" t="s">
        <v>7730</v>
      </c>
      <c r="B370" t="s">
        <v>936</v>
      </c>
      <c r="C370">
        <v>0.05</v>
      </c>
      <c r="D370" t="s">
        <v>7729</v>
      </c>
    </row>
    <row r="371" spans="1:4" ht="20" customHeight="1">
      <c r="A371" t="s">
        <v>7730</v>
      </c>
      <c r="B371" t="s">
        <v>939</v>
      </c>
      <c r="C371">
        <v>0.05</v>
      </c>
      <c r="D371" t="s">
        <v>7729</v>
      </c>
    </row>
    <row r="372" spans="1:4" ht="20" customHeight="1">
      <c r="A372" t="s">
        <v>7730</v>
      </c>
      <c r="B372" t="s">
        <v>942</v>
      </c>
      <c r="C372">
        <v>0.05</v>
      </c>
      <c r="D372" t="s">
        <v>7729</v>
      </c>
    </row>
    <row r="373" spans="1:4" ht="20" customHeight="1">
      <c r="A373" t="s">
        <v>7730</v>
      </c>
      <c r="B373" t="s">
        <v>945</v>
      </c>
      <c r="C373">
        <v>0.05</v>
      </c>
      <c r="D373" t="s">
        <v>7729</v>
      </c>
    </row>
    <row r="374" spans="1:4" ht="20" customHeight="1">
      <c r="A374" t="s">
        <v>7730</v>
      </c>
      <c r="B374" t="s">
        <v>948</v>
      </c>
      <c r="C374">
        <v>0.04</v>
      </c>
      <c r="D374" t="s">
        <v>7729</v>
      </c>
    </row>
    <row r="375" spans="1:4" ht="20" customHeight="1">
      <c r="A375" t="s">
        <v>7730</v>
      </c>
      <c r="B375" t="s">
        <v>951</v>
      </c>
      <c r="C375">
        <v>0.05</v>
      </c>
      <c r="D375" t="s">
        <v>7729</v>
      </c>
    </row>
    <row r="376" spans="1:4" ht="20" customHeight="1">
      <c r="A376" t="s">
        <v>7730</v>
      </c>
      <c r="B376" t="s">
        <v>954</v>
      </c>
      <c r="C376">
        <v>0.06</v>
      </c>
      <c r="D376" t="s">
        <v>7729</v>
      </c>
    </row>
    <row r="377" spans="1:4" ht="20" customHeight="1">
      <c r="A377" t="s">
        <v>7730</v>
      </c>
      <c r="B377" t="s">
        <v>957</v>
      </c>
      <c r="C377">
        <v>0.04</v>
      </c>
      <c r="D377" t="s">
        <v>7729</v>
      </c>
    </row>
    <row r="378" spans="1:4" ht="20" customHeight="1">
      <c r="A378" t="s">
        <v>7730</v>
      </c>
      <c r="B378" t="s">
        <v>960</v>
      </c>
      <c r="C378">
        <v>0.05</v>
      </c>
      <c r="D378" t="s">
        <v>7729</v>
      </c>
    </row>
    <row r="379" spans="1:4" ht="20" customHeight="1">
      <c r="A379" t="s">
        <v>7730</v>
      </c>
      <c r="B379" t="s">
        <v>966</v>
      </c>
      <c r="C379">
        <v>0.05</v>
      </c>
      <c r="D379" t="s">
        <v>7729</v>
      </c>
    </row>
    <row r="380" spans="1:4" ht="20" customHeight="1">
      <c r="A380" t="s">
        <v>7730</v>
      </c>
      <c r="B380" t="s">
        <v>969</v>
      </c>
      <c r="C380">
        <v>0.05</v>
      </c>
      <c r="D380" t="s">
        <v>7729</v>
      </c>
    </row>
    <row r="381" spans="1:4" ht="20" customHeight="1">
      <c r="A381" t="s">
        <v>7730</v>
      </c>
      <c r="B381" t="s">
        <v>972</v>
      </c>
      <c r="C381">
        <v>0.05</v>
      </c>
      <c r="D381" t="s">
        <v>7729</v>
      </c>
    </row>
    <row r="382" spans="1:4" ht="20" customHeight="1">
      <c r="A382" t="s">
        <v>7730</v>
      </c>
      <c r="B382" t="s">
        <v>975</v>
      </c>
      <c r="C382">
        <v>0.05</v>
      </c>
      <c r="D382" t="s">
        <v>7729</v>
      </c>
    </row>
    <row r="383" spans="1:4" ht="20" customHeight="1">
      <c r="A383" t="s">
        <v>7730</v>
      </c>
      <c r="B383" t="s">
        <v>978</v>
      </c>
      <c r="C383">
        <v>0.05</v>
      </c>
      <c r="D383" t="s">
        <v>7729</v>
      </c>
    </row>
    <row r="384" spans="1:4" ht="20" customHeight="1">
      <c r="A384" t="s">
        <v>7730</v>
      </c>
      <c r="B384" t="s">
        <v>981</v>
      </c>
      <c r="C384">
        <v>0.05</v>
      </c>
      <c r="D384" t="s">
        <v>7729</v>
      </c>
    </row>
    <row r="385" spans="1:4" ht="20" customHeight="1">
      <c r="A385" t="s">
        <v>7730</v>
      </c>
      <c r="B385" t="s">
        <v>984</v>
      </c>
      <c r="C385">
        <v>0.05</v>
      </c>
      <c r="D385" t="s">
        <v>7729</v>
      </c>
    </row>
    <row r="386" spans="1:4" ht="20" customHeight="1">
      <c r="A386" t="s">
        <v>7730</v>
      </c>
      <c r="B386" t="s">
        <v>987</v>
      </c>
      <c r="C386">
        <v>0.06</v>
      </c>
      <c r="D386" t="s">
        <v>7729</v>
      </c>
    </row>
    <row r="387" spans="1:4" ht="20" customHeight="1">
      <c r="A387" t="s">
        <v>7730</v>
      </c>
      <c r="B387" t="s">
        <v>990</v>
      </c>
      <c r="C387">
        <v>0.06</v>
      </c>
      <c r="D387" t="s">
        <v>7729</v>
      </c>
    </row>
    <row r="388" spans="1:4" ht="20" customHeight="1">
      <c r="A388" t="s">
        <v>7730</v>
      </c>
      <c r="B388" t="s">
        <v>993</v>
      </c>
      <c r="C388">
        <v>0.06</v>
      </c>
      <c r="D388" t="s">
        <v>7729</v>
      </c>
    </row>
    <row r="389" spans="1:4" ht="20" customHeight="1">
      <c r="A389" t="s">
        <v>7730</v>
      </c>
      <c r="B389" t="s">
        <v>996</v>
      </c>
      <c r="C389">
        <v>0.06</v>
      </c>
      <c r="D389" t="s">
        <v>7729</v>
      </c>
    </row>
    <row r="390" spans="1:4" ht="20" customHeight="1">
      <c r="A390" t="s">
        <v>7730</v>
      </c>
      <c r="B390" t="s">
        <v>999</v>
      </c>
      <c r="C390">
        <v>0.05</v>
      </c>
      <c r="D390" t="s">
        <v>7729</v>
      </c>
    </row>
    <row r="391" spans="1:4" ht="20" customHeight="1">
      <c r="A391" t="s">
        <v>7730</v>
      </c>
      <c r="B391" t="s">
        <v>1002</v>
      </c>
      <c r="C391">
        <v>0.06</v>
      </c>
      <c r="D391" t="s">
        <v>7729</v>
      </c>
    </row>
    <row r="392" spans="1:4" ht="20" customHeight="1">
      <c r="A392" t="s">
        <v>7730</v>
      </c>
      <c r="B392" t="s">
        <v>1005</v>
      </c>
      <c r="C392">
        <v>0.05</v>
      </c>
      <c r="D392" t="s">
        <v>7729</v>
      </c>
    </row>
    <row r="393" spans="1:4" ht="20" customHeight="1">
      <c r="A393" t="s">
        <v>7730</v>
      </c>
      <c r="B393" t="s">
        <v>1008</v>
      </c>
      <c r="C393">
        <v>0.06</v>
      </c>
      <c r="D393" t="s">
        <v>7729</v>
      </c>
    </row>
    <row r="394" spans="1:4" ht="20" customHeight="1">
      <c r="A394" t="s">
        <v>7730</v>
      </c>
      <c r="B394" t="s">
        <v>1011</v>
      </c>
      <c r="C394">
        <v>0.05</v>
      </c>
      <c r="D394" t="s">
        <v>7729</v>
      </c>
    </row>
    <row r="395" spans="1:4" ht="20" customHeight="1">
      <c r="A395" t="s">
        <v>7730</v>
      </c>
      <c r="B395" t="s">
        <v>1014</v>
      </c>
      <c r="C395">
        <v>0.06</v>
      </c>
      <c r="D395" t="s">
        <v>7729</v>
      </c>
    </row>
    <row r="396" spans="1:4" ht="20" customHeight="1">
      <c r="A396" t="s">
        <v>7730</v>
      </c>
      <c r="B396" t="s">
        <v>1017</v>
      </c>
      <c r="C396">
        <v>0.07000000000000001</v>
      </c>
      <c r="D396" t="s">
        <v>7729</v>
      </c>
    </row>
    <row r="397" spans="1:4" ht="20" customHeight="1">
      <c r="A397" t="s">
        <v>7730</v>
      </c>
      <c r="B397" t="s">
        <v>1020</v>
      </c>
      <c r="C397">
        <v>0.06</v>
      </c>
      <c r="D397" t="s">
        <v>7729</v>
      </c>
    </row>
    <row r="398" spans="1:4" ht="20" customHeight="1">
      <c r="A398" t="s">
        <v>7730</v>
      </c>
      <c r="B398" t="s">
        <v>1023</v>
      </c>
      <c r="C398">
        <v>0.06</v>
      </c>
      <c r="D398" t="s">
        <v>7729</v>
      </c>
    </row>
    <row r="399" spans="1:4" ht="20" customHeight="1">
      <c r="A399" t="s">
        <v>7730</v>
      </c>
      <c r="B399" t="s">
        <v>1026</v>
      </c>
      <c r="C399">
        <v>0.05</v>
      </c>
      <c r="D399" t="s">
        <v>7729</v>
      </c>
    </row>
    <row r="400" spans="1:4" ht="20" customHeight="1">
      <c r="A400" t="s">
        <v>7730</v>
      </c>
      <c r="B400" t="s">
        <v>1029</v>
      </c>
      <c r="C400">
        <v>0.05</v>
      </c>
      <c r="D400" t="s">
        <v>7729</v>
      </c>
    </row>
    <row r="401" spans="1:4" ht="20" customHeight="1">
      <c r="A401" t="s">
        <v>7730</v>
      </c>
      <c r="B401" t="s">
        <v>1032</v>
      </c>
      <c r="C401">
        <v>0.05</v>
      </c>
      <c r="D401" t="s">
        <v>7729</v>
      </c>
    </row>
    <row r="402" spans="1:4" ht="20" customHeight="1">
      <c r="A402" t="s">
        <v>7730</v>
      </c>
      <c r="B402" t="s">
        <v>1035</v>
      </c>
      <c r="C402">
        <v>0.05</v>
      </c>
      <c r="D402" t="s">
        <v>7729</v>
      </c>
    </row>
    <row r="403" spans="1:4" ht="20" customHeight="1">
      <c r="A403" t="s">
        <v>7730</v>
      </c>
      <c r="B403" t="s">
        <v>1038</v>
      </c>
      <c r="C403">
        <v>0.05</v>
      </c>
      <c r="D403" t="s">
        <v>7729</v>
      </c>
    </row>
    <row r="404" spans="1:4" ht="20" customHeight="1">
      <c r="A404" t="s">
        <v>7730</v>
      </c>
      <c r="B404" t="s">
        <v>1041</v>
      </c>
      <c r="C404">
        <v>0.07000000000000001</v>
      </c>
      <c r="D404" t="s">
        <v>7729</v>
      </c>
    </row>
    <row r="405" spans="1:4" ht="20" customHeight="1">
      <c r="A405" t="s">
        <v>7730</v>
      </c>
      <c r="B405" t="s">
        <v>1044</v>
      </c>
      <c r="C405">
        <v>0.07000000000000001</v>
      </c>
      <c r="D405" t="s">
        <v>7729</v>
      </c>
    </row>
    <row r="406" spans="1:4" ht="20" customHeight="1">
      <c r="A406" t="s">
        <v>7730</v>
      </c>
      <c r="B406" t="s">
        <v>1047</v>
      </c>
      <c r="C406">
        <v>0.08</v>
      </c>
      <c r="D406" t="s">
        <v>7729</v>
      </c>
    </row>
    <row r="407" spans="1:4" ht="20" customHeight="1">
      <c r="A407" t="s">
        <v>7730</v>
      </c>
      <c r="B407" t="s">
        <v>1050</v>
      </c>
      <c r="C407">
        <v>0.07000000000000001</v>
      </c>
      <c r="D407" t="s">
        <v>7729</v>
      </c>
    </row>
    <row r="408" spans="1:4" ht="20" customHeight="1">
      <c r="A408" t="s">
        <v>7730</v>
      </c>
      <c r="B408" t="s">
        <v>1053</v>
      </c>
      <c r="C408">
        <v>0.06</v>
      </c>
      <c r="D408" t="s">
        <v>7729</v>
      </c>
    </row>
    <row r="409" spans="1:4" ht="20" customHeight="1">
      <c r="A409" t="s">
        <v>7730</v>
      </c>
      <c r="B409" t="s">
        <v>1056</v>
      </c>
      <c r="C409">
        <v>0.06</v>
      </c>
      <c r="D409" t="s">
        <v>7729</v>
      </c>
    </row>
    <row r="410" spans="1:4" ht="20" customHeight="1">
      <c r="A410" t="s">
        <v>7730</v>
      </c>
      <c r="B410" t="s">
        <v>1059</v>
      </c>
      <c r="C410">
        <v>0.05</v>
      </c>
      <c r="D410" t="s">
        <v>7729</v>
      </c>
    </row>
    <row r="411" spans="1:4" ht="20" customHeight="1">
      <c r="A411" t="s">
        <v>7730</v>
      </c>
      <c r="B411" t="s">
        <v>1062</v>
      </c>
      <c r="C411">
        <v>0.05</v>
      </c>
      <c r="D411" t="s">
        <v>7729</v>
      </c>
    </row>
    <row r="412" spans="1:4" ht="20" customHeight="1">
      <c r="A412" t="s">
        <v>7730</v>
      </c>
      <c r="B412" t="s">
        <v>1065</v>
      </c>
      <c r="C412">
        <v>0.06</v>
      </c>
      <c r="D412" t="s">
        <v>7729</v>
      </c>
    </row>
    <row r="413" spans="1:4" ht="20" customHeight="1">
      <c r="A413" t="s">
        <v>7730</v>
      </c>
      <c r="B413" t="s">
        <v>1068</v>
      </c>
      <c r="C413">
        <v>0.08</v>
      </c>
      <c r="D413" t="s">
        <v>7729</v>
      </c>
    </row>
    <row r="414" spans="1:4" ht="20" customHeight="1">
      <c r="A414" t="s">
        <v>7730</v>
      </c>
      <c r="B414" t="s">
        <v>1071</v>
      </c>
      <c r="C414">
        <v>0.08</v>
      </c>
      <c r="D414" t="s">
        <v>7729</v>
      </c>
    </row>
    <row r="415" spans="1:4" ht="20" customHeight="1">
      <c r="A415" t="s">
        <v>7730</v>
      </c>
      <c r="B415" t="s">
        <v>1074</v>
      </c>
      <c r="C415">
        <v>0.09</v>
      </c>
      <c r="D415" t="s">
        <v>7729</v>
      </c>
    </row>
    <row r="416" spans="1:4" ht="20" customHeight="1">
      <c r="A416" t="s">
        <v>7730</v>
      </c>
      <c r="B416" t="s">
        <v>1077</v>
      </c>
      <c r="C416">
        <v>0.1</v>
      </c>
      <c r="D416" t="s">
        <v>7729</v>
      </c>
    </row>
    <row r="417" spans="1:4" ht="20" customHeight="1">
      <c r="A417" t="s">
        <v>7730</v>
      </c>
      <c r="B417" t="s">
        <v>1080</v>
      </c>
      <c r="C417">
        <v>0.1</v>
      </c>
      <c r="D417" t="s">
        <v>7729</v>
      </c>
    </row>
    <row r="418" spans="1:4" ht="20" customHeight="1">
      <c r="A418" t="s">
        <v>7730</v>
      </c>
      <c r="B418" t="s">
        <v>1083</v>
      </c>
      <c r="C418">
        <v>0.13</v>
      </c>
      <c r="D418" t="s">
        <v>7729</v>
      </c>
    </row>
    <row r="419" spans="1:4" ht="20" customHeight="1">
      <c r="A419" t="s">
        <v>7730</v>
      </c>
      <c r="B419" t="s">
        <v>1086</v>
      </c>
      <c r="C419">
        <v>0.11</v>
      </c>
      <c r="D419" t="s">
        <v>7729</v>
      </c>
    </row>
    <row r="420" spans="1:4" ht="20" customHeight="1">
      <c r="A420" t="s">
        <v>7730</v>
      </c>
      <c r="B420" t="s">
        <v>1089</v>
      </c>
      <c r="C420">
        <v>0.12</v>
      </c>
      <c r="D420" t="s">
        <v>7729</v>
      </c>
    </row>
    <row r="421" spans="1:4" ht="20" customHeight="1">
      <c r="A421" t="s">
        <v>7730</v>
      </c>
      <c r="B421" t="s">
        <v>1092</v>
      </c>
      <c r="C421">
        <v>0.12</v>
      </c>
      <c r="D421" t="s">
        <v>7729</v>
      </c>
    </row>
    <row r="422" spans="1:4" ht="20" customHeight="1">
      <c r="A422" t="s">
        <v>7730</v>
      </c>
      <c r="B422" t="s">
        <v>1095</v>
      </c>
      <c r="C422">
        <v>0.13</v>
      </c>
      <c r="D422" t="s">
        <v>7729</v>
      </c>
    </row>
    <row r="423" spans="1:4" ht="20" customHeight="1">
      <c r="A423" t="s">
        <v>7730</v>
      </c>
      <c r="B423" t="s">
        <v>1098</v>
      </c>
      <c r="C423">
        <v>0.16</v>
      </c>
      <c r="D423" t="s">
        <v>7729</v>
      </c>
    </row>
    <row r="424" spans="1:4" ht="20" customHeight="1">
      <c r="A424" t="s">
        <v>7730</v>
      </c>
      <c r="B424" t="s">
        <v>1101</v>
      </c>
      <c r="C424">
        <v>0.17</v>
      </c>
      <c r="D424" t="s">
        <v>7729</v>
      </c>
    </row>
    <row r="425" spans="1:4" ht="20" customHeight="1">
      <c r="A425" t="s">
        <v>7730</v>
      </c>
      <c r="B425" t="s">
        <v>1104</v>
      </c>
      <c r="C425">
        <v>0.17</v>
      </c>
      <c r="D425" t="s">
        <v>7729</v>
      </c>
    </row>
    <row r="426" spans="1:4" ht="20" customHeight="1">
      <c r="A426" t="s">
        <v>7730</v>
      </c>
      <c r="B426" t="s">
        <v>1107</v>
      </c>
      <c r="C426">
        <v>0.17</v>
      </c>
      <c r="D426" t="s">
        <v>7729</v>
      </c>
    </row>
    <row r="427" spans="1:4" ht="20" customHeight="1">
      <c r="A427" t="s">
        <v>7730</v>
      </c>
      <c r="B427" t="s">
        <v>1110</v>
      </c>
      <c r="C427">
        <v>0.19</v>
      </c>
      <c r="D427" t="s">
        <v>7729</v>
      </c>
    </row>
    <row r="428" spans="1:4" ht="20" customHeight="1">
      <c r="A428" t="s">
        <v>7730</v>
      </c>
      <c r="B428" t="s">
        <v>1113</v>
      </c>
      <c r="C428">
        <v>0.19</v>
      </c>
      <c r="D428" t="s">
        <v>7729</v>
      </c>
    </row>
    <row r="429" spans="1:4" ht="20" customHeight="1">
      <c r="A429" t="s">
        <v>7730</v>
      </c>
      <c r="B429" t="s">
        <v>1116</v>
      </c>
      <c r="C429">
        <v>0.19</v>
      </c>
      <c r="D429" t="s">
        <v>7729</v>
      </c>
    </row>
    <row r="430" spans="1:4" ht="20" customHeight="1">
      <c r="A430" t="s">
        <v>7730</v>
      </c>
      <c r="B430" t="s">
        <v>1119</v>
      </c>
      <c r="C430">
        <v>0.2</v>
      </c>
      <c r="D430" t="s">
        <v>7729</v>
      </c>
    </row>
    <row r="431" spans="1:4" ht="20" customHeight="1">
      <c r="A431" t="s">
        <v>7730</v>
      </c>
      <c r="B431" t="s">
        <v>1122</v>
      </c>
      <c r="C431">
        <v>0.19</v>
      </c>
      <c r="D431" t="s">
        <v>7729</v>
      </c>
    </row>
    <row r="432" spans="1:4" ht="20" customHeight="1">
      <c r="A432" t="s">
        <v>7730</v>
      </c>
      <c r="B432" t="s">
        <v>1125</v>
      </c>
      <c r="C432">
        <v>0.22</v>
      </c>
      <c r="D432" t="s">
        <v>7729</v>
      </c>
    </row>
    <row r="433" spans="1:4" ht="20" customHeight="1">
      <c r="A433" t="s">
        <v>7730</v>
      </c>
      <c r="B433" t="s">
        <v>1128</v>
      </c>
      <c r="C433">
        <v>0.19</v>
      </c>
      <c r="D433" t="s">
        <v>7729</v>
      </c>
    </row>
    <row r="434" spans="1:4" ht="20" customHeight="1">
      <c r="A434" t="s">
        <v>7730</v>
      </c>
      <c r="B434" t="s">
        <v>1131</v>
      </c>
      <c r="C434">
        <v>0.19</v>
      </c>
      <c r="D434" t="s">
        <v>7729</v>
      </c>
    </row>
    <row r="435" spans="1:4" ht="20" customHeight="1">
      <c r="A435" t="s">
        <v>7730</v>
      </c>
      <c r="B435" t="s">
        <v>1134</v>
      </c>
      <c r="C435">
        <v>0.2</v>
      </c>
      <c r="D435" t="s">
        <v>7729</v>
      </c>
    </row>
    <row r="436" spans="1:4" ht="20" customHeight="1">
      <c r="A436" t="s">
        <v>7730</v>
      </c>
      <c r="B436" t="s">
        <v>1137</v>
      </c>
      <c r="C436">
        <v>0.23</v>
      </c>
      <c r="D436" t="s">
        <v>7729</v>
      </c>
    </row>
    <row r="437" spans="1:4" ht="20" customHeight="1">
      <c r="A437" t="s">
        <v>7730</v>
      </c>
      <c r="B437" t="s">
        <v>1140</v>
      </c>
      <c r="C437">
        <v>0.27</v>
      </c>
      <c r="D437" t="s">
        <v>7729</v>
      </c>
    </row>
    <row r="438" spans="1:4" ht="20" customHeight="1">
      <c r="A438" t="s">
        <v>7730</v>
      </c>
      <c r="B438" t="s">
        <v>1143</v>
      </c>
      <c r="C438">
        <v>0.25</v>
      </c>
      <c r="D438" t="s">
        <v>7729</v>
      </c>
    </row>
    <row r="439" spans="1:4" ht="20" customHeight="1">
      <c r="A439" t="s">
        <v>7730</v>
      </c>
      <c r="B439" t="s">
        <v>1146</v>
      </c>
      <c r="C439">
        <v>0.26</v>
      </c>
      <c r="D439" t="s">
        <v>7729</v>
      </c>
    </row>
    <row r="440" spans="1:4" ht="20" customHeight="1">
      <c r="A440" t="s">
        <v>7730</v>
      </c>
      <c r="B440" t="s">
        <v>1149</v>
      </c>
      <c r="C440">
        <v>0.4</v>
      </c>
      <c r="D440" t="s">
        <v>7729</v>
      </c>
    </row>
    <row r="441" spans="1:4" ht="20" customHeight="1">
      <c r="A441" t="s">
        <v>7730</v>
      </c>
      <c r="B441" t="s">
        <v>1152</v>
      </c>
      <c r="C441">
        <v>0.36</v>
      </c>
      <c r="D441" t="s">
        <v>7729</v>
      </c>
    </row>
    <row r="442" spans="1:4" ht="20" customHeight="1">
      <c r="A442" t="s">
        <v>7730</v>
      </c>
      <c r="B442" t="s">
        <v>1155</v>
      </c>
      <c r="C442">
        <v>0.43</v>
      </c>
      <c r="D442" t="s">
        <v>7729</v>
      </c>
    </row>
    <row r="443" spans="1:4" ht="20" customHeight="1">
      <c r="A443" t="s">
        <v>7730</v>
      </c>
      <c r="B443" t="s">
        <v>1158</v>
      </c>
      <c r="C443">
        <v>0.4</v>
      </c>
      <c r="D443" t="s">
        <v>7729</v>
      </c>
    </row>
    <row r="444" spans="1:4" ht="20" customHeight="1">
      <c r="A444" t="s">
        <v>7730</v>
      </c>
      <c r="B444" t="s">
        <v>1161</v>
      </c>
      <c r="C444">
        <v>0.38</v>
      </c>
      <c r="D444" t="s">
        <v>7729</v>
      </c>
    </row>
    <row r="445" spans="1:4" ht="20" customHeight="1">
      <c r="A445" t="s">
        <v>7730</v>
      </c>
      <c r="B445" t="s">
        <v>1164</v>
      </c>
      <c r="C445">
        <v>0.36</v>
      </c>
      <c r="D445" t="s">
        <v>7729</v>
      </c>
    </row>
    <row r="446" spans="1:4" ht="20" customHeight="1">
      <c r="A446" t="s">
        <v>7730</v>
      </c>
      <c r="B446" t="s">
        <v>1167</v>
      </c>
      <c r="C446">
        <v>0.35</v>
      </c>
      <c r="D446" t="s">
        <v>7729</v>
      </c>
    </row>
    <row r="447" spans="1:4" ht="20" customHeight="1">
      <c r="A447" t="s">
        <v>7730</v>
      </c>
      <c r="B447" t="s">
        <v>1170</v>
      </c>
      <c r="C447">
        <v>0.37</v>
      </c>
      <c r="D447" t="s">
        <v>7729</v>
      </c>
    </row>
    <row r="448" spans="1:4" ht="20" customHeight="1">
      <c r="A448" t="s">
        <v>7730</v>
      </c>
      <c r="B448" t="s">
        <v>1173</v>
      </c>
      <c r="C448">
        <v>0.34</v>
      </c>
      <c r="D448" t="s">
        <v>7729</v>
      </c>
    </row>
    <row r="449" spans="1:4" ht="20" customHeight="1">
      <c r="A449" t="s">
        <v>7730</v>
      </c>
      <c r="B449" t="s">
        <v>1176</v>
      </c>
      <c r="C449">
        <v>0.32</v>
      </c>
      <c r="D449" t="s">
        <v>7729</v>
      </c>
    </row>
    <row r="450" spans="1:4" ht="20" customHeight="1">
      <c r="A450" t="s">
        <v>7730</v>
      </c>
      <c r="B450" t="s">
        <v>1179</v>
      </c>
      <c r="C450">
        <v>0.33</v>
      </c>
      <c r="D450" t="s">
        <v>7729</v>
      </c>
    </row>
    <row r="451" spans="1:4" ht="20" customHeight="1">
      <c r="A451" t="s">
        <v>7730</v>
      </c>
      <c r="B451" t="s">
        <v>1182</v>
      </c>
      <c r="C451">
        <v>0.35</v>
      </c>
      <c r="D451" t="s">
        <v>7729</v>
      </c>
    </row>
    <row r="452" spans="1:4" ht="20" customHeight="1">
      <c r="A452" t="s">
        <v>7730</v>
      </c>
      <c r="B452" t="s">
        <v>1185</v>
      </c>
      <c r="C452">
        <v>0.32</v>
      </c>
      <c r="D452" t="s">
        <v>7729</v>
      </c>
    </row>
    <row r="453" spans="1:4" ht="20" customHeight="1">
      <c r="A453" t="s">
        <v>7730</v>
      </c>
      <c r="B453" t="s">
        <v>1188</v>
      </c>
      <c r="C453">
        <v>0.34</v>
      </c>
      <c r="D453" t="s">
        <v>7729</v>
      </c>
    </row>
    <row r="454" spans="1:4" ht="20" customHeight="1">
      <c r="A454" t="s">
        <v>7730</v>
      </c>
      <c r="B454" t="s">
        <v>1191</v>
      </c>
      <c r="C454">
        <v>0.38</v>
      </c>
      <c r="D454" t="s">
        <v>7729</v>
      </c>
    </row>
    <row r="455" spans="1:4" ht="20" customHeight="1">
      <c r="A455" t="s">
        <v>7730</v>
      </c>
      <c r="B455" t="s">
        <v>1194</v>
      </c>
      <c r="C455">
        <v>0.34</v>
      </c>
      <c r="D455" t="s">
        <v>7729</v>
      </c>
    </row>
    <row r="456" spans="1:4" ht="20" customHeight="1">
      <c r="A456" t="s">
        <v>7730</v>
      </c>
      <c r="B456" t="s">
        <v>1197</v>
      </c>
      <c r="C456">
        <v>0.38</v>
      </c>
      <c r="D456" t="s">
        <v>7729</v>
      </c>
    </row>
    <row r="457" spans="1:4" ht="20" customHeight="1">
      <c r="A457" t="s">
        <v>7730</v>
      </c>
      <c r="B457" t="s">
        <v>1200</v>
      </c>
      <c r="C457">
        <v>0.36</v>
      </c>
      <c r="D457" t="s">
        <v>7729</v>
      </c>
    </row>
    <row r="458" spans="1:4" ht="20" customHeight="1">
      <c r="A458" t="s">
        <v>7730</v>
      </c>
      <c r="B458" t="s">
        <v>1203</v>
      </c>
      <c r="C458">
        <v>0.38</v>
      </c>
      <c r="D458" t="s">
        <v>7729</v>
      </c>
    </row>
    <row r="459" spans="1:4" ht="20" customHeight="1">
      <c r="A459" t="s">
        <v>7730</v>
      </c>
      <c r="B459" t="s">
        <v>1206</v>
      </c>
      <c r="C459">
        <v>0.39</v>
      </c>
      <c r="D459" t="s">
        <v>7729</v>
      </c>
    </row>
    <row r="460" spans="1:4" ht="20" customHeight="1">
      <c r="A460" t="s">
        <v>7730</v>
      </c>
      <c r="B460" t="s">
        <v>1209</v>
      </c>
      <c r="C460">
        <v>0.4</v>
      </c>
      <c r="D460" t="s">
        <v>7729</v>
      </c>
    </row>
    <row r="461" spans="1:4" ht="20" customHeight="1">
      <c r="A461" t="s">
        <v>7730</v>
      </c>
      <c r="B461" t="s">
        <v>1212</v>
      </c>
      <c r="C461">
        <v>0.45</v>
      </c>
      <c r="D461" t="s">
        <v>7729</v>
      </c>
    </row>
    <row r="462" spans="1:4" ht="20" customHeight="1">
      <c r="A462" t="s">
        <v>7730</v>
      </c>
      <c r="B462" t="s">
        <v>1215</v>
      </c>
      <c r="C462">
        <v>0.46</v>
      </c>
      <c r="D462" t="s">
        <v>7729</v>
      </c>
    </row>
    <row r="463" spans="1:4" ht="20" customHeight="1">
      <c r="A463" t="s">
        <v>7730</v>
      </c>
      <c r="B463" t="s">
        <v>1218</v>
      </c>
      <c r="C463">
        <v>0.44</v>
      </c>
      <c r="D463" t="s">
        <v>7729</v>
      </c>
    </row>
    <row r="464" spans="1:4" ht="20" customHeight="1">
      <c r="A464" t="s">
        <v>7730</v>
      </c>
      <c r="B464" t="s">
        <v>1221</v>
      </c>
      <c r="C464">
        <v>0.4</v>
      </c>
      <c r="D464" t="s">
        <v>7729</v>
      </c>
    </row>
    <row r="465" spans="1:4" ht="20" customHeight="1">
      <c r="A465" t="s">
        <v>7730</v>
      </c>
      <c r="B465" t="s">
        <v>1224</v>
      </c>
      <c r="C465">
        <v>0.42</v>
      </c>
      <c r="D465" t="s">
        <v>7729</v>
      </c>
    </row>
    <row r="466" spans="1:4" ht="20" customHeight="1">
      <c r="A466" t="s">
        <v>7730</v>
      </c>
      <c r="B466" t="s">
        <v>1227</v>
      </c>
      <c r="C466">
        <v>0.54</v>
      </c>
      <c r="D466" t="s">
        <v>7729</v>
      </c>
    </row>
    <row r="467" spans="1:4" ht="20" customHeight="1">
      <c r="A467" t="s">
        <v>7730</v>
      </c>
      <c r="B467" t="s">
        <v>1230</v>
      </c>
      <c r="C467">
        <v>0.51</v>
      </c>
      <c r="D467" t="s">
        <v>7729</v>
      </c>
    </row>
    <row r="468" spans="1:4" ht="20" customHeight="1">
      <c r="A468" t="s">
        <v>7730</v>
      </c>
      <c r="B468" t="s">
        <v>1233</v>
      </c>
      <c r="C468">
        <v>0.5</v>
      </c>
      <c r="D468" t="s">
        <v>7729</v>
      </c>
    </row>
    <row r="469" spans="1:4" ht="20" customHeight="1">
      <c r="A469" t="s">
        <v>7730</v>
      </c>
      <c r="B469" t="s">
        <v>1236</v>
      </c>
      <c r="C469">
        <v>0.52</v>
      </c>
      <c r="D469" t="s">
        <v>7729</v>
      </c>
    </row>
    <row r="470" spans="1:4" ht="20" customHeight="1">
      <c r="A470" t="s">
        <v>7730</v>
      </c>
      <c r="B470" t="s">
        <v>1239</v>
      </c>
      <c r="C470">
        <v>0.55</v>
      </c>
      <c r="D470" t="s">
        <v>7729</v>
      </c>
    </row>
    <row r="471" spans="1:4" ht="20" customHeight="1">
      <c r="A471" t="s">
        <v>7730</v>
      </c>
      <c r="B471" t="s">
        <v>1242</v>
      </c>
      <c r="C471">
        <v>0.59</v>
      </c>
      <c r="D471" t="s">
        <v>7729</v>
      </c>
    </row>
    <row r="472" spans="1:4" ht="20" customHeight="1">
      <c r="A472" t="s">
        <v>7730</v>
      </c>
      <c r="B472" t="s">
        <v>1245</v>
      </c>
      <c r="C472">
        <v>0.55</v>
      </c>
      <c r="D472" t="s">
        <v>7729</v>
      </c>
    </row>
    <row r="473" spans="1:4" ht="20" customHeight="1">
      <c r="A473" t="s">
        <v>7730</v>
      </c>
      <c r="B473" t="s">
        <v>1248</v>
      </c>
      <c r="C473">
        <v>0.55</v>
      </c>
      <c r="D473" t="s">
        <v>7729</v>
      </c>
    </row>
    <row r="474" spans="1:4" ht="20" customHeight="1">
      <c r="A474" t="s">
        <v>7730</v>
      </c>
      <c r="B474" t="s">
        <v>1251</v>
      </c>
      <c r="C474">
        <v>0.52</v>
      </c>
      <c r="D474" t="s">
        <v>7729</v>
      </c>
    </row>
    <row r="475" spans="1:4" ht="20" customHeight="1">
      <c r="A475" t="s">
        <v>7730</v>
      </c>
      <c r="B475" t="s">
        <v>1254</v>
      </c>
      <c r="C475">
        <v>0.53</v>
      </c>
      <c r="D475" t="s">
        <v>7729</v>
      </c>
    </row>
    <row r="476" spans="1:4" ht="20" customHeight="1">
      <c r="A476" t="s">
        <v>7730</v>
      </c>
      <c r="B476" t="s">
        <v>1257</v>
      </c>
      <c r="C476">
        <v>0.66</v>
      </c>
      <c r="D476" t="s">
        <v>7729</v>
      </c>
    </row>
    <row r="477" spans="1:4" ht="20" customHeight="1">
      <c r="A477" t="s">
        <v>7730</v>
      </c>
      <c r="B477" t="s">
        <v>1260</v>
      </c>
      <c r="C477">
        <v>0.65</v>
      </c>
      <c r="D477" t="s">
        <v>7729</v>
      </c>
    </row>
    <row r="478" spans="1:4" ht="20" customHeight="1">
      <c r="A478" t="s">
        <v>7730</v>
      </c>
      <c r="B478" t="s">
        <v>1263</v>
      </c>
      <c r="C478">
        <v>0.67</v>
      </c>
      <c r="D478" t="s">
        <v>7729</v>
      </c>
    </row>
    <row r="479" spans="1:4" ht="20" customHeight="1">
      <c r="A479" t="s">
        <v>7730</v>
      </c>
      <c r="B479" t="s">
        <v>1266</v>
      </c>
      <c r="C479">
        <v>0.68</v>
      </c>
      <c r="D479" t="s">
        <v>7729</v>
      </c>
    </row>
    <row r="480" spans="1:4" ht="20" customHeight="1">
      <c r="A480" t="s">
        <v>7730</v>
      </c>
      <c r="B480" t="s">
        <v>1269</v>
      </c>
      <c r="C480">
        <v>0.7</v>
      </c>
      <c r="D480" t="s">
        <v>7729</v>
      </c>
    </row>
    <row r="481" spans="1:4" ht="20" customHeight="1">
      <c r="A481" t="s">
        <v>7730</v>
      </c>
      <c r="B481" t="s">
        <v>1272</v>
      </c>
      <c r="C481">
        <v>0.77</v>
      </c>
      <c r="D481" t="s">
        <v>7729</v>
      </c>
    </row>
    <row r="482" spans="1:4" ht="20" customHeight="1">
      <c r="A482" t="s">
        <v>7730</v>
      </c>
      <c r="B482" t="s">
        <v>1275</v>
      </c>
      <c r="C482">
        <v>0.74</v>
      </c>
      <c r="D482" t="s">
        <v>7729</v>
      </c>
    </row>
    <row r="483" spans="1:4" ht="20" customHeight="1">
      <c r="A483" t="s">
        <v>7730</v>
      </c>
      <c r="B483" t="s">
        <v>1278</v>
      </c>
      <c r="C483">
        <v>0.75</v>
      </c>
      <c r="D483" t="s">
        <v>7729</v>
      </c>
    </row>
    <row r="484" spans="1:4" ht="20" customHeight="1">
      <c r="A484" t="s">
        <v>7730</v>
      </c>
      <c r="B484" t="s">
        <v>1281</v>
      </c>
      <c r="C484">
        <v>0.79</v>
      </c>
      <c r="D484" t="s">
        <v>7729</v>
      </c>
    </row>
    <row r="485" spans="1:4" ht="20" customHeight="1">
      <c r="A485" t="s">
        <v>7730</v>
      </c>
      <c r="B485" t="s">
        <v>1284</v>
      </c>
      <c r="C485">
        <v>0.8100000000000001</v>
      </c>
      <c r="D485" t="s">
        <v>7729</v>
      </c>
    </row>
    <row r="486" spans="1:4" ht="20" customHeight="1">
      <c r="A486" t="s">
        <v>7730</v>
      </c>
      <c r="B486" t="s">
        <v>1287</v>
      </c>
      <c r="C486">
        <v>0.8100000000000001</v>
      </c>
      <c r="D486" t="s">
        <v>7729</v>
      </c>
    </row>
    <row r="487" spans="1:4" ht="20" customHeight="1">
      <c r="A487" t="s">
        <v>7730</v>
      </c>
      <c r="B487" t="s">
        <v>1290</v>
      </c>
      <c r="C487">
        <v>0.82</v>
      </c>
      <c r="D487" t="s">
        <v>7729</v>
      </c>
    </row>
    <row r="488" spans="1:4" ht="20" customHeight="1">
      <c r="A488" t="s">
        <v>7730</v>
      </c>
      <c r="B488" t="s">
        <v>1293</v>
      </c>
      <c r="C488">
        <v>0.83</v>
      </c>
      <c r="D488" t="s">
        <v>7729</v>
      </c>
    </row>
    <row r="489" spans="1:4" ht="20" customHeight="1">
      <c r="A489" t="s">
        <v>7730</v>
      </c>
      <c r="B489" t="s">
        <v>1296</v>
      </c>
      <c r="C489">
        <v>0.83</v>
      </c>
      <c r="D489" t="s">
        <v>7729</v>
      </c>
    </row>
    <row r="490" spans="1:4" ht="20" customHeight="1">
      <c r="A490" t="s">
        <v>7730</v>
      </c>
      <c r="B490" t="s">
        <v>1299</v>
      </c>
      <c r="C490">
        <v>0.91</v>
      </c>
      <c r="D490" t="s">
        <v>7729</v>
      </c>
    </row>
    <row r="491" spans="1:4" ht="20" customHeight="1">
      <c r="A491" t="s">
        <v>7730</v>
      </c>
      <c r="B491" t="s">
        <v>1302</v>
      </c>
      <c r="C491">
        <v>0.83</v>
      </c>
      <c r="D491" t="s">
        <v>7729</v>
      </c>
    </row>
    <row r="492" spans="1:4" ht="20" customHeight="1">
      <c r="A492" t="s">
        <v>7730</v>
      </c>
      <c r="B492" t="s">
        <v>1305</v>
      </c>
      <c r="C492">
        <v>0.82</v>
      </c>
      <c r="D492" t="s">
        <v>7729</v>
      </c>
    </row>
    <row r="493" spans="1:4" ht="20" customHeight="1">
      <c r="A493" t="s">
        <v>7730</v>
      </c>
      <c r="B493" t="s">
        <v>1308</v>
      </c>
      <c r="C493">
        <v>0.82</v>
      </c>
      <c r="D493" t="s">
        <v>7729</v>
      </c>
    </row>
    <row r="494" spans="1:4" ht="20" customHeight="1">
      <c r="A494" t="s">
        <v>7730</v>
      </c>
      <c r="B494" t="s">
        <v>1311</v>
      </c>
      <c r="C494">
        <v>0.85</v>
      </c>
      <c r="D494" t="s">
        <v>7729</v>
      </c>
    </row>
    <row r="495" spans="1:4" ht="20" customHeight="1">
      <c r="A495" t="s">
        <v>7730</v>
      </c>
      <c r="B495" t="s">
        <v>1314</v>
      </c>
      <c r="C495">
        <v>0.9</v>
      </c>
      <c r="D495" t="s">
        <v>7729</v>
      </c>
    </row>
    <row r="496" spans="1:4" ht="20" customHeight="1">
      <c r="A496" t="s">
        <v>7730</v>
      </c>
      <c r="B496" t="s">
        <v>1317</v>
      </c>
      <c r="C496">
        <v>0.91</v>
      </c>
      <c r="D496" t="s">
        <v>7729</v>
      </c>
    </row>
    <row r="497" spans="1:4" ht="20" customHeight="1">
      <c r="A497" t="s">
        <v>7730</v>
      </c>
      <c r="B497" t="s">
        <v>1320</v>
      </c>
      <c r="C497">
        <v>0.89</v>
      </c>
      <c r="D497" t="s">
        <v>7729</v>
      </c>
    </row>
    <row r="498" spans="1:4" ht="20" customHeight="1">
      <c r="A498" t="s">
        <v>7730</v>
      </c>
      <c r="B498" t="s">
        <v>1323</v>
      </c>
      <c r="C498">
        <v>0.85</v>
      </c>
      <c r="D498" t="s">
        <v>7729</v>
      </c>
    </row>
    <row r="499" spans="1:4" ht="20" customHeight="1">
      <c r="A499" t="s">
        <v>7730</v>
      </c>
      <c r="B499" t="s">
        <v>1326</v>
      </c>
      <c r="C499">
        <v>0.85</v>
      </c>
      <c r="D499" t="s">
        <v>7729</v>
      </c>
    </row>
    <row r="500" spans="1:4" ht="20" customHeight="1">
      <c r="A500" t="s">
        <v>7730</v>
      </c>
      <c r="B500" t="s">
        <v>1329</v>
      </c>
      <c r="C500">
        <v>0.92</v>
      </c>
      <c r="D500" t="s">
        <v>7729</v>
      </c>
    </row>
    <row r="501" spans="1:4" ht="20" customHeight="1">
      <c r="A501" t="s">
        <v>7730</v>
      </c>
      <c r="B501" t="s">
        <v>1332</v>
      </c>
      <c r="C501">
        <v>0.89</v>
      </c>
      <c r="D501" t="s">
        <v>7729</v>
      </c>
    </row>
    <row r="502" spans="1:4" ht="20" customHeight="1">
      <c r="A502" t="s">
        <v>7730</v>
      </c>
      <c r="B502" t="s">
        <v>1335</v>
      </c>
      <c r="C502">
        <v>0.91</v>
      </c>
      <c r="D502" t="s">
        <v>7729</v>
      </c>
    </row>
    <row r="503" spans="1:4" ht="20" customHeight="1">
      <c r="A503" t="s">
        <v>7730</v>
      </c>
      <c r="B503" t="s">
        <v>1338</v>
      </c>
      <c r="C503">
        <v>0.96</v>
      </c>
      <c r="D503" t="s">
        <v>7729</v>
      </c>
    </row>
    <row r="504" spans="1:4" ht="20" customHeight="1">
      <c r="A504" t="s">
        <v>7730</v>
      </c>
      <c r="B504" t="s">
        <v>1341</v>
      </c>
      <c r="C504">
        <v>1.03</v>
      </c>
      <c r="D504" t="s">
        <v>7729</v>
      </c>
    </row>
    <row r="505" spans="1:4" ht="20" customHeight="1">
      <c r="A505" t="s">
        <v>7730</v>
      </c>
      <c r="B505" t="s">
        <v>1344</v>
      </c>
      <c r="C505">
        <v>1.07</v>
      </c>
      <c r="D505" t="s">
        <v>7729</v>
      </c>
    </row>
    <row r="506" spans="1:4" ht="20" customHeight="1">
      <c r="A506" t="s">
        <v>7730</v>
      </c>
      <c r="B506" t="s">
        <v>1347</v>
      </c>
      <c r="C506">
        <v>1.06</v>
      </c>
      <c r="D506" t="s">
        <v>7729</v>
      </c>
    </row>
    <row r="507" spans="1:4" ht="20" customHeight="1">
      <c r="A507" t="s">
        <v>7730</v>
      </c>
      <c r="B507" t="s">
        <v>1350</v>
      </c>
      <c r="C507">
        <v>1.03</v>
      </c>
      <c r="D507" t="s">
        <v>7729</v>
      </c>
    </row>
    <row r="508" spans="1:4" ht="20" customHeight="1">
      <c r="A508" t="s">
        <v>7730</v>
      </c>
      <c r="B508" t="s">
        <v>1353</v>
      </c>
      <c r="C508">
        <v>1.05</v>
      </c>
      <c r="D508" t="s">
        <v>7729</v>
      </c>
    </row>
    <row r="509" spans="1:4" ht="20" customHeight="1">
      <c r="A509" t="s">
        <v>7730</v>
      </c>
      <c r="B509" t="s">
        <v>1356</v>
      </c>
      <c r="C509">
        <v>1.03</v>
      </c>
      <c r="D509" t="s">
        <v>7729</v>
      </c>
    </row>
    <row r="510" spans="1:4" ht="20" customHeight="1">
      <c r="A510" t="s">
        <v>7730</v>
      </c>
      <c r="B510" t="s">
        <v>1359</v>
      </c>
      <c r="C510">
        <v>1.07</v>
      </c>
      <c r="D510" t="s">
        <v>7729</v>
      </c>
    </row>
    <row r="511" spans="1:4" ht="20" customHeight="1">
      <c r="A511" t="s">
        <v>7730</v>
      </c>
      <c r="B511" t="s">
        <v>1362</v>
      </c>
      <c r="C511">
        <v>1.06</v>
      </c>
      <c r="D511" t="s">
        <v>7729</v>
      </c>
    </row>
    <row r="512" spans="1:4" ht="20" customHeight="1">
      <c r="A512" t="s">
        <v>7730</v>
      </c>
      <c r="B512" t="s">
        <v>1365</v>
      </c>
      <c r="C512">
        <v>1.06</v>
      </c>
      <c r="D512" t="s">
        <v>7729</v>
      </c>
    </row>
    <row r="513" spans="1:4" ht="20" customHeight="1">
      <c r="A513" t="s">
        <v>7730</v>
      </c>
      <c r="B513" t="s">
        <v>1368</v>
      </c>
      <c r="C513">
        <v>1.07</v>
      </c>
      <c r="D513" t="s">
        <v>7729</v>
      </c>
    </row>
    <row r="514" spans="1:4" ht="20" customHeight="1">
      <c r="A514" t="s">
        <v>7730</v>
      </c>
      <c r="B514" t="s">
        <v>1371</v>
      </c>
      <c r="C514">
        <v>1.08</v>
      </c>
      <c r="D514" t="s">
        <v>7729</v>
      </c>
    </row>
    <row r="515" spans="1:4" ht="20" customHeight="1">
      <c r="A515" t="s">
        <v>7730</v>
      </c>
      <c r="B515" t="s">
        <v>1374</v>
      </c>
      <c r="C515">
        <v>1.16</v>
      </c>
      <c r="D515" t="s">
        <v>7729</v>
      </c>
    </row>
    <row r="516" spans="1:4" ht="20" customHeight="1">
      <c r="A516" t="s">
        <v>7730</v>
      </c>
      <c r="B516" t="s">
        <v>1377</v>
      </c>
      <c r="C516">
        <v>1.15</v>
      </c>
      <c r="D516" t="s">
        <v>7729</v>
      </c>
    </row>
    <row r="517" spans="1:4" ht="20" customHeight="1">
      <c r="A517" t="s">
        <v>7730</v>
      </c>
      <c r="B517" t="s">
        <v>1380</v>
      </c>
      <c r="C517">
        <v>1.17</v>
      </c>
      <c r="D517" t="s">
        <v>7729</v>
      </c>
    </row>
    <row r="518" spans="1:4" ht="20" customHeight="1">
      <c r="A518" t="s">
        <v>7730</v>
      </c>
      <c r="B518" t="s">
        <v>1383</v>
      </c>
      <c r="C518">
        <v>1.21</v>
      </c>
      <c r="D518" t="s">
        <v>7729</v>
      </c>
    </row>
    <row r="519" spans="1:4" ht="20" customHeight="1">
      <c r="A519" t="s">
        <v>7730</v>
      </c>
      <c r="B519" t="s">
        <v>1386</v>
      </c>
      <c r="C519">
        <v>1.26</v>
      </c>
      <c r="D519" t="s">
        <v>7729</v>
      </c>
    </row>
    <row r="520" spans="1:4" ht="20" customHeight="1">
      <c r="A520" t="s">
        <v>7730</v>
      </c>
      <c r="B520" t="s">
        <v>1389</v>
      </c>
      <c r="C520">
        <v>1.26</v>
      </c>
      <c r="D520" t="s">
        <v>7729</v>
      </c>
    </row>
    <row r="521" spans="1:4" ht="20" customHeight="1">
      <c r="A521" t="s">
        <v>7730</v>
      </c>
      <c r="B521" t="s">
        <v>1392</v>
      </c>
      <c r="C521">
        <v>1.28</v>
      </c>
      <c r="D521" t="s">
        <v>7729</v>
      </c>
    </row>
    <row r="522" spans="1:4" ht="20" customHeight="1">
      <c r="A522" t="s">
        <v>7730</v>
      </c>
      <c r="B522" t="s">
        <v>1395</v>
      </c>
      <c r="C522">
        <v>1.3</v>
      </c>
      <c r="D522" t="s">
        <v>7729</v>
      </c>
    </row>
    <row r="523" spans="1:4" ht="20" customHeight="1">
      <c r="A523" t="s">
        <v>7730</v>
      </c>
      <c r="B523" t="s">
        <v>1398</v>
      </c>
      <c r="C523">
        <v>1.39</v>
      </c>
      <c r="D523" t="s">
        <v>7729</v>
      </c>
    </row>
    <row r="524" spans="1:4" ht="20" customHeight="1">
      <c r="A524" t="s">
        <v>7730</v>
      </c>
      <c r="B524" t="s">
        <v>1401</v>
      </c>
      <c r="C524">
        <v>1.73</v>
      </c>
      <c r="D524" t="s">
        <v>7729</v>
      </c>
    </row>
    <row r="525" spans="1:4" ht="20" customHeight="1">
      <c r="A525" t="s">
        <v>7730</v>
      </c>
      <c r="B525" t="s">
        <v>1404</v>
      </c>
      <c r="C525">
        <v>1.83</v>
      </c>
      <c r="D525" t="s">
        <v>7729</v>
      </c>
    </row>
    <row r="526" spans="1:4" ht="20" customHeight="1">
      <c r="A526" t="s">
        <v>7730</v>
      </c>
      <c r="B526" t="s">
        <v>1407</v>
      </c>
      <c r="C526">
        <v>1.74</v>
      </c>
      <c r="D526" t="s">
        <v>7729</v>
      </c>
    </row>
    <row r="527" spans="1:4" ht="20" customHeight="1">
      <c r="A527" t="s">
        <v>7730</v>
      </c>
      <c r="B527" t="s">
        <v>1410</v>
      </c>
      <c r="C527">
        <v>1.59</v>
      </c>
      <c r="D527" t="s">
        <v>7729</v>
      </c>
    </row>
    <row r="528" spans="1:4" ht="20" customHeight="1">
      <c r="A528" t="s">
        <v>7730</v>
      </c>
      <c r="B528" t="s">
        <v>1413</v>
      </c>
      <c r="C528">
        <v>1.63</v>
      </c>
      <c r="D528" t="s">
        <v>7729</v>
      </c>
    </row>
    <row r="529" spans="1:4" ht="20" customHeight="1">
      <c r="A529" t="s">
        <v>7730</v>
      </c>
      <c r="B529" t="s">
        <v>1416</v>
      </c>
      <c r="C529">
        <v>1.7</v>
      </c>
      <c r="D529" t="s">
        <v>7729</v>
      </c>
    </row>
    <row r="530" spans="1:4" ht="20" customHeight="1">
      <c r="A530" t="s">
        <v>7730</v>
      </c>
      <c r="B530" t="s">
        <v>1419</v>
      </c>
      <c r="C530">
        <v>1.61</v>
      </c>
      <c r="D530" t="s">
        <v>7729</v>
      </c>
    </row>
    <row r="531" spans="1:4" ht="20" customHeight="1">
      <c r="A531" t="s">
        <v>7730</v>
      </c>
      <c r="B531" t="s">
        <v>1422</v>
      </c>
      <c r="C531">
        <v>1.65</v>
      </c>
      <c r="D531" t="s">
        <v>7729</v>
      </c>
    </row>
    <row r="532" spans="1:4" ht="20" customHeight="1">
      <c r="A532" t="s">
        <v>7730</v>
      </c>
      <c r="B532" t="s">
        <v>1425</v>
      </c>
      <c r="C532">
        <v>1.73</v>
      </c>
      <c r="D532" t="s">
        <v>7729</v>
      </c>
    </row>
    <row r="533" spans="1:4" ht="20" customHeight="1">
      <c r="A533" t="s">
        <v>7730</v>
      </c>
      <c r="B533" t="s">
        <v>1428</v>
      </c>
      <c r="C533">
        <v>1.79</v>
      </c>
      <c r="D533" t="s">
        <v>7729</v>
      </c>
    </row>
    <row r="534" spans="1:4" ht="20" customHeight="1">
      <c r="A534" t="s">
        <v>7730</v>
      </c>
      <c r="B534" t="s">
        <v>1431</v>
      </c>
      <c r="C534">
        <v>1.79</v>
      </c>
      <c r="D534" t="s">
        <v>7729</v>
      </c>
    </row>
    <row r="535" spans="1:4" ht="20" customHeight="1">
      <c r="A535" t="s">
        <v>7730</v>
      </c>
      <c r="B535" t="s">
        <v>1434</v>
      </c>
      <c r="C535">
        <v>1.78</v>
      </c>
      <c r="D535" t="s">
        <v>7729</v>
      </c>
    </row>
    <row r="536" spans="1:4" ht="20" customHeight="1">
      <c r="A536" t="s">
        <v>7730</v>
      </c>
      <c r="B536" t="s">
        <v>1437</v>
      </c>
      <c r="C536">
        <v>1.72</v>
      </c>
      <c r="D536" t="s">
        <v>7729</v>
      </c>
    </row>
    <row r="537" spans="1:4" ht="20" customHeight="1">
      <c r="A537" t="s">
        <v>7730</v>
      </c>
      <c r="B537" t="s">
        <v>1440</v>
      </c>
      <c r="C537">
        <v>1.73</v>
      </c>
      <c r="D537" t="s">
        <v>7729</v>
      </c>
    </row>
    <row r="538" spans="1:4" ht="20" customHeight="1">
      <c r="A538" t="s">
        <v>7730</v>
      </c>
      <c r="B538" t="s">
        <v>1443</v>
      </c>
      <c r="C538">
        <v>1.9</v>
      </c>
      <c r="D538" t="s">
        <v>7729</v>
      </c>
    </row>
    <row r="539" spans="1:4" ht="20" customHeight="1">
      <c r="A539" t="s">
        <v>7730</v>
      </c>
      <c r="B539" t="s">
        <v>1446</v>
      </c>
      <c r="C539">
        <v>1.9</v>
      </c>
      <c r="D539" t="s">
        <v>7729</v>
      </c>
    </row>
    <row r="540" spans="1:4" ht="20" customHeight="1">
      <c r="A540" t="s">
        <v>7730</v>
      </c>
      <c r="B540" t="s">
        <v>1449</v>
      </c>
      <c r="C540">
        <v>1.95</v>
      </c>
      <c r="D540" t="s">
        <v>7729</v>
      </c>
    </row>
    <row r="541" spans="1:4" ht="20" customHeight="1">
      <c r="A541" t="s">
        <v>7730</v>
      </c>
      <c r="B541" t="s">
        <v>1452</v>
      </c>
      <c r="C541">
        <v>1.98</v>
      </c>
      <c r="D541" t="s">
        <v>7729</v>
      </c>
    </row>
    <row r="542" spans="1:4" ht="20" customHeight="1">
      <c r="A542" t="s">
        <v>7730</v>
      </c>
      <c r="B542" t="s">
        <v>1455</v>
      </c>
      <c r="C542">
        <v>2.18</v>
      </c>
      <c r="D542" t="s">
        <v>7729</v>
      </c>
    </row>
    <row r="543" spans="1:4" ht="20" customHeight="1">
      <c r="A543" t="s">
        <v>7730</v>
      </c>
      <c r="B543" t="s">
        <v>1458</v>
      </c>
      <c r="C543">
        <v>2.22</v>
      </c>
      <c r="D543" t="s">
        <v>7729</v>
      </c>
    </row>
    <row r="544" spans="1:4" ht="20" customHeight="1">
      <c r="A544" t="s">
        <v>7730</v>
      </c>
      <c r="B544" t="s">
        <v>1461</v>
      </c>
      <c r="C544">
        <v>2.39</v>
      </c>
      <c r="D544" t="s">
        <v>7729</v>
      </c>
    </row>
    <row r="545" spans="1:4" ht="20" customHeight="1">
      <c r="A545" t="s">
        <v>7730</v>
      </c>
      <c r="B545" t="s">
        <v>1464</v>
      </c>
      <c r="C545">
        <v>2.4</v>
      </c>
      <c r="D545" t="s">
        <v>7729</v>
      </c>
    </row>
    <row r="546" spans="1:4" ht="20" customHeight="1">
      <c r="A546" t="s">
        <v>7730</v>
      </c>
      <c r="B546" t="s">
        <v>1467</v>
      </c>
      <c r="C546">
        <v>2.37</v>
      </c>
      <c r="D546" t="s">
        <v>7729</v>
      </c>
    </row>
    <row r="547" spans="1:4" ht="20" customHeight="1">
      <c r="A547" t="s">
        <v>7730</v>
      </c>
      <c r="B547" t="s">
        <v>1470</v>
      </c>
      <c r="C547">
        <v>2.5</v>
      </c>
      <c r="D547" t="s">
        <v>7729</v>
      </c>
    </row>
    <row r="548" spans="1:4" ht="20" customHeight="1">
      <c r="A548" t="s">
        <v>7730</v>
      </c>
      <c r="B548" t="s">
        <v>1473</v>
      </c>
      <c r="C548">
        <v>2.52</v>
      </c>
      <c r="D548" t="s">
        <v>7729</v>
      </c>
    </row>
    <row r="549" spans="1:4" ht="20" customHeight="1">
      <c r="A549" t="s">
        <v>7730</v>
      </c>
      <c r="B549" t="s">
        <v>1476</v>
      </c>
      <c r="C549">
        <v>2.51</v>
      </c>
      <c r="D549" t="s">
        <v>7729</v>
      </c>
    </row>
    <row r="550" spans="1:4" ht="20" customHeight="1">
      <c r="A550" t="s">
        <v>7730</v>
      </c>
      <c r="B550" t="s">
        <v>1479</v>
      </c>
      <c r="C550">
        <v>2.48</v>
      </c>
      <c r="D550" t="s">
        <v>7729</v>
      </c>
    </row>
    <row r="551" spans="1:4" ht="20" customHeight="1">
      <c r="A551" t="s">
        <v>7730</v>
      </c>
      <c r="B551" t="s">
        <v>1482</v>
      </c>
      <c r="C551">
        <v>2.49</v>
      </c>
      <c r="D551" t="s">
        <v>7729</v>
      </c>
    </row>
    <row r="552" spans="1:4" ht="20" customHeight="1">
      <c r="A552" t="s">
        <v>7730</v>
      </c>
      <c r="B552" t="s">
        <v>1485</v>
      </c>
      <c r="C552">
        <v>2.62</v>
      </c>
      <c r="D552" t="s">
        <v>7729</v>
      </c>
    </row>
    <row r="553" spans="1:4" ht="20" customHeight="1">
      <c r="A553" t="s">
        <v>7730</v>
      </c>
      <c r="B553" t="s">
        <v>1488</v>
      </c>
      <c r="C553">
        <v>2.55</v>
      </c>
      <c r="D553" t="s">
        <v>7729</v>
      </c>
    </row>
    <row r="554" spans="1:4" ht="20" customHeight="1">
      <c r="A554" t="s">
        <v>7730</v>
      </c>
      <c r="B554" t="s">
        <v>1491</v>
      </c>
      <c r="C554">
        <v>2.44</v>
      </c>
      <c r="D554" t="s">
        <v>7729</v>
      </c>
    </row>
    <row r="555" spans="1:4" ht="20" customHeight="1">
      <c r="A555" t="s">
        <v>7730</v>
      </c>
      <c r="B555" t="s">
        <v>1494</v>
      </c>
      <c r="C555">
        <v>2.42</v>
      </c>
      <c r="D555" t="s">
        <v>7729</v>
      </c>
    </row>
    <row r="556" spans="1:4" ht="20" customHeight="1">
      <c r="A556" t="s">
        <v>7730</v>
      </c>
      <c r="B556" t="s">
        <v>1497</v>
      </c>
      <c r="C556">
        <v>2.41</v>
      </c>
      <c r="D556" t="s">
        <v>7729</v>
      </c>
    </row>
    <row r="557" spans="1:4" ht="20" customHeight="1">
      <c r="A557" t="s">
        <v>7730</v>
      </c>
      <c r="B557" t="s">
        <v>1500</v>
      </c>
      <c r="C557">
        <v>2.56</v>
      </c>
      <c r="D557" t="s">
        <v>7729</v>
      </c>
    </row>
    <row r="558" spans="1:4" ht="20" customHeight="1">
      <c r="A558" t="s">
        <v>7730</v>
      </c>
      <c r="B558" t="s">
        <v>1503</v>
      </c>
      <c r="C558">
        <v>2.56</v>
      </c>
      <c r="D558" t="s">
        <v>7729</v>
      </c>
    </row>
    <row r="559" spans="1:4" ht="20" customHeight="1">
      <c r="A559" t="s">
        <v>7730</v>
      </c>
      <c r="B559" t="s">
        <v>1506</v>
      </c>
      <c r="C559">
        <v>2.52</v>
      </c>
      <c r="D559" t="s">
        <v>7729</v>
      </c>
    </row>
    <row r="560" spans="1:4" ht="20" customHeight="1">
      <c r="A560" t="s">
        <v>7730</v>
      </c>
      <c r="B560" t="s">
        <v>1509</v>
      </c>
      <c r="C560">
        <v>2.5</v>
      </c>
      <c r="D560" t="s">
        <v>7729</v>
      </c>
    </row>
    <row r="561" spans="1:4" ht="20" customHeight="1">
      <c r="A561" t="s">
        <v>7730</v>
      </c>
      <c r="B561" t="s">
        <v>1512</v>
      </c>
      <c r="C561">
        <v>2.58</v>
      </c>
      <c r="D561" t="s">
        <v>7729</v>
      </c>
    </row>
    <row r="562" spans="1:4" ht="20" customHeight="1">
      <c r="A562" t="s">
        <v>7730</v>
      </c>
      <c r="B562" t="s">
        <v>1515</v>
      </c>
      <c r="C562">
        <v>2.65</v>
      </c>
      <c r="D562" t="s">
        <v>7729</v>
      </c>
    </row>
    <row r="563" spans="1:4" ht="20" customHeight="1">
      <c r="A563" t="s">
        <v>7730</v>
      </c>
      <c r="B563" t="s">
        <v>1518</v>
      </c>
      <c r="C563">
        <v>2.67</v>
      </c>
      <c r="D563" t="s">
        <v>7729</v>
      </c>
    </row>
    <row r="564" spans="1:4" ht="20" customHeight="1">
      <c r="A564" t="s">
        <v>7730</v>
      </c>
      <c r="B564" t="s">
        <v>1521</v>
      </c>
      <c r="C564">
        <v>2.65</v>
      </c>
      <c r="D564" t="s">
        <v>7729</v>
      </c>
    </row>
    <row r="565" spans="1:4" ht="20" customHeight="1">
      <c r="A565" t="s">
        <v>7730</v>
      </c>
      <c r="B565" t="s">
        <v>1524</v>
      </c>
      <c r="C565">
        <v>2.62</v>
      </c>
      <c r="D565" t="s">
        <v>7729</v>
      </c>
    </row>
    <row r="566" spans="1:4" ht="20" customHeight="1">
      <c r="A566" t="s">
        <v>7730</v>
      </c>
      <c r="B566" t="s">
        <v>1527</v>
      </c>
      <c r="C566">
        <v>2.63</v>
      </c>
      <c r="D566" t="s">
        <v>7729</v>
      </c>
    </row>
    <row r="567" spans="1:4" ht="20" customHeight="1">
      <c r="A567" t="s">
        <v>7730</v>
      </c>
      <c r="B567" t="s">
        <v>1530</v>
      </c>
      <c r="C567">
        <v>2.72</v>
      </c>
      <c r="D567" t="s">
        <v>7729</v>
      </c>
    </row>
    <row r="568" spans="1:4" ht="20" customHeight="1">
      <c r="A568" t="s">
        <v>7730</v>
      </c>
      <c r="B568" t="s">
        <v>1533</v>
      </c>
      <c r="C568">
        <v>2.7</v>
      </c>
      <c r="D568" t="s">
        <v>7729</v>
      </c>
    </row>
    <row r="569" spans="1:4" ht="20" customHeight="1">
      <c r="A569" t="s">
        <v>7730</v>
      </c>
      <c r="B569" t="s">
        <v>1536</v>
      </c>
      <c r="C569">
        <v>2.68</v>
      </c>
      <c r="D569" t="s">
        <v>7729</v>
      </c>
    </row>
    <row r="570" spans="1:4" ht="20" customHeight="1">
      <c r="A570" t="s">
        <v>7730</v>
      </c>
      <c r="B570" t="s">
        <v>1539</v>
      </c>
      <c r="C570">
        <v>2.71</v>
      </c>
      <c r="D570" t="s">
        <v>7729</v>
      </c>
    </row>
    <row r="571" spans="1:4" ht="20" customHeight="1">
      <c r="A571" t="s">
        <v>7730</v>
      </c>
      <c r="B571" t="s">
        <v>1542</v>
      </c>
      <c r="C571">
        <v>2.74</v>
      </c>
      <c r="D571" t="s">
        <v>7729</v>
      </c>
    </row>
    <row r="572" spans="1:4" ht="20" customHeight="1">
      <c r="A572" t="s">
        <v>7730</v>
      </c>
      <c r="B572" t="s">
        <v>1545</v>
      </c>
      <c r="C572">
        <v>2.82</v>
      </c>
      <c r="D572" t="s">
        <v>7729</v>
      </c>
    </row>
    <row r="573" spans="1:4" ht="20" customHeight="1">
      <c r="A573" t="s">
        <v>7730</v>
      </c>
      <c r="B573" t="s">
        <v>1548</v>
      </c>
      <c r="C573">
        <v>2.8</v>
      </c>
      <c r="D573" t="s">
        <v>7729</v>
      </c>
    </row>
    <row r="574" spans="1:4" ht="20" customHeight="1">
      <c r="A574" t="s">
        <v>7730</v>
      </c>
      <c r="B574" t="s">
        <v>1551</v>
      </c>
      <c r="C574">
        <v>2.82</v>
      </c>
      <c r="D574" t="s">
        <v>7729</v>
      </c>
    </row>
    <row r="575" spans="1:4" ht="20" customHeight="1">
      <c r="A575" t="s">
        <v>7730</v>
      </c>
      <c r="B575" t="s">
        <v>1554</v>
      </c>
      <c r="C575">
        <v>2.88</v>
      </c>
      <c r="D575" t="s">
        <v>7729</v>
      </c>
    </row>
    <row r="576" spans="1:4" ht="20" customHeight="1">
      <c r="A576" t="s">
        <v>7730</v>
      </c>
      <c r="B576" t="s">
        <v>1557</v>
      </c>
      <c r="C576">
        <v>2.89</v>
      </c>
      <c r="D576" t="s">
        <v>7729</v>
      </c>
    </row>
    <row r="577" spans="1:4" ht="20" customHeight="1">
      <c r="A577" t="s">
        <v>7730</v>
      </c>
      <c r="B577" t="s">
        <v>1560</v>
      </c>
      <c r="C577">
        <v>2.97</v>
      </c>
      <c r="D577" t="s">
        <v>7729</v>
      </c>
    </row>
    <row r="578" spans="1:4" ht="20" customHeight="1">
      <c r="A578" t="s">
        <v>7730</v>
      </c>
      <c r="B578" t="s">
        <v>1563</v>
      </c>
      <c r="C578">
        <v>2.97</v>
      </c>
      <c r="D578" t="s">
        <v>7729</v>
      </c>
    </row>
    <row r="579" spans="1:4" ht="20" customHeight="1">
      <c r="A579" t="s">
        <v>7730</v>
      </c>
      <c r="B579" t="s">
        <v>1566</v>
      </c>
      <c r="C579">
        <v>2.96</v>
      </c>
      <c r="D579" t="s">
        <v>7729</v>
      </c>
    </row>
    <row r="580" spans="1:4" ht="20" customHeight="1">
      <c r="A580" t="s">
        <v>7730</v>
      </c>
      <c r="B580" t="s">
        <v>1569</v>
      </c>
      <c r="C580">
        <v>2.97</v>
      </c>
      <c r="D580" t="s">
        <v>7729</v>
      </c>
    </row>
    <row r="581" spans="1:4" ht="20" customHeight="1">
      <c r="A581" t="s">
        <v>7730</v>
      </c>
      <c r="B581" t="s">
        <v>1572</v>
      </c>
      <c r="C581">
        <v>2.94</v>
      </c>
      <c r="D581" t="s">
        <v>7729</v>
      </c>
    </row>
    <row r="582" spans="1:4" ht="20" customHeight="1">
      <c r="A582" t="s">
        <v>7730</v>
      </c>
      <c r="B582" t="s">
        <v>1575</v>
      </c>
      <c r="C582">
        <v>3.04</v>
      </c>
      <c r="D582" t="s">
        <v>7729</v>
      </c>
    </row>
    <row r="583" spans="1:4" ht="20" customHeight="1">
      <c r="A583" t="s">
        <v>7730</v>
      </c>
      <c r="B583" t="s">
        <v>1578</v>
      </c>
      <c r="C583">
        <v>3.07</v>
      </c>
      <c r="D583" t="s">
        <v>7729</v>
      </c>
    </row>
    <row r="584" spans="1:4" ht="20" customHeight="1">
      <c r="A584" t="s">
        <v>7730</v>
      </c>
      <c r="B584" t="s">
        <v>1581</v>
      </c>
      <c r="C584">
        <v>3.06</v>
      </c>
      <c r="D584" t="s">
        <v>7729</v>
      </c>
    </row>
    <row r="585" spans="1:4" ht="20" customHeight="1">
      <c r="A585" t="s">
        <v>7730</v>
      </c>
      <c r="B585" t="s">
        <v>1584</v>
      </c>
      <c r="C585">
        <v>3.08</v>
      </c>
      <c r="D585" t="s">
        <v>7729</v>
      </c>
    </row>
    <row r="586" spans="1:4" ht="20" customHeight="1">
      <c r="A586" t="s">
        <v>7730</v>
      </c>
      <c r="B586" t="s">
        <v>1587</v>
      </c>
      <c r="C586">
        <v>3.17</v>
      </c>
      <c r="D586" t="s">
        <v>7729</v>
      </c>
    </row>
    <row r="587" spans="1:4" ht="20" customHeight="1">
      <c r="A587" t="s">
        <v>7730</v>
      </c>
      <c r="B587" t="s">
        <v>1590</v>
      </c>
      <c r="C587">
        <v>3.28</v>
      </c>
      <c r="D587" t="s">
        <v>7729</v>
      </c>
    </row>
    <row r="588" spans="1:4" ht="20" customHeight="1">
      <c r="A588" t="s">
        <v>7730</v>
      </c>
      <c r="B588" t="s">
        <v>1593</v>
      </c>
      <c r="C588">
        <v>3.24</v>
      </c>
      <c r="D588" t="s">
        <v>7729</v>
      </c>
    </row>
    <row r="589" spans="1:4" ht="20" customHeight="1">
      <c r="A589" t="s">
        <v>7730</v>
      </c>
      <c r="B589" t="s">
        <v>1596</v>
      </c>
      <c r="C589">
        <v>3.22</v>
      </c>
      <c r="D589" t="s">
        <v>7729</v>
      </c>
    </row>
    <row r="590" spans="1:4" ht="20" customHeight="1">
      <c r="A590" t="s">
        <v>7730</v>
      </c>
      <c r="B590" t="s">
        <v>1599</v>
      </c>
      <c r="C590">
        <v>3.2</v>
      </c>
      <c r="D590" t="s">
        <v>7729</v>
      </c>
    </row>
    <row r="591" spans="1:4" ht="20" customHeight="1">
      <c r="A591" t="s">
        <v>7730</v>
      </c>
      <c r="B591" t="s">
        <v>1602</v>
      </c>
      <c r="C591">
        <v>3.37</v>
      </c>
      <c r="D591" t="s">
        <v>7729</v>
      </c>
    </row>
    <row r="592" spans="1:4" ht="20" customHeight="1">
      <c r="A592" t="s">
        <v>7730</v>
      </c>
      <c r="B592" t="s">
        <v>1605</v>
      </c>
      <c r="C592">
        <v>3.35</v>
      </c>
      <c r="D592" t="s">
        <v>7729</v>
      </c>
    </row>
    <row r="593" spans="1:4" ht="20" customHeight="1">
      <c r="A593" t="s">
        <v>7730</v>
      </c>
      <c r="B593" t="s">
        <v>1608</v>
      </c>
      <c r="C593">
        <v>3.31</v>
      </c>
      <c r="D593" t="s">
        <v>7729</v>
      </c>
    </row>
    <row r="594" spans="1:4" ht="20" customHeight="1">
      <c r="A594" t="s">
        <v>7730</v>
      </c>
      <c r="B594" t="s">
        <v>1611</v>
      </c>
      <c r="C594">
        <v>3.29</v>
      </c>
      <c r="D594" t="s">
        <v>7729</v>
      </c>
    </row>
    <row r="595" spans="1:4" ht="20" customHeight="1">
      <c r="A595" t="s">
        <v>7730</v>
      </c>
      <c r="B595" t="s">
        <v>1614</v>
      </c>
      <c r="C595">
        <v>3.24</v>
      </c>
      <c r="D595" t="s">
        <v>7729</v>
      </c>
    </row>
    <row r="596" spans="1:4" ht="20" customHeight="1">
      <c r="A596" t="s">
        <v>7730</v>
      </c>
      <c r="B596" t="s">
        <v>1617</v>
      </c>
      <c r="C596">
        <v>3.39</v>
      </c>
      <c r="D596" t="s">
        <v>7729</v>
      </c>
    </row>
    <row r="597" spans="1:4" ht="20" customHeight="1">
      <c r="A597" t="s">
        <v>7730</v>
      </c>
      <c r="B597" t="s">
        <v>1620</v>
      </c>
      <c r="C597">
        <v>3.35</v>
      </c>
      <c r="D597" t="s">
        <v>7729</v>
      </c>
    </row>
    <row r="598" spans="1:4" ht="20" customHeight="1">
      <c r="A598" t="s">
        <v>7730</v>
      </c>
      <c r="B598" t="s">
        <v>1623</v>
      </c>
      <c r="C598">
        <v>3.4</v>
      </c>
      <c r="D598" t="s">
        <v>7729</v>
      </c>
    </row>
    <row r="599" spans="1:4" ht="20" customHeight="1">
      <c r="A599" t="s">
        <v>7730</v>
      </c>
      <c r="B599" t="s">
        <v>1626</v>
      </c>
      <c r="C599">
        <v>3.36</v>
      </c>
      <c r="D599" t="s">
        <v>7729</v>
      </c>
    </row>
    <row r="600" spans="1:4" ht="20" customHeight="1">
      <c r="A600" t="s">
        <v>7730</v>
      </c>
      <c r="B600" t="s">
        <v>1629</v>
      </c>
      <c r="C600">
        <v>3.33</v>
      </c>
      <c r="D600" t="s">
        <v>7729</v>
      </c>
    </row>
    <row r="601" spans="1:4" ht="20" customHeight="1">
      <c r="A601" t="s">
        <v>7730</v>
      </c>
      <c r="B601" t="s">
        <v>1632</v>
      </c>
      <c r="C601">
        <v>3.46</v>
      </c>
      <c r="D601" t="s">
        <v>7729</v>
      </c>
    </row>
    <row r="602" spans="1:4" ht="20" customHeight="1">
      <c r="A602" t="s">
        <v>7730</v>
      </c>
      <c r="B602" t="s">
        <v>1635</v>
      </c>
      <c r="C602">
        <v>3.45</v>
      </c>
      <c r="D602" t="s">
        <v>7729</v>
      </c>
    </row>
    <row r="603" spans="1:4" ht="20" customHeight="1">
      <c r="A603" t="s">
        <v>7730</v>
      </c>
      <c r="B603" t="s">
        <v>1638</v>
      </c>
      <c r="C603">
        <v>3.46</v>
      </c>
      <c r="D603" t="s">
        <v>7729</v>
      </c>
    </row>
    <row r="604" spans="1:4" ht="20" customHeight="1">
      <c r="A604" t="s">
        <v>7730</v>
      </c>
      <c r="B604" t="s">
        <v>1641</v>
      </c>
      <c r="C604">
        <v>3.46</v>
      </c>
      <c r="D604" t="s">
        <v>7729</v>
      </c>
    </row>
    <row r="605" spans="1:4" ht="20" customHeight="1">
      <c r="A605" t="s">
        <v>7730</v>
      </c>
      <c r="B605" t="s">
        <v>1644</v>
      </c>
      <c r="C605">
        <v>3.45</v>
      </c>
      <c r="D605" t="s">
        <v>7729</v>
      </c>
    </row>
    <row r="606" spans="1:4" ht="20" customHeight="1">
      <c r="A606" t="s">
        <v>7730</v>
      </c>
      <c r="B606" t="s">
        <v>1650</v>
      </c>
      <c r="C606">
        <v>3.67</v>
      </c>
      <c r="D606" t="s">
        <v>7729</v>
      </c>
    </row>
    <row r="607" spans="1:4" ht="20" customHeight="1">
      <c r="A607" t="s">
        <v>7730</v>
      </c>
      <c r="B607" t="s">
        <v>1653</v>
      </c>
      <c r="C607">
        <v>3.7</v>
      </c>
      <c r="D607" t="s">
        <v>7729</v>
      </c>
    </row>
    <row r="608" spans="1:4" ht="20" customHeight="1">
      <c r="A608" t="s">
        <v>7730</v>
      </c>
      <c r="B608" t="s">
        <v>1656</v>
      </c>
      <c r="C608">
        <v>3.79</v>
      </c>
      <c r="D608" t="s">
        <v>7729</v>
      </c>
    </row>
    <row r="609" spans="1:4" ht="20" customHeight="1">
      <c r="A609" t="s">
        <v>7730</v>
      </c>
      <c r="B609" t="s">
        <v>1659</v>
      </c>
      <c r="C609">
        <v>3.81</v>
      </c>
      <c r="D609" t="s">
        <v>7729</v>
      </c>
    </row>
    <row r="610" spans="1:4" ht="20" customHeight="1">
      <c r="A610" t="s">
        <v>7730</v>
      </c>
      <c r="B610" t="s">
        <v>1662</v>
      </c>
      <c r="C610">
        <v>3.97</v>
      </c>
      <c r="D610" t="s">
        <v>7729</v>
      </c>
    </row>
    <row r="611" spans="1:4" ht="20" customHeight="1">
      <c r="A611" t="s">
        <v>7730</v>
      </c>
      <c r="B611" t="s">
        <v>1665</v>
      </c>
      <c r="C611">
        <v>4.04</v>
      </c>
      <c r="D611" t="s">
        <v>7729</v>
      </c>
    </row>
    <row r="612" spans="1:4" ht="20" customHeight="1">
      <c r="A612" t="s">
        <v>7730</v>
      </c>
      <c r="B612" t="s">
        <v>1668</v>
      </c>
      <c r="C612">
        <v>4.07</v>
      </c>
      <c r="D612" t="s">
        <v>7729</v>
      </c>
    </row>
    <row r="613" spans="1:4" ht="20" customHeight="1">
      <c r="A613" t="s">
        <v>7730</v>
      </c>
      <c r="B613" t="s">
        <v>1671</v>
      </c>
      <c r="C613">
        <v>4.09</v>
      </c>
      <c r="D613" t="s">
        <v>7729</v>
      </c>
    </row>
    <row r="614" spans="1:4" ht="20" customHeight="1">
      <c r="A614" t="s">
        <v>7730</v>
      </c>
      <c r="B614" t="s">
        <v>1674</v>
      </c>
      <c r="C614">
        <v>4.09</v>
      </c>
      <c r="D614" t="s">
        <v>7729</v>
      </c>
    </row>
    <row r="615" spans="1:4" ht="20" customHeight="1">
      <c r="A615" t="s">
        <v>7730</v>
      </c>
      <c r="B615" t="s">
        <v>1677</v>
      </c>
      <c r="C615">
        <v>4.16</v>
      </c>
      <c r="D615" t="s">
        <v>7729</v>
      </c>
    </row>
    <row r="616" spans="1:4" ht="20" customHeight="1">
      <c r="A616" t="s">
        <v>7730</v>
      </c>
      <c r="B616" t="s">
        <v>1680</v>
      </c>
      <c r="C616">
        <v>4.14</v>
      </c>
      <c r="D616" t="s">
        <v>7729</v>
      </c>
    </row>
    <row r="617" spans="1:4" ht="20" customHeight="1">
      <c r="A617" t="s">
        <v>7730</v>
      </c>
      <c r="B617" t="s">
        <v>1683</v>
      </c>
      <c r="C617">
        <v>4.11</v>
      </c>
      <c r="D617" t="s">
        <v>7729</v>
      </c>
    </row>
    <row r="618" spans="1:4" ht="20" customHeight="1">
      <c r="A618" t="s">
        <v>7730</v>
      </c>
      <c r="B618" t="s">
        <v>1686</v>
      </c>
      <c r="C618">
        <v>4.13</v>
      </c>
      <c r="D618" t="s">
        <v>7729</v>
      </c>
    </row>
    <row r="619" spans="1:4" ht="20" customHeight="1">
      <c r="A619" t="s">
        <v>7730</v>
      </c>
      <c r="B619" t="s">
        <v>1689</v>
      </c>
      <c r="C619">
        <v>4.18</v>
      </c>
      <c r="D619" t="s">
        <v>7729</v>
      </c>
    </row>
    <row r="620" spans="1:4" ht="20" customHeight="1">
      <c r="A620" t="s">
        <v>7730</v>
      </c>
      <c r="B620" t="s">
        <v>1692</v>
      </c>
      <c r="C620">
        <v>4.22</v>
      </c>
      <c r="D620" t="s">
        <v>7729</v>
      </c>
    </row>
    <row r="621" spans="1:4" ht="20" customHeight="1">
      <c r="A621" t="s">
        <v>7730</v>
      </c>
      <c r="B621" t="s">
        <v>1695</v>
      </c>
      <c r="C621">
        <v>4.23</v>
      </c>
      <c r="D621" t="s">
        <v>7729</v>
      </c>
    </row>
    <row r="622" spans="1:4" ht="20" customHeight="1">
      <c r="A622" t="s">
        <v>7730</v>
      </c>
      <c r="B622" t="s">
        <v>1698</v>
      </c>
      <c r="C622">
        <v>4.22</v>
      </c>
      <c r="D622" t="s">
        <v>7729</v>
      </c>
    </row>
    <row r="623" spans="1:4" ht="20" customHeight="1">
      <c r="A623" t="s">
        <v>7730</v>
      </c>
      <c r="B623" t="s">
        <v>1701</v>
      </c>
      <c r="C623">
        <v>4.25</v>
      </c>
      <c r="D623" t="s">
        <v>7729</v>
      </c>
    </row>
    <row r="624" spans="1:4" ht="20" customHeight="1">
      <c r="A624" t="s">
        <v>7730</v>
      </c>
      <c r="B624" t="s">
        <v>1704</v>
      </c>
      <c r="C624">
        <v>4.21</v>
      </c>
      <c r="D624" t="s">
        <v>7729</v>
      </c>
    </row>
    <row r="625" spans="1:4" ht="20" customHeight="1">
      <c r="A625" t="s">
        <v>7730</v>
      </c>
      <c r="B625" t="s">
        <v>1707</v>
      </c>
      <c r="C625">
        <v>4.29</v>
      </c>
      <c r="D625" t="s">
        <v>7729</v>
      </c>
    </row>
    <row r="626" spans="1:4" ht="20" customHeight="1">
      <c r="A626" t="s">
        <v>7730</v>
      </c>
      <c r="B626" t="s">
        <v>1710</v>
      </c>
      <c r="C626">
        <v>4.28</v>
      </c>
      <c r="D626" t="s">
        <v>7729</v>
      </c>
    </row>
    <row r="627" spans="1:4" ht="20" customHeight="1">
      <c r="A627" t="s">
        <v>7730</v>
      </c>
      <c r="B627" t="s">
        <v>1713</v>
      </c>
      <c r="C627">
        <v>4.29</v>
      </c>
      <c r="D627" t="s">
        <v>7729</v>
      </c>
    </row>
    <row r="628" spans="1:4" ht="20" customHeight="1">
      <c r="A628" t="s">
        <v>7730</v>
      </c>
      <c r="B628" t="s">
        <v>1716</v>
      </c>
      <c r="C628">
        <v>4.28</v>
      </c>
      <c r="D628" t="s">
        <v>7729</v>
      </c>
    </row>
    <row r="629" spans="1:4" ht="20" customHeight="1">
      <c r="A629" t="s">
        <v>7730</v>
      </c>
      <c r="B629" t="s">
        <v>1722</v>
      </c>
      <c r="C629">
        <v>4.34</v>
      </c>
      <c r="D629" t="s">
        <v>7729</v>
      </c>
    </row>
    <row r="630" spans="1:4" ht="20" customHeight="1">
      <c r="A630" t="s">
        <v>7730</v>
      </c>
      <c r="B630" t="s">
        <v>1725</v>
      </c>
      <c r="C630">
        <v>4.31</v>
      </c>
      <c r="D630" t="s">
        <v>7729</v>
      </c>
    </row>
    <row r="631" spans="1:4" ht="20" customHeight="1">
      <c r="A631" t="s">
        <v>7730</v>
      </c>
      <c r="B631" t="s">
        <v>1728</v>
      </c>
      <c r="C631">
        <v>4.32</v>
      </c>
      <c r="D631" t="s">
        <v>7729</v>
      </c>
    </row>
    <row r="632" spans="1:4" ht="20" customHeight="1">
      <c r="A632" t="s">
        <v>7730</v>
      </c>
      <c r="B632" t="s">
        <v>1731</v>
      </c>
      <c r="C632">
        <v>4.32</v>
      </c>
      <c r="D632" t="s">
        <v>7729</v>
      </c>
    </row>
    <row r="633" spans="1:4" ht="20" customHeight="1">
      <c r="A633" t="s">
        <v>7730</v>
      </c>
      <c r="B633" t="s">
        <v>1734</v>
      </c>
      <c r="C633">
        <v>4.34</v>
      </c>
      <c r="D633" t="s">
        <v>7729</v>
      </c>
    </row>
    <row r="634" spans="1:4" ht="20" customHeight="1">
      <c r="A634" t="s">
        <v>7730</v>
      </c>
      <c r="B634" t="s">
        <v>1737</v>
      </c>
      <c r="C634">
        <v>4.41</v>
      </c>
      <c r="D634" t="s">
        <v>7729</v>
      </c>
    </row>
    <row r="635" spans="1:4" ht="20" customHeight="1">
      <c r="A635" t="s">
        <v>7730</v>
      </c>
      <c r="B635" t="s">
        <v>1740</v>
      </c>
      <c r="C635">
        <v>4.4</v>
      </c>
      <c r="D635" t="s">
        <v>7729</v>
      </c>
    </row>
    <row r="636" spans="1:4" ht="20" customHeight="1">
      <c r="A636" t="s">
        <v>7730</v>
      </c>
      <c r="B636" t="s">
        <v>1743</v>
      </c>
      <c r="C636">
        <v>4.4</v>
      </c>
      <c r="D636" t="s">
        <v>7729</v>
      </c>
    </row>
    <row r="637" spans="1:4" ht="20" customHeight="1">
      <c r="A637" t="s">
        <v>7730</v>
      </c>
      <c r="B637" t="s">
        <v>1746</v>
      </c>
      <c r="C637">
        <v>4.41</v>
      </c>
      <c r="D637" t="s">
        <v>7729</v>
      </c>
    </row>
    <row r="638" spans="1:4" ht="20" customHeight="1">
      <c r="A638" t="s">
        <v>7730</v>
      </c>
      <c r="B638" t="s">
        <v>1749</v>
      </c>
      <c r="C638">
        <v>4.41</v>
      </c>
      <c r="D638" t="s">
        <v>7729</v>
      </c>
    </row>
    <row r="639" spans="1:4" ht="20" customHeight="1">
      <c r="A639" t="s">
        <v>7730</v>
      </c>
      <c r="B639" t="s">
        <v>1752</v>
      </c>
      <c r="C639">
        <v>4.38</v>
      </c>
      <c r="D639" t="s">
        <v>7729</v>
      </c>
    </row>
    <row r="640" spans="1:4" ht="20" customHeight="1">
      <c r="A640" t="s">
        <v>7730</v>
      </c>
      <c r="B640" t="s">
        <v>1755</v>
      </c>
      <c r="C640">
        <v>4.37</v>
      </c>
      <c r="D640" t="s">
        <v>7729</v>
      </c>
    </row>
    <row r="641" spans="1:4" ht="20" customHeight="1">
      <c r="A641" t="s">
        <v>7730</v>
      </c>
      <c r="B641" t="s">
        <v>1758</v>
      </c>
      <c r="C641">
        <v>4.33</v>
      </c>
      <c r="D641" t="s">
        <v>7729</v>
      </c>
    </row>
    <row r="642" spans="1:4" ht="20" customHeight="1">
      <c r="A642" t="s">
        <v>7730</v>
      </c>
      <c r="B642" t="s">
        <v>1761</v>
      </c>
      <c r="C642">
        <v>4.34</v>
      </c>
      <c r="D642" t="s">
        <v>7729</v>
      </c>
    </row>
    <row r="643" spans="1:4" ht="20" customHeight="1">
      <c r="A643" t="s">
        <v>7730</v>
      </c>
      <c r="B643" t="s">
        <v>1764</v>
      </c>
      <c r="C643">
        <v>4.36</v>
      </c>
      <c r="D643" t="s">
        <v>7729</v>
      </c>
    </row>
    <row r="644" spans="1:4" ht="20" customHeight="1">
      <c r="A644" t="s">
        <v>7730</v>
      </c>
      <c r="B644" t="s">
        <v>1767</v>
      </c>
      <c r="C644">
        <v>4.37</v>
      </c>
      <c r="D644" t="s">
        <v>7729</v>
      </c>
    </row>
    <row r="645" spans="1:4" ht="20" customHeight="1">
      <c r="A645" t="s">
        <v>7730</v>
      </c>
      <c r="B645" t="s">
        <v>1770</v>
      </c>
      <c r="C645">
        <v>4.29</v>
      </c>
      <c r="D645" t="s">
        <v>7729</v>
      </c>
    </row>
    <row r="646" spans="1:4" ht="20" customHeight="1">
      <c r="A646" t="s">
        <v>7730</v>
      </c>
      <c r="B646" t="s">
        <v>1773</v>
      </c>
      <c r="C646">
        <v>4.28</v>
      </c>
      <c r="D646" t="s">
        <v>7729</v>
      </c>
    </row>
    <row r="647" spans="1:4" ht="20" customHeight="1">
      <c r="A647" t="s">
        <v>7730</v>
      </c>
      <c r="B647" t="s">
        <v>1776</v>
      </c>
      <c r="C647">
        <v>4.31</v>
      </c>
      <c r="D647" t="s">
        <v>7729</v>
      </c>
    </row>
    <row r="648" spans="1:4" ht="20" customHeight="1">
      <c r="A648" t="s">
        <v>7730</v>
      </c>
      <c r="B648" t="s">
        <v>1779</v>
      </c>
      <c r="C648">
        <v>4.38</v>
      </c>
      <c r="D648" t="s">
        <v>7729</v>
      </c>
    </row>
    <row r="649" spans="1:4" ht="20" customHeight="1">
      <c r="A649" t="s">
        <v>7730</v>
      </c>
      <c r="B649" t="s">
        <v>1782</v>
      </c>
      <c r="C649">
        <v>4.35</v>
      </c>
      <c r="D649" t="s">
        <v>7729</v>
      </c>
    </row>
    <row r="650" spans="1:4" ht="20" customHeight="1">
      <c r="A650" t="s">
        <v>7730</v>
      </c>
      <c r="B650" t="s">
        <v>1785</v>
      </c>
      <c r="C650">
        <v>4.33</v>
      </c>
      <c r="D650" t="s">
        <v>7729</v>
      </c>
    </row>
    <row r="651" spans="1:4" ht="20" customHeight="1">
      <c r="A651" t="s">
        <v>7730</v>
      </c>
      <c r="B651" t="s">
        <v>1788</v>
      </c>
      <c r="C651">
        <v>4.34</v>
      </c>
      <c r="D651" t="s">
        <v>7729</v>
      </c>
    </row>
    <row r="652" spans="1:4" ht="20" customHeight="1">
      <c r="A652" t="s">
        <v>7730</v>
      </c>
      <c r="B652" t="s">
        <v>1791</v>
      </c>
      <c r="C652">
        <v>4.31</v>
      </c>
      <c r="D652" t="s">
        <v>7729</v>
      </c>
    </row>
    <row r="653" spans="1:4" ht="20" customHeight="1">
      <c r="A653" t="s">
        <v>7730</v>
      </c>
      <c r="B653" t="s">
        <v>1794</v>
      </c>
      <c r="C653">
        <v>4.37</v>
      </c>
      <c r="D653" t="s">
        <v>7729</v>
      </c>
    </row>
    <row r="654" spans="1:4" ht="20" customHeight="1">
      <c r="A654" t="s">
        <v>7730</v>
      </c>
      <c r="B654" t="s">
        <v>1797</v>
      </c>
      <c r="C654">
        <v>4.35</v>
      </c>
      <c r="D654" t="s">
        <v>7729</v>
      </c>
    </row>
    <row r="655" spans="1:4" ht="20" customHeight="1">
      <c r="A655" t="s">
        <v>7730</v>
      </c>
      <c r="B655" t="s">
        <v>1800</v>
      </c>
      <c r="C655">
        <v>4.33</v>
      </c>
      <c r="D655" t="s">
        <v>7729</v>
      </c>
    </row>
    <row r="656" spans="1:4" ht="20" customHeight="1">
      <c r="A656" t="s">
        <v>7730</v>
      </c>
      <c r="B656" t="s">
        <v>1803</v>
      </c>
      <c r="C656">
        <v>4.35</v>
      </c>
      <c r="D656" t="s">
        <v>7729</v>
      </c>
    </row>
    <row r="657" spans="1:4" ht="20" customHeight="1">
      <c r="A657" t="s">
        <v>7730</v>
      </c>
      <c r="B657" t="s">
        <v>1806</v>
      </c>
      <c r="C657">
        <v>4.34</v>
      </c>
      <c r="D657" t="s">
        <v>7729</v>
      </c>
    </row>
    <row r="658" spans="1:4" ht="20" customHeight="1">
      <c r="A658" t="s">
        <v>7730</v>
      </c>
      <c r="B658" t="s">
        <v>1809</v>
      </c>
      <c r="C658">
        <v>4.46</v>
      </c>
      <c r="D658" t="s">
        <v>7729</v>
      </c>
    </row>
    <row r="659" spans="1:4" ht="20" customHeight="1">
      <c r="A659" t="s">
        <v>7730</v>
      </c>
      <c r="B659" t="s">
        <v>1812</v>
      </c>
      <c r="C659">
        <v>4.46</v>
      </c>
      <c r="D659" t="s">
        <v>7729</v>
      </c>
    </row>
    <row r="660" spans="1:4" ht="20" customHeight="1">
      <c r="A660" t="s">
        <v>7730</v>
      </c>
      <c r="B660" t="s">
        <v>1815</v>
      </c>
      <c r="C660">
        <v>4.45</v>
      </c>
      <c r="D660" t="s">
        <v>7729</v>
      </c>
    </row>
    <row r="661" spans="1:4" ht="20" customHeight="1">
      <c r="A661" t="s">
        <v>7730</v>
      </c>
      <c r="B661" t="s">
        <v>1818</v>
      </c>
      <c r="C661">
        <v>4.42</v>
      </c>
      <c r="D661" t="s">
        <v>7729</v>
      </c>
    </row>
    <row r="662" spans="1:4" ht="20" customHeight="1">
      <c r="A662" t="s">
        <v>7730</v>
      </c>
      <c r="B662" t="s">
        <v>1821</v>
      </c>
      <c r="C662">
        <v>4.53</v>
      </c>
      <c r="D662" t="s">
        <v>7729</v>
      </c>
    </row>
    <row r="663" spans="1:4" ht="20" customHeight="1">
      <c r="A663" t="s">
        <v>7730</v>
      </c>
      <c r="B663" t="s">
        <v>1824</v>
      </c>
      <c r="C663">
        <v>4.55</v>
      </c>
      <c r="D663" t="s">
        <v>7729</v>
      </c>
    </row>
    <row r="664" spans="1:4" ht="20" customHeight="1">
      <c r="A664" t="s">
        <v>7730</v>
      </c>
      <c r="B664" t="s">
        <v>1827</v>
      </c>
      <c r="C664">
        <v>4.66</v>
      </c>
      <c r="D664" t="s">
        <v>7729</v>
      </c>
    </row>
    <row r="665" spans="1:4" ht="20" customHeight="1">
      <c r="A665" t="s">
        <v>7730</v>
      </c>
      <c r="B665" t="s">
        <v>1830</v>
      </c>
      <c r="C665">
        <v>4.67</v>
      </c>
      <c r="D665" t="s">
        <v>7729</v>
      </c>
    </row>
    <row r="666" spans="1:4" ht="20" customHeight="1">
      <c r="A666" t="s">
        <v>7730</v>
      </c>
      <c r="B666" t="s">
        <v>1833</v>
      </c>
      <c r="C666">
        <v>4.7</v>
      </c>
      <c r="D666" t="s">
        <v>7729</v>
      </c>
    </row>
    <row r="667" spans="1:4" ht="20" customHeight="1">
      <c r="A667" t="s">
        <v>7730</v>
      </c>
      <c r="B667" t="s">
        <v>1836</v>
      </c>
      <c r="C667">
        <v>4.73</v>
      </c>
      <c r="D667" t="s">
        <v>7729</v>
      </c>
    </row>
    <row r="668" spans="1:4" ht="20" customHeight="1">
      <c r="A668" t="s">
        <v>7730</v>
      </c>
      <c r="B668" t="s">
        <v>1839</v>
      </c>
      <c r="C668">
        <v>4.72</v>
      </c>
      <c r="D668" t="s">
        <v>7729</v>
      </c>
    </row>
    <row r="669" spans="1:4" ht="20" customHeight="1">
      <c r="A669" t="s">
        <v>7730</v>
      </c>
      <c r="B669" t="s">
        <v>1842</v>
      </c>
      <c r="C669">
        <v>4.66</v>
      </c>
      <c r="D669" t="s">
        <v>7729</v>
      </c>
    </row>
    <row r="670" spans="1:4" ht="20" customHeight="1">
      <c r="A670" t="s">
        <v>7730</v>
      </c>
      <c r="B670" t="s">
        <v>1845</v>
      </c>
      <c r="C670">
        <v>4.67</v>
      </c>
      <c r="D670" t="s">
        <v>7729</v>
      </c>
    </row>
    <row r="671" spans="1:4" ht="20" customHeight="1">
      <c r="A671" t="s">
        <v>7730</v>
      </c>
      <c r="B671" t="s">
        <v>1848</v>
      </c>
      <c r="C671">
        <v>4.71</v>
      </c>
      <c r="D671" t="s">
        <v>7729</v>
      </c>
    </row>
    <row r="672" spans="1:4" ht="20" customHeight="1">
      <c r="A672" t="s">
        <v>7730</v>
      </c>
      <c r="B672" t="s">
        <v>1851</v>
      </c>
      <c r="C672">
        <v>4.69</v>
      </c>
      <c r="D672" t="s">
        <v>7729</v>
      </c>
    </row>
    <row r="673" spans="1:4" ht="20" customHeight="1">
      <c r="A673" t="s">
        <v>7730</v>
      </c>
      <c r="B673" t="s">
        <v>1854</v>
      </c>
      <c r="C673">
        <v>4.71</v>
      </c>
      <c r="D673" t="s">
        <v>7729</v>
      </c>
    </row>
    <row r="674" spans="1:4" ht="20" customHeight="1">
      <c r="A674" t="s">
        <v>7730</v>
      </c>
      <c r="B674" t="s">
        <v>1857</v>
      </c>
      <c r="C674">
        <v>4.72</v>
      </c>
      <c r="D674" t="s">
        <v>7729</v>
      </c>
    </row>
    <row r="675" spans="1:4" ht="20" customHeight="1">
      <c r="A675" t="s">
        <v>7730</v>
      </c>
      <c r="B675" t="s">
        <v>1860</v>
      </c>
      <c r="C675">
        <v>4.73</v>
      </c>
      <c r="D675" t="s">
        <v>7729</v>
      </c>
    </row>
    <row r="676" spans="1:4" ht="20" customHeight="1">
      <c r="A676" t="s">
        <v>7730</v>
      </c>
      <c r="B676" t="s">
        <v>1863</v>
      </c>
      <c r="C676">
        <v>4.72</v>
      </c>
      <c r="D676" t="s">
        <v>7729</v>
      </c>
    </row>
    <row r="677" spans="1:4" ht="20" customHeight="1">
      <c r="A677" t="s">
        <v>7730</v>
      </c>
      <c r="B677" t="s">
        <v>1866</v>
      </c>
      <c r="C677">
        <v>4.72</v>
      </c>
      <c r="D677" t="s">
        <v>7729</v>
      </c>
    </row>
    <row r="678" spans="1:4" ht="20" customHeight="1">
      <c r="A678" t="s">
        <v>7730</v>
      </c>
      <c r="B678" t="s">
        <v>1869</v>
      </c>
      <c r="C678">
        <v>4.71</v>
      </c>
      <c r="D678" t="s">
        <v>7729</v>
      </c>
    </row>
    <row r="679" spans="1:4" ht="20" customHeight="1">
      <c r="A679" t="s">
        <v>7730</v>
      </c>
      <c r="B679" t="s">
        <v>1872</v>
      </c>
      <c r="C679">
        <v>4.73</v>
      </c>
      <c r="D679" t="s">
        <v>7729</v>
      </c>
    </row>
    <row r="680" spans="1:4" ht="20" customHeight="1">
      <c r="A680" t="s">
        <v>7730</v>
      </c>
      <c r="B680" t="s">
        <v>1875</v>
      </c>
      <c r="C680">
        <v>4.72</v>
      </c>
      <c r="D680" t="s">
        <v>7729</v>
      </c>
    </row>
    <row r="681" spans="1:4" ht="20" customHeight="1">
      <c r="A681" t="s">
        <v>7730</v>
      </c>
      <c r="B681" t="s">
        <v>1878</v>
      </c>
      <c r="C681">
        <v>4.7</v>
      </c>
      <c r="D681" t="s">
        <v>7729</v>
      </c>
    </row>
    <row r="682" spans="1:4" ht="20" customHeight="1">
      <c r="A682" t="s">
        <v>7730</v>
      </c>
      <c r="B682" t="s">
        <v>1881</v>
      </c>
      <c r="C682">
        <v>4.66</v>
      </c>
      <c r="D682" t="s">
        <v>7729</v>
      </c>
    </row>
    <row r="683" spans="1:4" ht="20" customHeight="1">
      <c r="A683" t="s">
        <v>7730</v>
      </c>
      <c r="B683" t="s">
        <v>1884</v>
      </c>
      <c r="C683">
        <v>4.66</v>
      </c>
      <c r="D683" t="s">
        <v>7729</v>
      </c>
    </row>
    <row r="684" spans="1:4" ht="20" customHeight="1">
      <c r="A684" t="s">
        <v>7730</v>
      </c>
      <c r="B684" t="s">
        <v>1887</v>
      </c>
      <c r="C684">
        <v>4.7</v>
      </c>
      <c r="D684" t="s">
        <v>7729</v>
      </c>
    </row>
    <row r="685" spans="1:4" ht="20" customHeight="1">
      <c r="A685" t="s">
        <v>7730</v>
      </c>
      <c r="B685" t="s">
        <v>1890</v>
      </c>
      <c r="C685">
        <v>4.71</v>
      </c>
      <c r="D685" t="s">
        <v>7729</v>
      </c>
    </row>
    <row r="686" spans="1:4" ht="20" customHeight="1">
      <c r="A686" t="s">
        <v>7730</v>
      </c>
      <c r="B686" t="s">
        <v>1893</v>
      </c>
      <c r="C686">
        <v>4.71</v>
      </c>
      <c r="D686" t="s">
        <v>7729</v>
      </c>
    </row>
    <row r="687" spans="1:4" ht="20" customHeight="1">
      <c r="A687" t="s">
        <v>7730</v>
      </c>
      <c r="B687" t="s">
        <v>1896</v>
      </c>
      <c r="C687">
        <v>4.72</v>
      </c>
      <c r="D687" t="s">
        <v>7729</v>
      </c>
    </row>
    <row r="688" spans="1:4" ht="20" customHeight="1">
      <c r="A688" t="s">
        <v>7730</v>
      </c>
      <c r="B688" t="s">
        <v>1899</v>
      </c>
      <c r="C688">
        <v>4.77</v>
      </c>
      <c r="D688" t="s">
        <v>7729</v>
      </c>
    </row>
    <row r="689" spans="1:4" ht="20" customHeight="1">
      <c r="A689" t="s">
        <v>7730</v>
      </c>
      <c r="B689" t="s">
        <v>1902</v>
      </c>
      <c r="C689">
        <v>4.79</v>
      </c>
      <c r="D689" t="s">
        <v>7729</v>
      </c>
    </row>
    <row r="690" spans="1:4" ht="20" customHeight="1">
      <c r="A690" t="s">
        <v>7730</v>
      </c>
      <c r="B690" t="s">
        <v>1905</v>
      </c>
      <c r="C690">
        <v>4.81</v>
      </c>
      <c r="D690" t="s">
        <v>7729</v>
      </c>
    </row>
    <row r="691" spans="1:4" ht="20" customHeight="1">
      <c r="A691" t="s">
        <v>7730</v>
      </c>
      <c r="B691" t="s">
        <v>1908</v>
      </c>
      <c r="C691">
        <v>4.8</v>
      </c>
      <c r="D691" t="s">
        <v>7729</v>
      </c>
    </row>
    <row r="692" spans="1:4" ht="20" customHeight="1">
      <c r="A692" t="s">
        <v>7730</v>
      </c>
      <c r="B692" t="s">
        <v>1911</v>
      </c>
      <c r="C692">
        <v>4.79</v>
      </c>
      <c r="D692" t="s">
        <v>7729</v>
      </c>
    </row>
    <row r="693" spans="1:4" ht="20" customHeight="1">
      <c r="A693" t="s">
        <v>7730</v>
      </c>
      <c r="B693" t="s">
        <v>1914</v>
      </c>
      <c r="C693">
        <v>4.84</v>
      </c>
      <c r="D693" t="s">
        <v>7729</v>
      </c>
    </row>
    <row r="694" spans="1:4" ht="20" customHeight="1">
      <c r="A694" t="s">
        <v>7730</v>
      </c>
      <c r="B694" t="s">
        <v>1917</v>
      </c>
      <c r="C694">
        <v>4.84</v>
      </c>
      <c r="D694" t="s">
        <v>7729</v>
      </c>
    </row>
    <row r="695" spans="1:4" ht="20" customHeight="1">
      <c r="A695" t="s">
        <v>7730</v>
      </c>
      <c r="B695" t="s">
        <v>1920</v>
      </c>
      <c r="C695">
        <v>4.86</v>
      </c>
      <c r="D695" t="s">
        <v>7729</v>
      </c>
    </row>
    <row r="696" spans="1:4" ht="20" customHeight="1">
      <c r="A696" t="s">
        <v>7730</v>
      </c>
      <c r="B696" t="s">
        <v>1923</v>
      </c>
      <c r="C696">
        <v>4.84</v>
      </c>
      <c r="D696" t="s">
        <v>7729</v>
      </c>
    </row>
    <row r="697" spans="1:4" ht="20" customHeight="1">
      <c r="A697" t="s">
        <v>7730</v>
      </c>
      <c r="B697" t="s">
        <v>1926</v>
      </c>
      <c r="C697">
        <v>4.84</v>
      </c>
      <c r="D697" t="s">
        <v>7729</v>
      </c>
    </row>
    <row r="698" spans="1:4" ht="20" customHeight="1">
      <c r="A698" t="s">
        <v>7730</v>
      </c>
      <c r="B698" t="s">
        <v>1929</v>
      </c>
      <c r="C698">
        <v>4.86</v>
      </c>
      <c r="D698" t="s">
        <v>7729</v>
      </c>
    </row>
    <row r="699" spans="1:4" ht="20" customHeight="1">
      <c r="A699" t="s">
        <v>7730</v>
      </c>
      <c r="B699" t="s">
        <v>1932</v>
      </c>
      <c r="C699">
        <v>4.89</v>
      </c>
      <c r="D699" t="s">
        <v>7729</v>
      </c>
    </row>
    <row r="700" spans="1:4" ht="20" customHeight="1">
      <c r="A700" t="s">
        <v>7730</v>
      </c>
      <c r="B700" t="s">
        <v>1935</v>
      </c>
      <c r="C700">
        <v>4.88</v>
      </c>
      <c r="D700" t="s">
        <v>7729</v>
      </c>
    </row>
    <row r="701" spans="1:4" ht="20" customHeight="1">
      <c r="A701" t="s">
        <v>7730</v>
      </c>
      <c r="B701" t="s">
        <v>1938</v>
      </c>
      <c r="C701">
        <v>4.9</v>
      </c>
      <c r="D701" t="s">
        <v>7729</v>
      </c>
    </row>
    <row r="702" spans="1:4" ht="20" customHeight="1">
      <c r="A702" t="s">
        <v>7730</v>
      </c>
      <c r="B702" t="s">
        <v>1941</v>
      </c>
      <c r="C702">
        <v>4.91</v>
      </c>
      <c r="D702" t="s">
        <v>7729</v>
      </c>
    </row>
    <row r="703" spans="1:4" ht="20" customHeight="1">
      <c r="A703" t="s">
        <v>7730</v>
      </c>
      <c r="B703" t="s">
        <v>1944</v>
      </c>
      <c r="C703">
        <v>4.91</v>
      </c>
      <c r="D703" t="s">
        <v>7729</v>
      </c>
    </row>
    <row r="704" spans="1:4" ht="20" customHeight="1">
      <c r="A704" t="s">
        <v>7730</v>
      </c>
      <c r="B704" t="s">
        <v>1947</v>
      </c>
      <c r="C704">
        <v>4.93</v>
      </c>
      <c r="D704" t="s">
        <v>7729</v>
      </c>
    </row>
    <row r="705" spans="1:4" ht="20" customHeight="1">
      <c r="A705" t="s">
        <v>7730</v>
      </c>
      <c r="B705" t="s">
        <v>1950</v>
      </c>
      <c r="C705">
        <v>5.04</v>
      </c>
      <c r="D705" t="s">
        <v>7729</v>
      </c>
    </row>
    <row r="706" spans="1:4" ht="20" customHeight="1">
      <c r="A706" t="s">
        <v>7730</v>
      </c>
      <c r="B706" t="s">
        <v>1953</v>
      </c>
      <c r="C706">
        <v>5.06</v>
      </c>
      <c r="D706" t="s">
        <v>7729</v>
      </c>
    </row>
    <row r="707" spans="1:4" ht="20" customHeight="1">
      <c r="A707" t="s">
        <v>7730</v>
      </c>
      <c r="B707" t="s">
        <v>1956</v>
      </c>
      <c r="C707">
        <v>5.05</v>
      </c>
      <c r="D707" t="s">
        <v>7729</v>
      </c>
    </row>
    <row r="708" spans="1:4" ht="20" customHeight="1">
      <c r="A708" t="s">
        <v>7730</v>
      </c>
      <c r="B708" t="s">
        <v>1959</v>
      </c>
      <c r="C708">
        <v>5.01</v>
      </c>
      <c r="D708" t="s">
        <v>7729</v>
      </c>
    </row>
    <row r="709" spans="1:4" ht="20" customHeight="1">
      <c r="A709" t="s">
        <v>7730</v>
      </c>
      <c r="B709" t="s">
        <v>1962</v>
      </c>
      <c r="C709">
        <v>4.87</v>
      </c>
      <c r="D709" t="s">
        <v>7729</v>
      </c>
    </row>
    <row r="710" spans="1:4" ht="20" customHeight="1">
      <c r="A710" t="s">
        <v>7730</v>
      </c>
      <c r="B710" t="s">
        <v>1965</v>
      </c>
      <c r="C710">
        <v>4.88</v>
      </c>
      <c r="D710" t="s">
        <v>7729</v>
      </c>
    </row>
    <row r="711" spans="1:4" ht="20" customHeight="1">
      <c r="A711" t="s">
        <v>7730</v>
      </c>
      <c r="B711" t="s">
        <v>1968</v>
      </c>
      <c r="C711">
        <v>4.75</v>
      </c>
      <c r="D711" t="s">
        <v>7729</v>
      </c>
    </row>
    <row r="712" spans="1:4" ht="20" customHeight="1">
      <c r="A712" t="s">
        <v>7730</v>
      </c>
      <c r="B712" t="s">
        <v>1971</v>
      </c>
      <c r="C712">
        <v>4.74</v>
      </c>
      <c r="D712" t="s">
        <v>7729</v>
      </c>
    </row>
    <row r="713" spans="1:4" ht="20" customHeight="1">
      <c r="A713" t="s">
        <v>7730</v>
      </c>
      <c r="B713" t="s">
        <v>1974</v>
      </c>
      <c r="C713">
        <v>4.52</v>
      </c>
      <c r="D713" t="s">
        <v>7729</v>
      </c>
    </row>
    <row r="714" spans="1:4" ht="20" customHeight="1">
      <c r="A714" t="s">
        <v>7730</v>
      </c>
      <c r="B714" t="s">
        <v>1977</v>
      </c>
      <c r="C714">
        <v>4.81</v>
      </c>
      <c r="D714" t="s">
        <v>7729</v>
      </c>
    </row>
    <row r="715" spans="1:4" ht="20" customHeight="1">
      <c r="A715" t="s">
        <v>7730</v>
      </c>
      <c r="B715" t="s">
        <v>1980</v>
      </c>
      <c r="C715">
        <v>4.78</v>
      </c>
      <c r="D715" t="s">
        <v>7729</v>
      </c>
    </row>
    <row r="716" spans="1:4" ht="20" customHeight="1">
      <c r="A716" t="s">
        <v>7730</v>
      </c>
      <c r="B716" t="s">
        <v>1983</v>
      </c>
      <c r="C716">
        <v>4.79</v>
      </c>
      <c r="D716" t="s">
        <v>7729</v>
      </c>
    </row>
    <row r="717" spans="1:4" ht="20" customHeight="1">
      <c r="A717" t="s">
        <v>7730</v>
      </c>
      <c r="B717" t="s">
        <v>1986</v>
      </c>
      <c r="C717">
        <v>4.73</v>
      </c>
      <c r="D717" t="s">
        <v>7729</v>
      </c>
    </row>
    <row r="718" spans="1:4" ht="20" customHeight="1">
      <c r="A718" t="s">
        <v>7730</v>
      </c>
      <c r="B718" t="s">
        <v>1989</v>
      </c>
      <c r="C718">
        <v>4.74</v>
      </c>
      <c r="D718" t="s">
        <v>7729</v>
      </c>
    </row>
    <row r="719" spans="1:4" ht="20" customHeight="1">
      <c r="A719" t="s">
        <v>7730</v>
      </c>
      <c r="B719" t="s">
        <v>1992</v>
      </c>
      <c r="C719">
        <v>4.91</v>
      </c>
      <c r="D719" t="s">
        <v>7729</v>
      </c>
    </row>
    <row r="720" spans="1:4" ht="20" customHeight="1">
      <c r="A720" t="s">
        <v>7730</v>
      </c>
      <c r="B720" t="s">
        <v>1995</v>
      </c>
      <c r="C720">
        <v>4.8</v>
      </c>
      <c r="D720" t="s">
        <v>7729</v>
      </c>
    </row>
    <row r="721" spans="1:4" ht="20" customHeight="1">
      <c r="A721" t="s">
        <v>7730</v>
      </c>
      <c r="B721" t="s">
        <v>1998</v>
      </c>
      <c r="C721">
        <v>4.8</v>
      </c>
      <c r="D721" t="s">
        <v>7729</v>
      </c>
    </row>
    <row r="722" spans="1:4" ht="20" customHeight="1">
      <c r="A722" t="s">
        <v>7730</v>
      </c>
      <c r="B722" t="s">
        <v>2001</v>
      </c>
      <c r="C722">
        <v>4.97</v>
      </c>
      <c r="D722" t="s">
        <v>7729</v>
      </c>
    </row>
    <row r="723" spans="1:4" ht="20" customHeight="1">
      <c r="A723" t="s">
        <v>7730</v>
      </c>
      <c r="B723" t="s">
        <v>2004</v>
      </c>
      <c r="C723">
        <v>4.85</v>
      </c>
      <c r="D723" t="s">
        <v>7729</v>
      </c>
    </row>
    <row r="724" spans="1:4" ht="20" customHeight="1">
      <c r="A724" t="s">
        <v>7730</v>
      </c>
      <c r="B724" t="s">
        <v>2007</v>
      </c>
      <c r="C724">
        <v>4.9</v>
      </c>
      <c r="D724" t="s">
        <v>7729</v>
      </c>
    </row>
    <row r="725" spans="1:4" ht="20" customHeight="1">
      <c r="A725" t="s">
        <v>7730</v>
      </c>
      <c r="B725" t="s">
        <v>2010</v>
      </c>
      <c r="C725">
        <v>4.88</v>
      </c>
      <c r="D725" t="s">
        <v>7729</v>
      </c>
    </row>
    <row r="726" spans="1:4" ht="20" customHeight="1">
      <c r="A726" t="s">
        <v>7730</v>
      </c>
      <c r="B726" t="s">
        <v>2013</v>
      </c>
      <c r="C726">
        <v>4.86</v>
      </c>
      <c r="D726" t="s">
        <v>7729</v>
      </c>
    </row>
    <row r="727" spans="1:4" ht="20" customHeight="1">
      <c r="A727" t="s">
        <v>7730</v>
      </c>
      <c r="B727" t="s">
        <v>2016</v>
      </c>
      <c r="C727">
        <v>4.91</v>
      </c>
      <c r="D727" t="s">
        <v>7729</v>
      </c>
    </row>
    <row r="728" spans="1:4" ht="20" customHeight="1">
      <c r="A728" t="s">
        <v>7730</v>
      </c>
      <c r="B728" t="s">
        <v>5886</v>
      </c>
      <c r="C728">
        <v>4.95</v>
      </c>
      <c r="D728" t="s">
        <v>7729</v>
      </c>
    </row>
    <row r="729" spans="1:4" ht="20" customHeight="1">
      <c r="A729" t="s">
        <v>7730</v>
      </c>
      <c r="B729" t="s">
        <v>2019</v>
      </c>
      <c r="C729">
        <v>5.08</v>
      </c>
      <c r="D729" t="s">
        <v>7729</v>
      </c>
    </row>
    <row r="730" spans="1:4" ht="20" customHeight="1">
      <c r="A730" t="s">
        <v>7730</v>
      </c>
      <c r="B730" t="s">
        <v>2022</v>
      </c>
      <c r="C730">
        <v>5.04</v>
      </c>
      <c r="D730" t="s">
        <v>7729</v>
      </c>
    </row>
    <row r="731" spans="1:4" ht="20" customHeight="1">
      <c r="A731" t="s">
        <v>7730</v>
      </c>
      <c r="B731" t="s">
        <v>2025</v>
      </c>
      <c r="C731">
        <v>5.02</v>
      </c>
      <c r="D731" t="s">
        <v>7729</v>
      </c>
    </row>
    <row r="732" spans="1:4" ht="20" customHeight="1">
      <c r="A732" t="s">
        <v>7730</v>
      </c>
      <c r="B732" t="s">
        <v>2028</v>
      </c>
      <c r="C732">
        <v>5.1</v>
      </c>
      <c r="D732" t="s">
        <v>7729</v>
      </c>
    </row>
    <row r="733" spans="1:4" ht="20" customHeight="1">
      <c r="A733" t="s">
        <v>7730</v>
      </c>
      <c r="B733" t="s">
        <v>2031</v>
      </c>
      <c r="C733">
        <v>5.14</v>
      </c>
      <c r="D733" t="s">
        <v>7729</v>
      </c>
    </row>
    <row r="734" spans="1:4" ht="20" customHeight="1">
      <c r="A734" t="s">
        <v>7730</v>
      </c>
      <c r="B734" t="s">
        <v>2034</v>
      </c>
      <c r="C734">
        <v>5.21</v>
      </c>
      <c r="D734" t="s">
        <v>7729</v>
      </c>
    </row>
    <row r="735" spans="1:4" ht="20" customHeight="1">
      <c r="A735" t="s">
        <v>7730</v>
      </c>
      <c r="B735" t="s">
        <v>2037</v>
      </c>
      <c r="C735">
        <v>5.2</v>
      </c>
      <c r="D735" t="s">
        <v>7729</v>
      </c>
    </row>
    <row r="736" spans="1:4" ht="20" customHeight="1">
      <c r="A736" t="s">
        <v>7730</v>
      </c>
      <c r="B736" t="s">
        <v>2040</v>
      </c>
      <c r="C736">
        <v>5.16</v>
      </c>
      <c r="D736" t="s">
        <v>7729</v>
      </c>
    </row>
    <row r="737" spans="1:4" ht="20" customHeight="1">
      <c r="A737" t="s">
        <v>7730</v>
      </c>
      <c r="B737" t="s">
        <v>2043</v>
      </c>
      <c r="C737">
        <v>5.12</v>
      </c>
      <c r="D737" t="s">
        <v>7729</v>
      </c>
    </row>
    <row r="738" spans="1:4" ht="20" customHeight="1">
      <c r="A738" t="s">
        <v>7730</v>
      </c>
      <c r="B738" t="s">
        <v>2046</v>
      </c>
      <c r="C738">
        <v>5.14</v>
      </c>
      <c r="D738" t="s">
        <v>7729</v>
      </c>
    </row>
    <row r="739" spans="1:4" ht="20" customHeight="1">
      <c r="A739" t="s">
        <v>7730</v>
      </c>
      <c r="B739" t="s">
        <v>2049</v>
      </c>
      <c r="C739">
        <v>5.2</v>
      </c>
      <c r="D739" t="s">
        <v>7729</v>
      </c>
    </row>
    <row r="740" spans="1:4" ht="20" customHeight="1">
      <c r="A740" t="s">
        <v>7730</v>
      </c>
      <c r="B740" t="s">
        <v>2052</v>
      </c>
      <c r="C740">
        <v>5.12</v>
      </c>
      <c r="D740" t="s">
        <v>7729</v>
      </c>
    </row>
    <row r="741" spans="1:4" ht="20" customHeight="1">
      <c r="A741" t="s">
        <v>7730</v>
      </c>
      <c r="B741" t="s">
        <v>2055</v>
      </c>
      <c r="C741">
        <v>5.16</v>
      </c>
      <c r="D741" t="s">
        <v>7729</v>
      </c>
    </row>
    <row r="742" spans="1:4" ht="20" customHeight="1">
      <c r="A742" t="s">
        <v>7730</v>
      </c>
      <c r="B742" t="s">
        <v>2058</v>
      </c>
      <c r="C742">
        <v>5.18</v>
      </c>
      <c r="D742" t="s">
        <v>7729</v>
      </c>
    </row>
    <row r="743" spans="1:4" ht="20" customHeight="1">
      <c r="A743" t="s">
        <v>7730</v>
      </c>
      <c r="B743" t="s">
        <v>2061</v>
      </c>
      <c r="C743">
        <v>5.1</v>
      </c>
      <c r="D743" t="s">
        <v>7729</v>
      </c>
    </row>
    <row r="744" spans="1:4" ht="20" customHeight="1">
      <c r="A744" t="s">
        <v>7730</v>
      </c>
      <c r="B744" t="s">
        <v>2064</v>
      </c>
      <c r="C744">
        <v>5.27</v>
      </c>
      <c r="D744" t="s">
        <v>7729</v>
      </c>
    </row>
    <row r="745" spans="1:4" ht="20" customHeight="1">
      <c r="A745" t="s">
        <v>7730</v>
      </c>
      <c r="B745" t="s">
        <v>2067</v>
      </c>
      <c r="C745">
        <v>5.24</v>
      </c>
      <c r="D745" t="s">
        <v>7729</v>
      </c>
    </row>
    <row r="746" spans="1:4" ht="20" customHeight="1">
      <c r="A746" t="s">
        <v>7730</v>
      </c>
      <c r="B746" t="s">
        <v>2070</v>
      </c>
      <c r="C746">
        <v>5.26</v>
      </c>
      <c r="D746" t="s">
        <v>7729</v>
      </c>
    </row>
    <row r="747" spans="1:4" ht="20" customHeight="1">
      <c r="A747" t="s">
        <v>7730</v>
      </c>
      <c r="B747" t="s">
        <v>2073</v>
      </c>
      <c r="C747">
        <v>5.26</v>
      </c>
      <c r="D747" t="s">
        <v>7729</v>
      </c>
    </row>
    <row r="748" spans="1:4" ht="20" customHeight="1">
      <c r="A748" t="s">
        <v>7730</v>
      </c>
      <c r="B748" t="s">
        <v>2076</v>
      </c>
      <c r="C748">
        <v>5.26</v>
      </c>
      <c r="D748" t="s">
        <v>7729</v>
      </c>
    </row>
    <row r="749" spans="1:4" ht="20" customHeight="1">
      <c r="A749" t="s">
        <v>7730</v>
      </c>
      <c r="B749" t="s">
        <v>2079</v>
      </c>
      <c r="C749">
        <v>5.31</v>
      </c>
      <c r="D749" t="s">
        <v>7729</v>
      </c>
    </row>
    <row r="750" spans="1:4" ht="20" customHeight="1">
      <c r="A750" t="s">
        <v>7730</v>
      </c>
      <c r="B750" t="s">
        <v>2082</v>
      </c>
      <c r="C750">
        <v>5.29</v>
      </c>
      <c r="D750" t="s">
        <v>7729</v>
      </c>
    </row>
    <row r="751" spans="1:4" ht="20" customHeight="1">
      <c r="A751" t="s">
        <v>7730</v>
      </c>
      <c r="B751" t="s">
        <v>2085</v>
      </c>
      <c r="C751">
        <v>5.24</v>
      </c>
      <c r="D751" t="s">
        <v>7729</v>
      </c>
    </row>
    <row r="752" spans="1:4" ht="20" customHeight="1">
      <c r="A752" t="s">
        <v>7730</v>
      </c>
      <c r="B752" t="s">
        <v>2088</v>
      </c>
      <c r="C752">
        <v>5.2</v>
      </c>
      <c r="D752" t="s">
        <v>7729</v>
      </c>
    </row>
    <row r="753" spans="1:4" ht="20" customHeight="1">
      <c r="A753" t="s">
        <v>7730</v>
      </c>
      <c r="B753" t="s">
        <v>2091</v>
      </c>
      <c r="C753">
        <v>5.25</v>
      </c>
      <c r="D753" t="s">
        <v>7729</v>
      </c>
    </row>
    <row r="754" spans="1:4" ht="20" customHeight="1">
      <c r="A754" t="s">
        <v>7730</v>
      </c>
      <c r="B754" t="s">
        <v>2094</v>
      </c>
      <c r="C754">
        <v>5.21</v>
      </c>
      <c r="D754" t="s">
        <v>7729</v>
      </c>
    </row>
    <row r="755" spans="1:4" ht="20" customHeight="1">
      <c r="A755" t="s">
        <v>7730</v>
      </c>
      <c r="B755" t="s">
        <v>2097</v>
      </c>
      <c r="C755">
        <v>5.23</v>
      </c>
      <c r="D755" t="s">
        <v>7729</v>
      </c>
    </row>
    <row r="756" spans="1:4" ht="20" customHeight="1">
      <c r="A756" t="s">
        <v>7730</v>
      </c>
      <c r="B756" t="s">
        <v>2100</v>
      </c>
      <c r="C756">
        <v>5.26</v>
      </c>
      <c r="D756" t="s">
        <v>7729</v>
      </c>
    </row>
    <row r="757" spans="1:4" ht="20" customHeight="1">
      <c r="A757" t="s">
        <v>7730</v>
      </c>
      <c r="B757" t="s">
        <v>2103</v>
      </c>
      <c r="C757">
        <v>5.31</v>
      </c>
      <c r="D757" t="s">
        <v>7729</v>
      </c>
    </row>
    <row r="758" spans="1:4" ht="20" customHeight="1">
      <c r="A758" t="s">
        <v>7730</v>
      </c>
      <c r="B758" t="s">
        <v>2106</v>
      </c>
      <c r="C758">
        <v>5.29</v>
      </c>
      <c r="D758" t="s">
        <v>7729</v>
      </c>
    </row>
    <row r="759" spans="1:4" ht="20" customHeight="1">
      <c r="A759" t="s">
        <v>7730</v>
      </c>
      <c r="B759" t="s">
        <v>2109</v>
      </c>
      <c r="C759">
        <v>5.4</v>
      </c>
      <c r="D759" t="s">
        <v>7729</v>
      </c>
    </row>
    <row r="760" spans="1:4" ht="20" customHeight="1">
      <c r="A760" t="s">
        <v>7730</v>
      </c>
      <c r="B760" t="s">
        <v>2112</v>
      </c>
      <c r="C760">
        <v>5.34</v>
      </c>
      <c r="D760" t="s">
        <v>7729</v>
      </c>
    </row>
    <row r="761" spans="1:4" ht="20" customHeight="1">
      <c r="A761" t="s">
        <v>7730</v>
      </c>
      <c r="B761" t="s">
        <v>2115</v>
      </c>
      <c r="C761">
        <v>5.37</v>
      </c>
      <c r="D761" t="s">
        <v>7729</v>
      </c>
    </row>
    <row r="762" spans="1:4" ht="20" customHeight="1">
      <c r="A762" t="s">
        <v>7730</v>
      </c>
      <c r="B762" t="s">
        <v>2118</v>
      </c>
      <c r="C762">
        <v>5.38</v>
      </c>
      <c r="D762" t="s">
        <v>7729</v>
      </c>
    </row>
    <row r="763" spans="1:4" ht="20" customHeight="1">
      <c r="A763" t="s">
        <v>7730</v>
      </c>
      <c r="B763" t="s">
        <v>2121</v>
      </c>
      <c r="C763">
        <v>5.34</v>
      </c>
      <c r="D763" t="s">
        <v>7729</v>
      </c>
    </row>
    <row r="764" spans="1:4" ht="20" customHeight="1">
      <c r="A764" t="s">
        <v>7730</v>
      </c>
      <c r="B764" t="s">
        <v>2124</v>
      </c>
      <c r="C764">
        <v>5.55</v>
      </c>
      <c r="D764" t="s">
        <v>7729</v>
      </c>
    </row>
    <row r="765" spans="1:4" ht="20" customHeight="1">
      <c r="A765" t="s">
        <v>7730</v>
      </c>
      <c r="B765" t="s">
        <v>2127</v>
      </c>
      <c r="C765">
        <v>5.52</v>
      </c>
      <c r="D765" t="s">
        <v>7729</v>
      </c>
    </row>
    <row r="766" spans="1:4" ht="20" customHeight="1">
      <c r="A766" t="s">
        <v>7730</v>
      </c>
      <c r="B766" t="s">
        <v>2130</v>
      </c>
      <c r="C766">
        <v>5.5</v>
      </c>
      <c r="D766" t="s">
        <v>7729</v>
      </c>
    </row>
    <row r="767" spans="1:4" ht="20" customHeight="1">
      <c r="A767" t="s">
        <v>7730</v>
      </c>
      <c r="B767" t="s">
        <v>2133</v>
      </c>
      <c r="C767">
        <v>5.5</v>
      </c>
      <c r="D767" t="s">
        <v>7729</v>
      </c>
    </row>
    <row r="768" spans="1:4" ht="20" customHeight="1">
      <c r="A768" t="s">
        <v>7730</v>
      </c>
      <c r="B768" t="s">
        <v>2136</v>
      </c>
      <c r="C768">
        <v>5.46</v>
      </c>
      <c r="D768" t="s">
        <v>7729</v>
      </c>
    </row>
    <row r="769" spans="1:4" ht="20" customHeight="1">
      <c r="A769" t="s">
        <v>7730</v>
      </c>
      <c r="B769" t="s">
        <v>2139</v>
      </c>
      <c r="C769">
        <v>5.44</v>
      </c>
      <c r="D769" t="s">
        <v>7729</v>
      </c>
    </row>
    <row r="770" spans="1:4" ht="20" customHeight="1">
      <c r="A770" t="s">
        <v>7730</v>
      </c>
      <c r="B770" t="s">
        <v>2142</v>
      </c>
      <c r="C770">
        <v>5.42</v>
      </c>
      <c r="D770" t="s">
        <v>7729</v>
      </c>
    </row>
    <row r="771" spans="1:4" ht="20" customHeight="1">
      <c r="A771" t="s">
        <v>7730</v>
      </c>
      <c r="B771" t="s">
        <v>2145</v>
      </c>
      <c r="C771">
        <v>5.38</v>
      </c>
      <c r="D771" t="s">
        <v>7729</v>
      </c>
    </row>
    <row r="772" spans="1:4" ht="20" customHeight="1">
      <c r="A772" t="s">
        <v>7730</v>
      </c>
      <c r="B772" t="s">
        <v>2148</v>
      </c>
      <c r="C772">
        <v>5.37</v>
      </c>
      <c r="D772" t="s">
        <v>7729</v>
      </c>
    </row>
    <row r="773" spans="1:4" ht="20" customHeight="1">
      <c r="A773" t="s">
        <v>7730</v>
      </c>
      <c r="B773" t="s">
        <v>2151</v>
      </c>
      <c r="C773">
        <v>5.4</v>
      </c>
      <c r="D773" t="s">
        <v>7729</v>
      </c>
    </row>
    <row r="774" spans="1:4" ht="20" customHeight="1">
      <c r="A774" t="s">
        <v>7730</v>
      </c>
      <c r="B774" t="s">
        <v>2154</v>
      </c>
      <c r="C774">
        <v>5.36</v>
      </c>
      <c r="D774" t="s">
        <v>7729</v>
      </c>
    </row>
    <row r="775" spans="1:4" ht="20" customHeight="1">
      <c r="A775" t="s">
        <v>7730</v>
      </c>
      <c r="B775" t="s">
        <v>2157</v>
      </c>
      <c r="C775">
        <v>5.36</v>
      </c>
      <c r="D775" t="s">
        <v>7729</v>
      </c>
    </row>
    <row r="776" spans="1:4" ht="20" customHeight="1">
      <c r="A776" t="s">
        <v>7730</v>
      </c>
      <c r="B776" t="s">
        <v>2160</v>
      </c>
      <c r="C776">
        <v>5.33</v>
      </c>
      <c r="D776" t="s">
        <v>7729</v>
      </c>
    </row>
    <row r="777" spans="1:4" ht="20" customHeight="1">
      <c r="A777" t="s">
        <v>7730</v>
      </c>
      <c r="B777" t="s">
        <v>2163</v>
      </c>
      <c r="C777">
        <v>5.34</v>
      </c>
      <c r="D777" t="s">
        <v>7729</v>
      </c>
    </row>
    <row r="778" spans="1:4" ht="20" customHeight="1">
      <c r="A778" t="s">
        <v>7730</v>
      </c>
      <c r="B778" t="s">
        <v>2166</v>
      </c>
      <c r="C778">
        <v>5.39</v>
      </c>
      <c r="D778" t="s">
        <v>7729</v>
      </c>
    </row>
    <row r="779" spans="1:4" ht="20" customHeight="1">
      <c r="A779" t="s">
        <v>7730</v>
      </c>
      <c r="B779" t="s">
        <v>2169</v>
      </c>
      <c r="C779">
        <v>5.4</v>
      </c>
      <c r="D779" t="s">
        <v>7729</v>
      </c>
    </row>
    <row r="780" spans="1:4" ht="20" customHeight="1">
      <c r="A780" t="s">
        <v>7730</v>
      </c>
      <c r="B780" t="s">
        <v>2172</v>
      </c>
      <c r="C780">
        <v>5.4</v>
      </c>
      <c r="D780" t="s">
        <v>7729</v>
      </c>
    </row>
    <row r="781" spans="1:4" ht="20" customHeight="1">
      <c r="A781" t="s">
        <v>7730</v>
      </c>
      <c r="B781" t="s">
        <v>2175</v>
      </c>
      <c r="C781">
        <v>5.41</v>
      </c>
      <c r="D781" t="s">
        <v>7729</v>
      </c>
    </row>
    <row r="782" spans="1:4" ht="20" customHeight="1">
      <c r="A782" t="s">
        <v>7730</v>
      </c>
      <c r="B782" t="s">
        <v>2178</v>
      </c>
      <c r="C782">
        <v>5.5</v>
      </c>
      <c r="D782" t="s">
        <v>7729</v>
      </c>
    </row>
    <row r="783" spans="1:4" ht="20" customHeight="1">
      <c r="A783" t="s">
        <v>7730</v>
      </c>
      <c r="B783" t="s">
        <v>2181</v>
      </c>
      <c r="C783">
        <v>5.44</v>
      </c>
      <c r="D783" t="s">
        <v>7729</v>
      </c>
    </row>
    <row r="784" spans="1:4" ht="20" customHeight="1">
      <c r="A784" t="s">
        <v>7730</v>
      </c>
      <c r="B784" t="s">
        <v>2184</v>
      </c>
      <c r="C784">
        <v>5.44</v>
      </c>
      <c r="D784" t="s">
        <v>7729</v>
      </c>
    </row>
    <row r="785" spans="1:4" ht="20" customHeight="1">
      <c r="A785" t="s">
        <v>7730</v>
      </c>
      <c r="B785" t="s">
        <v>2187</v>
      </c>
      <c r="C785">
        <v>5.46</v>
      </c>
      <c r="D785" t="s">
        <v>7729</v>
      </c>
    </row>
    <row r="786" spans="1:4" ht="20" customHeight="1">
      <c r="A786" t="s">
        <v>7730</v>
      </c>
      <c r="B786" t="s">
        <v>2190</v>
      </c>
      <c r="C786">
        <v>5.43</v>
      </c>
      <c r="D786" t="s">
        <v>7729</v>
      </c>
    </row>
    <row r="787" spans="1:4" ht="20" customHeight="1">
      <c r="A787" t="s">
        <v>7730</v>
      </c>
      <c r="B787" t="s">
        <v>2193</v>
      </c>
      <c r="C787">
        <v>5.44</v>
      </c>
      <c r="D787" t="s">
        <v>7729</v>
      </c>
    </row>
    <row r="788" spans="1:4" ht="20" customHeight="1">
      <c r="A788" t="s">
        <v>7730</v>
      </c>
      <c r="B788" t="s">
        <v>2196</v>
      </c>
      <c r="C788">
        <v>5.44</v>
      </c>
      <c r="D788" t="s">
        <v>7729</v>
      </c>
    </row>
    <row r="789" spans="1:4" ht="20" customHeight="1">
      <c r="A789" t="s">
        <v>7730</v>
      </c>
      <c r="B789" t="s">
        <v>2199</v>
      </c>
      <c r="C789">
        <v>5.46</v>
      </c>
      <c r="D789" t="s">
        <v>7729</v>
      </c>
    </row>
    <row r="790" spans="1:4" ht="20" customHeight="1">
      <c r="A790" t="s">
        <v>7730</v>
      </c>
      <c r="B790" t="s">
        <v>2202</v>
      </c>
      <c r="C790">
        <v>5.46</v>
      </c>
      <c r="D790" t="s">
        <v>7729</v>
      </c>
    </row>
    <row r="791" spans="1:4" ht="20" customHeight="1">
      <c r="A791" t="s">
        <v>7730</v>
      </c>
      <c r="B791" t="s">
        <v>2205</v>
      </c>
      <c r="C791">
        <v>5.48</v>
      </c>
      <c r="D791" t="s">
        <v>7729</v>
      </c>
    </row>
    <row r="792" spans="1:4" ht="20" customHeight="1">
      <c r="A792" t="s">
        <v>7730</v>
      </c>
      <c r="B792" t="s">
        <v>2208</v>
      </c>
      <c r="C792">
        <v>5.49</v>
      </c>
      <c r="D792" t="s">
        <v>7729</v>
      </c>
    </row>
    <row r="793" spans="1:4" ht="20" customHeight="1">
      <c r="A793" t="s">
        <v>7730</v>
      </c>
      <c r="B793" t="s">
        <v>2211</v>
      </c>
      <c r="C793">
        <v>5.47</v>
      </c>
      <c r="D793" t="s">
        <v>7729</v>
      </c>
    </row>
    <row r="794" spans="1:4" ht="20" customHeight="1">
      <c r="A794" t="s">
        <v>7730</v>
      </c>
      <c r="B794" t="s">
        <v>2214</v>
      </c>
      <c r="C794">
        <v>5.47</v>
      </c>
      <c r="D794" t="s">
        <v>7729</v>
      </c>
    </row>
    <row r="795" spans="1:4" ht="20" customHeight="1">
      <c r="A795" t="s">
        <v>7730</v>
      </c>
      <c r="B795" t="s">
        <v>2217</v>
      </c>
      <c r="C795">
        <v>5.49</v>
      </c>
      <c r="D795" t="s">
        <v>7729</v>
      </c>
    </row>
    <row r="796" spans="1:4" ht="20" customHeight="1">
      <c r="A796" t="s">
        <v>7730</v>
      </c>
      <c r="B796" t="s">
        <v>2220</v>
      </c>
      <c r="C796">
        <v>5.49</v>
      </c>
      <c r="D796" t="s">
        <v>7729</v>
      </c>
    </row>
    <row r="797" spans="1:4" ht="20" customHeight="1">
      <c r="A797" t="s">
        <v>7730</v>
      </c>
      <c r="B797" t="s">
        <v>2223</v>
      </c>
      <c r="C797">
        <v>5.49</v>
      </c>
      <c r="D797" t="s">
        <v>7729</v>
      </c>
    </row>
    <row r="798" spans="1:4" ht="20" customHeight="1">
      <c r="A798" t="s">
        <v>7730</v>
      </c>
      <c r="B798" t="s">
        <v>2226</v>
      </c>
      <c r="C798">
        <v>5.49</v>
      </c>
      <c r="D798" t="s">
        <v>7729</v>
      </c>
    </row>
    <row r="799" spans="1:4" ht="20" customHeight="1">
      <c r="A799" t="s">
        <v>7730</v>
      </c>
      <c r="B799" t="s">
        <v>2229</v>
      </c>
      <c r="C799">
        <v>5.49</v>
      </c>
      <c r="D799" t="s">
        <v>7729</v>
      </c>
    </row>
    <row r="800" spans="1:4" ht="20" customHeight="1">
      <c r="A800" t="s">
        <v>7730</v>
      </c>
      <c r="B800" t="s">
        <v>2232</v>
      </c>
      <c r="C800">
        <v>5.5</v>
      </c>
      <c r="D800" t="s">
        <v>7729</v>
      </c>
    </row>
    <row r="801" spans="1:4" ht="20" customHeight="1">
      <c r="A801" t="s">
        <v>7730</v>
      </c>
      <c r="B801" t="s">
        <v>2235</v>
      </c>
      <c r="C801">
        <v>5.51</v>
      </c>
      <c r="D801" t="s">
        <v>7729</v>
      </c>
    </row>
    <row r="802" spans="1:4" ht="20" customHeight="1">
      <c r="A802" t="s">
        <v>7730</v>
      </c>
      <c r="B802" t="s">
        <v>2238</v>
      </c>
      <c r="C802">
        <v>5.51</v>
      </c>
      <c r="D802" t="s">
        <v>7729</v>
      </c>
    </row>
    <row r="803" spans="1:4" ht="20" customHeight="1">
      <c r="A803" t="s">
        <v>7730</v>
      </c>
      <c r="B803" t="s">
        <v>2241</v>
      </c>
      <c r="C803">
        <v>5.51</v>
      </c>
      <c r="D803" t="s">
        <v>7729</v>
      </c>
    </row>
    <row r="804" spans="1:4" ht="20" customHeight="1">
      <c r="A804" t="s">
        <v>7730</v>
      </c>
      <c r="B804" t="s">
        <v>2244</v>
      </c>
      <c r="C804">
        <v>5.51</v>
      </c>
      <c r="D804" t="s">
        <v>7729</v>
      </c>
    </row>
    <row r="805" spans="1:4" ht="20" customHeight="1">
      <c r="A805" t="s">
        <v>7730</v>
      </c>
      <c r="B805" t="s">
        <v>2247</v>
      </c>
      <c r="C805">
        <v>5.52</v>
      </c>
      <c r="D805" t="s">
        <v>7729</v>
      </c>
    </row>
    <row r="806" spans="1:4" ht="20" customHeight="1">
      <c r="A806" t="s">
        <v>7730</v>
      </c>
      <c r="B806" t="s">
        <v>2250</v>
      </c>
      <c r="C806">
        <v>5.55</v>
      </c>
      <c r="D806" t="s">
        <v>7729</v>
      </c>
    </row>
    <row r="807" spans="1:4" ht="20" customHeight="1">
      <c r="A807" t="s">
        <v>7730</v>
      </c>
      <c r="B807" t="s">
        <v>2253</v>
      </c>
      <c r="C807">
        <v>5.54</v>
      </c>
      <c r="D807" t="s">
        <v>7729</v>
      </c>
    </row>
    <row r="808" spans="1:4" ht="20" customHeight="1">
      <c r="A808" t="s">
        <v>7730</v>
      </c>
      <c r="B808" t="s">
        <v>2256</v>
      </c>
      <c r="C808">
        <v>5.53</v>
      </c>
      <c r="D808" t="s">
        <v>7729</v>
      </c>
    </row>
    <row r="809" spans="1:4" ht="20" customHeight="1">
      <c r="A809" t="s">
        <v>7730</v>
      </c>
      <c r="B809" t="s">
        <v>2259</v>
      </c>
      <c r="C809">
        <v>5.54</v>
      </c>
      <c r="D809" t="s">
        <v>7729</v>
      </c>
    </row>
    <row r="810" spans="1:4" ht="20" customHeight="1">
      <c r="A810" t="s">
        <v>7730</v>
      </c>
      <c r="B810" t="s">
        <v>2262</v>
      </c>
      <c r="C810">
        <v>5.54</v>
      </c>
      <c r="D810" t="s">
        <v>7729</v>
      </c>
    </row>
    <row r="811" spans="1:4" ht="20" customHeight="1">
      <c r="A811" t="s">
        <v>7730</v>
      </c>
      <c r="B811" t="s">
        <v>2265</v>
      </c>
      <c r="C811">
        <v>5.56</v>
      </c>
      <c r="D811" t="s">
        <v>7729</v>
      </c>
    </row>
    <row r="812" spans="1:4" ht="20" customHeight="1">
      <c r="A812" t="s">
        <v>7730</v>
      </c>
      <c r="B812" t="s">
        <v>2268</v>
      </c>
      <c r="C812">
        <v>5.57</v>
      </c>
      <c r="D812" t="s">
        <v>7729</v>
      </c>
    </row>
    <row r="813" spans="1:4" ht="20" customHeight="1">
      <c r="A813" t="s">
        <v>7730</v>
      </c>
      <c r="B813" t="s">
        <v>2271</v>
      </c>
      <c r="C813">
        <v>5.55</v>
      </c>
      <c r="D813" t="s">
        <v>7729</v>
      </c>
    </row>
    <row r="814" spans="1:4" ht="20" customHeight="1">
      <c r="A814" t="s">
        <v>7730</v>
      </c>
      <c r="B814" t="s">
        <v>2274</v>
      </c>
      <c r="C814">
        <v>5.54</v>
      </c>
      <c r="D814" t="s">
        <v>7729</v>
      </c>
    </row>
    <row r="815" spans="1:4" ht="20" customHeight="1">
      <c r="A815" t="s">
        <v>7730</v>
      </c>
      <c r="B815" t="s">
        <v>2277</v>
      </c>
      <c r="C815">
        <v>5.54</v>
      </c>
      <c r="D815" t="s">
        <v>7729</v>
      </c>
    </row>
    <row r="816" spans="1:4" ht="20" customHeight="1">
      <c r="A816" t="s">
        <v>7730</v>
      </c>
      <c r="B816" t="s">
        <v>2280</v>
      </c>
      <c r="C816">
        <v>5.56</v>
      </c>
      <c r="D816" t="s">
        <v>7729</v>
      </c>
    </row>
    <row r="817" spans="1:4" ht="20" customHeight="1">
      <c r="A817" t="s">
        <v>7730</v>
      </c>
      <c r="B817" t="s">
        <v>2283</v>
      </c>
      <c r="C817">
        <v>5.56</v>
      </c>
      <c r="D817" t="s">
        <v>7729</v>
      </c>
    </row>
    <row r="818" spans="1:4" ht="20" customHeight="1">
      <c r="A818" t="s">
        <v>7730</v>
      </c>
      <c r="B818" t="s">
        <v>2286</v>
      </c>
      <c r="C818">
        <v>5.56</v>
      </c>
      <c r="D818" t="s">
        <v>7729</v>
      </c>
    </row>
    <row r="819" spans="1:4" ht="20" customHeight="1">
      <c r="A819" t="s">
        <v>7730</v>
      </c>
      <c r="B819" t="s">
        <v>2289</v>
      </c>
      <c r="C819">
        <v>5.56</v>
      </c>
      <c r="D819" t="s">
        <v>7729</v>
      </c>
    </row>
    <row r="820" spans="1:4" ht="20" customHeight="1">
      <c r="A820" t="s">
        <v>7730</v>
      </c>
      <c r="B820" t="s">
        <v>2292</v>
      </c>
      <c r="C820">
        <v>5.55</v>
      </c>
      <c r="D820" t="s">
        <v>7729</v>
      </c>
    </row>
    <row r="821" spans="1:4" ht="20" customHeight="1">
      <c r="A821" t="s">
        <v>7730</v>
      </c>
      <c r="B821" t="s">
        <v>2295</v>
      </c>
      <c r="C821">
        <v>5.57</v>
      </c>
      <c r="D821" t="s">
        <v>7729</v>
      </c>
    </row>
    <row r="822" spans="1:4" ht="20" customHeight="1">
      <c r="A822" t="s">
        <v>7730</v>
      </c>
      <c r="B822" t="s">
        <v>2298</v>
      </c>
      <c r="C822">
        <v>5.57</v>
      </c>
      <c r="D822" t="s">
        <v>7729</v>
      </c>
    </row>
    <row r="823" spans="1:4" ht="20" customHeight="1">
      <c r="A823" t="s">
        <v>7730</v>
      </c>
      <c r="B823" t="s">
        <v>2301</v>
      </c>
      <c r="C823">
        <v>5.57</v>
      </c>
      <c r="D823" t="s">
        <v>7729</v>
      </c>
    </row>
    <row r="824" spans="1:4" ht="20" customHeight="1">
      <c r="A824" t="s">
        <v>7730</v>
      </c>
      <c r="B824" t="s">
        <v>2304</v>
      </c>
      <c r="C824">
        <v>5.58</v>
      </c>
      <c r="D824" t="s">
        <v>7729</v>
      </c>
    </row>
    <row r="825" spans="1:4" ht="20" customHeight="1">
      <c r="A825" t="s">
        <v>7730</v>
      </c>
      <c r="B825" t="s">
        <v>2307</v>
      </c>
      <c r="C825">
        <v>5.61</v>
      </c>
      <c r="D825" t="s">
        <v>7729</v>
      </c>
    </row>
    <row r="826" spans="1:4" ht="20" customHeight="1">
      <c r="A826" t="s">
        <v>7730</v>
      </c>
      <c r="B826" t="s">
        <v>2310</v>
      </c>
      <c r="C826">
        <v>5.58</v>
      </c>
      <c r="D826" t="s">
        <v>7729</v>
      </c>
    </row>
    <row r="827" spans="1:4" ht="20" customHeight="1">
      <c r="A827" t="s">
        <v>7730</v>
      </c>
      <c r="B827" t="s">
        <v>2313</v>
      </c>
      <c r="C827">
        <v>5.56</v>
      </c>
      <c r="D827" t="s">
        <v>7729</v>
      </c>
    </row>
    <row r="828" spans="1:4" ht="20" customHeight="1">
      <c r="A828" t="s">
        <v>7730</v>
      </c>
      <c r="B828" t="s">
        <v>2316</v>
      </c>
      <c r="C828">
        <v>5.56</v>
      </c>
      <c r="D828" t="s">
        <v>7729</v>
      </c>
    </row>
    <row r="829" spans="1:4" ht="20" customHeight="1">
      <c r="A829" t="s">
        <v>7730</v>
      </c>
      <c r="B829" t="s">
        <v>2319</v>
      </c>
      <c r="C829">
        <v>5.56</v>
      </c>
      <c r="D829" t="s">
        <v>7729</v>
      </c>
    </row>
    <row r="830" spans="1:4" ht="20" customHeight="1">
      <c r="A830" t="s">
        <v>7730</v>
      </c>
      <c r="B830" t="s">
        <v>2322</v>
      </c>
      <c r="C830">
        <v>5.53</v>
      </c>
      <c r="D830" t="s">
        <v>7729</v>
      </c>
    </row>
    <row r="831" spans="1:4" ht="20" customHeight="1">
      <c r="A831" t="s">
        <v>7730</v>
      </c>
      <c r="B831" t="s">
        <v>2325</v>
      </c>
      <c r="C831">
        <v>5.55</v>
      </c>
      <c r="D831" t="s">
        <v>7729</v>
      </c>
    </row>
    <row r="832" spans="1:4" ht="20" customHeight="1">
      <c r="A832" t="s">
        <v>7730</v>
      </c>
      <c r="B832" t="s">
        <v>2328</v>
      </c>
      <c r="C832">
        <v>5.55</v>
      </c>
      <c r="D832" t="s">
        <v>7729</v>
      </c>
    </row>
    <row r="833" spans="1:4" ht="20" customHeight="1">
      <c r="A833" t="s">
        <v>7730</v>
      </c>
      <c r="B833" t="s">
        <v>2331</v>
      </c>
      <c r="C833">
        <v>5.53</v>
      </c>
      <c r="D833" t="s">
        <v>7729</v>
      </c>
    </row>
    <row r="834" spans="1:4" ht="20" customHeight="1">
      <c r="A834" t="s">
        <v>7730</v>
      </c>
      <c r="B834" t="s">
        <v>2334</v>
      </c>
      <c r="C834">
        <v>5.55</v>
      </c>
      <c r="D834" t="s">
        <v>7729</v>
      </c>
    </row>
    <row r="835" spans="1:4" ht="20" customHeight="1">
      <c r="A835" t="s">
        <v>7730</v>
      </c>
      <c r="B835" t="s">
        <v>2337</v>
      </c>
      <c r="C835">
        <v>5.55</v>
      </c>
      <c r="D835" t="s">
        <v>7729</v>
      </c>
    </row>
    <row r="836" spans="1:4" ht="20" customHeight="1">
      <c r="A836" t="s">
        <v>7730</v>
      </c>
      <c r="B836" t="s">
        <v>2340</v>
      </c>
      <c r="C836">
        <v>5.56</v>
      </c>
      <c r="D836" t="s">
        <v>7729</v>
      </c>
    </row>
    <row r="837" spans="1:4" ht="20" customHeight="1">
      <c r="A837" t="s">
        <v>7730</v>
      </c>
      <c r="B837" t="s">
        <v>2343</v>
      </c>
      <c r="C837">
        <v>5.55</v>
      </c>
      <c r="D837" t="s">
        <v>7729</v>
      </c>
    </row>
    <row r="838" spans="1:4" ht="20" customHeight="1">
      <c r="A838" t="s">
        <v>7730</v>
      </c>
      <c r="B838" t="s">
        <v>2346</v>
      </c>
      <c r="C838">
        <v>5.55</v>
      </c>
      <c r="D838" t="s">
        <v>7729</v>
      </c>
    </row>
    <row r="839" spans="1:4" ht="20" customHeight="1">
      <c r="A839" t="s">
        <v>7730</v>
      </c>
      <c r="B839" t="s">
        <v>2349</v>
      </c>
      <c r="C839">
        <v>5.56</v>
      </c>
      <c r="D839" t="s">
        <v>7729</v>
      </c>
    </row>
    <row r="840" spans="1:4" ht="20" customHeight="1">
      <c r="A840" t="s">
        <v>7730</v>
      </c>
      <c r="B840" t="s">
        <v>2352</v>
      </c>
      <c r="C840">
        <v>5.55</v>
      </c>
      <c r="D840" t="s">
        <v>7729</v>
      </c>
    </row>
    <row r="841" spans="1:4" ht="20" customHeight="1">
      <c r="A841" t="s">
        <v>7730</v>
      </c>
      <c r="B841" t="s">
        <v>2355</v>
      </c>
      <c r="C841">
        <v>5.54</v>
      </c>
      <c r="D841" t="s">
        <v>7729</v>
      </c>
    </row>
    <row r="842" spans="1:4" ht="20" customHeight="1">
      <c r="A842" t="s">
        <v>7730</v>
      </c>
      <c r="B842" t="s">
        <v>2358</v>
      </c>
      <c r="C842">
        <v>5.56</v>
      </c>
      <c r="D842" t="s">
        <v>7729</v>
      </c>
    </row>
    <row r="843" spans="1:4" ht="20" customHeight="1">
      <c r="A843" t="s">
        <v>7730</v>
      </c>
      <c r="B843" t="s">
        <v>2361</v>
      </c>
      <c r="C843">
        <v>5.57</v>
      </c>
      <c r="D843" t="s">
        <v>7729</v>
      </c>
    </row>
    <row r="844" spans="1:4" ht="20" customHeight="1">
      <c r="A844" t="s">
        <v>7730</v>
      </c>
      <c r="B844" t="s">
        <v>2364</v>
      </c>
      <c r="C844">
        <v>5.56</v>
      </c>
      <c r="D844" t="s">
        <v>7729</v>
      </c>
    </row>
    <row r="845" spans="1:4" ht="20" customHeight="1">
      <c r="A845" t="s">
        <v>7730</v>
      </c>
      <c r="B845" t="s">
        <v>2367</v>
      </c>
      <c r="C845">
        <v>5.58</v>
      </c>
      <c r="D845" t="s">
        <v>7729</v>
      </c>
    </row>
    <row r="846" spans="1:4" ht="20" customHeight="1">
      <c r="A846" t="s">
        <v>7730</v>
      </c>
      <c r="B846" t="s">
        <v>2370</v>
      </c>
      <c r="C846">
        <v>5.58</v>
      </c>
      <c r="D846" t="s">
        <v>7729</v>
      </c>
    </row>
    <row r="847" spans="1:4" ht="20" customHeight="1">
      <c r="A847" t="s">
        <v>7730</v>
      </c>
      <c r="B847" t="s">
        <v>2373</v>
      </c>
      <c r="C847">
        <v>5.58</v>
      </c>
      <c r="D847" t="s">
        <v>7729</v>
      </c>
    </row>
    <row r="848" spans="1:4" ht="20" customHeight="1">
      <c r="A848" t="s">
        <v>7730</v>
      </c>
      <c r="B848" t="s">
        <v>2376</v>
      </c>
      <c r="C848">
        <v>5.56</v>
      </c>
      <c r="D848" t="s">
        <v>7729</v>
      </c>
    </row>
    <row r="849" spans="1:4" ht="20" customHeight="1">
      <c r="A849" t="s">
        <v>7730</v>
      </c>
      <c r="B849" t="s">
        <v>2379</v>
      </c>
      <c r="C849">
        <v>5.55</v>
      </c>
      <c r="D849" t="s">
        <v>7729</v>
      </c>
    </row>
    <row r="850" spans="1:4" ht="20" customHeight="1">
      <c r="A850" t="s">
        <v>7730</v>
      </c>
      <c r="B850" t="s">
        <v>2382</v>
      </c>
      <c r="C850">
        <v>5.62</v>
      </c>
      <c r="D850" t="s">
        <v>7729</v>
      </c>
    </row>
    <row r="851" spans="1:4" ht="20" customHeight="1">
      <c r="A851" t="s">
        <v>7730</v>
      </c>
      <c r="B851" t="s">
        <v>2385</v>
      </c>
      <c r="C851">
        <v>5.62</v>
      </c>
      <c r="D851" t="s">
        <v>7729</v>
      </c>
    </row>
    <row r="852" spans="1:4" ht="20" customHeight="1">
      <c r="A852" t="s">
        <v>7730</v>
      </c>
      <c r="B852" t="s">
        <v>2388</v>
      </c>
      <c r="C852">
        <v>5.61</v>
      </c>
      <c r="D852" t="s">
        <v>7729</v>
      </c>
    </row>
    <row r="853" spans="1:4" ht="20" customHeight="1">
      <c r="A853" t="s">
        <v>7730</v>
      </c>
      <c r="B853" t="s">
        <v>2391</v>
      </c>
      <c r="C853">
        <v>5.61</v>
      </c>
      <c r="D853" t="s">
        <v>7729</v>
      </c>
    </row>
    <row r="854" spans="1:4" ht="20" customHeight="1">
      <c r="A854" t="s">
        <v>7730</v>
      </c>
      <c r="B854" t="s">
        <v>2394</v>
      </c>
      <c r="C854">
        <v>5.63</v>
      </c>
      <c r="D854" t="s">
        <v>7729</v>
      </c>
    </row>
    <row r="855" spans="1:4" ht="20" customHeight="1">
      <c r="A855" t="s">
        <v>7730</v>
      </c>
      <c r="B855" t="s">
        <v>2400</v>
      </c>
      <c r="C855">
        <v>5.61</v>
      </c>
      <c r="D855" t="s">
        <v>7729</v>
      </c>
    </row>
    <row r="856" spans="1:4" ht="20" customHeight="1">
      <c r="A856" t="s">
        <v>7730</v>
      </c>
      <c r="B856" t="s">
        <v>2403</v>
      </c>
      <c r="C856">
        <v>5.61</v>
      </c>
      <c r="D856" t="s">
        <v>7729</v>
      </c>
    </row>
    <row r="857" spans="1:4" ht="20" customHeight="1">
      <c r="A857" t="s">
        <v>7730</v>
      </c>
      <c r="B857" t="s">
        <v>2406</v>
      </c>
      <c r="C857">
        <v>5.63</v>
      </c>
      <c r="D857" t="s">
        <v>7729</v>
      </c>
    </row>
    <row r="858" spans="1:4" ht="20" customHeight="1">
      <c r="A858" t="s">
        <v>7730</v>
      </c>
      <c r="B858" t="s">
        <v>2409</v>
      </c>
      <c r="C858">
        <v>5.62</v>
      </c>
      <c r="D858" t="s">
        <v>7729</v>
      </c>
    </row>
    <row r="859" spans="1:4" ht="20" customHeight="1">
      <c r="A859" t="s">
        <v>7730</v>
      </c>
      <c r="B859" t="s">
        <v>2412</v>
      </c>
      <c r="C859">
        <v>5.61</v>
      </c>
      <c r="D859" t="s">
        <v>7729</v>
      </c>
    </row>
    <row r="860" spans="1:4" ht="20" customHeight="1">
      <c r="A860" t="s">
        <v>7730</v>
      </c>
      <c r="B860" t="s">
        <v>2415</v>
      </c>
      <c r="C860">
        <v>5.62</v>
      </c>
      <c r="D860" t="s">
        <v>7729</v>
      </c>
    </row>
    <row r="861" spans="1:4" ht="20" customHeight="1">
      <c r="A861" t="s">
        <v>7730</v>
      </c>
      <c r="B861" t="s">
        <v>2418</v>
      </c>
      <c r="C861">
        <v>5.61</v>
      </c>
      <c r="D861" t="s">
        <v>7729</v>
      </c>
    </row>
    <row r="862" spans="1:4" ht="20" customHeight="1">
      <c r="A862" t="s">
        <v>7730</v>
      </c>
      <c r="B862" t="s">
        <v>2421</v>
      </c>
      <c r="C862">
        <v>5.6</v>
      </c>
      <c r="D862" t="s">
        <v>7729</v>
      </c>
    </row>
    <row r="863" spans="1:4" ht="20" customHeight="1">
      <c r="A863" t="s">
        <v>7730</v>
      </c>
      <c r="B863" t="s">
        <v>2424</v>
      </c>
      <c r="C863">
        <v>5.58</v>
      </c>
      <c r="D863" t="s">
        <v>7729</v>
      </c>
    </row>
    <row r="864" spans="1:4" ht="20" customHeight="1">
      <c r="A864" t="s">
        <v>7730</v>
      </c>
      <c r="B864" t="s">
        <v>2427</v>
      </c>
      <c r="C864">
        <v>5.58</v>
      </c>
      <c r="D864" t="s">
        <v>7729</v>
      </c>
    </row>
    <row r="865" spans="1:4" ht="20" customHeight="1">
      <c r="A865" t="s">
        <v>7730</v>
      </c>
      <c r="B865" t="s">
        <v>2430</v>
      </c>
      <c r="C865">
        <v>5.58</v>
      </c>
      <c r="D865" t="s">
        <v>7729</v>
      </c>
    </row>
    <row r="866" spans="1:4" ht="20" customHeight="1">
      <c r="A866" t="s">
        <v>7730</v>
      </c>
      <c r="B866" t="s">
        <v>2433</v>
      </c>
      <c r="C866">
        <v>5.59</v>
      </c>
      <c r="D866" t="s">
        <v>7729</v>
      </c>
    </row>
    <row r="867" spans="1:4" ht="20" customHeight="1">
      <c r="A867" t="s">
        <v>7730</v>
      </c>
      <c r="B867" t="s">
        <v>2436</v>
      </c>
      <c r="C867">
        <v>5.59</v>
      </c>
      <c r="D867" t="s">
        <v>7729</v>
      </c>
    </row>
    <row r="868" spans="1:4" ht="20" customHeight="1">
      <c r="A868" t="s">
        <v>7730</v>
      </c>
      <c r="B868" t="s">
        <v>2439</v>
      </c>
      <c r="C868">
        <v>5.59</v>
      </c>
      <c r="D868" t="s">
        <v>7729</v>
      </c>
    </row>
    <row r="869" spans="1:4" ht="20" customHeight="1">
      <c r="A869" t="s">
        <v>7730</v>
      </c>
      <c r="B869" t="s">
        <v>2442</v>
      </c>
      <c r="C869">
        <v>5.6</v>
      </c>
      <c r="D869" t="s">
        <v>7729</v>
      </c>
    </row>
    <row r="870" spans="1:4" ht="20" customHeight="1">
      <c r="A870" t="s">
        <v>7730</v>
      </c>
      <c r="B870" t="s">
        <v>2445</v>
      </c>
      <c r="C870">
        <v>5.59</v>
      </c>
      <c r="D870" t="s">
        <v>7729</v>
      </c>
    </row>
    <row r="871" spans="1:4" ht="20" customHeight="1">
      <c r="A871" t="s">
        <v>7730</v>
      </c>
      <c r="B871" t="s">
        <v>2448</v>
      </c>
      <c r="C871">
        <v>5.57</v>
      </c>
      <c r="D871" t="s">
        <v>7729</v>
      </c>
    </row>
    <row r="872" spans="1:4" ht="20" customHeight="1">
      <c r="A872" t="s">
        <v>7730</v>
      </c>
      <c r="B872" t="s">
        <v>2451</v>
      </c>
      <c r="C872">
        <v>5.54</v>
      </c>
      <c r="D872" t="s">
        <v>7729</v>
      </c>
    </row>
    <row r="873" spans="1:4" ht="20" customHeight="1">
      <c r="A873" t="s">
        <v>7730</v>
      </c>
      <c r="B873" t="s">
        <v>2454</v>
      </c>
      <c r="C873">
        <v>5.53</v>
      </c>
      <c r="D873" t="s">
        <v>7729</v>
      </c>
    </row>
    <row r="874" spans="1:4" ht="20" customHeight="1">
      <c r="A874" t="s">
        <v>7730</v>
      </c>
      <c r="B874" t="s">
        <v>2457</v>
      </c>
      <c r="C874">
        <v>5.56</v>
      </c>
      <c r="D874" t="s">
        <v>7729</v>
      </c>
    </row>
    <row r="875" spans="1:4" ht="20" customHeight="1">
      <c r="A875" t="s">
        <v>7730</v>
      </c>
      <c r="B875" t="s">
        <v>2460</v>
      </c>
      <c r="C875">
        <v>5.55</v>
      </c>
      <c r="D875" t="s">
        <v>7729</v>
      </c>
    </row>
    <row r="876" spans="1:4" ht="20" customHeight="1">
      <c r="A876" t="s">
        <v>7730</v>
      </c>
      <c r="B876" t="s">
        <v>2463</v>
      </c>
      <c r="C876">
        <v>5.54</v>
      </c>
      <c r="D876" t="s">
        <v>7729</v>
      </c>
    </row>
    <row r="877" spans="1:4" ht="20" customHeight="1">
      <c r="A877" t="s">
        <v>7730</v>
      </c>
      <c r="B877" t="s">
        <v>2466</v>
      </c>
      <c r="C877">
        <v>5.54</v>
      </c>
      <c r="D877" t="s">
        <v>7729</v>
      </c>
    </row>
    <row r="878" spans="1:4" ht="20" customHeight="1">
      <c r="A878" t="s">
        <v>7730</v>
      </c>
      <c r="B878" t="s">
        <v>2469</v>
      </c>
      <c r="C878">
        <v>5.53</v>
      </c>
      <c r="D878" t="s">
        <v>7729</v>
      </c>
    </row>
    <row r="879" spans="1:4" ht="20" customHeight="1">
      <c r="A879" t="s">
        <v>7730</v>
      </c>
      <c r="B879" t="s">
        <v>2472</v>
      </c>
      <c r="C879">
        <v>5.55</v>
      </c>
      <c r="D879" t="s">
        <v>7729</v>
      </c>
    </row>
    <row r="880" spans="1:4" ht="20" customHeight="1">
      <c r="A880" t="s">
        <v>7730</v>
      </c>
      <c r="B880" t="s">
        <v>2475</v>
      </c>
      <c r="C880">
        <v>5.52</v>
      </c>
      <c r="D880" t="s">
        <v>7729</v>
      </c>
    </row>
    <row r="881" spans="1:4" ht="20" customHeight="1">
      <c r="A881" t="s">
        <v>7730</v>
      </c>
      <c r="B881" t="s">
        <v>2478</v>
      </c>
      <c r="C881">
        <v>5.53</v>
      </c>
      <c r="D881" t="s">
        <v>7729</v>
      </c>
    </row>
    <row r="882" spans="1:4" ht="20" customHeight="1">
      <c r="A882" t="s">
        <v>7730</v>
      </c>
      <c r="B882" t="s">
        <v>2481</v>
      </c>
      <c r="C882">
        <v>5.51</v>
      </c>
      <c r="D882" t="s">
        <v>7729</v>
      </c>
    </row>
    <row r="883" spans="1:4" ht="20" customHeight="1">
      <c r="A883" t="s">
        <v>7730</v>
      </c>
      <c r="B883" t="s">
        <v>2484</v>
      </c>
      <c r="C883">
        <v>5.5</v>
      </c>
      <c r="D883" t="s">
        <v>7729</v>
      </c>
    </row>
    <row r="884" spans="1:4" ht="20" customHeight="1">
      <c r="A884" t="s">
        <v>7730</v>
      </c>
      <c r="B884" t="s">
        <v>2487</v>
      </c>
      <c r="C884">
        <v>5.54</v>
      </c>
      <c r="D884" t="s">
        <v>7729</v>
      </c>
    </row>
    <row r="885" spans="1:4" ht="20" customHeight="1">
      <c r="A885" t="s">
        <v>7730</v>
      </c>
      <c r="B885" t="s">
        <v>2490</v>
      </c>
      <c r="C885">
        <v>5.53</v>
      </c>
      <c r="D885" t="s">
        <v>7729</v>
      </c>
    </row>
    <row r="886" spans="1:4" ht="20" customHeight="1">
      <c r="A886" t="s">
        <v>7730</v>
      </c>
      <c r="B886" t="s">
        <v>2493</v>
      </c>
      <c r="C886">
        <v>5.54</v>
      </c>
      <c r="D886" t="s">
        <v>7729</v>
      </c>
    </row>
    <row r="887" spans="1:4" ht="20" customHeight="1">
      <c r="A887" t="s">
        <v>7730</v>
      </c>
      <c r="B887" t="s">
        <v>2496</v>
      </c>
      <c r="C887">
        <v>5.54</v>
      </c>
      <c r="D887" t="s">
        <v>7729</v>
      </c>
    </row>
    <row r="888" spans="1:4" ht="20" customHeight="1">
      <c r="A888" t="s">
        <v>7730</v>
      </c>
      <c r="B888" t="s">
        <v>2499</v>
      </c>
      <c r="C888">
        <v>5.49</v>
      </c>
      <c r="D888" t="s">
        <v>7729</v>
      </c>
    </row>
    <row r="889" spans="1:4" ht="20" customHeight="1">
      <c r="A889" t="s">
        <v>7730</v>
      </c>
      <c r="B889" t="s">
        <v>2502</v>
      </c>
      <c r="C889">
        <v>5.47</v>
      </c>
      <c r="D889" t="s">
        <v>7729</v>
      </c>
    </row>
    <row r="890" spans="1:4" ht="20" customHeight="1">
      <c r="A890" t="s">
        <v>7730</v>
      </c>
      <c r="B890" t="s">
        <v>2505</v>
      </c>
      <c r="C890">
        <v>5.45</v>
      </c>
      <c r="D890" t="s">
        <v>7729</v>
      </c>
    </row>
    <row r="891" spans="1:4" ht="20" customHeight="1">
      <c r="A891" t="s">
        <v>7730</v>
      </c>
      <c r="B891" t="s">
        <v>2508</v>
      </c>
      <c r="C891">
        <v>5.45</v>
      </c>
      <c r="D891" t="s">
        <v>7729</v>
      </c>
    </row>
    <row r="892" spans="1:4" ht="20" customHeight="1">
      <c r="A892" t="s">
        <v>7730</v>
      </c>
      <c r="B892" t="s">
        <v>2511</v>
      </c>
      <c r="C892">
        <v>5.43</v>
      </c>
      <c r="D892" t="s">
        <v>7729</v>
      </c>
    </row>
    <row r="893" spans="1:4" ht="20" customHeight="1">
      <c r="A893" t="s">
        <v>7730</v>
      </c>
      <c r="B893" t="s">
        <v>2514</v>
      </c>
      <c r="C893">
        <v>5.46</v>
      </c>
      <c r="D893" t="s">
        <v>7729</v>
      </c>
    </row>
    <row r="894" spans="1:4" ht="20" customHeight="1">
      <c r="A894" t="s">
        <v>7730</v>
      </c>
      <c r="B894" t="s">
        <v>2517</v>
      </c>
      <c r="C894">
        <v>5.45</v>
      </c>
      <c r="D894" t="s">
        <v>7729</v>
      </c>
    </row>
    <row r="895" spans="1:4" ht="20" customHeight="1">
      <c r="A895" t="s">
        <v>7730</v>
      </c>
      <c r="B895" t="s">
        <v>2520</v>
      </c>
      <c r="C895">
        <v>5.45</v>
      </c>
      <c r="D895" t="s">
        <v>7729</v>
      </c>
    </row>
    <row r="896" spans="1:4" ht="20" customHeight="1">
      <c r="A896" t="s">
        <v>7730</v>
      </c>
      <c r="B896" t="s">
        <v>2523</v>
      </c>
      <c r="C896">
        <v>5.44</v>
      </c>
      <c r="D896" t="s">
        <v>7729</v>
      </c>
    </row>
    <row r="897" spans="1:4" ht="20" customHeight="1">
      <c r="A897" t="s">
        <v>7730</v>
      </c>
      <c r="B897" t="s">
        <v>2526</v>
      </c>
      <c r="C897">
        <v>5.44</v>
      </c>
      <c r="D897" t="s">
        <v>7729</v>
      </c>
    </row>
    <row r="898" spans="1:4" ht="20" customHeight="1">
      <c r="A898" t="s">
        <v>7730</v>
      </c>
      <c r="B898" t="s">
        <v>2529</v>
      </c>
      <c r="C898">
        <v>5.47</v>
      </c>
      <c r="D898" t="s">
        <v>7729</v>
      </c>
    </row>
    <row r="899" spans="1:4" ht="20" customHeight="1">
      <c r="A899" t="s">
        <v>7730</v>
      </c>
      <c r="B899" t="s">
        <v>2532</v>
      </c>
      <c r="C899">
        <v>5.46</v>
      </c>
      <c r="D899" t="s">
        <v>7729</v>
      </c>
    </row>
    <row r="900" spans="1:4" ht="20" customHeight="1">
      <c r="A900" t="s">
        <v>7730</v>
      </c>
      <c r="B900" t="s">
        <v>2535</v>
      </c>
      <c r="C900">
        <v>5.44</v>
      </c>
      <c r="D900" t="s">
        <v>7729</v>
      </c>
    </row>
    <row r="901" spans="1:4" ht="20" customHeight="1">
      <c r="A901" t="s">
        <v>7730</v>
      </c>
      <c r="B901" t="s">
        <v>2538</v>
      </c>
      <c r="C901">
        <v>5.43</v>
      </c>
      <c r="D901" t="s">
        <v>7729</v>
      </c>
    </row>
    <row r="902" spans="1:4" ht="20" customHeight="1">
      <c r="A902" t="s">
        <v>7730</v>
      </c>
      <c r="B902" t="s">
        <v>2541</v>
      </c>
      <c r="C902">
        <v>5.44</v>
      </c>
      <c r="D902" t="s">
        <v>7729</v>
      </c>
    </row>
    <row r="903" spans="1:4" ht="20" customHeight="1">
      <c r="A903" t="s">
        <v>7730</v>
      </c>
      <c r="B903" t="s">
        <v>2544</v>
      </c>
      <c r="C903">
        <v>5.46</v>
      </c>
      <c r="D903" t="s">
        <v>7729</v>
      </c>
    </row>
    <row r="904" spans="1:4" ht="20" customHeight="1">
      <c r="A904" t="s">
        <v>7730</v>
      </c>
      <c r="B904" t="s">
        <v>2547</v>
      </c>
      <c r="C904">
        <v>5.43</v>
      </c>
      <c r="D904" t="s">
        <v>7729</v>
      </c>
    </row>
    <row r="905" spans="1:4" ht="20" customHeight="1">
      <c r="A905" t="s">
        <v>7730</v>
      </c>
      <c r="B905" t="s">
        <v>2550</v>
      </c>
      <c r="C905">
        <v>5.44</v>
      </c>
      <c r="D905" t="s">
        <v>7729</v>
      </c>
    </row>
    <row r="906" spans="1:4" ht="20" customHeight="1">
      <c r="A906" t="s">
        <v>7730</v>
      </c>
      <c r="B906" t="s">
        <v>2553</v>
      </c>
      <c r="C906">
        <v>5.42</v>
      </c>
      <c r="D906" t="s">
        <v>7729</v>
      </c>
    </row>
    <row r="907" spans="1:4" ht="20" customHeight="1">
      <c r="A907" t="s">
        <v>7730</v>
      </c>
      <c r="B907" t="s">
        <v>2556</v>
      </c>
      <c r="C907">
        <v>5.44</v>
      </c>
      <c r="D907" t="s">
        <v>7729</v>
      </c>
    </row>
    <row r="908" spans="1:4" ht="20" customHeight="1">
      <c r="A908" t="s">
        <v>7730</v>
      </c>
      <c r="B908" t="s">
        <v>2559</v>
      </c>
      <c r="C908">
        <v>5.45</v>
      </c>
      <c r="D908" t="s">
        <v>7729</v>
      </c>
    </row>
    <row r="909" spans="1:4" ht="20" customHeight="1">
      <c r="A909" t="s">
        <v>7730</v>
      </c>
      <c r="B909" t="s">
        <v>2562</v>
      </c>
      <c r="C909">
        <v>5.44</v>
      </c>
      <c r="D909" t="s">
        <v>7729</v>
      </c>
    </row>
    <row r="910" spans="1:4" ht="20" customHeight="1">
      <c r="A910" t="s">
        <v>7730</v>
      </c>
      <c r="B910" t="s">
        <v>2565</v>
      </c>
      <c r="C910">
        <v>5.45</v>
      </c>
      <c r="D910" t="s">
        <v>7729</v>
      </c>
    </row>
    <row r="911" spans="1:4" ht="20" customHeight="1">
      <c r="A911" t="s">
        <v>7730</v>
      </c>
      <c r="B911" t="s">
        <v>2568</v>
      </c>
      <c r="C911">
        <v>5.4</v>
      </c>
      <c r="D911" t="s">
        <v>7729</v>
      </c>
    </row>
    <row r="912" spans="1:4" ht="20" customHeight="1">
      <c r="A912" t="s">
        <v>7730</v>
      </c>
      <c r="B912" t="s">
        <v>2571</v>
      </c>
      <c r="C912">
        <v>5.46</v>
      </c>
      <c r="D912" t="s">
        <v>7729</v>
      </c>
    </row>
    <row r="913" spans="1:4" ht="20" customHeight="1">
      <c r="A913" t="s">
        <v>7730</v>
      </c>
      <c r="B913" t="s">
        <v>2574</v>
      </c>
      <c r="C913">
        <v>5.48</v>
      </c>
      <c r="D913" t="s">
        <v>7729</v>
      </c>
    </row>
    <row r="914" spans="1:4" ht="20" customHeight="1">
      <c r="A914" t="s">
        <v>7730</v>
      </c>
      <c r="B914" t="s">
        <v>2577</v>
      </c>
      <c r="C914">
        <v>5.48</v>
      </c>
      <c r="D914" t="s">
        <v>7729</v>
      </c>
    </row>
    <row r="915" spans="1:4" ht="20" customHeight="1">
      <c r="A915" t="s">
        <v>7730</v>
      </c>
      <c r="B915" t="s">
        <v>2580</v>
      </c>
      <c r="C915">
        <v>5.47</v>
      </c>
      <c r="D915" t="s">
        <v>7729</v>
      </c>
    </row>
    <row r="916" spans="1:4" ht="20" customHeight="1">
      <c r="A916" t="s">
        <v>7730</v>
      </c>
      <c r="B916" t="s">
        <v>2583</v>
      </c>
      <c r="C916">
        <v>5.49</v>
      </c>
      <c r="D916" t="s">
        <v>7729</v>
      </c>
    </row>
    <row r="917" spans="1:4" ht="20" customHeight="1">
      <c r="A917" t="s">
        <v>7730</v>
      </c>
      <c r="B917" t="s">
        <v>2586</v>
      </c>
      <c r="C917">
        <v>5.47</v>
      </c>
      <c r="D917" t="s">
        <v>7729</v>
      </c>
    </row>
    <row r="918" spans="1:4" ht="20" customHeight="1">
      <c r="A918" t="s">
        <v>7730</v>
      </c>
      <c r="B918" t="s">
        <v>2589</v>
      </c>
      <c r="C918">
        <v>5.46</v>
      </c>
      <c r="D918" t="s">
        <v>7729</v>
      </c>
    </row>
    <row r="919" spans="1:4" ht="20" customHeight="1">
      <c r="A919" t="s">
        <v>7730</v>
      </c>
      <c r="B919" t="s">
        <v>2592</v>
      </c>
      <c r="C919">
        <v>5.46</v>
      </c>
      <c r="D919" t="s">
        <v>7729</v>
      </c>
    </row>
    <row r="920" spans="1:4" ht="20" customHeight="1">
      <c r="A920" t="s">
        <v>7730</v>
      </c>
      <c r="B920" t="s">
        <v>2595</v>
      </c>
      <c r="C920">
        <v>5.45</v>
      </c>
      <c r="D920" t="s">
        <v>7729</v>
      </c>
    </row>
    <row r="921" spans="1:4" ht="20" customHeight="1">
      <c r="A921" t="s">
        <v>7730</v>
      </c>
      <c r="B921" t="s">
        <v>2598</v>
      </c>
      <c r="C921">
        <v>5.45</v>
      </c>
      <c r="D921" t="s">
        <v>7729</v>
      </c>
    </row>
    <row r="922" spans="1:4" ht="20" customHeight="1">
      <c r="A922" t="s">
        <v>7730</v>
      </c>
      <c r="B922" t="s">
        <v>2601</v>
      </c>
      <c r="C922">
        <v>5.47</v>
      </c>
      <c r="D922" t="s">
        <v>7729</v>
      </c>
    </row>
    <row r="923" spans="1:4" ht="20" customHeight="1">
      <c r="A923" t="s">
        <v>7730</v>
      </c>
      <c r="B923" t="s">
        <v>2604</v>
      </c>
      <c r="C923">
        <v>5.45</v>
      </c>
      <c r="D923" t="s">
        <v>7729</v>
      </c>
    </row>
    <row r="924" spans="1:4" ht="20" customHeight="1">
      <c r="A924" t="s">
        <v>7730</v>
      </c>
      <c r="B924" t="s">
        <v>2607</v>
      </c>
      <c r="C924">
        <v>5.45</v>
      </c>
      <c r="D924" t="s">
        <v>7729</v>
      </c>
    </row>
    <row r="925" spans="1:4" ht="20" customHeight="1">
      <c r="A925" t="s">
        <v>7730</v>
      </c>
      <c r="B925" t="s">
        <v>2610</v>
      </c>
      <c r="C925">
        <v>5.46</v>
      </c>
      <c r="D925" t="s">
        <v>7729</v>
      </c>
    </row>
    <row r="926" spans="1:4" ht="20" customHeight="1">
      <c r="A926" t="s">
        <v>7730</v>
      </c>
      <c r="B926" t="s">
        <v>2613</v>
      </c>
      <c r="C926">
        <v>5.45</v>
      </c>
      <c r="D926" t="s">
        <v>7729</v>
      </c>
    </row>
    <row r="927" spans="1:4" ht="20" customHeight="1">
      <c r="A927" t="s">
        <v>7730</v>
      </c>
      <c r="B927" t="s">
        <v>2616</v>
      </c>
      <c r="C927">
        <v>5.44</v>
      </c>
      <c r="D927" t="s">
        <v>7729</v>
      </c>
    </row>
    <row r="928" spans="1:4" ht="20" customHeight="1">
      <c r="A928" t="s">
        <v>7730</v>
      </c>
      <c r="B928" t="s">
        <v>2619</v>
      </c>
      <c r="C928">
        <v>5.44</v>
      </c>
      <c r="D928" t="s">
        <v>7729</v>
      </c>
    </row>
    <row r="929" spans="1:4" ht="20" customHeight="1">
      <c r="A929" t="s">
        <v>7730</v>
      </c>
      <c r="B929" t="s">
        <v>2622</v>
      </c>
      <c r="C929">
        <v>5.44</v>
      </c>
      <c r="D929" t="s">
        <v>7729</v>
      </c>
    </row>
    <row r="930" spans="1:4" ht="20" customHeight="1">
      <c r="A930" t="s">
        <v>7730</v>
      </c>
      <c r="B930" t="s">
        <v>2625</v>
      </c>
      <c r="C930">
        <v>5.42</v>
      </c>
      <c r="D930" t="s">
        <v>7729</v>
      </c>
    </row>
    <row r="931" spans="1:4" ht="20" customHeight="1">
      <c r="A931" t="s">
        <v>7730</v>
      </c>
      <c r="B931" t="s">
        <v>2628</v>
      </c>
      <c r="C931">
        <v>5.42</v>
      </c>
      <c r="D931" t="s">
        <v>7729</v>
      </c>
    </row>
    <row r="932" spans="1:4" ht="20" customHeight="1">
      <c r="A932" t="s">
        <v>7730</v>
      </c>
      <c r="B932" t="s">
        <v>2631</v>
      </c>
      <c r="C932">
        <v>5.42</v>
      </c>
      <c r="D932" t="s">
        <v>7729</v>
      </c>
    </row>
    <row r="933" spans="1:4" ht="20" customHeight="1">
      <c r="A933" t="s">
        <v>7730</v>
      </c>
      <c r="B933" t="s">
        <v>2634</v>
      </c>
      <c r="C933">
        <v>5.42</v>
      </c>
      <c r="D933" t="s">
        <v>7729</v>
      </c>
    </row>
    <row r="934" spans="1:4" ht="20" customHeight="1">
      <c r="A934" t="s">
        <v>7730</v>
      </c>
      <c r="B934" t="s">
        <v>2637</v>
      </c>
      <c r="C934">
        <v>5.43</v>
      </c>
      <c r="D934" t="s">
        <v>7729</v>
      </c>
    </row>
    <row r="935" spans="1:4" ht="20" customHeight="1">
      <c r="A935" t="s">
        <v>7730</v>
      </c>
      <c r="B935" t="s">
        <v>2640</v>
      </c>
      <c r="C935">
        <v>5.42</v>
      </c>
      <c r="D935" t="s">
        <v>7729</v>
      </c>
    </row>
    <row r="936" spans="1:4" ht="20" customHeight="1">
      <c r="A936" t="s">
        <v>7730</v>
      </c>
      <c r="B936" t="s">
        <v>2643</v>
      </c>
      <c r="C936">
        <v>5.44</v>
      </c>
      <c r="D936" t="s">
        <v>7729</v>
      </c>
    </row>
    <row r="937" spans="1:4" ht="20" customHeight="1">
      <c r="A937" t="s">
        <v>7730</v>
      </c>
      <c r="B937" t="s">
        <v>2646</v>
      </c>
      <c r="C937">
        <v>5.43</v>
      </c>
      <c r="D937" t="s">
        <v>7729</v>
      </c>
    </row>
    <row r="938" spans="1:4" ht="20" customHeight="1">
      <c r="A938" t="s">
        <v>7730</v>
      </c>
      <c r="B938" t="s">
        <v>2649</v>
      </c>
      <c r="C938">
        <v>5.44</v>
      </c>
      <c r="D938" t="s">
        <v>7729</v>
      </c>
    </row>
    <row r="939" spans="1:4" ht="20" customHeight="1">
      <c r="A939" t="s">
        <v>7730</v>
      </c>
      <c r="B939" t="s">
        <v>2652</v>
      </c>
      <c r="C939">
        <v>5.44</v>
      </c>
      <c r="D939" t="s">
        <v>7729</v>
      </c>
    </row>
    <row r="940" spans="1:4" ht="20" customHeight="1">
      <c r="A940" t="s">
        <v>7730</v>
      </c>
      <c r="B940" t="s">
        <v>2655</v>
      </c>
      <c r="C940">
        <v>5.43</v>
      </c>
      <c r="D940" t="s">
        <v>7729</v>
      </c>
    </row>
    <row r="941" spans="1:4" ht="20" customHeight="1">
      <c r="A941" t="s">
        <v>7730</v>
      </c>
      <c r="B941" t="s">
        <v>2658</v>
      </c>
      <c r="C941">
        <v>5.45</v>
      </c>
      <c r="D941" t="s">
        <v>7729</v>
      </c>
    </row>
    <row r="942" spans="1:4" ht="20" customHeight="1">
      <c r="A942" t="s">
        <v>7730</v>
      </c>
      <c r="B942" t="s">
        <v>2661</v>
      </c>
      <c r="C942">
        <v>5.43</v>
      </c>
      <c r="D942" t="s">
        <v>7729</v>
      </c>
    </row>
    <row r="943" spans="1:4" ht="20" customHeight="1">
      <c r="A943" t="s">
        <v>7730</v>
      </c>
      <c r="B943" t="s">
        <v>2664</v>
      </c>
      <c r="C943">
        <v>5.43</v>
      </c>
      <c r="D943" t="s">
        <v>7729</v>
      </c>
    </row>
    <row r="944" spans="1:4" ht="20" customHeight="1">
      <c r="A944" t="s">
        <v>7730</v>
      </c>
      <c r="B944" t="s">
        <v>2667</v>
      </c>
      <c r="C944">
        <v>5.44</v>
      </c>
      <c r="D944" t="s">
        <v>7729</v>
      </c>
    </row>
    <row r="945" spans="1:4" ht="20" customHeight="1">
      <c r="A945" t="s">
        <v>7730</v>
      </c>
      <c r="B945" t="s">
        <v>2670</v>
      </c>
      <c r="C945">
        <v>5.44</v>
      </c>
      <c r="D945" t="s">
        <v>7729</v>
      </c>
    </row>
    <row r="946" spans="1:4" ht="20" customHeight="1">
      <c r="A946" t="s">
        <v>7730</v>
      </c>
      <c r="B946" t="s">
        <v>2673</v>
      </c>
      <c r="C946">
        <v>5.44</v>
      </c>
      <c r="D946" t="s">
        <v>7729</v>
      </c>
    </row>
    <row r="947" spans="1:4" ht="20" customHeight="1">
      <c r="A947" t="s">
        <v>7730</v>
      </c>
      <c r="B947" t="s">
        <v>2676</v>
      </c>
      <c r="C947">
        <v>5.45</v>
      </c>
      <c r="D947" t="s">
        <v>7729</v>
      </c>
    </row>
    <row r="948" spans="1:4" ht="20" customHeight="1">
      <c r="A948" t="s">
        <v>7730</v>
      </c>
      <c r="B948" t="s">
        <v>2679</v>
      </c>
      <c r="C948">
        <v>5.46</v>
      </c>
      <c r="D948" t="s">
        <v>7729</v>
      </c>
    </row>
    <row r="949" spans="1:4" ht="20" customHeight="1">
      <c r="A949" t="s">
        <v>7730</v>
      </c>
      <c r="B949" t="s">
        <v>2682</v>
      </c>
      <c r="C949">
        <v>5.47</v>
      </c>
      <c r="D949" t="s">
        <v>7729</v>
      </c>
    </row>
    <row r="950" spans="1:4" ht="20" customHeight="1">
      <c r="A950" t="s">
        <v>7730</v>
      </c>
      <c r="B950" t="s">
        <v>2685</v>
      </c>
      <c r="C950">
        <v>5.45</v>
      </c>
      <c r="D950" t="s">
        <v>7729</v>
      </c>
    </row>
    <row r="951" spans="1:4" ht="20" customHeight="1">
      <c r="A951" t="s">
        <v>7730</v>
      </c>
      <c r="B951" t="s">
        <v>2688</v>
      </c>
      <c r="C951">
        <v>5.45</v>
      </c>
      <c r="D951" t="s">
        <v>7729</v>
      </c>
    </row>
    <row r="952" spans="1:4" ht="20" customHeight="1">
      <c r="A952" t="s">
        <v>7730</v>
      </c>
      <c r="B952" t="s">
        <v>2691</v>
      </c>
      <c r="C952">
        <v>5.45</v>
      </c>
      <c r="D952" t="s">
        <v>7729</v>
      </c>
    </row>
    <row r="953" spans="1:4" ht="20" customHeight="1">
      <c r="A953" t="s">
        <v>7730</v>
      </c>
      <c r="B953" t="s">
        <v>2694</v>
      </c>
      <c r="C953">
        <v>5.42</v>
      </c>
      <c r="D953" t="s">
        <v>7729</v>
      </c>
    </row>
    <row r="954" spans="1:4" ht="20" customHeight="1">
      <c r="A954" t="s">
        <v>7730</v>
      </c>
      <c r="B954" t="s">
        <v>2697</v>
      </c>
      <c r="C954">
        <v>5.48</v>
      </c>
      <c r="D954" t="s">
        <v>7729</v>
      </c>
    </row>
    <row r="955" spans="1:4" ht="20" customHeight="1">
      <c r="A955" t="s">
        <v>7730</v>
      </c>
      <c r="B955" t="s">
        <v>2700</v>
      </c>
      <c r="C955">
        <v>5.47</v>
      </c>
      <c r="D955" t="s">
        <v>7729</v>
      </c>
    </row>
    <row r="956" spans="1:4" ht="20" customHeight="1">
      <c r="A956" t="s">
        <v>7730</v>
      </c>
      <c r="B956" t="s">
        <v>2703</v>
      </c>
      <c r="C956">
        <v>5.47</v>
      </c>
      <c r="D956" t="s">
        <v>7729</v>
      </c>
    </row>
    <row r="957" spans="1:4" ht="20" customHeight="1">
      <c r="A957" t="s">
        <v>7730</v>
      </c>
      <c r="B957" t="s">
        <v>2706</v>
      </c>
      <c r="C957">
        <v>5.47</v>
      </c>
      <c r="D957" t="s">
        <v>7729</v>
      </c>
    </row>
    <row r="958" spans="1:4" ht="20" customHeight="1">
      <c r="A958" t="s">
        <v>7730</v>
      </c>
      <c r="B958" t="s">
        <v>2709</v>
      </c>
      <c r="C958">
        <v>5.46</v>
      </c>
      <c r="D958" t="s">
        <v>7729</v>
      </c>
    </row>
    <row r="959" spans="1:4" ht="20" customHeight="1">
      <c r="A959" t="s">
        <v>7730</v>
      </c>
      <c r="B959" t="s">
        <v>2712</v>
      </c>
      <c r="C959">
        <v>5.48</v>
      </c>
      <c r="D959" t="s">
        <v>7729</v>
      </c>
    </row>
    <row r="960" spans="1:4" ht="20" customHeight="1">
      <c r="A960" t="s">
        <v>7730</v>
      </c>
      <c r="B960" t="s">
        <v>2715</v>
      </c>
      <c r="C960">
        <v>5.48</v>
      </c>
      <c r="D960" t="s">
        <v>7729</v>
      </c>
    </row>
    <row r="961" spans="1:4" ht="20" customHeight="1">
      <c r="A961" t="s">
        <v>7730</v>
      </c>
      <c r="B961" t="s">
        <v>2718</v>
      </c>
      <c r="C961">
        <v>5.48</v>
      </c>
      <c r="D961" t="s">
        <v>7729</v>
      </c>
    </row>
    <row r="962" spans="1:4" ht="20" customHeight="1">
      <c r="A962" t="s">
        <v>7730</v>
      </c>
      <c r="B962" t="s">
        <v>2721</v>
      </c>
      <c r="C962">
        <v>5.48</v>
      </c>
      <c r="D962" t="s">
        <v>7729</v>
      </c>
    </row>
    <row r="963" spans="1:4" ht="20" customHeight="1">
      <c r="A963" t="s">
        <v>7730</v>
      </c>
      <c r="B963" t="s">
        <v>2724</v>
      </c>
      <c r="C963">
        <v>5.48</v>
      </c>
      <c r="D963" t="s">
        <v>7729</v>
      </c>
    </row>
    <row r="964" spans="1:4" ht="20" customHeight="1">
      <c r="A964" t="s">
        <v>7730</v>
      </c>
      <c r="B964" t="s">
        <v>2727</v>
      </c>
      <c r="C964">
        <v>5.48</v>
      </c>
      <c r="D964" t="s">
        <v>7729</v>
      </c>
    </row>
    <row r="965" spans="1:4" ht="20" customHeight="1">
      <c r="A965" t="s">
        <v>7730</v>
      </c>
      <c r="B965" t="s">
        <v>2730</v>
      </c>
      <c r="C965">
        <v>5.48</v>
      </c>
      <c r="D965" t="s">
        <v>7729</v>
      </c>
    </row>
    <row r="966" spans="1:4" ht="20" customHeight="1">
      <c r="A966" t="s">
        <v>7730</v>
      </c>
      <c r="B966" t="s">
        <v>2733</v>
      </c>
      <c r="C966">
        <v>5.47</v>
      </c>
      <c r="D966" t="s">
        <v>7729</v>
      </c>
    </row>
    <row r="967" spans="1:4" ht="20" customHeight="1">
      <c r="A967" t="s">
        <v>7730</v>
      </c>
      <c r="B967" t="s">
        <v>2736</v>
      </c>
      <c r="C967">
        <v>5.48</v>
      </c>
      <c r="D967" t="s">
        <v>7729</v>
      </c>
    </row>
    <row r="968" spans="1:4" ht="20" customHeight="1">
      <c r="A968" t="s">
        <v>7730</v>
      </c>
      <c r="B968" t="s">
        <v>2739</v>
      </c>
      <c r="C968">
        <v>5.46</v>
      </c>
      <c r="D968" t="s">
        <v>7729</v>
      </c>
    </row>
    <row r="969" spans="1:4" ht="20" customHeight="1">
      <c r="A969" t="s">
        <v>7730</v>
      </c>
      <c r="B969" t="s">
        <v>2742</v>
      </c>
      <c r="C969">
        <v>5.46</v>
      </c>
      <c r="D969" t="s">
        <v>7729</v>
      </c>
    </row>
    <row r="970" spans="1:4" ht="20" customHeight="1">
      <c r="A970" t="s">
        <v>7730</v>
      </c>
      <c r="B970" t="s">
        <v>2745</v>
      </c>
      <c r="C970">
        <v>5.46</v>
      </c>
      <c r="D970" t="s">
        <v>7729</v>
      </c>
    </row>
    <row r="971" spans="1:4" ht="20" customHeight="1">
      <c r="A971" t="s">
        <v>7730</v>
      </c>
      <c r="B971" t="s">
        <v>2748</v>
      </c>
      <c r="C971">
        <v>5.45</v>
      </c>
      <c r="D971" t="s">
        <v>7729</v>
      </c>
    </row>
    <row r="972" spans="1:4" ht="20" customHeight="1">
      <c r="A972" t="s">
        <v>7730</v>
      </c>
      <c r="B972" t="s">
        <v>2751</v>
      </c>
      <c r="C972">
        <v>5.46</v>
      </c>
      <c r="D972" t="s">
        <v>7729</v>
      </c>
    </row>
    <row r="973" spans="1:4" ht="20" customHeight="1">
      <c r="A973" t="s">
        <v>7730</v>
      </c>
      <c r="B973" t="s">
        <v>2754</v>
      </c>
      <c r="C973">
        <v>5.44</v>
      </c>
      <c r="D973" t="s">
        <v>7729</v>
      </c>
    </row>
    <row r="974" spans="1:4" ht="20" customHeight="1">
      <c r="A974" t="s">
        <v>7730</v>
      </c>
      <c r="B974" t="s">
        <v>2757</v>
      </c>
      <c r="C974">
        <v>5.42</v>
      </c>
      <c r="D974" t="s">
        <v>7729</v>
      </c>
    </row>
    <row r="975" spans="1:4" ht="20" customHeight="1">
      <c r="A975" t="s">
        <v>7730</v>
      </c>
      <c r="B975" t="s">
        <v>2760</v>
      </c>
      <c r="C975">
        <v>5.42</v>
      </c>
      <c r="D975" t="s">
        <v>7729</v>
      </c>
    </row>
    <row r="976" spans="1:4" ht="20" customHeight="1">
      <c r="A976" t="s">
        <v>7730</v>
      </c>
      <c r="B976" t="s">
        <v>2763</v>
      </c>
      <c r="C976">
        <v>5.41</v>
      </c>
      <c r="D976" t="s">
        <v>7729</v>
      </c>
    </row>
    <row r="977" spans="1:4" ht="20" customHeight="1">
      <c r="A977" t="s">
        <v>7730</v>
      </c>
      <c r="B977" t="s">
        <v>2766</v>
      </c>
      <c r="C977">
        <v>5.43</v>
      </c>
      <c r="D977" t="s">
        <v>7729</v>
      </c>
    </row>
    <row r="978" spans="1:4" ht="20" customHeight="1">
      <c r="A978" t="s">
        <v>7730</v>
      </c>
      <c r="B978" t="s">
        <v>2769</v>
      </c>
      <c r="C978">
        <v>5.43</v>
      </c>
      <c r="D978" t="s">
        <v>7729</v>
      </c>
    </row>
    <row r="979" spans="1:4" ht="20" customHeight="1">
      <c r="A979" t="s">
        <v>7730</v>
      </c>
      <c r="B979" t="s">
        <v>2772</v>
      </c>
      <c r="C979">
        <v>5.43</v>
      </c>
      <c r="D979" t="s">
        <v>7729</v>
      </c>
    </row>
    <row r="980" spans="1:4" ht="20" customHeight="1">
      <c r="A980" t="s">
        <v>7730</v>
      </c>
      <c r="B980" t="s">
        <v>2775</v>
      </c>
      <c r="C980">
        <v>5.45</v>
      </c>
      <c r="D980" t="s">
        <v>7729</v>
      </c>
    </row>
    <row r="981" spans="1:4" ht="20" customHeight="1">
      <c r="A981" t="s">
        <v>7730</v>
      </c>
      <c r="B981" t="s">
        <v>2778</v>
      </c>
      <c r="C981">
        <v>5.45</v>
      </c>
      <c r="D981" t="s">
        <v>7729</v>
      </c>
    </row>
    <row r="982" spans="1:4" ht="20" customHeight="1">
      <c r="A982" t="s">
        <v>7730</v>
      </c>
      <c r="B982" t="s">
        <v>2781</v>
      </c>
      <c r="C982">
        <v>5.45</v>
      </c>
      <c r="D982" t="s">
        <v>7729</v>
      </c>
    </row>
    <row r="983" spans="1:4" ht="20" customHeight="1">
      <c r="A983" t="s">
        <v>7730</v>
      </c>
      <c r="B983" t="s">
        <v>2784</v>
      </c>
      <c r="C983">
        <v>5.45</v>
      </c>
      <c r="D983" t="s">
        <v>7729</v>
      </c>
    </row>
    <row r="984" spans="1:4" ht="20" customHeight="1">
      <c r="A984" t="s">
        <v>7730</v>
      </c>
      <c r="B984" t="s">
        <v>2787</v>
      </c>
      <c r="C984">
        <v>5.45</v>
      </c>
      <c r="D984" t="s">
        <v>7729</v>
      </c>
    </row>
    <row r="985" spans="1:4" ht="20" customHeight="1">
      <c r="A985" t="s">
        <v>7730</v>
      </c>
      <c r="B985" t="s">
        <v>2790</v>
      </c>
      <c r="C985">
        <v>5.45</v>
      </c>
      <c r="D985" t="s">
        <v>7729</v>
      </c>
    </row>
    <row r="986" spans="1:4" ht="20" customHeight="1">
      <c r="A986" t="s">
        <v>7730</v>
      </c>
      <c r="B986" t="s">
        <v>2793</v>
      </c>
      <c r="C986">
        <v>5.46</v>
      </c>
      <c r="D986" t="s">
        <v>7729</v>
      </c>
    </row>
    <row r="987" spans="1:4" ht="20" customHeight="1">
      <c r="A987" t="s">
        <v>7730</v>
      </c>
      <c r="B987" t="s">
        <v>2796</v>
      </c>
      <c r="C987">
        <v>5.45</v>
      </c>
      <c r="D987" t="s">
        <v>7729</v>
      </c>
    </row>
    <row r="988" spans="1:4" ht="20" customHeight="1">
      <c r="A988" t="s">
        <v>7730</v>
      </c>
      <c r="B988" t="s">
        <v>2799</v>
      </c>
      <c r="C988">
        <v>5.42</v>
      </c>
      <c r="D988" t="s">
        <v>7729</v>
      </c>
    </row>
    <row r="989" spans="1:4" ht="20" customHeight="1">
      <c r="A989" t="s">
        <v>7730</v>
      </c>
      <c r="B989" t="s">
        <v>2802</v>
      </c>
      <c r="C989">
        <v>5.45</v>
      </c>
      <c r="D989" t="s">
        <v>7729</v>
      </c>
    </row>
    <row r="990" spans="1:4" ht="20" customHeight="1">
      <c r="A990" t="s">
        <v>7730</v>
      </c>
      <c r="B990" t="s">
        <v>2805</v>
      </c>
      <c r="C990">
        <v>5.46</v>
      </c>
      <c r="D990" t="s">
        <v>7729</v>
      </c>
    </row>
    <row r="991" spans="1:4" ht="20" customHeight="1">
      <c r="A991" t="s">
        <v>7730</v>
      </c>
      <c r="B991" t="s">
        <v>2808</v>
      </c>
      <c r="C991">
        <v>5.47</v>
      </c>
      <c r="D991" t="s">
        <v>7729</v>
      </c>
    </row>
    <row r="992" spans="1:4" ht="20" customHeight="1">
      <c r="A992" t="s">
        <v>7730</v>
      </c>
      <c r="B992" t="s">
        <v>2811</v>
      </c>
      <c r="C992">
        <v>5.46</v>
      </c>
      <c r="D992" t="s">
        <v>7729</v>
      </c>
    </row>
    <row r="993" spans="1:4" ht="20" customHeight="1">
      <c r="A993" t="s">
        <v>7730</v>
      </c>
      <c r="B993" t="s">
        <v>2814</v>
      </c>
      <c r="C993">
        <v>5.45</v>
      </c>
      <c r="D993" t="s">
        <v>7729</v>
      </c>
    </row>
    <row r="994" spans="1:4" ht="20" customHeight="1">
      <c r="A994" t="s">
        <v>7730</v>
      </c>
      <c r="B994" t="s">
        <v>2817</v>
      </c>
      <c r="C994">
        <v>5.46</v>
      </c>
      <c r="D994" t="s">
        <v>7729</v>
      </c>
    </row>
    <row r="995" spans="1:4" ht="20" customHeight="1">
      <c r="A995" t="s">
        <v>7730</v>
      </c>
      <c r="B995" t="s">
        <v>2820</v>
      </c>
      <c r="C995">
        <v>5.46</v>
      </c>
      <c r="D995" t="s">
        <v>7729</v>
      </c>
    </row>
    <row r="996" spans="1:4" ht="20" customHeight="1">
      <c r="A996" t="s">
        <v>7730</v>
      </c>
      <c r="B996" t="s">
        <v>2823</v>
      </c>
      <c r="C996">
        <v>5.46</v>
      </c>
      <c r="D996" t="s">
        <v>7729</v>
      </c>
    </row>
    <row r="997" spans="1:4" ht="20" customHeight="1">
      <c r="A997" t="s">
        <v>7730</v>
      </c>
      <c r="B997" t="s">
        <v>2826</v>
      </c>
      <c r="C997">
        <v>5.45</v>
      </c>
      <c r="D997" t="s">
        <v>7729</v>
      </c>
    </row>
    <row r="998" spans="1:4" ht="20" customHeight="1">
      <c r="A998" t="s">
        <v>7730</v>
      </c>
      <c r="B998" t="s">
        <v>2829</v>
      </c>
      <c r="C998">
        <v>5.45</v>
      </c>
      <c r="D998" t="s">
        <v>7729</v>
      </c>
    </row>
    <row r="999" spans="1:4" ht="20" customHeight="1">
      <c r="A999" t="s">
        <v>7730</v>
      </c>
      <c r="B999" t="s">
        <v>2832</v>
      </c>
      <c r="C999">
        <v>5.45</v>
      </c>
      <c r="D999" t="s">
        <v>7729</v>
      </c>
    </row>
    <row r="1000" spans="1:4" ht="20" customHeight="1">
      <c r="A1000" t="s">
        <v>7730</v>
      </c>
      <c r="B1000" t="s">
        <v>2835</v>
      </c>
      <c r="C1000">
        <v>5.45</v>
      </c>
      <c r="D1000" t="s">
        <v>7729</v>
      </c>
    </row>
    <row r="1001" spans="1:4" ht="20" customHeight="1">
      <c r="A1001" t="s">
        <v>7730</v>
      </c>
      <c r="B1001" t="s">
        <v>2838</v>
      </c>
      <c r="C1001">
        <v>5.46</v>
      </c>
      <c r="D1001" t="s">
        <v>7729</v>
      </c>
    </row>
    <row r="1002" spans="1:4" ht="20" customHeight="1">
      <c r="A1002" t="s">
        <v>7730</v>
      </c>
      <c r="B1002" t="s">
        <v>2841</v>
      </c>
      <c r="C1002">
        <v>5.47</v>
      </c>
      <c r="D1002" t="s">
        <v>7729</v>
      </c>
    </row>
    <row r="1003" spans="1:4" ht="20" customHeight="1">
      <c r="A1003" t="s">
        <v>7730</v>
      </c>
      <c r="B1003" t="s">
        <v>2844</v>
      </c>
      <c r="C1003">
        <v>5.45</v>
      </c>
      <c r="D1003" t="s">
        <v>7729</v>
      </c>
    </row>
    <row r="1004" spans="1:4" ht="20" customHeight="1">
      <c r="A1004" t="s">
        <v>7730</v>
      </c>
      <c r="B1004" t="s">
        <v>2847</v>
      </c>
      <c r="C1004">
        <v>5.44</v>
      </c>
      <c r="D1004" t="s">
        <v>7729</v>
      </c>
    </row>
    <row r="1005" spans="1:4" ht="20" customHeight="1">
      <c r="A1005" t="s">
        <v>7730</v>
      </c>
      <c r="B1005" t="s">
        <v>2850</v>
      </c>
      <c r="C1005">
        <v>5.45</v>
      </c>
      <c r="D1005" t="s">
        <v>7729</v>
      </c>
    </row>
    <row r="1006" spans="1:4" ht="20" customHeight="1">
      <c r="A1006" t="s">
        <v>7730</v>
      </c>
      <c r="B1006" t="s">
        <v>2853</v>
      </c>
      <c r="C1006">
        <v>5.45</v>
      </c>
      <c r="D1006" t="s">
        <v>7729</v>
      </c>
    </row>
    <row r="1007" spans="1:4" ht="20" customHeight="1">
      <c r="A1007" t="s">
        <v>7730</v>
      </c>
      <c r="B1007" t="s">
        <v>2856</v>
      </c>
      <c r="C1007">
        <v>5.46</v>
      </c>
      <c r="D1007" t="s">
        <v>7729</v>
      </c>
    </row>
    <row r="1008" spans="1:4" ht="20" customHeight="1">
      <c r="A1008" t="s">
        <v>7730</v>
      </c>
      <c r="B1008" t="s">
        <v>2859</v>
      </c>
      <c r="C1008">
        <v>5.45</v>
      </c>
      <c r="D1008" t="s">
        <v>7729</v>
      </c>
    </row>
    <row r="1009" spans="1:4" ht="20" customHeight="1">
      <c r="A1009" t="s">
        <v>7730</v>
      </c>
      <c r="B1009" t="s">
        <v>2862</v>
      </c>
      <c r="C1009">
        <v>5.45</v>
      </c>
      <c r="D1009" t="s">
        <v>7729</v>
      </c>
    </row>
    <row r="1010" spans="1:4" ht="20" customHeight="1">
      <c r="A1010" t="s">
        <v>7730</v>
      </c>
      <c r="B1010" t="s">
        <v>2865</v>
      </c>
      <c r="C1010">
        <v>5.45</v>
      </c>
      <c r="D1010" t="s">
        <v>7729</v>
      </c>
    </row>
    <row r="1011" spans="1:4" ht="20" customHeight="1">
      <c r="A1011" t="s">
        <v>7730</v>
      </c>
      <c r="B1011" t="s">
        <v>2868</v>
      </c>
      <c r="C1011">
        <v>5.46</v>
      </c>
      <c r="D1011" t="s">
        <v>7729</v>
      </c>
    </row>
    <row r="1012" spans="1:4" ht="20" customHeight="1">
      <c r="A1012" t="s">
        <v>7730</v>
      </c>
      <c r="B1012" t="s">
        <v>2871</v>
      </c>
      <c r="C1012">
        <v>5.46</v>
      </c>
      <c r="D1012" t="s">
        <v>7729</v>
      </c>
    </row>
    <row r="1013" spans="1:4" ht="20" customHeight="1">
      <c r="A1013" t="s">
        <v>7730</v>
      </c>
      <c r="B1013" t="s">
        <v>2874</v>
      </c>
      <c r="C1013">
        <v>5.46</v>
      </c>
      <c r="D1013" t="s">
        <v>7729</v>
      </c>
    </row>
    <row r="1014" spans="1:4" ht="20" customHeight="1">
      <c r="A1014" t="s">
        <v>7730</v>
      </c>
      <c r="B1014" t="s">
        <v>2877</v>
      </c>
      <c r="C1014">
        <v>5.46</v>
      </c>
      <c r="D1014" t="s">
        <v>7729</v>
      </c>
    </row>
    <row r="1015" spans="1:4" ht="20" customHeight="1">
      <c r="A1015" t="s">
        <v>7730</v>
      </c>
      <c r="B1015" t="s">
        <v>2880</v>
      </c>
      <c r="C1015">
        <v>5.46</v>
      </c>
      <c r="D1015" t="s">
        <v>7729</v>
      </c>
    </row>
    <row r="1016" spans="1:4" ht="20" customHeight="1">
      <c r="A1016" t="s">
        <v>7730</v>
      </c>
      <c r="B1016" t="s">
        <v>2883</v>
      </c>
      <c r="C1016">
        <v>5.46</v>
      </c>
      <c r="D1016" t="s">
        <v>7729</v>
      </c>
    </row>
    <row r="1017" spans="1:4" ht="20" customHeight="1">
      <c r="A1017" t="s">
        <v>7730</v>
      </c>
      <c r="B1017" t="s">
        <v>2886</v>
      </c>
      <c r="C1017">
        <v>5.52</v>
      </c>
      <c r="D1017" t="s">
        <v>7729</v>
      </c>
    </row>
    <row r="1018" spans="1:4" ht="20" customHeight="1">
      <c r="A1018" t="s">
        <v>7730</v>
      </c>
      <c r="B1018" t="s">
        <v>2889</v>
      </c>
      <c r="C1018">
        <v>5.52</v>
      </c>
      <c r="D1018" t="s">
        <v>7729</v>
      </c>
    </row>
    <row r="1019" spans="1:4" ht="20" customHeight="1">
      <c r="A1019" t="s">
        <v>7730</v>
      </c>
      <c r="B1019" t="s">
        <v>2892</v>
      </c>
      <c r="C1019">
        <v>5.51</v>
      </c>
      <c r="D1019" t="s">
        <v>7729</v>
      </c>
    </row>
    <row r="1020" spans="1:4" ht="20" customHeight="1">
      <c r="A1020" t="s">
        <v>7730</v>
      </c>
      <c r="B1020" t="s">
        <v>2895</v>
      </c>
      <c r="C1020">
        <v>5.51</v>
      </c>
      <c r="D1020" t="s">
        <v>7729</v>
      </c>
    </row>
    <row r="1021" spans="1:4" ht="20" customHeight="1">
      <c r="A1021" t="s">
        <v>7730</v>
      </c>
      <c r="B1021" t="s">
        <v>2898</v>
      </c>
      <c r="C1021">
        <v>5.52</v>
      </c>
      <c r="D1021" t="s">
        <v>7729</v>
      </c>
    </row>
    <row r="1022" spans="1:4" ht="20" customHeight="1">
      <c r="A1022" t="s">
        <v>7730</v>
      </c>
      <c r="B1022" t="s">
        <v>2901</v>
      </c>
      <c r="C1022">
        <v>5.52</v>
      </c>
      <c r="D1022" t="s">
        <v>7729</v>
      </c>
    </row>
    <row r="1023" spans="1:4" ht="20" customHeight="1">
      <c r="A1023" t="s">
        <v>7730</v>
      </c>
      <c r="B1023" t="s">
        <v>2904</v>
      </c>
      <c r="C1023">
        <v>5.52</v>
      </c>
      <c r="D1023" t="s">
        <v>7729</v>
      </c>
    </row>
    <row r="1024" spans="1:4" ht="20" customHeight="1">
      <c r="A1024" t="s">
        <v>7730</v>
      </c>
      <c r="B1024" t="s">
        <v>2907</v>
      </c>
      <c r="C1024">
        <v>5.51</v>
      </c>
      <c r="D1024" t="s">
        <v>7729</v>
      </c>
    </row>
    <row r="1025" spans="1:4" ht="20" customHeight="1">
      <c r="A1025" t="s">
        <v>7730</v>
      </c>
      <c r="B1025" t="s">
        <v>2910</v>
      </c>
      <c r="C1025">
        <v>5.51</v>
      </c>
      <c r="D1025" t="s">
        <v>7729</v>
      </c>
    </row>
    <row r="1026" spans="1:4" ht="20" customHeight="1">
      <c r="A1026" t="s">
        <v>7730</v>
      </c>
      <c r="B1026" t="s">
        <v>2913</v>
      </c>
      <c r="C1026">
        <v>5.51</v>
      </c>
      <c r="D1026" t="s">
        <v>7729</v>
      </c>
    </row>
    <row r="1027" spans="1:4" ht="20" customHeight="1">
      <c r="A1027" t="s">
        <v>7730</v>
      </c>
      <c r="B1027" t="s">
        <v>2916</v>
      </c>
      <c r="C1027">
        <v>5.52</v>
      </c>
      <c r="D1027" t="s">
        <v>7729</v>
      </c>
    </row>
    <row r="1028" spans="1:4" ht="20" customHeight="1">
      <c r="A1028" t="s">
        <v>7730</v>
      </c>
      <c r="B1028" t="s">
        <v>2919</v>
      </c>
      <c r="C1028">
        <v>5.5</v>
      </c>
      <c r="D1028" t="s">
        <v>7729</v>
      </c>
    </row>
    <row r="1029" spans="1:4" ht="20" customHeight="1">
      <c r="A1029" t="s">
        <v>7730</v>
      </c>
      <c r="B1029" t="s">
        <v>2922</v>
      </c>
      <c r="C1029">
        <v>5.5</v>
      </c>
      <c r="D1029" t="s">
        <v>7729</v>
      </c>
    </row>
    <row r="1030" spans="1:4" ht="20" customHeight="1">
      <c r="A1030" t="s">
        <v>7730</v>
      </c>
      <c r="B1030" t="s">
        <v>2925</v>
      </c>
      <c r="C1030">
        <v>5.49</v>
      </c>
      <c r="D1030" t="s">
        <v>7729</v>
      </c>
    </row>
    <row r="1031" spans="1:4" ht="20" customHeight="1">
      <c r="A1031" t="s">
        <v>7730</v>
      </c>
      <c r="B1031" t="s">
        <v>2928</v>
      </c>
      <c r="C1031">
        <v>5.5</v>
      </c>
      <c r="D1031" t="s">
        <v>7729</v>
      </c>
    </row>
    <row r="1032" spans="1:4" ht="20" customHeight="1">
      <c r="A1032" t="s">
        <v>7730</v>
      </c>
      <c r="B1032" t="s">
        <v>2931</v>
      </c>
      <c r="C1032">
        <v>5.49</v>
      </c>
      <c r="D1032" t="s">
        <v>7729</v>
      </c>
    </row>
    <row r="1033" spans="1:4" ht="20" customHeight="1">
      <c r="A1033" t="s">
        <v>7730</v>
      </c>
      <c r="B1033" t="s">
        <v>2934</v>
      </c>
      <c r="C1033">
        <v>5.5</v>
      </c>
      <c r="D1033" t="s">
        <v>7729</v>
      </c>
    </row>
    <row r="1034" spans="1:4" ht="20" customHeight="1">
      <c r="A1034" t="s">
        <v>7730</v>
      </c>
      <c r="B1034" t="s">
        <v>2937</v>
      </c>
      <c r="C1034">
        <v>5.49</v>
      </c>
      <c r="D1034" t="s">
        <v>7729</v>
      </c>
    </row>
    <row r="1035" spans="1:4" ht="20" customHeight="1">
      <c r="A1035" t="s">
        <v>7730</v>
      </c>
      <c r="B1035" t="s">
        <v>2940</v>
      </c>
      <c r="C1035">
        <v>5.48</v>
      </c>
      <c r="D1035" t="s">
        <v>7729</v>
      </c>
    </row>
    <row r="1036" spans="1:4" ht="20" customHeight="1">
      <c r="A1036" t="s">
        <v>7730</v>
      </c>
      <c r="B1036" t="s">
        <v>2943</v>
      </c>
      <c r="C1036">
        <v>5.47</v>
      </c>
      <c r="D1036" t="s">
        <v>7729</v>
      </c>
    </row>
    <row r="1037" spans="1:4" ht="20" customHeight="1">
      <c r="A1037" t="s">
        <v>7730</v>
      </c>
      <c r="B1037" t="s">
        <v>2946</v>
      </c>
      <c r="C1037">
        <v>5.47</v>
      </c>
      <c r="D1037" t="s">
        <v>7729</v>
      </c>
    </row>
    <row r="1038" spans="1:4" ht="20" customHeight="1">
      <c r="A1038" t="s">
        <v>7730</v>
      </c>
      <c r="B1038" t="s">
        <v>2949</v>
      </c>
      <c r="C1038">
        <v>5.47</v>
      </c>
      <c r="D1038" t="s">
        <v>7729</v>
      </c>
    </row>
    <row r="1039" spans="1:4" ht="20" customHeight="1">
      <c r="A1039" t="s">
        <v>7730</v>
      </c>
      <c r="B1039" t="s">
        <v>2952</v>
      </c>
      <c r="C1039">
        <v>5.46</v>
      </c>
      <c r="D1039" t="s">
        <v>7729</v>
      </c>
    </row>
    <row r="1040" spans="1:4" ht="20" customHeight="1">
      <c r="A1040" t="s">
        <v>7730</v>
      </c>
      <c r="B1040" t="s">
        <v>2955</v>
      </c>
      <c r="C1040">
        <v>5.46</v>
      </c>
      <c r="D1040" t="s">
        <v>7729</v>
      </c>
    </row>
    <row r="1041" spans="1:4" ht="20" customHeight="1">
      <c r="A1041" t="s">
        <v>7730</v>
      </c>
      <c r="B1041" t="s">
        <v>2958</v>
      </c>
      <c r="C1041">
        <v>5.46</v>
      </c>
      <c r="D1041" t="s">
        <v>7729</v>
      </c>
    </row>
    <row r="1042" spans="1:4" ht="20" customHeight="1">
      <c r="A1042" t="s">
        <v>7730</v>
      </c>
      <c r="B1042" t="s">
        <v>2961</v>
      </c>
      <c r="C1042">
        <v>5.46</v>
      </c>
      <c r="D1042" t="s">
        <v>7729</v>
      </c>
    </row>
    <row r="1043" spans="1:4" ht="20" customHeight="1">
      <c r="A1043" t="s">
        <v>7730</v>
      </c>
      <c r="B1043" t="s">
        <v>2964</v>
      </c>
      <c r="C1043">
        <v>5.44</v>
      </c>
      <c r="D1043" t="s">
        <v>7729</v>
      </c>
    </row>
    <row r="1044" spans="1:4" ht="20" customHeight="1">
      <c r="A1044" t="s">
        <v>7730</v>
      </c>
      <c r="B1044" t="s">
        <v>2967</v>
      </c>
      <c r="C1044">
        <v>5.43</v>
      </c>
      <c r="D1044" t="s">
        <v>7729</v>
      </c>
    </row>
    <row r="1045" spans="1:4" ht="20" customHeight="1">
      <c r="A1045" t="s">
        <v>7730</v>
      </c>
      <c r="B1045" t="s">
        <v>2970</v>
      </c>
      <c r="C1045">
        <v>5.43</v>
      </c>
      <c r="D1045" t="s">
        <v>7729</v>
      </c>
    </row>
    <row r="1046" spans="1:4" ht="20" customHeight="1">
      <c r="A1046" t="s">
        <v>7730</v>
      </c>
      <c r="B1046" t="s">
        <v>2973</v>
      </c>
      <c r="C1046">
        <v>5.43</v>
      </c>
      <c r="D1046" t="s">
        <v>7729</v>
      </c>
    </row>
    <row r="1047" spans="1:4" ht="20" customHeight="1">
      <c r="A1047" t="s">
        <v>7730</v>
      </c>
      <c r="B1047" t="s">
        <v>2976</v>
      </c>
      <c r="C1047">
        <v>5.43</v>
      </c>
      <c r="D1047" t="s">
        <v>7729</v>
      </c>
    </row>
    <row r="1048" spans="1:4" ht="20" customHeight="1">
      <c r="A1048" t="s">
        <v>7730</v>
      </c>
      <c r="B1048" t="s">
        <v>2979</v>
      </c>
      <c r="C1048">
        <v>5.43</v>
      </c>
      <c r="D1048" t="s">
        <v>7729</v>
      </c>
    </row>
    <row r="1049" spans="1:4" ht="20" customHeight="1">
      <c r="A1049" t="s">
        <v>7730</v>
      </c>
      <c r="B1049" t="s">
        <v>2982</v>
      </c>
      <c r="C1049">
        <v>5.43</v>
      </c>
      <c r="D1049" t="s">
        <v>7729</v>
      </c>
    </row>
    <row r="1050" spans="1:4" ht="20" customHeight="1">
      <c r="A1050" t="s">
        <v>7730</v>
      </c>
      <c r="B1050" t="s">
        <v>2985</v>
      </c>
      <c r="C1050">
        <v>5.43</v>
      </c>
      <c r="D1050" t="s">
        <v>7729</v>
      </c>
    </row>
    <row r="1051" spans="1:4" ht="20" customHeight="1">
      <c r="A1051" t="s">
        <v>7730</v>
      </c>
      <c r="B1051" t="s">
        <v>2988</v>
      </c>
      <c r="C1051">
        <v>5.41</v>
      </c>
      <c r="D1051" t="s">
        <v>7729</v>
      </c>
    </row>
    <row r="1052" spans="1:4" ht="20" customHeight="1">
      <c r="A1052" t="s">
        <v>7730</v>
      </c>
      <c r="B1052" t="s">
        <v>2991</v>
      </c>
      <c r="C1052">
        <v>5.4</v>
      </c>
      <c r="D1052" t="s">
        <v>7729</v>
      </c>
    </row>
    <row r="1053" spans="1:4" ht="20" customHeight="1">
      <c r="A1053" t="s">
        <v>7730</v>
      </c>
      <c r="B1053" t="s">
        <v>2994</v>
      </c>
      <c r="C1053">
        <v>5.39</v>
      </c>
      <c r="D1053" t="s">
        <v>7729</v>
      </c>
    </row>
    <row r="1054" spans="1:4" ht="20" customHeight="1">
      <c r="A1054" t="s">
        <v>7730</v>
      </c>
      <c r="B1054" t="s">
        <v>2997</v>
      </c>
      <c r="C1054">
        <v>5.38</v>
      </c>
      <c r="D1054" t="s">
        <v>7729</v>
      </c>
    </row>
    <row r="1055" spans="1:4" ht="20" customHeight="1">
      <c r="A1055" t="s">
        <v>7730</v>
      </c>
      <c r="B1055" t="s">
        <v>3000</v>
      </c>
      <c r="C1055">
        <v>5.41</v>
      </c>
      <c r="D1055" t="s">
        <v>7729</v>
      </c>
    </row>
    <row r="1056" spans="1:4" ht="20" customHeight="1">
      <c r="A1056" t="s">
        <v>7730</v>
      </c>
      <c r="B1056" t="s">
        <v>3003</v>
      </c>
      <c r="C1056">
        <v>5.4</v>
      </c>
      <c r="D1056" t="s">
        <v>7729</v>
      </c>
    </row>
    <row r="1057" spans="1:4" ht="20" customHeight="1">
      <c r="A1057" t="s">
        <v>7730</v>
      </c>
      <c r="B1057" t="s">
        <v>3006</v>
      </c>
      <c r="C1057">
        <v>5.41</v>
      </c>
      <c r="D1057" t="s">
        <v>7729</v>
      </c>
    </row>
    <row r="1058" spans="1:4" ht="20" customHeight="1">
      <c r="A1058" t="s">
        <v>7730</v>
      </c>
      <c r="B1058" t="s">
        <v>3009</v>
      </c>
      <c r="C1058">
        <v>5.37</v>
      </c>
      <c r="D1058" t="s">
        <v>7729</v>
      </c>
    </row>
    <row r="1059" spans="1:4" ht="20" customHeight="1">
      <c r="A1059" t="s">
        <v>7730</v>
      </c>
      <c r="B1059" t="s">
        <v>3012</v>
      </c>
      <c r="C1059">
        <v>5.29</v>
      </c>
      <c r="D1059" t="s">
        <v>7729</v>
      </c>
    </row>
    <row r="1060" spans="1:4" ht="20" customHeight="1">
      <c r="A1060" t="s">
        <v>7730</v>
      </c>
      <c r="B1060" t="s">
        <v>3015</v>
      </c>
      <c r="C1060">
        <v>5.35</v>
      </c>
      <c r="D1060" t="s">
        <v>7729</v>
      </c>
    </row>
    <row r="1061" spans="1:4" ht="20" customHeight="1">
      <c r="A1061" t="s">
        <v>7730</v>
      </c>
      <c r="B1061" t="s">
        <v>3018</v>
      </c>
      <c r="C1061">
        <v>5.34</v>
      </c>
      <c r="D1061" t="s">
        <v>7729</v>
      </c>
    </row>
    <row r="1062" spans="1:4" ht="20" customHeight="1">
      <c r="A1062" t="s">
        <v>7730</v>
      </c>
      <c r="B1062" t="s">
        <v>3021</v>
      </c>
      <c r="C1062">
        <v>5.34</v>
      </c>
      <c r="D1062" t="s">
        <v>7729</v>
      </c>
    </row>
    <row r="1063" spans="1:4" ht="20" customHeight="1">
      <c r="A1063" t="s">
        <v>7730</v>
      </c>
      <c r="B1063" t="s">
        <v>3024</v>
      </c>
      <c r="C1063">
        <v>5.34</v>
      </c>
      <c r="D1063" t="s">
        <v>7729</v>
      </c>
    </row>
    <row r="1064" spans="1:4" ht="20" customHeight="1">
      <c r="A1064" t="s">
        <v>7730</v>
      </c>
      <c r="B1064" t="s">
        <v>3027</v>
      </c>
      <c r="C1064">
        <v>5.33</v>
      </c>
      <c r="D1064" t="s">
        <v>7729</v>
      </c>
    </row>
    <row r="1065" spans="1:4" ht="20" customHeight="1">
      <c r="A1065" t="s">
        <v>7730</v>
      </c>
      <c r="B1065" t="s">
        <v>3030</v>
      </c>
      <c r="C1065">
        <v>5.33</v>
      </c>
      <c r="D1065" t="s">
        <v>7729</v>
      </c>
    </row>
    <row r="1066" spans="1:4" ht="20" customHeight="1">
      <c r="A1066" t="s">
        <v>7730</v>
      </c>
      <c r="B1066" t="s">
        <v>3033</v>
      </c>
      <c r="C1066">
        <v>5.32</v>
      </c>
      <c r="D1066" t="s">
        <v>7729</v>
      </c>
    </row>
    <row r="1067" spans="1:4" ht="20" customHeight="1">
      <c r="A1067" t="s">
        <v>7730</v>
      </c>
      <c r="B1067" t="s">
        <v>3036</v>
      </c>
      <c r="C1067">
        <v>5.32</v>
      </c>
      <c r="D1067" t="s">
        <v>7729</v>
      </c>
    </row>
    <row r="1068" spans="1:4" ht="20" customHeight="1">
      <c r="A1068" t="s">
        <v>7730</v>
      </c>
      <c r="B1068" t="s">
        <v>3039</v>
      </c>
      <c r="C1068">
        <v>5.34</v>
      </c>
      <c r="D1068" t="s">
        <v>7729</v>
      </c>
    </row>
    <row r="1069" spans="1:4" ht="20" customHeight="1">
      <c r="A1069" t="s">
        <v>7730</v>
      </c>
      <c r="B1069" t="s">
        <v>3042</v>
      </c>
      <c r="C1069">
        <v>5.33</v>
      </c>
      <c r="D1069" t="s">
        <v>7729</v>
      </c>
    </row>
    <row r="1070" spans="1:4" ht="20" customHeight="1">
      <c r="A1070" t="s">
        <v>7730</v>
      </c>
      <c r="B1070" t="s">
        <v>3045</v>
      </c>
      <c r="C1070">
        <v>5.31</v>
      </c>
      <c r="D1070" t="s">
        <v>7729</v>
      </c>
    </row>
    <row r="1071" spans="1:4" ht="20" customHeight="1">
      <c r="A1071" t="s">
        <v>7730</v>
      </c>
      <c r="B1071" t="s">
        <v>3048</v>
      </c>
      <c r="C1071">
        <v>5.29</v>
      </c>
      <c r="D1071" t="s">
        <v>7729</v>
      </c>
    </row>
    <row r="1072" spans="1:4" ht="20" customHeight="1">
      <c r="A1072" t="s">
        <v>7730</v>
      </c>
      <c r="B1072" t="s">
        <v>3051</v>
      </c>
      <c r="C1072">
        <v>5.26</v>
      </c>
      <c r="D1072" t="s">
        <v>7729</v>
      </c>
    </row>
    <row r="1073" spans="1:4" ht="20" customHeight="1">
      <c r="A1073" t="s">
        <v>7730</v>
      </c>
      <c r="B1073" t="s">
        <v>3054</v>
      </c>
      <c r="C1073">
        <v>5.28</v>
      </c>
      <c r="D1073" t="s">
        <v>7729</v>
      </c>
    </row>
    <row r="1074" spans="1:4" ht="20" customHeight="1">
      <c r="A1074" t="s">
        <v>7730</v>
      </c>
      <c r="B1074" t="s">
        <v>3057</v>
      </c>
      <c r="C1074">
        <v>5.25</v>
      </c>
      <c r="D1074" t="s">
        <v>7729</v>
      </c>
    </row>
    <row r="1075" spans="1:4" ht="20" customHeight="1">
      <c r="A1075" t="s">
        <v>7730</v>
      </c>
      <c r="B1075" t="s">
        <v>3060</v>
      </c>
      <c r="C1075">
        <v>5.24</v>
      </c>
      <c r="D1075" t="s">
        <v>7729</v>
      </c>
    </row>
    <row r="1076" spans="1:4" ht="20" customHeight="1">
      <c r="A1076" t="s">
        <v>7730</v>
      </c>
      <c r="B1076" t="s">
        <v>3063</v>
      </c>
      <c r="C1076">
        <v>5.23</v>
      </c>
      <c r="D1076" t="s">
        <v>7729</v>
      </c>
    </row>
    <row r="1077" spans="1:4" ht="20" customHeight="1">
      <c r="A1077" t="s">
        <v>7730</v>
      </c>
      <c r="B1077" t="s">
        <v>3066</v>
      </c>
      <c r="C1077">
        <v>5.21</v>
      </c>
      <c r="D1077" t="s">
        <v>7729</v>
      </c>
    </row>
    <row r="1078" spans="1:4" ht="20" customHeight="1">
      <c r="A1078" t="s">
        <v>7730</v>
      </c>
      <c r="B1078" t="s">
        <v>3069</v>
      </c>
      <c r="C1078">
        <v>5.22</v>
      </c>
      <c r="D1078" t="s">
        <v>7729</v>
      </c>
    </row>
    <row r="1079" spans="1:4" ht="20" customHeight="1">
      <c r="A1079" t="s">
        <v>7730</v>
      </c>
      <c r="B1079" t="s">
        <v>3072</v>
      </c>
      <c r="C1079">
        <v>5.21</v>
      </c>
      <c r="D1079" t="s">
        <v>7729</v>
      </c>
    </row>
    <row r="1080" spans="1:4" ht="20" customHeight="1">
      <c r="A1080" t="s">
        <v>7730</v>
      </c>
      <c r="B1080" t="s">
        <v>3075</v>
      </c>
      <c r="C1080">
        <v>5.19</v>
      </c>
      <c r="D1080" t="s">
        <v>7729</v>
      </c>
    </row>
    <row r="1081" spans="1:4" ht="20" customHeight="1">
      <c r="A1081" t="s">
        <v>7730</v>
      </c>
      <c r="B1081" t="s">
        <v>3078</v>
      </c>
      <c r="C1081">
        <v>5.18</v>
      </c>
      <c r="D1081" t="s">
        <v>7729</v>
      </c>
    </row>
    <row r="1082" spans="1:4" ht="20" customHeight="1">
      <c r="A1082" t="s">
        <v>7730</v>
      </c>
      <c r="B1082" t="s">
        <v>3081</v>
      </c>
      <c r="C1082">
        <v>5.15</v>
      </c>
      <c r="D1082" t="s">
        <v>7729</v>
      </c>
    </row>
    <row r="1083" spans="1:4" ht="20" customHeight="1">
      <c r="A1083" t="s">
        <v>7730</v>
      </c>
      <c r="B1083" t="s">
        <v>3084</v>
      </c>
      <c r="C1083">
        <v>5.13</v>
      </c>
      <c r="D1083" t="s">
        <v>7729</v>
      </c>
    </row>
    <row r="1084" spans="1:4" ht="20" customHeight="1">
      <c r="A1084" t="s">
        <v>7730</v>
      </c>
      <c r="B1084" t="s">
        <v>3087</v>
      </c>
      <c r="C1084">
        <v>5.11</v>
      </c>
      <c r="D1084" t="s">
        <v>7729</v>
      </c>
    </row>
    <row r="1085" spans="1:4" ht="20" customHeight="1">
      <c r="A1085" t="s">
        <v>7730</v>
      </c>
      <c r="B1085" t="s">
        <v>3090</v>
      </c>
      <c r="C1085">
        <v>5.06</v>
      </c>
      <c r="D1085" t="s">
        <v>7729</v>
      </c>
    </row>
    <row r="1086" spans="1:4" ht="20" customHeight="1">
      <c r="A1086" t="s">
        <v>7730</v>
      </c>
      <c r="B1086" t="s">
        <v>3093</v>
      </c>
      <c r="C1086">
        <v>5.1</v>
      </c>
      <c r="D1086" t="s">
        <v>7729</v>
      </c>
    </row>
    <row r="1087" spans="1:4" ht="20" customHeight="1">
      <c r="A1087" t="s">
        <v>7730</v>
      </c>
      <c r="B1087" t="s">
        <v>3096</v>
      </c>
      <c r="C1087">
        <v>5.06</v>
      </c>
      <c r="D1087" t="s">
        <v>7729</v>
      </c>
    </row>
    <row r="1088" spans="1:4" ht="20" customHeight="1">
      <c r="A1088" t="s">
        <v>7730</v>
      </c>
      <c r="B1088" t="s">
        <v>3099</v>
      </c>
      <c r="C1088">
        <v>4.97</v>
      </c>
      <c r="D1088" t="s">
        <v>7729</v>
      </c>
    </row>
    <row r="1089" spans="1:4" ht="20" customHeight="1">
      <c r="A1089" t="s">
        <v>7730</v>
      </c>
      <c r="B1089" t="s">
        <v>3102</v>
      </c>
      <c r="C1089">
        <v>4.96</v>
      </c>
      <c r="D1089" t="s">
        <v>7729</v>
      </c>
    </row>
    <row r="1090" spans="1:4" ht="20" customHeight="1">
      <c r="A1090" t="s">
        <v>7730</v>
      </c>
      <c r="B1090" t="s">
        <v>3105</v>
      </c>
      <c r="C1090">
        <v>4.95</v>
      </c>
      <c r="D1090" t="s">
        <v>7729</v>
      </c>
    </row>
    <row r="1091" spans="1:4" ht="20" customHeight="1">
      <c r="A1091" t="s">
        <v>7730</v>
      </c>
      <c r="B1091" t="s">
        <v>3108</v>
      </c>
      <c r="C1091">
        <v>4.84</v>
      </c>
      <c r="D1091" t="s">
        <v>7729</v>
      </c>
    </row>
    <row r="1092" spans="1:4" ht="20" customHeight="1">
      <c r="A1092" t="s">
        <v>7730</v>
      </c>
      <c r="B1092" t="s">
        <v>3111</v>
      </c>
      <c r="C1092">
        <v>4.8</v>
      </c>
      <c r="D1092" t="s">
        <v>7729</v>
      </c>
    </row>
    <row r="1093" spans="1:4" ht="20" customHeight="1">
      <c r="A1093" t="s">
        <v>7730</v>
      </c>
      <c r="B1093" t="s">
        <v>3114</v>
      </c>
      <c r="C1093">
        <v>4.75</v>
      </c>
      <c r="D1093" t="s">
        <v>7729</v>
      </c>
    </row>
    <row r="1094" spans="1:4" ht="20" customHeight="1">
      <c r="A1094" t="s">
        <v>7730</v>
      </c>
      <c r="B1094" t="s">
        <v>3117</v>
      </c>
      <c r="C1094">
        <v>4.72</v>
      </c>
      <c r="D1094" t="s">
        <v>7729</v>
      </c>
    </row>
    <row r="1095" spans="1:4" ht="20" customHeight="1">
      <c r="A1095" t="s">
        <v>7730</v>
      </c>
      <c r="B1095" t="s">
        <v>3120</v>
      </c>
      <c r="C1095">
        <v>4.69</v>
      </c>
      <c r="D1095" t="s">
        <v>7729</v>
      </c>
    </row>
    <row r="1096" spans="1:4" ht="20" customHeight="1">
      <c r="A1096" t="s">
        <v>7730</v>
      </c>
      <c r="B1096" t="s">
        <v>3123</v>
      </c>
      <c r="C1096">
        <v>4.69</v>
      </c>
      <c r="D1096" t="s">
        <v>7729</v>
      </c>
    </row>
    <row r="1097" spans="1:4" ht="20" customHeight="1">
      <c r="A1097" t="s">
        <v>7730</v>
      </c>
      <c r="B1097" t="s">
        <v>3126</v>
      </c>
      <c r="C1097">
        <v>4.68</v>
      </c>
      <c r="D1097" t="s">
        <v>7729</v>
      </c>
    </row>
    <row r="1098" spans="1:4" ht="20" customHeight="1">
      <c r="A1098" t="s">
        <v>7730</v>
      </c>
      <c r="B1098" t="s">
        <v>3129</v>
      </c>
      <c r="C1098">
        <v>4.68</v>
      </c>
      <c r="D1098" t="s">
        <v>7729</v>
      </c>
    </row>
    <row r="1099" spans="1:4" ht="20" customHeight="1">
      <c r="A1099" t="s">
        <v>7730</v>
      </c>
      <c r="B1099" t="s">
        <v>3132</v>
      </c>
      <c r="C1099">
        <v>4.73</v>
      </c>
      <c r="D1099" t="s">
        <v>7729</v>
      </c>
    </row>
    <row r="1100" spans="1:4" ht="20" customHeight="1">
      <c r="A1100" t="s">
        <v>7730</v>
      </c>
      <c r="B1100" t="s">
        <v>3135</v>
      </c>
      <c r="C1100">
        <v>4.71</v>
      </c>
      <c r="D1100" t="s">
        <v>7729</v>
      </c>
    </row>
    <row r="1101" spans="1:4" ht="20" customHeight="1">
      <c r="A1101" t="s">
        <v>7730</v>
      </c>
      <c r="B1101" t="s">
        <v>3138</v>
      </c>
      <c r="C1101">
        <v>4.69</v>
      </c>
      <c r="D1101" t="s">
        <v>7729</v>
      </c>
    </row>
    <row r="1102" spans="1:4" ht="20" customHeight="1">
      <c r="A1102" t="s">
        <v>7730</v>
      </c>
      <c r="B1102" t="s">
        <v>3141</v>
      </c>
      <c r="C1102">
        <v>4.68</v>
      </c>
      <c r="D1102" t="s">
        <v>7729</v>
      </c>
    </row>
    <row r="1103" spans="1:4" ht="20" customHeight="1">
      <c r="A1103" t="s">
        <v>7730</v>
      </c>
      <c r="B1103" t="s">
        <v>3144</v>
      </c>
      <c r="C1103">
        <v>4.73</v>
      </c>
      <c r="D1103" t="s">
        <v>7729</v>
      </c>
    </row>
    <row r="1104" spans="1:4" ht="20" customHeight="1">
      <c r="A1104" t="s">
        <v>7730</v>
      </c>
      <c r="B1104" t="s">
        <v>3147</v>
      </c>
      <c r="C1104">
        <v>4.77</v>
      </c>
      <c r="D1104" t="s">
        <v>7729</v>
      </c>
    </row>
    <row r="1105" spans="1:4" ht="20" customHeight="1">
      <c r="A1105" t="s">
        <v>7730</v>
      </c>
      <c r="B1105" t="s">
        <v>3150</v>
      </c>
      <c r="C1105">
        <v>4.75</v>
      </c>
      <c r="D1105" t="s">
        <v>7729</v>
      </c>
    </row>
    <row r="1106" spans="1:4" ht="20" customHeight="1">
      <c r="A1106" t="s">
        <v>7730</v>
      </c>
      <c r="B1106" t="s">
        <v>3153</v>
      </c>
      <c r="C1106">
        <v>4.75</v>
      </c>
      <c r="D1106" t="s">
        <v>7729</v>
      </c>
    </row>
    <row r="1107" spans="1:4" ht="20" customHeight="1">
      <c r="A1107" t="s">
        <v>7730</v>
      </c>
      <c r="B1107" t="s">
        <v>3156</v>
      </c>
      <c r="C1107">
        <v>4.75</v>
      </c>
      <c r="D1107" t="s">
        <v>7729</v>
      </c>
    </row>
    <row r="1108" spans="1:4" ht="20" customHeight="1">
      <c r="A1108" t="s">
        <v>7730</v>
      </c>
      <c r="B1108" t="s">
        <v>3159</v>
      </c>
      <c r="C1108">
        <v>4.73</v>
      </c>
      <c r="D1108" t="s">
        <v>7729</v>
      </c>
    </row>
    <row r="1109" spans="1:4" ht="20" customHeight="1">
      <c r="A1109" t="s">
        <v>7730</v>
      </c>
      <c r="B1109" t="s">
        <v>3165</v>
      </c>
      <c r="C1109">
        <v>4.73</v>
      </c>
      <c r="D1109" t="s">
        <v>7729</v>
      </c>
    </row>
    <row r="1110" spans="1:4" ht="20" customHeight="1">
      <c r="A1110" t="s">
        <v>7730</v>
      </c>
      <c r="B1110" t="s">
        <v>3168</v>
      </c>
      <c r="C1110">
        <v>4.72</v>
      </c>
      <c r="D1110" t="s">
        <v>7729</v>
      </c>
    </row>
    <row r="1111" spans="1:4" ht="20" customHeight="1">
      <c r="A1111" t="s">
        <v>7730</v>
      </c>
      <c r="B1111" t="s">
        <v>3171</v>
      </c>
      <c r="C1111">
        <v>4.74</v>
      </c>
      <c r="D1111" t="s">
        <v>7729</v>
      </c>
    </row>
    <row r="1112" spans="1:4" ht="20" customHeight="1">
      <c r="A1112" t="s">
        <v>7730</v>
      </c>
      <c r="B1112" t="s">
        <v>3174</v>
      </c>
      <c r="C1112">
        <v>4.73</v>
      </c>
      <c r="D1112" t="s">
        <v>7729</v>
      </c>
    </row>
    <row r="1113" spans="1:4" ht="20" customHeight="1">
      <c r="A1113" t="s">
        <v>7730</v>
      </c>
      <c r="B1113" t="s">
        <v>3177</v>
      </c>
      <c r="C1113">
        <v>4.73</v>
      </c>
      <c r="D1113" t="s">
        <v>7729</v>
      </c>
    </row>
    <row r="1114" spans="1:4" ht="20" customHeight="1">
      <c r="A1114" t="s">
        <v>7730</v>
      </c>
      <c r="B1114" t="s">
        <v>3180</v>
      </c>
      <c r="C1114">
        <v>4.72</v>
      </c>
      <c r="D1114" t="s">
        <v>7729</v>
      </c>
    </row>
    <row r="1115" spans="1:4" ht="20" customHeight="1">
      <c r="A1115" t="s">
        <v>7730</v>
      </c>
      <c r="B1115" t="s">
        <v>3183</v>
      </c>
      <c r="C1115">
        <v>4.73</v>
      </c>
      <c r="D1115" t="s">
        <v>7729</v>
      </c>
    </row>
    <row r="1116" spans="1:4" ht="20" customHeight="1">
      <c r="A1116" t="s">
        <v>7730</v>
      </c>
      <c r="B1116" t="s">
        <v>3186</v>
      </c>
      <c r="C1116">
        <v>4.7</v>
      </c>
      <c r="D1116" t="s">
        <v>7729</v>
      </c>
    </row>
    <row r="1117" spans="1:4" ht="20" customHeight="1">
      <c r="A1117" t="s">
        <v>7730</v>
      </c>
      <c r="B1117" t="s">
        <v>3189</v>
      </c>
      <c r="C1117">
        <v>4.73</v>
      </c>
      <c r="D1117" t="s">
        <v>7729</v>
      </c>
    </row>
    <row r="1118" spans="1:4" ht="20" customHeight="1">
      <c r="A1118" t="s">
        <v>7730</v>
      </c>
      <c r="B1118" t="s">
        <v>3192</v>
      </c>
      <c r="C1118">
        <v>4.7</v>
      </c>
      <c r="D1118" t="s">
        <v>7729</v>
      </c>
    </row>
    <row r="1119" spans="1:4" ht="20" customHeight="1">
      <c r="A1119" t="s">
        <v>7730</v>
      </c>
      <c r="B1119" t="s">
        <v>3195</v>
      </c>
      <c r="C1119">
        <v>4.7</v>
      </c>
      <c r="D1119" t="s">
        <v>7729</v>
      </c>
    </row>
    <row r="1120" spans="1:4" ht="20" customHeight="1">
      <c r="A1120" t="s">
        <v>7730</v>
      </c>
      <c r="B1120" t="s">
        <v>3198</v>
      </c>
      <c r="C1120">
        <v>4.67</v>
      </c>
      <c r="D1120" t="s">
        <v>7729</v>
      </c>
    </row>
    <row r="1121" spans="1:4" ht="20" customHeight="1">
      <c r="A1121" t="s">
        <v>7730</v>
      </c>
      <c r="B1121" t="s">
        <v>3201</v>
      </c>
      <c r="C1121">
        <v>4.64</v>
      </c>
      <c r="D1121" t="s">
        <v>7729</v>
      </c>
    </row>
    <row r="1122" spans="1:4" ht="20" customHeight="1">
      <c r="A1122" t="s">
        <v>7730</v>
      </c>
      <c r="B1122" t="s">
        <v>3204</v>
      </c>
      <c r="C1122">
        <v>4.61</v>
      </c>
      <c r="D1122" t="s">
        <v>7729</v>
      </c>
    </row>
    <row r="1123" spans="1:4" ht="20" customHeight="1">
      <c r="A1123" t="s">
        <v>7730</v>
      </c>
      <c r="B1123" t="s">
        <v>3207</v>
      </c>
      <c r="C1123">
        <v>4.65</v>
      </c>
      <c r="D1123" t="s">
        <v>7729</v>
      </c>
    </row>
    <row r="1124" spans="1:4" ht="20" customHeight="1">
      <c r="A1124" t="s">
        <v>7730</v>
      </c>
      <c r="B1124" t="s">
        <v>3210</v>
      </c>
      <c r="C1124">
        <v>4.64</v>
      </c>
      <c r="D1124" t="s">
        <v>7729</v>
      </c>
    </row>
    <row r="1125" spans="1:4" ht="20" customHeight="1">
      <c r="A1125" t="s">
        <v>7730</v>
      </c>
      <c r="B1125" t="s">
        <v>3213</v>
      </c>
      <c r="C1125">
        <v>4.64</v>
      </c>
      <c r="D1125" t="s">
        <v>7729</v>
      </c>
    </row>
    <row r="1126" spans="1:4" ht="20" customHeight="1">
      <c r="A1126" t="s">
        <v>7730</v>
      </c>
      <c r="B1126" t="s">
        <v>3216</v>
      </c>
      <c r="C1126">
        <v>4.63</v>
      </c>
      <c r="D1126" t="s">
        <v>7729</v>
      </c>
    </row>
    <row r="1127" spans="1:4" ht="20" customHeight="1">
      <c r="A1127" t="s">
        <v>7730</v>
      </c>
      <c r="B1127" t="s">
        <v>3219</v>
      </c>
      <c r="C1127">
        <v>4.63</v>
      </c>
      <c r="D1127" t="s">
        <v>7729</v>
      </c>
    </row>
    <row r="1128" spans="1:4" ht="20" customHeight="1">
      <c r="A1128" t="s">
        <v>7730</v>
      </c>
      <c r="B1128" t="s">
        <v>3225</v>
      </c>
      <c r="C1128">
        <v>4.63</v>
      </c>
      <c r="D1128" t="s">
        <v>7729</v>
      </c>
    </row>
    <row r="1129" spans="1:4" ht="20" customHeight="1">
      <c r="A1129" t="s">
        <v>7730</v>
      </c>
      <c r="B1129" t="s">
        <v>3228</v>
      </c>
      <c r="C1129">
        <v>4.6</v>
      </c>
      <c r="D1129" t="s">
        <v>7729</v>
      </c>
    </row>
    <row r="1130" spans="1:4" ht="20" customHeight="1">
      <c r="A1130" t="s">
        <v>7730</v>
      </c>
      <c r="B1130" t="s">
        <v>3231</v>
      </c>
      <c r="C1130">
        <v>4.61</v>
      </c>
      <c r="D1130" t="s">
        <v>7729</v>
      </c>
    </row>
    <row r="1131" spans="1:4" ht="20" customHeight="1">
      <c r="A1131" t="s">
        <v>7730</v>
      </c>
      <c r="B1131" t="s">
        <v>3234</v>
      </c>
      <c r="C1131">
        <v>4.6</v>
      </c>
      <c r="D1131" t="s">
        <v>7729</v>
      </c>
    </row>
    <row r="1132" spans="1:4" ht="20" customHeight="1">
      <c r="A1132" t="s">
        <v>7730</v>
      </c>
      <c r="B1132" t="s">
        <v>3237</v>
      </c>
      <c r="C1132">
        <v>4.63</v>
      </c>
      <c r="D1132" t="s">
        <v>7729</v>
      </c>
    </row>
    <row r="1133" spans="1:4" ht="20" customHeight="1">
      <c r="A1133" t="s">
        <v>7730</v>
      </c>
      <c r="B1133" t="s">
        <v>3240</v>
      </c>
      <c r="C1133">
        <v>4.62</v>
      </c>
      <c r="D1133" t="s">
        <v>7729</v>
      </c>
    </row>
    <row r="1134" spans="1:4" ht="20" customHeight="1">
      <c r="A1134" t="s">
        <v>7730</v>
      </c>
      <c r="B1134" t="s">
        <v>3243</v>
      </c>
      <c r="C1134">
        <v>4.62</v>
      </c>
      <c r="D1134" t="s">
        <v>7729</v>
      </c>
    </row>
    <row r="1135" spans="1:4" ht="20" customHeight="1">
      <c r="A1135" t="s">
        <v>7730</v>
      </c>
      <c r="B1135" t="s">
        <v>3246</v>
      </c>
      <c r="C1135">
        <v>4.63</v>
      </c>
      <c r="D1135" t="s">
        <v>7729</v>
      </c>
    </row>
    <row r="1136" spans="1:4" ht="20" customHeight="1">
      <c r="A1136" t="s">
        <v>7730</v>
      </c>
      <c r="B1136" t="s">
        <v>3249</v>
      </c>
      <c r="C1136">
        <v>4.63</v>
      </c>
      <c r="D1136" t="s">
        <v>7729</v>
      </c>
    </row>
    <row r="1137" spans="1:4" ht="20" customHeight="1">
      <c r="A1137" t="s">
        <v>7730</v>
      </c>
      <c r="B1137" t="s">
        <v>3252</v>
      </c>
      <c r="C1137">
        <v>4.62</v>
      </c>
      <c r="D1137" t="s">
        <v>7729</v>
      </c>
    </row>
    <row r="1138" spans="1:4" ht="20" customHeight="1">
      <c r="A1138" t="s">
        <v>7730</v>
      </c>
      <c r="B1138" t="s">
        <v>3255</v>
      </c>
      <c r="C1138">
        <v>4.61</v>
      </c>
      <c r="D1138" t="s">
        <v>7729</v>
      </c>
    </row>
    <row r="1139" spans="1:4" ht="20" customHeight="1">
      <c r="A1139" t="s">
        <v>7730</v>
      </c>
      <c r="B1139" t="s">
        <v>3258</v>
      </c>
      <c r="C1139">
        <v>4.6</v>
      </c>
      <c r="D1139" t="s">
        <v>7729</v>
      </c>
    </row>
    <row r="1140" spans="1:4" ht="20" customHeight="1">
      <c r="A1140" t="s">
        <v>7730</v>
      </c>
      <c r="B1140" t="s">
        <v>3261</v>
      </c>
      <c r="C1140">
        <v>4.58</v>
      </c>
      <c r="D1140" t="s">
        <v>7729</v>
      </c>
    </row>
    <row r="1141" spans="1:4" ht="20" customHeight="1">
      <c r="A1141" t="s">
        <v>7730</v>
      </c>
      <c r="B1141" t="s">
        <v>3264</v>
      </c>
      <c r="C1141">
        <v>4.51</v>
      </c>
      <c r="D1141" t="s">
        <v>7729</v>
      </c>
    </row>
    <row r="1142" spans="1:4" ht="20" customHeight="1">
      <c r="A1142" t="s">
        <v>7730</v>
      </c>
      <c r="B1142" t="s">
        <v>3267</v>
      </c>
      <c r="C1142">
        <v>4.49</v>
      </c>
      <c r="D1142" t="s">
        <v>7729</v>
      </c>
    </row>
    <row r="1143" spans="1:4" ht="20" customHeight="1">
      <c r="A1143" t="s">
        <v>7730</v>
      </c>
      <c r="B1143" t="s">
        <v>3270</v>
      </c>
      <c r="C1143">
        <v>4.47</v>
      </c>
      <c r="D1143" t="s">
        <v>7729</v>
      </c>
    </row>
    <row r="1144" spans="1:4" ht="20" customHeight="1">
      <c r="A1144" t="s">
        <v>7730</v>
      </c>
      <c r="B1144" t="s">
        <v>3273</v>
      </c>
      <c r="C1144">
        <v>4.46</v>
      </c>
      <c r="D1144" t="s">
        <v>7729</v>
      </c>
    </row>
    <row r="1145" spans="1:4" ht="20" customHeight="1">
      <c r="A1145" t="s">
        <v>7730</v>
      </c>
      <c r="B1145" t="s">
        <v>3276</v>
      </c>
      <c r="C1145">
        <v>4.42</v>
      </c>
      <c r="D1145" t="s">
        <v>7729</v>
      </c>
    </row>
    <row r="1146" spans="1:4" ht="20" customHeight="1">
      <c r="A1146" t="s">
        <v>7730</v>
      </c>
      <c r="B1146" t="s">
        <v>3279</v>
      </c>
      <c r="C1146">
        <v>4.42</v>
      </c>
      <c r="D1146" t="s">
        <v>7729</v>
      </c>
    </row>
    <row r="1147" spans="1:4" ht="20" customHeight="1">
      <c r="A1147" t="s">
        <v>7730</v>
      </c>
      <c r="B1147" t="s">
        <v>3282</v>
      </c>
      <c r="C1147">
        <v>4.41</v>
      </c>
      <c r="D1147" t="s">
        <v>7729</v>
      </c>
    </row>
    <row r="1148" spans="1:4" ht="20" customHeight="1">
      <c r="A1148" t="s">
        <v>7730</v>
      </c>
      <c r="B1148" t="s">
        <v>3285</v>
      </c>
      <c r="C1148">
        <v>4.38</v>
      </c>
      <c r="D1148" t="s">
        <v>7729</v>
      </c>
    </row>
    <row r="1149" spans="1:4" ht="20" customHeight="1">
      <c r="A1149" t="s">
        <v>7730</v>
      </c>
      <c r="B1149" t="s">
        <v>3288</v>
      </c>
      <c r="C1149">
        <v>4.35</v>
      </c>
      <c r="D1149" t="s">
        <v>7729</v>
      </c>
    </row>
    <row r="1150" spans="1:4" ht="20" customHeight="1">
      <c r="A1150" t="s">
        <v>7730</v>
      </c>
      <c r="B1150" t="s">
        <v>3291</v>
      </c>
      <c r="C1150">
        <v>4.34</v>
      </c>
      <c r="D1150" t="s">
        <v>7729</v>
      </c>
    </row>
    <row r="1151" spans="1:4" ht="20" customHeight="1">
      <c r="A1151" t="s">
        <v>7730</v>
      </c>
      <c r="B1151" t="s">
        <v>3294</v>
      </c>
      <c r="C1151">
        <v>4.37</v>
      </c>
      <c r="D1151" t="s">
        <v>7729</v>
      </c>
    </row>
    <row r="1152" spans="1:4" ht="20" customHeight="1">
      <c r="A1152" t="s">
        <v>7730</v>
      </c>
      <c r="B1152" t="s">
        <v>3297</v>
      </c>
      <c r="C1152">
        <v>4.38</v>
      </c>
      <c r="D1152" t="s">
        <v>7729</v>
      </c>
    </row>
    <row r="1153" spans="1:4" ht="20" customHeight="1">
      <c r="A1153" t="s">
        <v>7730</v>
      </c>
      <c r="B1153" t="s">
        <v>3300</v>
      </c>
      <c r="C1153">
        <v>4.36</v>
      </c>
      <c r="D1153" t="s">
        <v>7729</v>
      </c>
    </row>
    <row r="1154" spans="1:4" ht="20" customHeight="1">
      <c r="A1154" t="s">
        <v>7730</v>
      </c>
      <c r="B1154" t="s">
        <v>3303</v>
      </c>
      <c r="C1154">
        <v>4.35</v>
      </c>
      <c r="D1154" t="s">
        <v>7729</v>
      </c>
    </row>
    <row r="1155" spans="1:4" ht="20" customHeight="1">
      <c r="A1155" t="s">
        <v>7730</v>
      </c>
      <c r="B1155" t="s">
        <v>3306</v>
      </c>
      <c r="C1155">
        <v>4.34</v>
      </c>
      <c r="D1155" t="s">
        <v>7729</v>
      </c>
    </row>
    <row r="1156" spans="1:4" ht="20" customHeight="1">
      <c r="A1156" t="s">
        <v>7730</v>
      </c>
      <c r="B1156" t="s">
        <v>3309</v>
      </c>
      <c r="C1156">
        <v>4.36</v>
      </c>
      <c r="D1156" t="s">
        <v>7729</v>
      </c>
    </row>
    <row r="1157" spans="1:4" ht="20" customHeight="1">
      <c r="A1157" t="s">
        <v>7730</v>
      </c>
      <c r="B1157" t="s">
        <v>3312</v>
      </c>
      <c r="C1157">
        <v>4.4</v>
      </c>
      <c r="D1157" t="s">
        <v>7729</v>
      </c>
    </row>
    <row r="1158" spans="1:4" ht="20" customHeight="1">
      <c r="A1158" t="s">
        <v>7730</v>
      </c>
      <c r="B1158" t="s">
        <v>3315</v>
      </c>
      <c r="C1158">
        <v>4.35</v>
      </c>
      <c r="D1158" t="s">
        <v>7729</v>
      </c>
    </row>
    <row r="1159" spans="1:4" ht="20" customHeight="1">
      <c r="A1159" t="s">
        <v>7730</v>
      </c>
      <c r="B1159" t="s">
        <v>3318</v>
      </c>
      <c r="C1159">
        <v>4.31</v>
      </c>
      <c r="D1159" t="s">
        <v>7729</v>
      </c>
    </row>
    <row r="1160" spans="1:4" ht="20" customHeight="1">
      <c r="A1160" t="s">
        <v>7730</v>
      </c>
      <c r="B1160" t="s">
        <v>3321</v>
      </c>
      <c r="C1160">
        <v>4.37</v>
      </c>
      <c r="D1160" t="s">
        <v>7729</v>
      </c>
    </row>
    <row r="1161" spans="1:4" ht="20" customHeight="1">
      <c r="A1161" t="s">
        <v>7730</v>
      </c>
      <c r="B1161" t="s">
        <v>3324</v>
      </c>
      <c r="C1161">
        <v>4.37</v>
      </c>
      <c r="D1161" t="s">
        <v>7729</v>
      </c>
    </row>
    <row r="1162" spans="1:4" ht="20" customHeight="1">
      <c r="A1162" t="s">
        <v>7730</v>
      </c>
      <c r="B1162" t="s">
        <v>3327</v>
      </c>
      <c r="C1162">
        <v>4.36</v>
      </c>
      <c r="D1162" t="s">
        <v>7729</v>
      </c>
    </row>
    <row r="1163" spans="1:4" ht="20" customHeight="1">
      <c r="A1163" t="s">
        <v>7730</v>
      </c>
      <c r="B1163" t="s">
        <v>3330</v>
      </c>
      <c r="C1163">
        <v>4.34</v>
      </c>
      <c r="D1163" t="s">
        <v>7729</v>
      </c>
    </row>
    <row r="1164" spans="1:4" ht="20" customHeight="1">
      <c r="A1164" t="s">
        <v>7730</v>
      </c>
      <c r="B1164" t="s">
        <v>3333</v>
      </c>
      <c r="C1164">
        <v>4.35</v>
      </c>
      <c r="D1164" t="s">
        <v>7729</v>
      </c>
    </row>
    <row r="1165" spans="1:4" ht="20" customHeight="1">
      <c r="A1165" t="s">
        <v>7730</v>
      </c>
      <c r="B1165" t="s">
        <v>3336</v>
      </c>
      <c r="C1165">
        <v>4.35</v>
      </c>
      <c r="D1165" t="s">
        <v>7729</v>
      </c>
    </row>
    <row r="1166" spans="1:4" ht="20" customHeight="1">
      <c r="A1166" t="s">
        <v>7730</v>
      </c>
      <c r="B1166" t="s">
        <v>3339</v>
      </c>
      <c r="C1166">
        <v>4.35</v>
      </c>
      <c r="D1166" t="s">
        <v>7729</v>
      </c>
    </row>
    <row r="1167" spans="1:4" ht="20" customHeight="1">
      <c r="A1167" t="s">
        <v>7730</v>
      </c>
      <c r="B1167" t="s">
        <v>6731</v>
      </c>
      <c r="C1167">
        <v>4.35</v>
      </c>
      <c r="D1167" t="s">
        <v>7729</v>
      </c>
    </row>
    <row r="1168" spans="1:4" ht="20" customHeight="1">
      <c r="A1168" t="s">
        <v>7730</v>
      </c>
      <c r="B1168" t="s">
        <v>3342</v>
      </c>
      <c r="C1168">
        <v>4.36</v>
      </c>
      <c r="D1168" t="s">
        <v>7729</v>
      </c>
    </row>
    <row r="1169" spans="1:4" ht="20" customHeight="1">
      <c r="A1169" t="s">
        <v>7730</v>
      </c>
      <c r="B1169" t="s">
        <v>3345</v>
      </c>
      <c r="C1169">
        <v>4.37</v>
      </c>
      <c r="D1169" t="s">
        <v>7729</v>
      </c>
    </row>
    <row r="1170" spans="1:4" ht="20" customHeight="1">
      <c r="A1170" t="s">
        <v>7730</v>
      </c>
      <c r="B1170" t="s">
        <v>3348</v>
      </c>
      <c r="C1170">
        <v>4.36</v>
      </c>
      <c r="D1170" t="s">
        <v>7729</v>
      </c>
    </row>
    <row r="1171" spans="1:4" ht="20" customHeight="1">
      <c r="A1171" t="s">
        <v>7730</v>
      </c>
      <c r="B1171" t="s">
        <v>3351</v>
      </c>
      <c r="C1171">
        <v>4.35</v>
      </c>
      <c r="D1171" t="s">
        <v>7729</v>
      </c>
    </row>
    <row r="1172" spans="1:4" ht="20" customHeight="1">
      <c r="A1172" t="s">
        <v>7730</v>
      </c>
      <c r="B1172" t="s">
        <v>3354</v>
      </c>
      <c r="C1172">
        <v>4.34</v>
      </c>
      <c r="D1172" t="s">
        <v>7729</v>
      </c>
    </row>
    <row r="1173" spans="1:4" ht="20" customHeight="1">
      <c r="A1173" t="s">
        <v>7730</v>
      </c>
      <c r="B1173" t="s">
        <v>3357</v>
      </c>
      <c r="C1173">
        <v>4.34</v>
      </c>
      <c r="D1173" t="s">
        <v>7729</v>
      </c>
    </row>
    <row r="1174" spans="1:4" ht="20" customHeight="1">
      <c r="A1174" t="s">
        <v>7730</v>
      </c>
      <c r="B1174" t="s">
        <v>3360</v>
      </c>
      <c r="C1174">
        <v>4.36</v>
      </c>
      <c r="D1174" t="s">
        <v>7729</v>
      </c>
    </row>
    <row r="1175" spans="1:4" ht="20" customHeight="1">
      <c r="A1175" t="s">
        <v>7730</v>
      </c>
      <c r="B1175" t="s">
        <v>3363</v>
      </c>
      <c r="C1175">
        <v>4.36</v>
      </c>
      <c r="D1175" t="s">
        <v>7729</v>
      </c>
    </row>
    <row r="1176" spans="1:4" ht="20" customHeight="1">
      <c r="A1176" t="s">
        <v>7730</v>
      </c>
      <c r="B1176" t="s">
        <v>3366</v>
      </c>
      <c r="C1176">
        <v>4.36</v>
      </c>
      <c r="D1176" t="s">
        <v>7729</v>
      </c>
    </row>
    <row r="1177" spans="1:4" ht="20" customHeight="1">
      <c r="A1177" t="s">
        <v>7730</v>
      </c>
      <c r="B1177" t="s">
        <v>3369</v>
      </c>
      <c r="C1177">
        <v>4.35</v>
      </c>
      <c r="D1177" t="s">
        <v>7729</v>
      </c>
    </row>
    <row r="1178" spans="1:4" ht="20" customHeight="1">
      <c r="A1178" t="s">
        <v>7730</v>
      </c>
      <c r="B1178" t="s">
        <v>3372</v>
      </c>
      <c r="C1178">
        <v>4.32</v>
      </c>
      <c r="D1178" t="s">
        <v>7729</v>
      </c>
    </row>
    <row r="1179" spans="1:4" ht="20" customHeight="1">
      <c r="A1179" t="s">
        <v>7730</v>
      </c>
      <c r="B1179" t="s">
        <v>3375</v>
      </c>
      <c r="C1179">
        <v>4.31</v>
      </c>
      <c r="D1179" t="s">
        <v>7729</v>
      </c>
    </row>
    <row r="1180" spans="1:4" ht="20" customHeight="1">
      <c r="A1180" t="s">
        <v>7730</v>
      </c>
      <c r="B1180" t="s">
        <v>3378</v>
      </c>
      <c r="C1180">
        <v>4.31</v>
      </c>
      <c r="D1180" t="s">
        <v>7729</v>
      </c>
    </row>
    <row r="1181" spans="1:4" ht="20" customHeight="1">
      <c r="A1181" t="s">
        <v>7730</v>
      </c>
      <c r="B1181" t="s">
        <v>3381</v>
      </c>
      <c r="C1181">
        <v>4.3</v>
      </c>
      <c r="D1181" t="s">
        <v>7729</v>
      </c>
    </row>
    <row r="1182" spans="1:4" ht="20" customHeight="1">
      <c r="A1182" t="s">
        <v>7730</v>
      </c>
      <c r="B1182" t="s">
        <v>3384</v>
      </c>
      <c r="C1182">
        <v>4.31</v>
      </c>
      <c r="D1182" t="s">
        <v>7729</v>
      </c>
    </row>
    <row r="1183" spans="1:4" ht="20" customHeight="1">
      <c r="A1183" t="s">
        <v>7730</v>
      </c>
      <c r="B1183" t="s">
        <v>3387</v>
      </c>
      <c r="C1183">
        <v>4.34</v>
      </c>
      <c r="D1183" t="s">
        <v>7729</v>
      </c>
    </row>
    <row r="1184" spans="1:4" ht="20" customHeight="1">
      <c r="A1184" t="s">
        <v>7730</v>
      </c>
      <c r="B1184" t="s">
        <v>3390</v>
      </c>
      <c r="C1184">
        <v>4.33</v>
      </c>
      <c r="D1184" t="s">
        <v>7729</v>
      </c>
    </row>
    <row r="1185" spans="1:4" ht="20" customHeight="1">
      <c r="A1185" t="s">
        <v>7730</v>
      </c>
      <c r="B1185" t="s">
        <v>3393</v>
      </c>
      <c r="C1185">
        <v>4.33</v>
      </c>
      <c r="D1185" t="s">
        <v>7729</v>
      </c>
    </row>
    <row r="1186" spans="1:4" ht="20" customHeight="1">
      <c r="A1186" t="s">
        <v>7730</v>
      </c>
      <c r="B1186" t="s">
        <v>3396</v>
      </c>
      <c r="C1186">
        <v>4.34</v>
      </c>
      <c r="D1186" t="s">
        <v>7729</v>
      </c>
    </row>
    <row r="1187" spans="1:4" ht="20" customHeight="1">
      <c r="A1187" t="s">
        <v>7730</v>
      </c>
      <c r="B1187" t="s">
        <v>3399</v>
      </c>
      <c r="C1187">
        <v>4.35</v>
      </c>
      <c r="D1187" t="s">
        <v>7729</v>
      </c>
    </row>
    <row r="1188" spans="1:4" ht="20" customHeight="1">
      <c r="A1188" t="s">
        <v>7730</v>
      </c>
      <c r="B1188" t="s">
        <v>3402</v>
      </c>
      <c r="C1188">
        <v>4.35</v>
      </c>
      <c r="D1188" t="s">
        <v>7729</v>
      </c>
    </row>
    <row r="1189" spans="1:4" ht="20" customHeight="1">
      <c r="A1189" t="s">
        <v>7730</v>
      </c>
      <c r="B1189" t="s">
        <v>3405</v>
      </c>
      <c r="C1189">
        <v>4.35</v>
      </c>
      <c r="D1189" t="s">
        <v>7729</v>
      </c>
    </row>
    <row r="1190" spans="1:4" ht="20" customHeight="1">
      <c r="A1190" t="s">
        <v>7730</v>
      </c>
      <c r="B1190" t="s">
        <v>3408</v>
      </c>
      <c r="C1190">
        <v>4.35</v>
      </c>
      <c r="D1190" t="s">
        <v>7729</v>
      </c>
    </row>
    <row r="1191" spans="1:4" ht="20" customHeight="1">
      <c r="A1191" t="s">
        <v>7730</v>
      </c>
      <c r="B1191" t="s">
        <v>3411</v>
      </c>
      <c r="C1191">
        <v>4.34</v>
      </c>
      <c r="D1191" t="s">
        <v>7729</v>
      </c>
    </row>
    <row r="1192" spans="1:4" ht="20" customHeight="1">
      <c r="A1192" t="s">
        <v>7730</v>
      </c>
      <c r="B1192" t="s">
        <v>3414</v>
      </c>
      <c r="C1192">
        <v>4.34</v>
      </c>
      <c r="D1192" t="s">
        <v>7729</v>
      </c>
    </row>
    <row r="1193" spans="1:4" ht="20" customHeight="1">
      <c r="A1193" t="s">
        <v>7730</v>
      </c>
      <c r="B1193" t="s">
        <v>3417</v>
      </c>
      <c r="C1193">
        <v>4.34</v>
      </c>
      <c r="D1193" t="s">
        <v>7729</v>
      </c>
    </row>
    <row r="1194" spans="1:4" ht="20" customHeight="1">
      <c r="A1194" t="s">
        <v>7730</v>
      </c>
      <c r="B1194" t="s">
        <v>3420</v>
      </c>
      <c r="C1194">
        <v>4.34</v>
      </c>
      <c r="D1194" t="s">
        <v>7729</v>
      </c>
    </row>
    <row r="1195" spans="1:4" ht="20" customHeight="1">
      <c r="A1195" t="s">
        <v>7730</v>
      </c>
      <c r="B1195" t="s">
        <v>3423</v>
      </c>
      <c r="C1195">
        <v>4.33</v>
      </c>
      <c r="D1195" t="s">
        <v>7729</v>
      </c>
    </row>
    <row r="1196" spans="1:4" ht="20" customHeight="1">
      <c r="A1196" t="s">
        <v>7730</v>
      </c>
      <c r="B1196" t="s">
        <v>3426</v>
      </c>
      <c r="C1196">
        <v>4.32</v>
      </c>
      <c r="D1196" t="s">
        <v>7729</v>
      </c>
    </row>
    <row r="1197" spans="1:4" ht="20" customHeight="1">
      <c r="A1197" t="s">
        <v>7730</v>
      </c>
      <c r="B1197" t="s">
        <v>3429</v>
      </c>
      <c r="C1197">
        <v>4.31</v>
      </c>
      <c r="D1197" t="s">
        <v>7729</v>
      </c>
    </row>
    <row r="1198" spans="1:4" ht="20" customHeight="1">
      <c r="A1198" t="s">
        <v>7730</v>
      </c>
      <c r="B1198" t="s">
        <v>3432</v>
      </c>
      <c r="C1198">
        <v>4.3</v>
      </c>
      <c r="D1198" t="s">
        <v>7729</v>
      </c>
    </row>
    <row r="1199" spans="1:4" ht="20" customHeight="1">
      <c r="A1199" t="s">
        <v>7730</v>
      </c>
      <c r="B1199" t="s">
        <v>3435</v>
      </c>
      <c r="C1199">
        <v>4.31</v>
      </c>
      <c r="D1199" t="s">
        <v>7729</v>
      </c>
    </row>
    <row r="1200" spans="1:4" ht="20" customHeight="1">
      <c r="A1200" t="s">
        <v>7730</v>
      </c>
      <c r="B1200" t="s">
        <v>3438</v>
      </c>
      <c r="C1200">
        <v>4.32</v>
      </c>
      <c r="D1200" t="s">
        <v>7729</v>
      </c>
    </row>
    <row r="1201" spans="1:4" ht="20" customHeight="1">
      <c r="A1201" t="s">
        <v>7730</v>
      </c>
      <c r="B1201" t="s">
        <v>3441</v>
      </c>
      <c r="C1201">
        <v>4.32</v>
      </c>
      <c r="D1201" t="s">
        <v>7729</v>
      </c>
    </row>
    <row r="1202" spans="1:4" ht="20" customHeight="1">
      <c r="A1202" t="s">
        <v>7730</v>
      </c>
      <c r="B1202" t="s">
        <v>3444</v>
      </c>
      <c r="C1202">
        <v>4.35</v>
      </c>
      <c r="D1202" t="s">
        <v>7729</v>
      </c>
    </row>
    <row r="1203" spans="1:4" ht="20" customHeight="1">
      <c r="A1203" t="s">
        <v>7730</v>
      </c>
      <c r="B1203" t="s">
        <v>3447</v>
      </c>
      <c r="C1203">
        <v>4.34</v>
      </c>
      <c r="D1203" t="s">
        <v>7729</v>
      </c>
    </row>
    <row r="1204" spans="1:4" ht="20" customHeight="1">
      <c r="A1204" t="s">
        <v>7730</v>
      </c>
      <c r="B1204" t="s">
        <v>3450</v>
      </c>
      <c r="C1204">
        <v>4.35</v>
      </c>
      <c r="D1204" t="s">
        <v>7729</v>
      </c>
    </row>
    <row r="1205" spans="1:4" ht="20" customHeight="1">
      <c r="A1205" t="s">
        <v>7730</v>
      </c>
      <c r="B1205" t="s">
        <v>3453</v>
      </c>
      <c r="C1205">
        <v>4.34</v>
      </c>
      <c r="D1205" t="s">
        <v>7729</v>
      </c>
    </row>
    <row r="1206" spans="1:4" ht="20" customHeight="1">
      <c r="A1206" t="s">
        <v>7730</v>
      </c>
      <c r="B1206" t="s">
        <v>3456</v>
      </c>
      <c r="C1206">
        <v>4.34</v>
      </c>
      <c r="D1206" t="s">
        <v>7729</v>
      </c>
    </row>
    <row r="1207" spans="1:4" ht="20" customHeight="1">
      <c r="A1207" t="s">
        <v>7730</v>
      </c>
      <c r="B1207" t="s">
        <v>3459</v>
      </c>
      <c r="C1207">
        <v>4.33</v>
      </c>
      <c r="D1207" t="s">
        <v>7729</v>
      </c>
    </row>
    <row r="1208" spans="1:4" ht="20" customHeight="1">
      <c r="A1208" t="s">
        <v>7730</v>
      </c>
      <c r="B1208" t="s">
        <v>3462</v>
      </c>
      <c r="C1208">
        <v>4.34</v>
      </c>
      <c r="D1208" t="s">
        <v>7729</v>
      </c>
    </row>
    <row r="1209" spans="1:4" ht="20" customHeight="1">
      <c r="A1209" t="s">
        <v>7730</v>
      </c>
      <c r="B1209" t="s">
        <v>3465</v>
      </c>
      <c r="C1209">
        <v>4.35</v>
      </c>
      <c r="D1209" t="s">
        <v>7729</v>
      </c>
    </row>
    <row r="1210" spans="1:4" ht="20" customHeight="1">
      <c r="A1210" t="s">
        <v>7730</v>
      </c>
      <c r="B1210" t="s">
        <v>3468</v>
      </c>
      <c r="C1210">
        <v>4.34</v>
      </c>
      <c r="D1210" t="s">
        <v>7729</v>
      </c>
    </row>
    <row r="1211" spans="1:4" ht="20" customHeight="1">
      <c r="A1211" t="s">
        <v>7730</v>
      </c>
      <c r="B1211" t="s">
        <v>3471</v>
      </c>
      <c r="C1211">
        <v>4.33</v>
      </c>
      <c r="D1211" t="s">
        <v>7729</v>
      </c>
    </row>
    <row r="1212" spans="1:4" ht="20" customHeight="1">
      <c r="A1212" t="s">
        <v>7730</v>
      </c>
      <c r="B1212" t="s">
        <v>3474</v>
      </c>
      <c r="C1212">
        <v>4.34</v>
      </c>
      <c r="D1212" t="s">
        <v>7729</v>
      </c>
    </row>
    <row r="1213" spans="1:4" ht="20" customHeight="1">
      <c r="A1213" t="s">
        <v>7730</v>
      </c>
      <c r="B1213" t="s">
        <v>3477</v>
      </c>
      <c r="C1213">
        <v>4.34</v>
      </c>
      <c r="D1213" t="s">
        <v>7729</v>
      </c>
    </row>
    <row r="1214" spans="1:4" ht="20" customHeight="1">
      <c r="A1214" t="s">
        <v>7730</v>
      </c>
      <c r="B1214" t="s">
        <v>3480</v>
      </c>
      <c r="C1214">
        <v>4.33</v>
      </c>
      <c r="D1214" t="s">
        <v>7729</v>
      </c>
    </row>
    <row r="1215" spans="1:4" ht="20" customHeight="1">
      <c r="A1215" t="s">
        <v>7730</v>
      </c>
      <c r="B1215" t="s">
        <v>3483</v>
      </c>
      <c r="C1215">
        <v>4.33</v>
      </c>
      <c r="D1215" t="s">
        <v>7729</v>
      </c>
    </row>
    <row r="1216" spans="1:4" ht="20" customHeight="1">
      <c r="A1216" t="s">
        <v>7730</v>
      </c>
      <c r="B1216" t="s">
        <v>3486</v>
      </c>
      <c r="C1216">
        <v>4.33</v>
      </c>
      <c r="D1216" t="s">
        <v>7729</v>
      </c>
    </row>
    <row r="1217" spans="1:4" ht="20" customHeight="1">
      <c r="A1217" t="s">
        <v>7730</v>
      </c>
      <c r="B1217" t="s">
        <v>3489</v>
      </c>
      <c r="C1217">
        <v>4.33</v>
      </c>
      <c r="D1217" t="s">
        <v>7729</v>
      </c>
    </row>
    <row r="1218" spans="1:4" ht="20" customHeight="1">
      <c r="A1218" t="s">
        <v>7730</v>
      </c>
      <c r="B1218" t="s">
        <v>3492</v>
      </c>
      <c r="C1218">
        <v>4.33</v>
      </c>
      <c r="D1218" t="s">
        <v>7729</v>
      </c>
    </row>
    <row r="1219" spans="1:4" ht="20" customHeight="1">
      <c r="A1219" t="s">
        <v>7730</v>
      </c>
      <c r="B1219" t="s">
        <v>3495</v>
      </c>
      <c r="C1219">
        <v>4.33</v>
      </c>
      <c r="D1219" t="s">
        <v>7729</v>
      </c>
    </row>
    <row r="1220" spans="1:4" ht="20" customHeight="1">
      <c r="A1220" t="s">
        <v>7730</v>
      </c>
      <c r="B1220" t="s">
        <v>3498</v>
      </c>
      <c r="C1220">
        <v>4.33</v>
      </c>
      <c r="D1220" t="s">
        <v>7729</v>
      </c>
    </row>
    <row r="1221" spans="1:4" ht="20" customHeight="1">
      <c r="A1221" t="s">
        <v>7730</v>
      </c>
      <c r="B1221" t="s">
        <v>3501</v>
      </c>
      <c r="C1221">
        <v>4.33</v>
      </c>
      <c r="D1221" t="s">
        <v>7729</v>
      </c>
    </row>
    <row r="1222" spans="1:4" ht="20" customHeight="1">
      <c r="A1222" t="s">
        <v>7730</v>
      </c>
      <c r="B1222" t="s">
        <v>3504</v>
      </c>
      <c r="C1222">
        <v>4.32</v>
      </c>
      <c r="D1222" t="s">
        <v>7729</v>
      </c>
    </row>
    <row r="1223" spans="1:4" ht="20" customHeight="1">
      <c r="A1223" t="s">
        <v>7730</v>
      </c>
      <c r="B1223" t="s">
        <v>3507</v>
      </c>
      <c r="C1223">
        <v>4.32</v>
      </c>
      <c r="D1223" t="s">
        <v>7729</v>
      </c>
    </row>
    <row r="1224" spans="1:4" ht="20" customHeight="1">
      <c r="A1224" t="s">
        <v>7730</v>
      </c>
      <c r="B1224" t="s">
        <v>3510</v>
      </c>
      <c r="C1224">
        <v>4.32</v>
      </c>
      <c r="D1224" t="s">
        <v>7729</v>
      </c>
    </row>
    <row r="1225" spans="1:4" ht="20" customHeight="1">
      <c r="A1225" t="s">
        <v>7730</v>
      </c>
      <c r="B1225" t="s">
        <v>3513</v>
      </c>
      <c r="C1225">
        <v>4.31</v>
      </c>
      <c r="D1225" t="s">
        <v>7729</v>
      </c>
    </row>
    <row r="1226" spans="1:4" ht="20" customHeight="1">
      <c r="A1226" t="s">
        <v>7730</v>
      </c>
      <c r="B1226" t="s">
        <v>3516</v>
      </c>
      <c r="C1226">
        <v>4.28</v>
      </c>
      <c r="D1226" t="s">
        <v>7729</v>
      </c>
    </row>
    <row r="1227" spans="1:4" ht="20" customHeight="1">
      <c r="A1227" t="s">
        <v>7730</v>
      </c>
      <c r="B1227" t="s">
        <v>3519</v>
      </c>
      <c r="C1227">
        <v>4.29</v>
      </c>
      <c r="D1227" t="s">
        <v>7729</v>
      </c>
    </row>
    <row r="1228" spans="1:4" ht="20" customHeight="1">
      <c r="A1228" t="s">
        <v>7730</v>
      </c>
      <c r="B1228" t="s">
        <v>3522</v>
      </c>
      <c r="C1228">
        <v>4.31</v>
      </c>
      <c r="D1228" t="s">
        <v>7729</v>
      </c>
    </row>
    <row r="1229" spans="1:4" ht="20" customHeight="1">
      <c r="A1229" t="s">
        <v>7730</v>
      </c>
      <c r="B1229" t="s">
        <v>3525</v>
      </c>
      <c r="C1229">
        <v>4.35</v>
      </c>
      <c r="D1229" t="s">
        <v>7729</v>
      </c>
    </row>
    <row r="1230" spans="1:4" ht="20" customHeight="1">
      <c r="A1230" t="s">
        <v>7730</v>
      </c>
      <c r="B1230" t="s">
        <v>3528</v>
      </c>
      <c r="C1230">
        <v>4.34</v>
      </c>
      <c r="D1230" t="s">
        <v>7729</v>
      </c>
    </row>
    <row r="1231" spans="1:4" ht="20" customHeight="1">
      <c r="A1231" t="s">
        <v>7730</v>
      </c>
      <c r="B1231" t="s">
        <v>3531</v>
      </c>
      <c r="C1231">
        <v>4.34</v>
      </c>
      <c r="D1231" t="s">
        <v>7729</v>
      </c>
    </row>
    <row r="1232" spans="1:4" ht="20" customHeight="1">
      <c r="A1232" t="s">
        <v>7730</v>
      </c>
      <c r="B1232" t="s">
        <v>3534</v>
      </c>
      <c r="C1232">
        <v>4.33</v>
      </c>
      <c r="D1232" t="s">
        <v>7729</v>
      </c>
    </row>
    <row r="1233" spans="1:4" ht="20" customHeight="1">
      <c r="A1233" t="s">
        <v>7730</v>
      </c>
      <c r="B1233" t="s">
        <v>3537</v>
      </c>
      <c r="C1233">
        <v>4.33</v>
      </c>
      <c r="D1233" t="s">
        <v>7729</v>
      </c>
    </row>
    <row r="1234" spans="1:4" ht="20" customHeight="1">
      <c r="A1234" t="s">
        <v>7730</v>
      </c>
      <c r="B1234" t="s">
        <v>3540</v>
      </c>
      <c r="C1234">
        <v>4.33</v>
      </c>
      <c r="D1234" t="s">
        <v>7729</v>
      </c>
    </row>
    <row r="1235" spans="1:4" ht="20" customHeight="1">
      <c r="A1235" t="s">
        <v>7730</v>
      </c>
      <c r="B1235" t="s">
        <v>3543</v>
      </c>
      <c r="C1235">
        <v>4.34</v>
      </c>
      <c r="D1235" t="s">
        <v>7729</v>
      </c>
    </row>
    <row r="1236" spans="1:4" ht="20" customHeight="1">
      <c r="A1236" t="s">
        <v>7730</v>
      </c>
      <c r="B1236" t="s">
        <v>3546</v>
      </c>
      <c r="C1236">
        <v>4.34</v>
      </c>
      <c r="D1236" t="s">
        <v>7729</v>
      </c>
    </row>
    <row r="1237" spans="1:4" ht="20" customHeight="1">
      <c r="A1237" t="s">
        <v>7730</v>
      </c>
      <c r="B1237" t="s">
        <v>3549</v>
      </c>
      <c r="C1237">
        <v>4.33</v>
      </c>
      <c r="D1237" t="s">
        <v>7729</v>
      </c>
    </row>
    <row r="1238" spans="1:4" ht="20" customHeight="1">
      <c r="A1238" t="s">
        <v>7730</v>
      </c>
      <c r="B1238" t="s">
        <v>3552</v>
      </c>
      <c r="C1238">
        <v>4.33</v>
      </c>
      <c r="D1238" t="s">
        <v>7729</v>
      </c>
    </row>
    <row r="1239" spans="1:4" ht="20" customHeight="1">
      <c r="A1239" t="s">
        <v>7730</v>
      </c>
      <c r="B1239" t="s">
        <v>3555</v>
      </c>
      <c r="C1239">
        <v>4.32</v>
      </c>
      <c r="D1239" t="s">
        <v>7729</v>
      </c>
    </row>
    <row r="1240" spans="1:4" ht="20" customHeight="1">
      <c r="A1240" t="s">
        <v>7730</v>
      </c>
      <c r="B1240" t="s">
        <v>3558</v>
      </c>
      <c r="C1240">
        <v>4.32</v>
      </c>
      <c r="D1240" t="s">
        <v>7729</v>
      </c>
    </row>
    <row r="1241" spans="1:4" ht="20" customHeight="1">
      <c r="A1241" t="s">
        <v>7730</v>
      </c>
      <c r="B1241" t="s">
        <v>3561</v>
      </c>
      <c r="C1241">
        <v>4.32</v>
      </c>
      <c r="D1241" t="s">
        <v>7729</v>
      </c>
    </row>
    <row r="1242" spans="1:4" ht="20" customHeight="1">
      <c r="A1242" t="s">
        <v>7730</v>
      </c>
      <c r="B1242" t="s">
        <v>3564</v>
      </c>
      <c r="C1242">
        <v>4.31</v>
      </c>
      <c r="D1242" t="s">
        <v>7729</v>
      </c>
    </row>
    <row r="1243" spans="1:4" ht="20" customHeight="1">
      <c r="A1243" t="s">
        <v>7730</v>
      </c>
      <c r="B1243" t="s">
        <v>3567</v>
      </c>
      <c r="C1243">
        <v>4.31</v>
      </c>
      <c r="D1243" t="s">
        <v>7729</v>
      </c>
    </row>
    <row r="1244" spans="1:4" ht="20" customHeight="1">
      <c r="A1244" t="s">
        <v>7730</v>
      </c>
      <c r="B1244" t="s">
        <v>3570</v>
      </c>
      <c r="C1244">
        <v>4.31</v>
      </c>
      <c r="D1244" t="s">
        <v>7729</v>
      </c>
    </row>
    <row r="1245" spans="1:4" ht="20" customHeight="1">
      <c r="A1245" t="s">
        <v>7730</v>
      </c>
      <c r="B1245" t="s">
        <v>3573</v>
      </c>
      <c r="C1245">
        <v>4.33</v>
      </c>
      <c r="D1245" t="s">
        <v>7729</v>
      </c>
    </row>
    <row r="1246" spans="1:4" ht="20" customHeight="1">
      <c r="A1246" t="s">
        <v>7730</v>
      </c>
      <c r="B1246" t="s">
        <v>3576</v>
      </c>
      <c r="C1246">
        <v>4.33</v>
      </c>
      <c r="D1246" t="s">
        <v>7729</v>
      </c>
    </row>
    <row r="1247" spans="1:4" ht="20" customHeight="1">
      <c r="A1247" t="s">
        <v>7730</v>
      </c>
      <c r="B1247" t="s">
        <v>3579</v>
      </c>
      <c r="C1247">
        <v>4.33</v>
      </c>
      <c r="D1247" t="s">
        <v>7729</v>
      </c>
    </row>
    <row r="1248" spans="1:4" ht="20" customHeight="1">
      <c r="A1248" t="s">
        <v>7730</v>
      </c>
      <c r="B1248" t="s">
        <v>3582</v>
      </c>
      <c r="C1248">
        <v>4.34</v>
      </c>
      <c r="D1248" t="s">
        <v>7729</v>
      </c>
    </row>
    <row r="1249" spans="1:4" ht="20" customHeight="1">
      <c r="A1249" t="s">
        <v>7730</v>
      </c>
      <c r="B1249" t="s">
        <v>3585</v>
      </c>
      <c r="C1249">
        <v>4.34</v>
      </c>
      <c r="D1249" t="s">
        <v>7729</v>
      </c>
    </row>
    <row r="1250" spans="1:4" ht="20" customHeight="1">
      <c r="A1250" t="s">
        <v>7730</v>
      </c>
      <c r="B1250" t="s">
        <v>3588</v>
      </c>
      <c r="C1250">
        <v>4.34</v>
      </c>
      <c r="D1250" t="s">
        <v>7729</v>
      </c>
    </row>
    <row r="1251" spans="1:4" ht="20" customHeight="1">
      <c r="A1251" t="s">
        <v>7730</v>
      </c>
      <c r="B1251" t="s">
        <v>3591</v>
      </c>
      <c r="C1251">
        <v>4.42</v>
      </c>
      <c r="D1251" t="s">
        <v>7729</v>
      </c>
    </row>
    <row r="1252" spans="1:4" ht="20" customHeight="1">
      <c r="A1252" t="s">
        <v>7730</v>
      </c>
      <c r="B1252" t="s">
        <v>3594</v>
      </c>
      <c r="C1252">
        <v>4.41</v>
      </c>
      <c r="D1252" t="s">
        <v>7729</v>
      </c>
    </row>
    <row r="1253" spans="1:4" ht="20" customHeight="1">
      <c r="A1253" t="s">
        <v>7730</v>
      </c>
      <c r="B1253" t="s">
        <v>3597</v>
      </c>
      <c r="C1253">
        <v>4.41</v>
      </c>
      <c r="D1253" t="s">
        <v>7729</v>
      </c>
    </row>
    <row r="1254" spans="1:4" ht="20" customHeight="1">
      <c r="A1254" t="s">
        <v>7730</v>
      </c>
      <c r="B1254" t="s">
        <v>3600</v>
      </c>
      <c r="C1254">
        <v>4.38</v>
      </c>
      <c r="D1254" t="s">
        <v>7729</v>
      </c>
    </row>
    <row r="1255" spans="1:4" ht="20" customHeight="1">
      <c r="A1255" t="s">
        <v>7730</v>
      </c>
      <c r="B1255" t="s">
        <v>3603</v>
      </c>
      <c r="C1255">
        <v>4.37</v>
      </c>
      <c r="D1255" t="s">
        <v>7729</v>
      </c>
    </row>
    <row r="1256" spans="1:4" ht="20" customHeight="1">
      <c r="A1256" t="s">
        <v>7730</v>
      </c>
      <c r="B1256" t="s">
        <v>3606</v>
      </c>
      <c r="C1256">
        <v>4.39</v>
      </c>
      <c r="D1256" t="s">
        <v>7729</v>
      </c>
    </row>
    <row r="1257" spans="1:4" ht="20" customHeight="1">
      <c r="A1257" t="s">
        <v>7730</v>
      </c>
      <c r="B1257" t="s">
        <v>3609</v>
      </c>
      <c r="C1257">
        <v>4.38</v>
      </c>
      <c r="D1257" t="s">
        <v>7729</v>
      </c>
    </row>
    <row r="1258" spans="1:4" ht="20" customHeight="1">
      <c r="A1258" t="s">
        <v>7730</v>
      </c>
      <c r="B1258" t="s">
        <v>3612</v>
      </c>
      <c r="C1258">
        <v>4.36</v>
      </c>
      <c r="D1258" t="s">
        <v>7729</v>
      </c>
    </row>
    <row r="1259" spans="1:4" ht="20" customHeight="1">
      <c r="A1259" t="s">
        <v>7730</v>
      </c>
      <c r="B1259" t="s">
        <v>3615</v>
      </c>
      <c r="C1259">
        <v>4.37</v>
      </c>
      <c r="D1259" t="s">
        <v>7729</v>
      </c>
    </row>
    <row r="1260" spans="1:4" ht="20" customHeight="1">
      <c r="A1260" t="s">
        <v>7730</v>
      </c>
      <c r="B1260" t="s">
        <v>3618</v>
      </c>
      <c r="C1260">
        <v>4.36</v>
      </c>
      <c r="D1260" t="s">
        <v>7729</v>
      </c>
    </row>
    <row r="1261" spans="1:4" ht="20" customHeight="1">
      <c r="A1261" t="s">
        <v>7730</v>
      </c>
      <c r="B1261" t="s">
        <v>3621</v>
      </c>
      <c r="C1261">
        <v>4.35</v>
      </c>
      <c r="D1261" t="s">
        <v>7729</v>
      </c>
    </row>
    <row r="1262" spans="1:4" ht="20" customHeight="1">
      <c r="A1262" t="s">
        <v>7730</v>
      </c>
      <c r="B1262" t="s">
        <v>3624</v>
      </c>
      <c r="C1262">
        <v>4.35</v>
      </c>
      <c r="D1262" t="s">
        <v>7729</v>
      </c>
    </row>
    <row r="1263" spans="1:4" ht="20" customHeight="1">
      <c r="A1263" t="s">
        <v>7730</v>
      </c>
      <c r="B1263" t="s">
        <v>3627</v>
      </c>
      <c r="C1263">
        <v>4.36</v>
      </c>
      <c r="D1263" t="s">
        <v>7729</v>
      </c>
    </row>
    <row r="1264" spans="1:4" ht="20" customHeight="1">
      <c r="A1264" t="s">
        <v>7730</v>
      </c>
      <c r="B1264" t="s">
        <v>3630</v>
      </c>
      <c r="C1264">
        <v>4.36</v>
      </c>
      <c r="D1264" t="s">
        <v>7729</v>
      </c>
    </row>
    <row r="1265" spans="1:4" ht="20" customHeight="1">
      <c r="A1265" t="s">
        <v>7730</v>
      </c>
      <c r="B1265" t="s">
        <v>3633</v>
      </c>
      <c r="C1265">
        <v>4.44</v>
      </c>
      <c r="D1265" t="s">
        <v>7729</v>
      </c>
    </row>
    <row r="1266" spans="1:4" ht="20" customHeight="1">
      <c r="A1266" t="s">
        <v>7730</v>
      </c>
      <c r="B1266" t="s">
        <v>3636</v>
      </c>
      <c r="C1266">
        <v>4.43</v>
      </c>
      <c r="D1266" t="s">
        <v>7729</v>
      </c>
    </row>
    <row r="1267" spans="1:4" ht="20" customHeight="1">
      <c r="A1267" t="s">
        <v>7730</v>
      </c>
      <c r="B1267" t="s">
        <v>3639</v>
      </c>
      <c r="C1267">
        <v>4.44</v>
      </c>
      <c r="D1267" t="s">
        <v>7729</v>
      </c>
    </row>
    <row r="1268" spans="1:4" ht="20" customHeight="1">
      <c r="A1268" t="s">
        <v>7730</v>
      </c>
      <c r="B1268" t="s">
        <v>3642</v>
      </c>
      <c r="C1268">
        <v>4.44</v>
      </c>
      <c r="D1268" t="s">
        <v>7729</v>
      </c>
    </row>
    <row r="1269" spans="1:4" ht="20" customHeight="1">
      <c r="A1269" t="s">
        <v>7730</v>
      </c>
      <c r="B1269" t="s">
        <v>3645</v>
      </c>
      <c r="C1269">
        <v>4.43</v>
      </c>
      <c r="D1269" t="s">
        <v>7729</v>
      </c>
    </row>
    <row r="1270" spans="1:4" ht="20" customHeight="1">
      <c r="A1270" t="s">
        <v>7730</v>
      </c>
      <c r="B1270" t="s">
        <v>3648</v>
      </c>
      <c r="C1270">
        <v>4.44</v>
      </c>
      <c r="D1270" t="s">
        <v>7729</v>
      </c>
    </row>
    <row r="1271" spans="1:4" ht="20" customHeight="1">
      <c r="A1271" t="s">
        <v>7730</v>
      </c>
      <c r="B1271" t="s">
        <v>3651</v>
      </c>
      <c r="C1271">
        <v>4.45</v>
      </c>
      <c r="D1271" t="s">
        <v>7729</v>
      </c>
    </row>
    <row r="1272" spans="1:4" ht="20" customHeight="1">
      <c r="A1272" t="s">
        <v>7730</v>
      </c>
      <c r="B1272" t="s">
        <v>3654</v>
      </c>
      <c r="C1272">
        <v>4.45</v>
      </c>
      <c r="D1272" t="s">
        <v>7729</v>
      </c>
    </row>
    <row r="1273" spans="1:4" ht="20" customHeight="1">
      <c r="A1273" t="s">
        <v>7730</v>
      </c>
      <c r="B1273" t="s">
        <v>3657</v>
      </c>
      <c r="C1273">
        <v>4.46</v>
      </c>
      <c r="D1273" t="s">
        <v>7729</v>
      </c>
    </row>
    <row r="1274" spans="1:4" ht="20" customHeight="1">
      <c r="A1274" t="s">
        <v>7730</v>
      </c>
      <c r="B1274" t="s">
        <v>3660</v>
      </c>
      <c r="C1274">
        <v>4.45</v>
      </c>
      <c r="D1274" t="s">
        <v>7729</v>
      </c>
    </row>
    <row r="1275" spans="1:4" ht="20" customHeight="1">
      <c r="A1275" t="s">
        <v>7730</v>
      </c>
      <c r="B1275" t="s">
        <v>3663</v>
      </c>
      <c r="C1275">
        <v>4.43</v>
      </c>
      <c r="D1275" t="s">
        <v>7729</v>
      </c>
    </row>
    <row r="1276" spans="1:4" ht="20" customHeight="1">
      <c r="A1276" t="s">
        <v>7730</v>
      </c>
      <c r="B1276" t="s">
        <v>3666</v>
      </c>
      <c r="C1276">
        <v>4.42</v>
      </c>
      <c r="D1276" t="s">
        <v>7729</v>
      </c>
    </row>
    <row r="1277" spans="1:4" ht="20" customHeight="1">
      <c r="A1277" t="s">
        <v>7730</v>
      </c>
      <c r="B1277" t="s">
        <v>3669</v>
      </c>
      <c r="C1277">
        <v>4.42</v>
      </c>
      <c r="D1277" t="s">
        <v>7729</v>
      </c>
    </row>
    <row r="1278" spans="1:4" ht="20" customHeight="1">
      <c r="A1278" t="s">
        <v>7730</v>
      </c>
      <c r="B1278" t="s">
        <v>3672</v>
      </c>
      <c r="C1278">
        <v>4.39</v>
      </c>
      <c r="D1278" t="s">
        <v>7729</v>
      </c>
    </row>
    <row r="1279" spans="1:4" ht="20" customHeight="1">
      <c r="A1279" t="s">
        <v>7730</v>
      </c>
      <c r="B1279" t="s">
        <v>3675</v>
      </c>
      <c r="C1279">
        <v>4.38</v>
      </c>
      <c r="D1279" t="s">
        <v>7729</v>
      </c>
    </row>
    <row r="1280" spans="1:4" ht="20" customHeight="1">
      <c r="A1280" t="s">
        <v>7730</v>
      </c>
      <c r="B1280" t="s">
        <v>3678</v>
      </c>
      <c r="C1280">
        <v>4.38</v>
      </c>
      <c r="D1280" t="s">
        <v>7729</v>
      </c>
    </row>
    <row r="1281" spans="1:4" ht="20" customHeight="1">
      <c r="A1281" t="s">
        <v>7730</v>
      </c>
      <c r="B1281" t="s">
        <v>3681</v>
      </c>
      <c r="C1281">
        <v>4.38</v>
      </c>
      <c r="D1281" t="s">
        <v>7729</v>
      </c>
    </row>
    <row r="1282" spans="1:4" ht="20" customHeight="1">
      <c r="A1282" t="s">
        <v>7730</v>
      </c>
      <c r="B1282" t="s">
        <v>3684</v>
      </c>
      <c r="C1282">
        <v>4.39</v>
      </c>
      <c r="D1282" t="s">
        <v>7729</v>
      </c>
    </row>
    <row r="1283" spans="1:4" ht="20" customHeight="1">
      <c r="A1283" t="s">
        <v>7730</v>
      </c>
      <c r="B1283" t="s">
        <v>3687</v>
      </c>
      <c r="C1283">
        <v>4.39</v>
      </c>
      <c r="D1283" t="s">
        <v>7729</v>
      </c>
    </row>
    <row r="1284" spans="1:4" ht="20" customHeight="1">
      <c r="A1284" t="s">
        <v>7730</v>
      </c>
      <c r="B1284" t="s">
        <v>3690</v>
      </c>
      <c r="C1284">
        <v>4.41</v>
      </c>
      <c r="D1284" t="s">
        <v>7729</v>
      </c>
    </row>
    <row r="1285" spans="1:4" ht="20" customHeight="1">
      <c r="A1285" t="s">
        <v>7730</v>
      </c>
      <c r="B1285" t="s">
        <v>3693</v>
      </c>
      <c r="C1285">
        <v>4.4</v>
      </c>
      <c r="D1285" t="s">
        <v>7729</v>
      </c>
    </row>
    <row r="1286" spans="1:4" ht="20" customHeight="1">
      <c r="A1286" t="s">
        <v>7730</v>
      </c>
      <c r="B1286" t="s">
        <v>3696</v>
      </c>
      <c r="C1286">
        <v>4.41</v>
      </c>
      <c r="D1286" t="s">
        <v>7729</v>
      </c>
    </row>
    <row r="1287" spans="1:4" ht="20" customHeight="1">
      <c r="A1287" t="s">
        <v>7730</v>
      </c>
      <c r="B1287" t="s">
        <v>3699</v>
      </c>
      <c r="C1287">
        <v>4.42</v>
      </c>
      <c r="D1287" t="s">
        <v>7729</v>
      </c>
    </row>
    <row r="1288" spans="1:4" ht="20" customHeight="1">
      <c r="A1288" t="s">
        <v>7730</v>
      </c>
      <c r="B1288" t="s">
        <v>3702</v>
      </c>
      <c r="C1288">
        <v>4.42</v>
      </c>
      <c r="D1288" t="s">
        <v>7729</v>
      </c>
    </row>
    <row r="1289" spans="1:4" ht="20" customHeight="1">
      <c r="A1289" t="s">
        <v>7730</v>
      </c>
      <c r="B1289" t="s">
        <v>3705</v>
      </c>
      <c r="C1289">
        <v>4.42</v>
      </c>
      <c r="D1289" t="s">
        <v>7729</v>
      </c>
    </row>
    <row r="1290" spans="1:4" ht="20" customHeight="1">
      <c r="A1290" t="s">
        <v>7730</v>
      </c>
      <c r="B1290" t="s">
        <v>3708</v>
      </c>
      <c r="C1290">
        <v>4.42</v>
      </c>
      <c r="D1290" t="s">
        <v>7729</v>
      </c>
    </row>
    <row r="1291" spans="1:4" ht="20" customHeight="1">
      <c r="A1291" t="s">
        <v>7730</v>
      </c>
      <c r="B1291" t="s">
        <v>3711</v>
      </c>
      <c r="C1291">
        <v>4.42</v>
      </c>
      <c r="D1291" t="s">
        <v>7729</v>
      </c>
    </row>
    <row r="1292" spans="1:4" ht="20" customHeight="1">
      <c r="A1292" t="s">
        <v>7730</v>
      </c>
      <c r="B1292" t="s">
        <v>3714</v>
      </c>
      <c r="C1292">
        <v>4.41</v>
      </c>
      <c r="D1292" t="s">
        <v>7729</v>
      </c>
    </row>
    <row r="1293" spans="1:4" ht="20" customHeight="1">
      <c r="A1293" t="s">
        <v>7730</v>
      </c>
      <c r="B1293" t="s">
        <v>3717</v>
      </c>
      <c r="C1293">
        <v>4.42</v>
      </c>
      <c r="D1293" t="s">
        <v>7729</v>
      </c>
    </row>
    <row r="1294" spans="1:4" ht="20" customHeight="1">
      <c r="A1294" t="s">
        <v>7730</v>
      </c>
      <c r="B1294" t="s">
        <v>3720</v>
      </c>
      <c r="C1294">
        <v>4.42</v>
      </c>
      <c r="D1294" t="s">
        <v>7729</v>
      </c>
    </row>
    <row r="1295" spans="1:4" ht="20" customHeight="1">
      <c r="A1295" t="s">
        <v>7730</v>
      </c>
      <c r="B1295" t="s">
        <v>3723</v>
      </c>
      <c r="C1295">
        <v>4.41</v>
      </c>
      <c r="D1295" t="s">
        <v>7729</v>
      </c>
    </row>
    <row r="1296" spans="1:4" ht="20" customHeight="1">
      <c r="A1296" t="s">
        <v>7730</v>
      </c>
      <c r="B1296" t="s">
        <v>3726</v>
      </c>
      <c r="C1296">
        <v>4.41</v>
      </c>
      <c r="D1296" t="s">
        <v>7729</v>
      </c>
    </row>
    <row r="1297" spans="1:4" ht="20" customHeight="1">
      <c r="A1297" t="s">
        <v>7730</v>
      </c>
      <c r="B1297" t="s">
        <v>3729</v>
      </c>
      <c r="C1297">
        <v>4.4</v>
      </c>
      <c r="D1297" t="s">
        <v>7729</v>
      </c>
    </row>
    <row r="1298" spans="1:4" ht="20" customHeight="1">
      <c r="A1298" t="s">
        <v>7730</v>
      </c>
      <c r="B1298" t="s">
        <v>3732</v>
      </c>
      <c r="C1298">
        <v>4.41</v>
      </c>
      <c r="D1298" t="s">
        <v>7729</v>
      </c>
    </row>
    <row r="1299" spans="1:4" ht="20" customHeight="1">
      <c r="A1299" t="s">
        <v>7730</v>
      </c>
      <c r="B1299" t="s">
        <v>3735</v>
      </c>
      <c r="C1299">
        <v>4.41</v>
      </c>
      <c r="D1299" t="s">
        <v>7729</v>
      </c>
    </row>
    <row r="1300" spans="1:4" ht="20" customHeight="1">
      <c r="A1300" t="s">
        <v>7730</v>
      </c>
      <c r="B1300" t="s">
        <v>3738</v>
      </c>
      <c r="C1300">
        <v>4.41</v>
      </c>
      <c r="D1300" t="s">
        <v>7729</v>
      </c>
    </row>
    <row r="1301" spans="1:4" ht="20" customHeight="1">
      <c r="A1301" t="s">
        <v>7730</v>
      </c>
      <c r="B1301" t="s">
        <v>3741</v>
      </c>
      <c r="C1301">
        <v>4.42</v>
      </c>
      <c r="D1301" t="s">
        <v>7729</v>
      </c>
    </row>
    <row r="1302" spans="1:4" ht="20" customHeight="1">
      <c r="A1302" t="s">
        <v>7730</v>
      </c>
      <c r="B1302" t="s">
        <v>3744</v>
      </c>
      <c r="C1302">
        <v>4.42</v>
      </c>
      <c r="D1302" t="s">
        <v>7729</v>
      </c>
    </row>
    <row r="1303" spans="1:4" ht="20" customHeight="1">
      <c r="A1303" t="s">
        <v>7730</v>
      </c>
      <c r="B1303" t="s">
        <v>3747</v>
      </c>
      <c r="C1303">
        <v>4.4</v>
      </c>
      <c r="D1303" t="s">
        <v>7729</v>
      </c>
    </row>
    <row r="1304" spans="1:4" ht="20" customHeight="1">
      <c r="A1304" t="s">
        <v>7730</v>
      </c>
      <c r="B1304" t="s">
        <v>3750</v>
      </c>
      <c r="C1304">
        <v>4.4</v>
      </c>
      <c r="D1304" t="s">
        <v>7729</v>
      </c>
    </row>
    <row r="1305" spans="1:4" ht="20" customHeight="1">
      <c r="A1305" t="s">
        <v>7730</v>
      </c>
      <c r="B1305" t="s">
        <v>3753</v>
      </c>
      <c r="C1305">
        <v>4.41</v>
      </c>
      <c r="D1305" t="s">
        <v>7729</v>
      </c>
    </row>
    <row r="1306" spans="1:4" ht="20" customHeight="1">
      <c r="A1306" t="s">
        <v>7730</v>
      </c>
      <c r="B1306" t="s">
        <v>3756</v>
      </c>
      <c r="C1306">
        <v>4.41</v>
      </c>
      <c r="D1306" t="s">
        <v>7729</v>
      </c>
    </row>
    <row r="1307" spans="1:4" ht="20" customHeight="1">
      <c r="A1307" t="s">
        <v>7730</v>
      </c>
      <c r="B1307" t="s">
        <v>3759</v>
      </c>
      <c r="C1307">
        <v>4.35</v>
      </c>
      <c r="D1307" t="s">
        <v>7729</v>
      </c>
    </row>
    <row r="1308" spans="1:4" ht="20" customHeight="1">
      <c r="A1308" t="s">
        <v>7730</v>
      </c>
      <c r="B1308" t="s">
        <v>3762</v>
      </c>
      <c r="C1308">
        <v>4.35</v>
      </c>
      <c r="D1308" t="s">
        <v>7729</v>
      </c>
    </row>
    <row r="1309" spans="1:4" ht="20" customHeight="1">
      <c r="A1309" t="s">
        <v>7730</v>
      </c>
      <c r="B1309" t="s">
        <v>3765</v>
      </c>
      <c r="C1309">
        <v>4.34</v>
      </c>
      <c r="D1309" t="s">
        <v>7729</v>
      </c>
    </row>
    <row r="1310" spans="1:4" ht="20" customHeight="1">
      <c r="A1310" t="s">
        <v>7730</v>
      </c>
      <c r="B1310" t="s">
        <v>3768</v>
      </c>
      <c r="C1310">
        <v>4.32</v>
      </c>
      <c r="D1310" t="s">
        <v>7729</v>
      </c>
    </row>
    <row r="1311" spans="1:4" ht="20" customHeight="1">
      <c r="A1311" t="s">
        <v>7730</v>
      </c>
      <c r="B1311" t="s">
        <v>3771</v>
      </c>
      <c r="C1311">
        <v>4.32</v>
      </c>
      <c r="D1311" t="s">
        <v>7729</v>
      </c>
    </row>
    <row r="1312" spans="1:4" ht="20" customHeight="1">
      <c r="A1312" t="s">
        <v>7730</v>
      </c>
      <c r="B1312" t="s">
        <v>3774</v>
      </c>
      <c r="C1312">
        <v>4.32</v>
      </c>
      <c r="D1312" t="s">
        <v>7729</v>
      </c>
    </row>
    <row r="1313" spans="1:4" ht="20" customHeight="1">
      <c r="A1313" t="s">
        <v>7730</v>
      </c>
      <c r="B1313" t="s">
        <v>3777</v>
      </c>
      <c r="C1313">
        <v>4.34</v>
      </c>
      <c r="D1313" t="s">
        <v>7729</v>
      </c>
    </row>
    <row r="1314" spans="1:4" ht="20" customHeight="1">
      <c r="A1314" t="s">
        <v>7730</v>
      </c>
      <c r="B1314" t="s">
        <v>3780</v>
      </c>
      <c r="C1314">
        <v>4.33</v>
      </c>
      <c r="D1314" t="s">
        <v>7729</v>
      </c>
    </row>
    <row r="1315" spans="1:4" ht="20" customHeight="1">
      <c r="A1315" t="s">
        <v>7730</v>
      </c>
      <c r="B1315" t="s">
        <v>3783</v>
      </c>
      <c r="C1315">
        <v>4.29</v>
      </c>
      <c r="D1315" t="s">
        <v>7729</v>
      </c>
    </row>
    <row r="1316" spans="1:4" ht="20" customHeight="1">
      <c r="A1316" t="s">
        <v>7730</v>
      </c>
      <c r="B1316" t="s">
        <v>3786</v>
      </c>
      <c r="C1316">
        <v>4.3</v>
      </c>
      <c r="D1316" t="s">
        <v>7729</v>
      </c>
    </row>
    <row r="1317" spans="1:4" ht="20" customHeight="1">
      <c r="A1317" t="s">
        <v>7730</v>
      </c>
      <c r="B1317" t="s">
        <v>3789</v>
      </c>
      <c r="C1317">
        <v>4.3</v>
      </c>
      <c r="D1317" t="s">
        <v>7729</v>
      </c>
    </row>
    <row r="1318" spans="1:4" ht="20" customHeight="1">
      <c r="A1318" t="s">
        <v>7730</v>
      </c>
      <c r="B1318" t="s">
        <v>3792</v>
      </c>
      <c r="C1318">
        <v>4.33</v>
      </c>
      <c r="D1318" t="s">
        <v>7729</v>
      </c>
    </row>
    <row r="1319" spans="1:4" ht="20" customHeight="1">
      <c r="A1319" t="s">
        <v>7730</v>
      </c>
      <c r="B1319" t="s">
        <v>3795</v>
      </c>
      <c r="C1319">
        <v>4.3</v>
      </c>
      <c r="D1319" t="s">
        <v>7729</v>
      </c>
    </row>
    <row r="1320" spans="1:4" ht="20" customHeight="1">
      <c r="A1320" t="s">
        <v>7730</v>
      </c>
      <c r="B1320" t="s">
        <v>3798</v>
      </c>
      <c r="C1320">
        <v>4.3</v>
      </c>
      <c r="D1320" t="s">
        <v>7729</v>
      </c>
    </row>
    <row r="1321" spans="1:4" ht="20" customHeight="1">
      <c r="A1321" t="s">
        <v>7730</v>
      </c>
      <c r="B1321" t="s">
        <v>3801</v>
      </c>
      <c r="C1321">
        <v>4.32</v>
      </c>
      <c r="D1321" t="s">
        <v>7729</v>
      </c>
    </row>
    <row r="1322" spans="1:4" ht="20" customHeight="1">
      <c r="A1322" t="s">
        <v>7730</v>
      </c>
      <c r="B1322" t="s">
        <v>3804</v>
      </c>
      <c r="C1322">
        <v>4.27</v>
      </c>
      <c r="D1322" t="s">
        <v>7729</v>
      </c>
    </row>
    <row r="1323" spans="1:4" ht="20" customHeight="1">
      <c r="A1323" t="s">
        <v>7730</v>
      </c>
      <c r="B1323" t="s">
        <v>3807</v>
      </c>
      <c r="C1323">
        <v>4.29</v>
      </c>
      <c r="D1323" t="s">
        <v>7729</v>
      </c>
    </row>
    <row r="1324" spans="1:4" ht="20" customHeight="1">
      <c r="A1324" t="s">
        <v>7730</v>
      </c>
      <c r="B1324" t="s">
        <v>3810</v>
      </c>
      <c r="C1324">
        <v>4.28</v>
      </c>
      <c r="D1324" t="s">
        <v>7729</v>
      </c>
    </row>
    <row r="1325" spans="1:4" ht="20" customHeight="1">
      <c r="A1325" t="s">
        <v>7730</v>
      </c>
      <c r="B1325" t="s">
        <v>3813</v>
      </c>
      <c r="C1325">
        <v>4.26</v>
      </c>
      <c r="D1325" t="s">
        <v>7729</v>
      </c>
    </row>
    <row r="1326" spans="1:4" ht="20" customHeight="1">
      <c r="A1326" t="s">
        <v>7730</v>
      </c>
      <c r="B1326" t="s">
        <v>3816</v>
      </c>
      <c r="C1326">
        <v>4.26</v>
      </c>
      <c r="D1326" t="s">
        <v>7729</v>
      </c>
    </row>
    <row r="1327" spans="1:4" ht="20" customHeight="1">
      <c r="A1327" t="s">
        <v>7730</v>
      </c>
      <c r="B1327" t="s">
        <v>3819</v>
      </c>
      <c r="C1327">
        <v>4.23</v>
      </c>
      <c r="D1327" t="s">
        <v>7729</v>
      </c>
    </row>
    <row r="1328" spans="1:4" ht="20" customHeight="1">
      <c r="A1328" t="s">
        <v>7730</v>
      </c>
      <c r="B1328" t="s">
        <v>3822</v>
      </c>
      <c r="C1328">
        <v>4.2</v>
      </c>
      <c r="D1328" t="s">
        <v>7729</v>
      </c>
    </row>
    <row r="1329" spans="1:4" ht="20" customHeight="1">
      <c r="A1329" t="s">
        <v>7730</v>
      </c>
      <c r="B1329" t="s">
        <v>3825</v>
      </c>
      <c r="C1329">
        <v>4.18</v>
      </c>
      <c r="D1329" t="s">
        <v>7729</v>
      </c>
    </row>
    <row r="1330" spans="1:4" ht="20" customHeight="1">
      <c r="A1330" t="s">
        <v>7730</v>
      </c>
      <c r="B1330" t="s">
        <v>3828</v>
      </c>
      <c r="C1330">
        <v>4.16</v>
      </c>
      <c r="D1330" t="s">
        <v>7729</v>
      </c>
    </row>
    <row r="1331" spans="1:4" ht="20" customHeight="1">
      <c r="A1331" t="s">
        <v>7730</v>
      </c>
      <c r="B1331" t="s">
        <v>3831</v>
      </c>
      <c r="C1331">
        <v>4.07</v>
      </c>
      <c r="D1331" t="s">
        <v>7729</v>
      </c>
    </row>
    <row r="1332" spans="1:4" ht="20" customHeight="1">
      <c r="A1332" t="s">
        <v>7730</v>
      </c>
      <c r="B1332" t="s">
        <v>3834</v>
      </c>
      <c r="C1332">
        <v>4.1</v>
      </c>
      <c r="D1332" t="s">
        <v>7729</v>
      </c>
    </row>
    <row r="1333" spans="1:4" ht="20" customHeight="1">
      <c r="A1333" t="s">
        <v>7730</v>
      </c>
      <c r="B1333" t="s">
        <v>3837</v>
      </c>
      <c r="C1333">
        <v>4.1</v>
      </c>
      <c r="D1333" t="s">
        <v>7729</v>
      </c>
    </row>
    <row r="1334" spans="1:4" ht="20" customHeight="1">
      <c r="A1334" t="s">
        <v>7730</v>
      </c>
      <c r="B1334" t="s">
        <v>3840</v>
      </c>
      <c r="C1334">
        <v>4.09</v>
      </c>
      <c r="D1334" t="s">
        <v>7729</v>
      </c>
    </row>
    <row r="1335" spans="1:4" ht="20" customHeight="1">
      <c r="A1335" t="s">
        <v>7730</v>
      </c>
      <c r="B1335" t="s">
        <v>3843</v>
      </c>
      <c r="C1335">
        <v>4.08</v>
      </c>
      <c r="D1335" t="s">
        <v>7729</v>
      </c>
    </row>
    <row r="1336" spans="1:4" ht="20" customHeight="1">
      <c r="A1336" t="s">
        <v>7730</v>
      </c>
      <c r="B1336" t="s">
        <v>3846</v>
      </c>
      <c r="C1336">
        <v>4.08</v>
      </c>
      <c r="D1336" t="s">
        <v>7729</v>
      </c>
    </row>
    <row r="1337" spans="1:4" ht="20" customHeight="1">
      <c r="A1337" t="s">
        <v>7730</v>
      </c>
      <c r="B1337" t="s">
        <v>3849</v>
      </c>
      <c r="C1337">
        <v>4.06</v>
      </c>
      <c r="D1337" t="s">
        <v>7729</v>
      </c>
    </row>
    <row r="1338" spans="1:4" ht="20" customHeight="1">
      <c r="A1338" t="s">
        <v>7730</v>
      </c>
      <c r="B1338" t="s">
        <v>3852</v>
      </c>
      <c r="C1338">
        <v>4.04</v>
      </c>
      <c r="D1338" t="s">
        <v>7729</v>
      </c>
    </row>
    <row r="1339" spans="1:4" ht="20" customHeight="1">
      <c r="A1339" t="s">
        <v>7730</v>
      </c>
      <c r="B1339" t="s">
        <v>3855</v>
      </c>
      <c r="C1339">
        <v>4.02</v>
      </c>
      <c r="D1339" t="s">
        <v>7729</v>
      </c>
    </row>
    <row r="1340" spans="1:4" ht="20" customHeight="1">
      <c r="A1340" t="s">
        <v>7730</v>
      </c>
      <c r="B1340" t="s">
        <v>3858</v>
      </c>
      <c r="C1340">
        <v>4.03</v>
      </c>
      <c r="D1340" t="s">
        <v>7729</v>
      </c>
    </row>
    <row r="1341" spans="1:4" ht="20" customHeight="1">
      <c r="A1341" t="s">
        <v>7730</v>
      </c>
      <c r="B1341" t="s">
        <v>3861</v>
      </c>
      <c r="C1341">
        <v>4.03</v>
      </c>
      <c r="D1341" t="s">
        <v>7729</v>
      </c>
    </row>
    <row r="1342" spans="1:4" ht="20" customHeight="1">
      <c r="A1342" t="s">
        <v>7730</v>
      </c>
      <c r="B1342" t="s">
        <v>3864</v>
      </c>
      <c r="C1342">
        <v>4</v>
      </c>
      <c r="D1342" t="s">
        <v>7729</v>
      </c>
    </row>
    <row r="1343" spans="1:4" ht="20" customHeight="1">
      <c r="A1343" t="s">
        <v>7730</v>
      </c>
      <c r="B1343" t="s">
        <v>3867</v>
      </c>
      <c r="C1343">
        <v>4</v>
      </c>
      <c r="D1343" t="s">
        <v>7729</v>
      </c>
    </row>
    <row r="1344" spans="1:4" ht="20" customHeight="1">
      <c r="A1344" t="s">
        <v>7730</v>
      </c>
      <c r="B1344" t="s">
        <v>3870</v>
      </c>
      <c r="C1344">
        <v>4.02</v>
      </c>
      <c r="D1344" t="s">
        <v>7729</v>
      </c>
    </row>
    <row r="1345" spans="1:4" ht="20" customHeight="1">
      <c r="A1345" t="s">
        <v>7730</v>
      </c>
      <c r="B1345" t="s">
        <v>3873</v>
      </c>
      <c r="C1345">
        <v>4.04</v>
      </c>
      <c r="D1345" t="s">
        <v>7729</v>
      </c>
    </row>
    <row r="1346" spans="1:4" ht="20" customHeight="1">
      <c r="A1346" t="s">
        <v>7730</v>
      </c>
      <c r="B1346" t="s">
        <v>3876</v>
      </c>
      <c r="C1346">
        <v>4.02</v>
      </c>
      <c r="D1346" t="s">
        <v>7729</v>
      </c>
    </row>
    <row r="1347" spans="1:4" ht="20" customHeight="1">
      <c r="A1347" t="s">
        <v>7730</v>
      </c>
      <c r="B1347" t="s">
        <v>3879</v>
      </c>
      <c r="C1347">
        <v>4.04</v>
      </c>
      <c r="D1347" t="s">
        <v>7729</v>
      </c>
    </row>
    <row r="1348" spans="1:4" ht="20" customHeight="1">
      <c r="A1348" t="s">
        <v>7730</v>
      </c>
      <c r="B1348" t="s">
        <v>3882</v>
      </c>
      <c r="C1348">
        <v>4.02</v>
      </c>
      <c r="D1348" t="s">
        <v>7729</v>
      </c>
    </row>
    <row r="1349" spans="1:4" ht="20" customHeight="1">
      <c r="A1349" t="s">
        <v>7730</v>
      </c>
      <c r="B1349" t="s">
        <v>3885</v>
      </c>
      <c r="C1349">
        <v>4.01</v>
      </c>
      <c r="D1349" t="s">
        <v>7729</v>
      </c>
    </row>
    <row r="1350" spans="1:4" ht="20" customHeight="1">
      <c r="A1350" t="s">
        <v>7730</v>
      </c>
      <c r="B1350" t="s">
        <v>3888</v>
      </c>
      <c r="C1350">
        <v>4.02</v>
      </c>
      <c r="D1350" t="s">
        <v>7729</v>
      </c>
    </row>
    <row r="1351" spans="1:4" ht="20" customHeight="1">
      <c r="A1351" t="s">
        <v>7730</v>
      </c>
      <c r="B1351" t="s">
        <v>3891</v>
      </c>
      <c r="C1351">
        <v>4.03</v>
      </c>
      <c r="D1351" t="s">
        <v>7729</v>
      </c>
    </row>
    <row r="1352" spans="1:4" ht="20" customHeight="1">
      <c r="A1352" t="s">
        <v>7730</v>
      </c>
      <c r="B1352" t="s">
        <v>3894</v>
      </c>
      <c r="C1352">
        <v>4.02</v>
      </c>
      <c r="D1352" t="s">
        <v>7729</v>
      </c>
    </row>
    <row r="1353" spans="1:4" ht="20" customHeight="1">
      <c r="A1353" t="s">
        <v>7730</v>
      </c>
      <c r="B1353" t="s">
        <v>3897</v>
      </c>
      <c r="C1353">
        <v>4.01</v>
      </c>
      <c r="D1353" t="s">
        <v>7729</v>
      </c>
    </row>
    <row r="1354" spans="1:4" ht="20" customHeight="1">
      <c r="A1354" t="s">
        <v>7730</v>
      </c>
      <c r="B1354" t="s">
        <v>3900</v>
      </c>
      <c r="C1354">
        <v>4.01</v>
      </c>
      <c r="D1354" t="s">
        <v>7729</v>
      </c>
    </row>
    <row r="1355" spans="1:4" ht="20" customHeight="1">
      <c r="A1355" t="s">
        <v>7730</v>
      </c>
      <c r="B1355" t="s">
        <v>3903</v>
      </c>
      <c r="C1355">
        <v>4.03</v>
      </c>
      <c r="D1355" t="s">
        <v>7729</v>
      </c>
    </row>
    <row r="1356" spans="1:4" ht="20" customHeight="1">
      <c r="A1356" t="s">
        <v>7730</v>
      </c>
      <c r="B1356" t="s">
        <v>3906</v>
      </c>
      <c r="C1356">
        <v>4.02</v>
      </c>
      <c r="D1356" t="s">
        <v>7729</v>
      </c>
    </row>
    <row r="1357" spans="1:4" ht="20" customHeight="1">
      <c r="A1357" t="s">
        <v>7730</v>
      </c>
      <c r="B1357" t="s">
        <v>3912</v>
      </c>
      <c r="C1357">
        <v>4.02</v>
      </c>
      <c r="D1357" t="s">
        <v>7729</v>
      </c>
    </row>
    <row r="1358" spans="1:4" ht="20" customHeight="1">
      <c r="A1358" t="s">
        <v>7730</v>
      </c>
      <c r="B1358" t="s">
        <v>3915</v>
      </c>
      <c r="C1358">
        <v>4.03</v>
      </c>
      <c r="D1358" t="s">
        <v>7729</v>
      </c>
    </row>
    <row r="1359" spans="1:4" ht="20" customHeight="1">
      <c r="A1359" t="s">
        <v>7730</v>
      </c>
      <c r="B1359" t="s">
        <v>3918</v>
      </c>
      <c r="C1359">
        <v>4.02</v>
      </c>
      <c r="D1359" t="s">
        <v>7729</v>
      </c>
    </row>
    <row r="1360" spans="1:4" ht="20" customHeight="1">
      <c r="A1360" t="s">
        <v>7730</v>
      </c>
      <c r="B1360" t="s">
        <v>3921</v>
      </c>
      <c r="C1360">
        <v>4</v>
      </c>
      <c r="D1360" t="s">
        <v>7729</v>
      </c>
    </row>
    <row r="1361" spans="1:4" ht="20" customHeight="1">
      <c r="A1361" t="s">
        <v>7730</v>
      </c>
      <c r="B1361" t="s">
        <v>3924</v>
      </c>
      <c r="C1361">
        <v>3.97</v>
      </c>
      <c r="D1361" t="s">
        <v>7729</v>
      </c>
    </row>
    <row r="1362" spans="1:4" ht="20" customHeight="1">
      <c r="A1362" t="s">
        <v>7730</v>
      </c>
      <c r="B1362" t="s">
        <v>3927</v>
      </c>
      <c r="C1362">
        <v>3.96</v>
      </c>
      <c r="D1362" t="s">
        <v>7729</v>
      </c>
    </row>
    <row r="1363" spans="1:4" ht="20" customHeight="1">
      <c r="A1363" t="s">
        <v>7730</v>
      </c>
      <c r="B1363" t="s">
        <v>3930</v>
      </c>
      <c r="C1363">
        <v>3.96</v>
      </c>
      <c r="D1363" t="s">
        <v>7729</v>
      </c>
    </row>
    <row r="1364" spans="1:4" ht="20" customHeight="1">
      <c r="A1364" t="s">
        <v>7730</v>
      </c>
      <c r="B1364" t="s">
        <v>3933</v>
      </c>
      <c r="C1364">
        <v>3.95</v>
      </c>
      <c r="D1364" t="s">
        <v>7729</v>
      </c>
    </row>
    <row r="1365" spans="1:4" ht="20" customHeight="1">
      <c r="A1365" t="s">
        <v>7730</v>
      </c>
      <c r="B1365" t="s">
        <v>3936</v>
      </c>
      <c r="C1365">
        <v>3.93</v>
      </c>
      <c r="D1365" t="s">
        <v>7729</v>
      </c>
    </row>
    <row r="1366" spans="1:4" ht="20" customHeight="1">
      <c r="A1366" t="s">
        <v>7730</v>
      </c>
      <c r="B1366" t="s">
        <v>3939</v>
      </c>
      <c r="C1366">
        <v>3.89</v>
      </c>
      <c r="D1366" t="s">
        <v>7729</v>
      </c>
    </row>
    <row r="1367" spans="1:4" ht="20" customHeight="1">
      <c r="A1367" t="s">
        <v>7730</v>
      </c>
      <c r="B1367" t="s">
        <v>3942</v>
      </c>
      <c r="C1367">
        <v>3.89</v>
      </c>
      <c r="D1367" t="s">
        <v>7729</v>
      </c>
    </row>
    <row r="1368" spans="1:4" ht="20" customHeight="1">
      <c r="A1368" t="s">
        <v>7730</v>
      </c>
      <c r="B1368" t="s">
        <v>3945</v>
      </c>
      <c r="C1368">
        <v>3.93</v>
      </c>
      <c r="D1368" t="s">
        <v>7729</v>
      </c>
    </row>
    <row r="1369" spans="1:4" ht="20" customHeight="1">
      <c r="A1369" t="s">
        <v>7730</v>
      </c>
      <c r="B1369" t="s">
        <v>3948</v>
      </c>
      <c r="C1369">
        <v>3.92</v>
      </c>
      <c r="D1369" t="s">
        <v>7729</v>
      </c>
    </row>
    <row r="1370" spans="1:4" ht="20" customHeight="1">
      <c r="A1370" t="s">
        <v>7730</v>
      </c>
      <c r="B1370" t="s">
        <v>3951</v>
      </c>
      <c r="C1370">
        <v>3.89</v>
      </c>
      <c r="D1370" t="s">
        <v>7729</v>
      </c>
    </row>
    <row r="1371" spans="1:4" ht="20" customHeight="1">
      <c r="A1371" t="s">
        <v>7730</v>
      </c>
      <c r="B1371" t="s">
        <v>3954</v>
      </c>
      <c r="C1371">
        <v>3.98</v>
      </c>
      <c r="D1371" t="s">
        <v>7729</v>
      </c>
    </row>
    <row r="1372" spans="1:4" ht="20" customHeight="1">
      <c r="A1372" t="s">
        <v>7730</v>
      </c>
      <c r="B1372" t="s">
        <v>3957</v>
      </c>
      <c r="C1372">
        <v>3.96</v>
      </c>
      <c r="D1372" t="s">
        <v>7729</v>
      </c>
    </row>
    <row r="1373" spans="1:4" ht="20" customHeight="1">
      <c r="A1373" t="s">
        <v>7730</v>
      </c>
      <c r="B1373" t="s">
        <v>3960</v>
      </c>
      <c r="C1373">
        <v>3.96</v>
      </c>
      <c r="D1373" t="s">
        <v>7729</v>
      </c>
    </row>
    <row r="1374" spans="1:4" ht="20" customHeight="1">
      <c r="A1374" t="s">
        <v>7730</v>
      </c>
      <c r="B1374" t="s">
        <v>3963</v>
      </c>
      <c r="C1374">
        <v>3.93</v>
      </c>
      <c r="D1374" t="s">
        <v>7729</v>
      </c>
    </row>
    <row r="1375" spans="1:4" ht="20" customHeight="1">
      <c r="A1375" t="s">
        <v>7730</v>
      </c>
      <c r="B1375" t="s">
        <v>3966</v>
      </c>
      <c r="C1375">
        <v>3.92</v>
      </c>
      <c r="D1375" t="s">
        <v>7729</v>
      </c>
    </row>
    <row r="1376" spans="1:4" ht="20" customHeight="1">
      <c r="A1376" t="s">
        <v>7730</v>
      </c>
      <c r="B1376" t="s">
        <v>3969</v>
      </c>
      <c r="C1376">
        <v>3.95</v>
      </c>
      <c r="D1376" t="s">
        <v>7729</v>
      </c>
    </row>
    <row r="1377" spans="1:4" ht="20" customHeight="1">
      <c r="A1377" t="s">
        <v>7730</v>
      </c>
      <c r="B1377" t="s">
        <v>3975</v>
      </c>
      <c r="C1377">
        <v>3.95</v>
      </c>
      <c r="D1377" t="s">
        <v>7729</v>
      </c>
    </row>
    <row r="1378" spans="1:4" ht="20" customHeight="1">
      <c r="A1378" t="s">
        <v>7730</v>
      </c>
      <c r="B1378" t="s">
        <v>3978</v>
      </c>
      <c r="C1378">
        <v>3.96</v>
      </c>
      <c r="D1378" t="s">
        <v>7729</v>
      </c>
    </row>
    <row r="1379" spans="1:4" ht="20" customHeight="1">
      <c r="A1379" t="s">
        <v>7730</v>
      </c>
      <c r="B1379" t="s">
        <v>3981</v>
      </c>
      <c r="C1379">
        <v>3.95</v>
      </c>
      <c r="D1379" t="s">
        <v>7729</v>
      </c>
    </row>
    <row r="1380" spans="1:4" ht="20" customHeight="1">
      <c r="A1380" t="s">
        <v>7730</v>
      </c>
      <c r="B1380" t="s">
        <v>3984</v>
      </c>
      <c r="C1380">
        <v>3.97</v>
      </c>
      <c r="D1380" t="s">
        <v>7729</v>
      </c>
    </row>
    <row r="1381" spans="1:4" ht="20" customHeight="1">
      <c r="A1381" t="s">
        <v>7730</v>
      </c>
      <c r="B1381" t="s">
        <v>3987</v>
      </c>
      <c r="C1381">
        <v>3.94</v>
      </c>
      <c r="D1381" t="s">
        <v>7729</v>
      </c>
    </row>
    <row r="1382" spans="1:4" ht="20" customHeight="1">
      <c r="A1382" t="s">
        <v>7730</v>
      </c>
      <c r="B1382" t="s">
        <v>3990</v>
      </c>
      <c r="C1382">
        <v>3.95</v>
      </c>
      <c r="D1382" t="s">
        <v>7729</v>
      </c>
    </row>
    <row r="1383" spans="1:4" ht="20" customHeight="1">
      <c r="A1383" t="s">
        <v>7730</v>
      </c>
      <c r="B1383" t="s">
        <v>3993</v>
      </c>
      <c r="C1383">
        <v>3.94</v>
      </c>
      <c r="D1383" t="s">
        <v>7729</v>
      </c>
    </row>
    <row r="1384" spans="1:4" ht="20" customHeight="1">
      <c r="A1384" t="s">
        <v>7730</v>
      </c>
      <c r="B1384" t="s">
        <v>3996</v>
      </c>
      <c r="C1384">
        <v>3.9</v>
      </c>
      <c r="D1384" t="s">
        <v>7729</v>
      </c>
    </row>
    <row r="1385" spans="1:4" ht="20" customHeight="1">
      <c r="A1385" t="s">
        <v>7730</v>
      </c>
      <c r="B1385" t="s">
        <v>3999</v>
      </c>
      <c r="C1385">
        <v>3.91</v>
      </c>
      <c r="D1385" t="s">
        <v>7729</v>
      </c>
    </row>
    <row r="1386" spans="1:4" ht="20" customHeight="1">
      <c r="A1386" t="s">
        <v>7730</v>
      </c>
      <c r="B1386" t="s">
        <v>4002</v>
      </c>
      <c r="C1386">
        <v>3.9</v>
      </c>
      <c r="D1386" t="s">
        <v>7729</v>
      </c>
    </row>
    <row r="1387" spans="1:4" ht="20" customHeight="1">
      <c r="A1387" t="s">
        <v>7730</v>
      </c>
      <c r="B1387" t="s">
        <v>4005</v>
      </c>
      <c r="C1387">
        <v>3.92</v>
      </c>
      <c r="D1387" t="s">
        <v>7729</v>
      </c>
    </row>
    <row r="1388" spans="1:4" ht="20" customHeight="1">
      <c r="A1388" t="s">
        <v>7730</v>
      </c>
      <c r="B1388" t="s">
        <v>4008</v>
      </c>
      <c r="C1388">
        <v>3.88</v>
      </c>
      <c r="D1388" t="s">
        <v>7729</v>
      </c>
    </row>
    <row r="1389" spans="1:4" ht="20" customHeight="1">
      <c r="A1389" t="s">
        <v>7730</v>
      </c>
      <c r="B1389" t="s">
        <v>4011</v>
      </c>
      <c r="C1389">
        <v>3.81</v>
      </c>
      <c r="D1389" t="s">
        <v>7729</v>
      </c>
    </row>
    <row r="1390" spans="1:4" ht="20" customHeight="1">
      <c r="A1390" t="s">
        <v>7730</v>
      </c>
      <c r="B1390" t="s">
        <v>4014</v>
      </c>
      <c r="C1390">
        <v>3.77</v>
      </c>
      <c r="D1390" t="s">
        <v>7729</v>
      </c>
    </row>
    <row r="1391" spans="1:4" ht="20" customHeight="1">
      <c r="A1391" t="s">
        <v>7730</v>
      </c>
      <c r="B1391" t="s">
        <v>4017</v>
      </c>
      <c r="C1391">
        <v>3.72</v>
      </c>
      <c r="D1391" t="s">
        <v>7729</v>
      </c>
    </row>
    <row r="1392" spans="1:4" ht="20" customHeight="1">
      <c r="A1392" t="s">
        <v>7730</v>
      </c>
      <c r="B1392" t="s">
        <v>4020</v>
      </c>
      <c r="C1392">
        <v>3.71</v>
      </c>
      <c r="D1392" t="s">
        <v>7729</v>
      </c>
    </row>
    <row r="1393" spans="1:4" ht="20" customHeight="1">
      <c r="A1393" t="s">
        <v>7730</v>
      </c>
      <c r="B1393" t="s">
        <v>4023</v>
      </c>
      <c r="C1393">
        <v>3.71</v>
      </c>
      <c r="D1393" t="s">
        <v>7729</v>
      </c>
    </row>
    <row r="1394" spans="1:4" ht="20" customHeight="1">
      <c r="A1394" t="s">
        <v>7730</v>
      </c>
      <c r="B1394" t="s">
        <v>4026</v>
      </c>
      <c r="C1394">
        <v>3.73</v>
      </c>
      <c r="D1394" t="s">
        <v>7729</v>
      </c>
    </row>
    <row r="1395" spans="1:4" ht="20" customHeight="1">
      <c r="A1395" t="s">
        <v>7730</v>
      </c>
      <c r="B1395" t="s">
        <v>4029</v>
      </c>
      <c r="C1395">
        <v>3.73</v>
      </c>
      <c r="D1395" t="s">
        <v>7729</v>
      </c>
    </row>
    <row r="1396" spans="1:4" ht="20" customHeight="1">
      <c r="A1396" t="s">
        <v>7730</v>
      </c>
      <c r="B1396" t="s">
        <v>4032</v>
      </c>
      <c r="C1396">
        <v>3.69</v>
      </c>
      <c r="D1396" t="s">
        <v>7729</v>
      </c>
    </row>
    <row r="1397" spans="1:4" ht="20" customHeight="1">
      <c r="A1397" t="s">
        <v>7730</v>
      </c>
      <c r="B1397" t="s">
        <v>4035</v>
      </c>
      <c r="C1397">
        <v>3.66</v>
      </c>
      <c r="D1397" t="s">
        <v>7729</v>
      </c>
    </row>
    <row r="1398" spans="1:4" ht="20" customHeight="1">
      <c r="A1398" t="s">
        <v>7730</v>
      </c>
      <c r="B1398" t="s">
        <v>4038</v>
      </c>
      <c r="C1398">
        <v>3.63</v>
      </c>
      <c r="D1398" t="s">
        <v>7729</v>
      </c>
    </row>
    <row r="1399" spans="1:4" ht="20" customHeight="1">
      <c r="A1399" t="s">
        <v>7730</v>
      </c>
      <c r="B1399" t="s">
        <v>4041</v>
      </c>
      <c r="C1399">
        <v>3.65</v>
      </c>
      <c r="D1399" t="s">
        <v>7729</v>
      </c>
    </row>
    <row r="1400" spans="1:4" ht="20" customHeight="1">
      <c r="A1400" t="s">
        <v>7730</v>
      </c>
      <c r="B1400" t="s">
        <v>4044</v>
      </c>
      <c r="C1400">
        <v>3.64</v>
      </c>
      <c r="D1400" t="s">
        <v>7729</v>
      </c>
    </row>
    <row r="1401" spans="1:4" ht="20" customHeight="1">
      <c r="A1401" t="s">
        <v>7730</v>
      </c>
      <c r="B1401" t="s">
        <v>4047</v>
      </c>
      <c r="C1401">
        <v>3.64</v>
      </c>
      <c r="D1401" t="s">
        <v>7729</v>
      </c>
    </row>
    <row r="1402" spans="1:4" ht="20" customHeight="1">
      <c r="A1402" t="s">
        <v>7730</v>
      </c>
      <c r="B1402" t="s">
        <v>4050</v>
      </c>
      <c r="C1402">
        <v>3.62</v>
      </c>
      <c r="D1402" t="s">
        <v>7729</v>
      </c>
    </row>
    <row r="1403" spans="1:4" ht="20" customHeight="1">
      <c r="A1403" t="s">
        <v>7730</v>
      </c>
      <c r="B1403" t="s">
        <v>4053</v>
      </c>
      <c r="C1403">
        <v>3.62</v>
      </c>
      <c r="D1403" t="s">
        <v>7729</v>
      </c>
    </row>
    <row r="1404" spans="1:4" ht="20" customHeight="1">
      <c r="A1404" t="s">
        <v>7730</v>
      </c>
      <c r="B1404" t="s">
        <v>4056</v>
      </c>
      <c r="C1404">
        <v>3.64</v>
      </c>
      <c r="D1404" t="s">
        <v>7729</v>
      </c>
    </row>
    <row r="1405" spans="1:4" ht="20" customHeight="1">
      <c r="A1405" t="s">
        <v>7730</v>
      </c>
      <c r="B1405" t="s">
        <v>4059</v>
      </c>
      <c r="C1405">
        <v>3.65</v>
      </c>
      <c r="D1405" t="s">
        <v>7729</v>
      </c>
    </row>
    <row r="1406" spans="1:4" ht="20" customHeight="1">
      <c r="A1406" t="s">
        <v>7730</v>
      </c>
      <c r="B1406" t="s">
        <v>4062</v>
      </c>
      <c r="C1406">
        <v>3.69</v>
      </c>
      <c r="D1406" t="s">
        <v>7729</v>
      </c>
    </row>
    <row r="1407" spans="1:4" ht="20" customHeight="1">
      <c r="A1407" t="s">
        <v>7730</v>
      </c>
      <c r="B1407" t="s">
        <v>4065</v>
      </c>
      <c r="C1407">
        <v>3.64</v>
      </c>
      <c r="D1407" t="s">
        <v>7729</v>
      </c>
    </row>
    <row r="1408" spans="1:4" ht="20" customHeight="1">
      <c r="A1408" t="s">
        <v>7730</v>
      </c>
      <c r="B1408" t="s">
        <v>4068</v>
      </c>
      <c r="C1408">
        <v>3.68</v>
      </c>
      <c r="D1408" t="s">
        <v>7729</v>
      </c>
    </row>
    <row r="1409" spans="1:4" ht="20" customHeight="1">
      <c r="A1409" t="s">
        <v>7730</v>
      </c>
      <c r="B1409" t="s">
        <v>4071</v>
      </c>
      <c r="C1409">
        <v>3.65</v>
      </c>
      <c r="D1409" t="s">
        <v>7729</v>
      </c>
    </row>
    <row r="1410" spans="1:4" ht="20" customHeight="1">
      <c r="A1410" t="s">
        <v>7730</v>
      </c>
      <c r="B1410" t="s">
        <v>4074</v>
      </c>
      <c r="C1410">
        <v>3.67</v>
      </c>
      <c r="D1410" t="s">
        <v>7729</v>
      </c>
    </row>
    <row r="1411" spans="1:4" ht="20" customHeight="1">
      <c r="A1411" t="s">
        <v>7730</v>
      </c>
      <c r="B1411" t="s">
        <v>4077</v>
      </c>
      <c r="C1411">
        <v>3.65</v>
      </c>
      <c r="D1411" t="s">
        <v>7729</v>
      </c>
    </row>
    <row r="1412" spans="1:4" ht="20" customHeight="1">
      <c r="A1412" t="s">
        <v>7730</v>
      </c>
      <c r="B1412" t="s">
        <v>4080</v>
      </c>
      <c r="C1412">
        <v>3.64</v>
      </c>
      <c r="D1412" t="s">
        <v>7729</v>
      </c>
    </row>
    <row r="1413" spans="1:4" ht="20" customHeight="1">
      <c r="A1413" t="s">
        <v>7730</v>
      </c>
      <c r="B1413" t="s">
        <v>4083</v>
      </c>
      <c r="C1413">
        <v>3.63</v>
      </c>
      <c r="D1413" t="s">
        <v>7729</v>
      </c>
    </row>
    <row r="1414" spans="1:4" ht="20" customHeight="1">
      <c r="A1414" t="s">
        <v>7730</v>
      </c>
      <c r="B1414" t="s">
        <v>4086</v>
      </c>
      <c r="C1414">
        <v>3.62</v>
      </c>
      <c r="D1414" t="s">
        <v>7729</v>
      </c>
    </row>
    <row r="1415" spans="1:4" ht="20" customHeight="1">
      <c r="A1415" t="s">
        <v>7730</v>
      </c>
      <c r="B1415" t="s">
        <v>4089</v>
      </c>
      <c r="C1415">
        <v>3.62</v>
      </c>
      <c r="D1415" t="s">
        <v>7729</v>
      </c>
    </row>
    <row r="1416" spans="1:4" ht="20" customHeight="1">
      <c r="A1416" t="s">
        <v>7730</v>
      </c>
      <c r="B1416" t="s">
        <v>4092</v>
      </c>
      <c r="C1416">
        <v>3.62</v>
      </c>
      <c r="D1416" t="s">
        <v>7729</v>
      </c>
    </row>
    <row r="1417" spans="1:4" ht="20" customHeight="1">
      <c r="A1417" t="s">
        <v>7730</v>
      </c>
      <c r="B1417" t="s">
        <v>4095</v>
      </c>
      <c r="C1417">
        <v>3.67</v>
      </c>
      <c r="D1417" t="s">
        <v>7729</v>
      </c>
    </row>
    <row r="1418" spans="1:4" ht="20" customHeight="1">
      <c r="A1418" t="s">
        <v>7730</v>
      </c>
      <c r="B1418" t="s">
        <v>4098</v>
      </c>
      <c r="C1418">
        <v>3.67</v>
      </c>
      <c r="D1418" t="s">
        <v>7729</v>
      </c>
    </row>
    <row r="1419" spans="1:4" ht="20" customHeight="1">
      <c r="A1419" t="s">
        <v>7730</v>
      </c>
      <c r="B1419" t="s">
        <v>4101</v>
      </c>
      <c r="C1419">
        <v>3.67</v>
      </c>
      <c r="D1419" t="s">
        <v>7729</v>
      </c>
    </row>
    <row r="1420" spans="1:4" ht="20" customHeight="1">
      <c r="A1420" t="s">
        <v>7730</v>
      </c>
      <c r="B1420" t="s">
        <v>4104</v>
      </c>
      <c r="C1420">
        <v>3.68</v>
      </c>
      <c r="D1420" t="s">
        <v>7729</v>
      </c>
    </row>
    <row r="1421" spans="1:4" ht="20" customHeight="1">
      <c r="A1421" t="s">
        <v>7730</v>
      </c>
      <c r="B1421" t="s">
        <v>4107</v>
      </c>
      <c r="C1421">
        <v>3.67</v>
      </c>
      <c r="D1421" t="s">
        <v>7729</v>
      </c>
    </row>
    <row r="1422" spans="1:4" ht="20" customHeight="1">
      <c r="A1422" t="s">
        <v>7730</v>
      </c>
      <c r="B1422" t="s">
        <v>4110</v>
      </c>
      <c r="C1422">
        <v>3.7</v>
      </c>
      <c r="D1422" t="s">
        <v>7729</v>
      </c>
    </row>
    <row r="1423" spans="1:4" ht="20" customHeight="1">
      <c r="A1423" t="s">
        <v>7730</v>
      </c>
      <c r="B1423" t="s">
        <v>4113</v>
      </c>
      <c r="C1423">
        <v>3.7</v>
      </c>
      <c r="D1423" t="s">
        <v>7729</v>
      </c>
    </row>
    <row r="1424" spans="1:4" ht="20" customHeight="1">
      <c r="A1424" t="s">
        <v>7730</v>
      </c>
      <c r="B1424" t="s">
        <v>4116</v>
      </c>
      <c r="C1424">
        <v>3.71</v>
      </c>
      <c r="D1424" t="s">
        <v>7729</v>
      </c>
    </row>
    <row r="1425" spans="1:4" ht="20" customHeight="1">
      <c r="A1425" t="s">
        <v>7730</v>
      </c>
      <c r="B1425" t="s">
        <v>4119</v>
      </c>
      <c r="C1425">
        <v>3.7</v>
      </c>
      <c r="D1425" t="s">
        <v>7729</v>
      </c>
    </row>
    <row r="1426" spans="1:4" ht="20" customHeight="1">
      <c r="A1426" t="s">
        <v>7730</v>
      </c>
      <c r="B1426" t="s">
        <v>4122</v>
      </c>
      <c r="C1426">
        <v>3.67</v>
      </c>
      <c r="D1426" t="s">
        <v>7729</v>
      </c>
    </row>
    <row r="1427" spans="1:4" ht="20" customHeight="1">
      <c r="A1427" t="s">
        <v>7730</v>
      </c>
      <c r="B1427" t="s">
        <v>4125</v>
      </c>
      <c r="C1427">
        <v>3.67</v>
      </c>
      <c r="D1427" t="s">
        <v>7729</v>
      </c>
    </row>
    <row r="1428" spans="1:4" ht="20" customHeight="1">
      <c r="A1428" t="s">
        <v>7730</v>
      </c>
      <c r="B1428" t="s">
        <v>4128</v>
      </c>
      <c r="C1428">
        <v>3.68</v>
      </c>
      <c r="D1428" t="s">
        <v>7729</v>
      </c>
    </row>
    <row r="1429" spans="1:4" ht="20" customHeight="1">
      <c r="A1429" t="s">
        <v>7730</v>
      </c>
      <c r="B1429" t="s">
        <v>4131</v>
      </c>
      <c r="C1429">
        <v>3.67</v>
      </c>
      <c r="D1429" t="s">
        <v>7729</v>
      </c>
    </row>
    <row r="1430" spans="1:4" ht="20" customHeight="1">
      <c r="A1430" t="s">
        <v>7730</v>
      </c>
      <c r="B1430" t="s">
        <v>4134</v>
      </c>
      <c r="C1430">
        <v>3.67</v>
      </c>
      <c r="D1430" t="s">
        <v>7729</v>
      </c>
    </row>
    <row r="1431" spans="1:4" ht="20" customHeight="1">
      <c r="A1431" t="s">
        <v>7730</v>
      </c>
      <c r="B1431" t="s">
        <v>4137</v>
      </c>
      <c r="C1431">
        <v>3.69</v>
      </c>
      <c r="D1431" t="s">
        <v>7729</v>
      </c>
    </row>
    <row r="1432" spans="1:4" ht="20" customHeight="1">
      <c r="A1432" t="s">
        <v>7730</v>
      </c>
      <c r="B1432" t="s">
        <v>4140</v>
      </c>
      <c r="C1432">
        <v>3.69</v>
      </c>
      <c r="D1432" t="s">
        <v>7729</v>
      </c>
    </row>
    <row r="1433" spans="1:4" ht="20" customHeight="1">
      <c r="A1433" t="s">
        <v>7730</v>
      </c>
      <c r="B1433" t="s">
        <v>4143</v>
      </c>
      <c r="C1433">
        <v>3.69</v>
      </c>
      <c r="D1433" t="s">
        <v>7729</v>
      </c>
    </row>
    <row r="1434" spans="1:4" ht="20" customHeight="1">
      <c r="A1434" t="s">
        <v>7730</v>
      </c>
      <c r="B1434" t="s">
        <v>4146</v>
      </c>
      <c r="C1434">
        <v>3.67</v>
      </c>
      <c r="D1434" t="s">
        <v>7729</v>
      </c>
    </row>
    <row r="1435" spans="1:4" ht="20" customHeight="1">
      <c r="A1435" t="s">
        <v>7730</v>
      </c>
      <c r="B1435" t="s">
        <v>4149</v>
      </c>
      <c r="C1435">
        <v>3.68</v>
      </c>
      <c r="D1435" t="s">
        <v>7729</v>
      </c>
    </row>
    <row r="1436" spans="1:4" ht="20" customHeight="1">
      <c r="A1436" t="s">
        <v>7730</v>
      </c>
      <c r="B1436" t="s">
        <v>4152</v>
      </c>
      <c r="C1436">
        <v>3.69</v>
      </c>
      <c r="D1436" t="s">
        <v>7729</v>
      </c>
    </row>
    <row r="1437" spans="1:4" ht="20" customHeight="1">
      <c r="A1437" t="s">
        <v>7730</v>
      </c>
      <c r="B1437" t="s">
        <v>4155</v>
      </c>
      <c r="C1437">
        <v>3.69</v>
      </c>
      <c r="D1437" t="s">
        <v>7729</v>
      </c>
    </row>
    <row r="1438" spans="1:4" ht="20" customHeight="1">
      <c r="A1438" t="s">
        <v>7730</v>
      </c>
      <c r="B1438" t="s">
        <v>4158</v>
      </c>
      <c r="C1438">
        <v>3.7</v>
      </c>
      <c r="D1438" t="s">
        <v>7729</v>
      </c>
    </row>
    <row r="1439" spans="1:4" ht="20" customHeight="1">
      <c r="A1439" t="s">
        <v>7730</v>
      </c>
      <c r="B1439" t="s">
        <v>4161</v>
      </c>
      <c r="C1439">
        <v>3.7</v>
      </c>
      <c r="D1439" t="s">
        <v>7729</v>
      </c>
    </row>
    <row r="1440" spans="1:4" ht="20" customHeight="1">
      <c r="A1440" t="s">
        <v>7730</v>
      </c>
      <c r="B1440" t="s">
        <v>4164</v>
      </c>
      <c r="C1440">
        <v>3.68</v>
      </c>
      <c r="D1440" t="s">
        <v>7729</v>
      </c>
    </row>
    <row r="1441" spans="1:4" ht="20" customHeight="1">
      <c r="A1441" t="s">
        <v>7730</v>
      </c>
      <c r="B1441" t="s">
        <v>4167</v>
      </c>
      <c r="C1441">
        <v>3.69</v>
      </c>
      <c r="D1441" t="s">
        <v>7729</v>
      </c>
    </row>
    <row r="1442" spans="1:4" ht="20" customHeight="1">
      <c r="A1442" t="s">
        <v>7730</v>
      </c>
      <c r="B1442" t="s">
        <v>4170</v>
      </c>
      <c r="C1442">
        <v>3.7</v>
      </c>
      <c r="D1442" t="s">
        <v>7729</v>
      </c>
    </row>
    <row r="1443" spans="1:4" ht="20" customHeight="1">
      <c r="A1443" t="s">
        <v>7730</v>
      </c>
      <c r="B1443" t="s">
        <v>4173</v>
      </c>
      <c r="C1443">
        <v>3.69</v>
      </c>
      <c r="D1443" t="s">
        <v>7729</v>
      </c>
    </row>
    <row r="1444" spans="1:4" ht="20" customHeight="1">
      <c r="A1444" t="s">
        <v>7730</v>
      </c>
      <c r="B1444" t="s">
        <v>4176</v>
      </c>
      <c r="C1444">
        <v>3.69</v>
      </c>
      <c r="D1444" t="s">
        <v>7729</v>
      </c>
    </row>
    <row r="1445" spans="1:4" ht="20" customHeight="1">
      <c r="A1445" t="s">
        <v>7730</v>
      </c>
      <c r="B1445" t="s">
        <v>4179</v>
      </c>
      <c r="C1445">
        <v>3.69</v>
      </c>
      <c r="D1445" t="s">
        <v>7729</v>
      </c>
    </row>
    <row r="1446" spans="1:4" ht="20" customHeight="1">
      <c r="A1446" t="s">
        <v>7730</v>
      </c>
      <c r="B1446" t="s">
        <v>4182</v>
      </c>
      <c r="C1446">
        <v>3.69</v>
      </c>
      <c r="D1446" t="s">
        <v>7729</v>
      </c>
    </row>
    <row r="1447" spans="1:4" ht="20" customHeight="1">
      <c r="A1447" t="s">
        <v>7730</v>
      </c>
      <c r="B1447" t="s">
        <v>4185</v>
      </c>
      <c r="C1447">
        <v>3.69</v>
      </c>
      <c r="D1447" t="s">
        <v>7729</v>
      </c>
    </row>
    <row r="1448" spans="1:4" ht="20" customHeight="1">
      <c r="A1448" t="s">
        <v>7730</v>
      </c>
      <c r="B1448" t="s">
        <v>4188</v>
      </c>
      <c r="C1448">
        <v>3.68</v>
      </c>
      <c r="D1448" t="s">
        <v>7729</v>
      </c>
    </row>
    <row r="1449" spans="1:4" ht="20" customHeight="1">
      <c r="A1449" t="s">
        <v>7730</v>
      </c>
      <c r="B1449" t="s">
        <v>4191</v>
      </c>
      <c r="C1449">
        <v>3.67</v>
      </c>
      <c r="D1449" t="s">
        <v>7729</v>
      </c>
    </row>
    <row r="1450" spans="1:4" ht="20" customHeight="1">
      <c r="A1450" t="s">
        <v>7730</v>
      </c>
      <c r="B1450" t="s">
        <v>4194</v>
      </c>
      <c r="C1450">
        <v>3.72</v>
      </c>
      <c r="D1450" t="s">
        <v>7729</v>
      </c>
    </row>
    <row r="1451" spans="1:4" ht="20" customHeight="1">
      <c r="A1451" t="s">
        <v>7730</v>
      </c>
      <c r="B1451" t="s">
        <v>4197</v>
      </c>
      <c r="C1451">
        <v>3.71</v>
      </c>
      <c r="D1451" t="s">
        <v>7729</v>
      </c>
    </row>
    <row r="1452" spans="1:4" ht="20" customHeight="1">
      <c r="A1452" t="s">
        <v>7730</v>
      </c>
      <c r="B1452" t="s">
        <v>4200</v>
      </c>
      <c r="C1452">
        <v>3.71</v>
      </c>
      <c r="D1452" t="s">
        <v>7729</v>
      </c>
    </row>
    <row r="1453" spans="1:4" ht="20" customHeight="1">
      <c r="A1453" t="s">
        <v>7730</v>
      </c>
      <c r="B1453" t="s">
        <v>4203</v>
      </c>
      <c r="C1453">
        <v>3.7</v>
      </c>
      <c r="D1453" t="s">
        <v>7729</v>
      </c>
    </row>
    <row r="1454" spans="1:4" ht="20" customHeight="1">
      <c r="A1454" t="s">
        <v>7730</v>
      </c>
      <c r="B1454" t="s">
        <v>4206</v>
      </c>
      <c r="C1454">
        <v>3.69</v>
      </c>
      <c r="D1454" t="s">
        <v>7729</v>
      </c>
    </row>
    <row r="1455" spans="1:4" ht="20" customHeight="1">
      <c r="A1455" t="s">
        <v>7730</v>
      </c>
      <c r="B1455" t="s">
        <v>4209</v>
      </c>
      <c r="C1455">
        <v>3.71</v>
      </c>
      <c r="D1455" t="s">
        <v>7729</v>
      </c>
    </row>
    <row r="1456" spans="1:4" ht="20" customHeight="1">
      <c r="A1456" t="s">
        <v>7730</v>
      </c>
      <c r="B1456" t="s">
        <v>4212</v>
      </c>
      <c r="C1456">
        <v>3.71</v>
      </c>
      <c r="D1456" t="s">
        <v>7729</v>
      </c>
    </row>
    <row r="1457" spans="1:4" ht="20" customHeight="1">
      <c r="A1457" t="s">
        <v>7730</v>
      </c>
      <c r="B1457" t="s">
        <v>4215</v>
      </c>
      <c r="C1457">
        <v>3.71</v>
      </c>
      <c r="D1457" t="s">
        <v>7729</v>
      </c>
    </row>
    <row r="1458" spans="1:4" ht="20" customHeight="1">
      <c r="A1458" t="s">
        <v>7730</v>
      </c>
      <c r="B1458" t="s">
        <v>4218</v>
      </c>
      <c r="C1458">
        <v>3.72</v>
      </c>
      <c r="D1458" t="s">
        <v>7729</v>
      </c>
    </row>
    <row r="1459" spans="1:4" ht="20" customHeight="1">
      <c r="A1459" t="s">
        <v>7730</v>
      </c>
      <c r="B1459" t="s">
        <v>4221</v>
      </c>
      <c r="C1459">
        <v>3.72</v>
      </c>
      <c r="D1459" t="s">
        <v>7729</v>
      </c>
    </row>
    <row r="1460" spans="1:4" ht="20" customHeight="1">
      <c r="A1460" t="s">
        <v>7730</v>
      </c>
      <c r="B1460" t="s">
        <v>4224</v>
      </c>
      <c r="C1460">
        <v>3.72</v>
      </c>
      <c r="D1460" t="s">
        <v>7729</v>
      </c>
    </row>
    <row r="1461" spans="1:4" ht="20" customHeight="1">
      <c r="A1461" t="s">
        <v>7730</v>
      </c>
      <c r="B1461" t="s">
        <v>4227</v>
      </c>
      <c r="C1461">
        <v>3.72</v>
      </c>
      <c r="D1461" t="s">
        <v>7729</v>
      </c>
    </row>
    <row r="1462" spans="1:4" ht="20" customHeight="1">
      <c r="A1462" t="s">
        <v>7730</v>
      </c>
      <c r="B1462" t="s">
        <v>4230</v>
      </c>
      <c r="C1462">
        <v>3.73</v>
      </c>
      <c r="D1462" t="s">
        <v>7729</v>
      </c>
    </row>
    <row r="1463" spans="1:4" ht="20" customHeight="1">
      <c r="A1463" t="s">
        <v>7730</v>
      </c>
      <c r="B1463" t="s">
        <v>4233</v>
      </c>
      <c r="C1463">
        <v>3.73</v>
      </c>
      <c r="D1463" t="s">
        <v>7729</v>
      </c>
    </row>
    <row r="1464" spans="1:4" ht="20" customHeight="1">
      <c r="A1464" t="s">
        <v>7730</v>
      </c>
      <c r="B1464" t="s">
        <v>4236</v>
      </c>
      <c r="C1464">
        <v>3.74</v>
      </c>
      <c r="D1464" t="s">
        <v>7729</v>
      </c>
    </row>
    <row r="1465" spans="1:4" ht="20" customHeight="1">
      <c r="A1465" t="s">
        <v>7730</v>
      </c>
      <c r="B1465" t="s">
        <v>4239</v>
      </c>
      <c r="C1465">
        <v>3.74</v>
      </c>
      <c r="D1465" t="s">
        <v>7729</v>
      </c>
    </row>
    <row r="1466" spans="1:4" ht="20" customHeight="1">
      <c r="A1466" t="s">
        <v>7730</v>
      </c>
      <c r="B1466" t="s">
        <v>4242</v>
      </c>
      <c r="C1466">
        <v>3.74</v>
      </c>
      <c r="D1466" t="s">
        <v>7729</v>
      </c>
    </row>
    <row r="1467" spans="1:4" ht="20" customHeight="1">
      <c r="A1467" t="s">
        <v>7730</v>
      </c>
      <c r="B1467" t="s">
        <v>4245</v>
      </c>
      <c r="C1467">
        <v>3.73</v>
      </c>
      <c r="D1467" t="s">
        <v>7729</v>
      </c>
    </row>
    <row r="1468" spans="1:4" ht="20" customHeight="1">
      <c r="A1468" t="s">
        <v>7730</v>
      </c>
      <c r="B1468" t="s">
        <v>4248</v>
      </c>
      <c r="C1468">
        <v>3.73</v>
      </c>
      <c r="D1468" t="s">
        <v>7729</v>
      </c>
    </row>
    <row r="1469" spans="1:4" ht="20" customHeight="1">
      <c r="A1469" t="s">
        <v>7730</v>
      </c>
      <c r="B1469" t="s">
        <v>4251</v>
      </c>
      <c r="C1469">
        <v>3.73</v>
      </c>
      <c r="D1469" t="s">
        <v>7729</v>
      </c>
    </row>
    <row r="1470" spans="1:4" ht="20" customHeight="1">
      <c r="A1470" t="s">
        <v>7730</v>
      </c>
      <c r="B1470" t="s">
        <v>4254</v>
      </c>
      <c r="C1470">
        <v>3.71</v>
      </c>
      <c r="D1470" t="s">
        <v>7729</v>
      </c>
    </row>
    <row r="1471" spans="1:4" ht="20" customHeight="1">
      <c r="A1471" t="s">
        <v>7730</v>
      </c>
      <c r="B1471" t="s">
        <v>4257</v>
      </c>
      <c r="C1471">
        <v>3.7</v>
      </c>
      <c r="D1471" t="s">
        <v>7729</v>
      </c>
    </row>
    <row r="1472" spans="1:4" ht="20" customHeight="1">
      <c r="A1472" t="s">
        <v>7730</v>
      </c>
      <c r="B1472" t="s">
        <v>4260</v>
      </c>
      <c r="C1472">
        <v>3.7</v>
      </c>
      <c r="D1472" t="s">
        <v>7729</v>
      </c>
    </row>
    <row r="1473" spans="1:4" ht="20" customHeight="1">
      <c r="A1473" t="s">
        <v>7730</v>
      </c>
      <c r="B1473" t="s">
        <v>4263</v>
      </c>
      <c r="C1473">
        <v>3.7</v>
      </c>
      <c r="D1473" t="s">
        <v>7729</v>
      </c>
    </row>
    <row r="1474" spans="1:4" ht="20" customHeight="1">
      <c r="A1474" t="s">
        <v>7730</v>
      </c>
      <c r="B1474" t="s">
        <v>7321</v>
      </c>
      <c r="C1474">
        <v>3.71</v>
      </c>
      <c r="D1474" t="s">
        <v>7729</v>
      </c>
    </row>
    <row r="1475" spans="1:4" ht="20" customHeight="1">
      <c r="A1475" t="s">
        <v>7730</v>
      </c>
      <c r="B1475" t="s">
        <v>4266</v>
      </c>
      <c r="C1475">
        <v>3.72</v>
      </c>
      <c r="D1475" t="s">
        <v>7729</v>
      </c>
    </row>
    <row r="1476" spans="1:4" ht="20" customHeight="1">
      <c r="A1476" t="s">
        <v>7730</v>
      </c>
      <c r="B1476" t="s">
        <v>4269</v>
      </c>
      <c r="C1476">
        <v>3.71</v>
      </c>
      <c r="D1476" t="s">
        <v>7729</v>
      </c>
    </row>
    <row r="1477" spans="1:4" ht="20" customHeight="1">
      <c r="A1477" t="s">
        <v>7730</v>
      </c>
      <c r="B1477" t="s">
        <v>4272</v>
      </c>
      <c r="C1477">
        <v>3.69</v>
      </c>
      <c r="D1477" t="s">
        <v>7729</v>
      </c>
    </row>
    <row r="1478" spans="1:4" ht="20" customHeight="1">
      <c r="A1478" t="s">
        <v>7730</v>
      </c>
      <c r="B1478" t="s">
        <v>4275</v>
      </c>
      <c r="C1478">
        <v>3.68</v>
      </c>
      <c r="D1478" t="s">
        <v>7729</v>
      </c>
    </row>
    <row r="1479" spans="1:4" ht="20" customHeight="1">
      <c r="A1479" t="s">
        <v>7730</v>
      </c>
      <c r="B1479" t="s">
        <v>4278</v>
      </c>
      <c r="C1479">
        <v>3.69</v>
      </c>
      <c r="D1479" t="s">
        <v>7729</v>
      </c>
    </row>
    <row r="1480" spans="1:4" ht="20" customHeight="1">
      <c r="A1480" t="s">
        <v>7730</v>
      </c>
      <c r="B1480" t="s">
        <v>4281</v>
      </c>
      <c r="C1480">
        <v>3.71</v>
      </c>
      <c r="D1480" t="s">
        <v>7729</v>
      </c>
    </row>
    <row r="1481" spans="1:4" ht="20" customHeight="1">
      <c r="A1481" t="s">
        <v>7730</v>
      </c>
      <c r="B1481" t="s">
        <v>4284</v>
      </c>
      <c r="C1481">
        <v>3.71</v>
      </c>
      <c r="D1481" t="s">
        <v>7729</v>
      </c>
    </row>
    <row r="1482" spans="1:4" ht="20" customHeight="1">
      <c r="A1482" t="s">
        <v>7730</v>
      </c>
      <c r="B1482" t="s">
        <v>4287</v>
      </c>
      <c r="C1482">
        <v>3.71</v>
      </c>
      <c r="D1482" t="s">
        <v>7729</v>
      </c>
    </row>
    <row r="1483" spans="1:4" ht="20" customHeight="1">
      <c r="A1483" t="s">
        <v>7730</v>
      </c>
      <c r="B1483" t="s">
        <v>4290</v>
      </c>
      <c r="C1483">
        <v>3.7</v>
      </c>
      <c r="D1483" t="s">
        <v>7729</v>
      </c>
    </row>
    <row r="1484" spans="1:4" ht="20" customHeight="1">
      <c r="A1484" t="s">
        <v>7730</v>
      </c>
      <c r="B1484" t="s">
        <v>4293</v>
      </c>
      <c r="C1484">
        <v>3.7</v>
      </c>
      <c r="D1484" t="s">
        <v>7729</v>
      </c>
    </row>
    <row r="1485" spans="1:4" ht="20" customHeight="1">
      <c r="A1485" t="s">
        <v>7730</v>
      </c>
      <c r="B1485" t="s">
        <v>4296</v>
      </c>
      <c r="C1485">
        <v>3.71</v>
      </c>
      <c r="D1485" t="s">
        <v>7729</v>
      </c>
    </row>
    <row r="1486" spans="1:4" ht="20" customHeight="1">
      <c r="A1486" t="s">
        <v>7730</v>
      </c>
      <c r="B1486" t="s">
        <v>4299</v>
      </c>
      <c r="C1486">
        <v>3.69</v>
      </c>
      <c r="D1486" t="s">
        <v>7729</v>
      </c>
    </row>
    <row r="1487" spans="1:4" ht="20" customHeight="1">
      <c r="A1487" t="s">
        <v>7730</v>
      </c>
      <c r="B1487" t="s">
        <v>4302</v>
      </c>
      <c r="C1487">
        <v>3.69</v>
      </c>
      <c r="D1487" t="s">
        <v>7729</v>
      </c>
    </row>
    <row r="1488" spans="1:4" ht="20" customHeight="1">
      <c r="A1488" t="s">
        <v>7730</v>
      </c>
      <c r="B1488" t="s">
        <v>4305</v>
      </c>
      <c r="C1488">
        <v>3.69</v>
      </c>
      <c r="D1488" t="s">
        <v>7729</v>
      </c>
    </row>
    <row r="1489" spans="1:4" ht="20" customHeight="1">
      <c r="A1489" t="s">
        <v>7730</v>
      </c>
      <c r="B1489" t="s">
        <v>4308</v>
      </c>
      <c r="C1489">
        <v>3.69</v>
      </c>
      <c r="D1489" t="s">
        <v>7729</v>
      </c>
    </row>
    <row r="1490" spans="1:4" ht="20" customHeight="1">
      <c r="A1490" t="s">
        <v>7730</v>
      </c>
      <c r="B1490" t="s">
        <v>4311</v>
      </c>
      <c r="C1490">
        <v>3.68</v>
      </c>
      <c r="D1490" t="s">
        <v>7729</v>
      </c>
    </row>
    <row r="1491" spans="1:4" ht="20" customHeight="1">
      <c r="A1491" t="s">
        <v>7730</v>
      </c>
      <c r="B1491" t="s">
        <v>4314</v>
      </c>
      <c r="C1491">
        <v>3.68</v>
      </c>
      <c r="D1491" t="s">
        <v>7729</v>
      </c>
    </row>
    <row r="1492" spans="1:4" ht="20" customHeight="1">
      <c r="A1492" t="s">
        <v>7730</v>
      </c>
      <c r="B1492" t="s">
        <v>4317</v>
      </c>
      <c r="C1492">
        <v>3.68</v>
      </c>
      <c r="D1492" t="s">
        <v>7729</v>
      </c>
    </row>
    <row r="1493" spans="1:4" ht="20" customHeight="1">
      <c r="A1493" t="s">
        <v>7730</v>
      </c>
      <c r="B1493" t="s">
        <v>4320</v>
      </c>
      <c r="C1493">
        <v>3.68</v>
      </c>
      <c r="D1493" t="s">
        <v>7729</v>
      </c>
    </row>
    <row r="1494" spans="1:4" ht="20" customHeight="1">
      <c r="A1494" t="s">
        <v>7730</v>
      </c>
      <c r="B1494" t="s">
        <v>4323</v>
      </c>
      <c r="C1494">
        <v>3.68</v>
      </c>
      <c r="D1494" t="s">
        <v>7729</v>
      </c>
    </row>
    <row r="1495" spans="1:4" ht="20" customHeight="1">
      <c r="A1495" t="s">
        <v>7730</v>
      </c>
      <c r="B1495" t="s">
        <v>4326</v>
      </c>
      <c r="C1495">
        <v>3.7</v>
      </c>
      <c r="D1495" t="s">
        <v>7729</v>
      </c>
    </row>
    <row r="1496" spans="1:4" ht="20" customHeight="1">
      <c r="A1496" t="s">
        <v>7730</v>
      </c>
      <c r="B1496" t="s">
        <v>4329</v>
      </c>
      <c r="C1496">
        <v>3.69</v>
      </c>
      <c r="D1496" t="s">
        <v>7729</v>
      </c>
    </row>
    <row r="1497" spans="1:4" ht="20" customHeight="1">
      <c r="A1497" t="s">
        <v>7730</v>
      </c>
      <c r="B1497" t="s">
        <v>4332</v>
      </c>
      <c r="C1497">
        <v>3.69</v>
      </c>
      <c r="D1497" t="s">
        <v>7729</v>
      </c>
    </row>
    <row r="1498" spans="1:4" ht="20" customHeight="1">
      <c r="A1498" t="s">
        <v>7730</v>
      </c>
      <c r="B1498" t="s">
        <v>4335</v>
      </c>
      <c r="C1498">
        <v>3.69</v>
      </c>
      <c r="D1498" t="s">
        <v>7729</v>
      </c>
    </row>
    <row r="1499" spans="1:4" ht="20" customHeight="1">
      <c r="A1499" t="s">
        <v>7730</v>
      </c>
      <c r="B1499" t="s">
        <v>4338</v>
      </c>
      <c r="C1499">
        <v>3.69</v>
      </c>
      <c r="D1499" t="s">
        <v>7729</v>
      </c>
    </row>
    <row r="1500" spans="1:4" ht="20" customHeight="1">
      <c r="A1500" t="s">
        <v>7730</v>
      </c>
      <c r="B1500" t="s">
        <v>4341</v>
      </c>
      <c r="C1500">
        <v>3.7</v>
      </c>
      <c r="D1500" t="s">
        <v>7729</v>
      </c>
    </row>
    <row r="1501" spans="1:4" ht="20" customHeight="1">
      <c r="A1501" t="s">
        <v>7730</v>
      </c>
      <c r="B1501" t="s">
        <v>4344</v>
      </c>
      <c r="C1501">
        <v>3.7</v>
      </c>
      <c r="D1501" t="s">
        <v>7729</v>
      </c>
    </row>
    <row r="1502" spans="1:4" ht="20" customHeight="1">
      <c r="A1502" t="s">
        <v>7730</v>
      </c>
      <c r="B1502" t="s">
        <v>4347</v>
      </c>
      <c r="C1502">
        <v>3.69</v>
      </c>
      <c r="D1502" t="s">
        <v>7729</v>
      </c>
    </row>
    <row r="1503" spans="1:4" ht="20" customHeight="1">
      <c r="A1503" t="s">
        <v>7730</v>
      </c>
      <c r="B1503" t="s">
        <v>4350</v>
      </c>
      <c r="C1503">
        <v>3.69</v>
      </c>
      <c r="D1503" t="s">
        <v>7729</v>
      </c>
    </row>
    <row r="1504" spans="1:4" ht="20" customHeight="1">
      <c r="A1504" t="s">
        <v>7730</v>
      </c>
      <c r="B1504" t="s">
        <v>4353</v>
      </c>
      <c r="C1504">
        <v>3.69</v>
      </c>
      <c r="D1504" t="s">
        <v>7729</v>
      </c>
    </row>
    <row r="1505" spans="1:4" ht="20" customHeight="1">
      <c r="A1505" t="s">
        <v>7730</v>
      </c>
      <c r="B1505" t="s">
        <v>4356</v>
      </c>
      <c r="C1505">
        <v>3.68</v>
      </c>
      <c r="D1505" t="s">
        <v>7729</v>
      </c>
    </row>
    <row r="1506" spans="1:4" ht="20" customHeight="1">
      <c r="A1506" t="s">
        <v>7730</v>
      </c>
      <c r="B1506" t="s">
        <v>4359</v>
      </c>
      <c r="C1506">
        <v>3.67</v>
      </c>
      <c r="D1506" t="s">
        <v>7729</v>
      </c>
    </row>
    <row r="1507" spans="1:4" ht="20" customHeight="1">
      <c r="A1507" t="s">
        <v>7730</v>
      </c>
      <c r="B1507" t="s">
        <v>4362</v>
      </c>
      <c r="C1507">
        <v>3.65</v>
      </c>
      <c r="D1507" t="s">
        <v>7729</v>
      </c>
    </row>
    <row r="1508" spans="1:4" ht="20" customHeight="1">
      <c r="A1508" t="s">
        <v>7730</v>
      </c>
      <c r="B1508" t="s">
        <v>4365</v>
      </c>
      <c r="C1508">
        <v>3.68</v>
      </c>
      <c r="D1508" t="s">
        <v>7729</v>
      </c>
    </row>
    <row r="1509" spans="1:4" ht="20" customHeight="1">
      <c r="A1509" t="s">
        <v>7730</v>
      </c>
      <c r="B1509" t="s">
        <v>4368</v>
      </c>
      <c r="C1509">
        <v>3.68</v>
      </c>
      <c r="D1509" t="s">
        <v>7729</v>
      </c>
    </row>
    <row r="1510" spans="1:4" ht="20" customHeight="1">
      <c r="A1510" t="s">
        <v>7730</v>
      </c>
      <c r="B1510" t="s">
        <v>4371</v>
      </c>
      <c r="C1510">
        <v>3.68</v>
      </c>
      <c r="D1510" t="s">
        <v>7729</v>
      </c>
    </row>
    <row r="1511" spans="1:4" ht="20" customHeight="1">
      <c r="A1511" t="s">
        <v>7730</v>
      </c>
      <c r="B1511" t="s">
        <v>4374</v>
      </c>
      <c r="C1511">
        <v>3.68</v>
      </c>
      <c r="D1511" t="s">
        <v>7729</v>
      </c>
    </row>
    <row r="1512" spans="1:4" ht="20" customHeight="1">
      <c r="A1512" t="s">
        <v>7730</v>
      </c>
      <c r="B1512" t="s">
        <v>4377</v>
      </c>
      <c r="C1512">
        <v>3.69</v>
      </c>
      <c r="D1512" t="s">
        <v>7729</v>
      </c>
    </row>
    <row r="1513" spans="1:4" ht="20" customHeight="1">
      <c r="A1513" t="s">
        <v>7730</v>
      </c>
      <c r="B1513" t="s">
        <v>4380</v>
      </c>
      <c r="C1513">
        <v>3.69</v>
      </c>
      <c r="D1513" t="s">
        <v>7729</v>
      </c>
    </row>
    <row r="1514" spans="1:4" ht="20" customHeight="1">
      <c r="A1514" t="s">
        <v>7730</v>
      </c>
      <c r="B1514" t="s">
        <v>4383</v>
      </c>
      <c r="C1514">
        <v>3.78</v>
      </c>
      <c r="D1514" t="s">
        <v>7729</v>
      </c>
    </row>
    <row r="1515" spans="1:4" ht="20" customHeight="1">
      <c r="A1515" t="s">
        <v>7730</v>
      </c>
      <c r="B1515" t="s">
        <v>4386</v>
      </c>
      <c r="C1515">
        <v>3.77</v>
      </c>
      <c r="D1515" t="s">
        <v>7729</v>
      </c>
    </row>
    <row r="1516" spans="1:4" ht="20" customHeight="1">
      <c r="A1516" t="s">
        <v>7730</v>
      </c>
      <c r="B1516" t="s">
        <v>4389</v>
      </c>
      <c r="C1516">
        <v>3.78</v>
      </c>
      <c r="D1516" t="s">
        <v>7729</v>
      </c>
    </row>
    <row r="1517" spans="1:4" ht="20" customHeight="1">
      <c r="A1517" t="s">
        <v>7730</v>
      </c>
      <c r="B1517" t="s">
        <v>4392</v>
      </c>
      <c r="C1517">
        <v>3.78</v>
      </c>
      <c r="D1517" t="s">
        <v>7729</v>
      </c>
    </row>
    <row r="1518" spans="1:4" ht="20" customHeight="1">
      <c r="A1518" t="s">
        <v>7730</v>
      </c>
      <c r="B1518" t="s">
        <v>4395</v>
      </c>
      <c r="C1518">
        <v>3.78</v>
      </c>
      <c r="D1518" t="s">
        <v>7729</v>
      </c>
    </row>
    <row r="1519" spans="1:4" ht="20" customHeight="1">
      <c r="A1519" t="s">
        <v>7730</v>
      </c>
      <c r="B1519" t="s">
        <v>4398</v>
      </c>
      <c r="C1519">
        <v>3.8</v>
      </c>
      <c r="D1519" t="s">
        <v>7729</v>
      </c>
    </row>
    <row r="1520" spans="1:4" ht="20" customHeight="1">
      <c r="A1520" t="s">
        <v>7730</v>
      </c>
      <c r="B1520" t="s">
        <v>4401</v>
      </c>
      <c r="C1520">
        <v>3.79</v>
      </c>
      <c r="D1520" t="s">
        <v>7729</v>
      </c>
    </row>
    <row r="1521" spans="1:4" ht="20" customHeight="1">
      <c r="A1521" t="s">
        <v>7730</v>
      </c>
      <c r="B1521" t="s">
        <v>4404</v>
      </c>
      <c r="C1521">
        <v>3.79</v>
      </c>
      <c r="D1521" t="s">
        <v>7729</v>
      </c>
    </row>
    <row r="1522" spans="1:4" ht="20" customHeight="1">
      <c r="A1522" t="s">
        <v>7730</v>
      </c>
      <c r="B1522" t="s">
        <v>4407</v>
      </c>
      <c r="C1522">
        <v>3.78</v>
      </c>
      <c r="D1522" t="s">
        <v>7729</v>
      </c>
    </row>
    <row r="1523" spans="1:4" ht="20" customHeight="1">
      <c r="A1523" t="s">
        <v>7730</v>
      </c>
      <c r="B1523" t="s">
        <v>4410</v>
      </c>
      <c r="C1523">
        <v>3.78</v>
      </c>
      <c r="D1523" t="s">
        <v>7729</v>
      </c>
    </row>
    <row r="1524" spans="1:4" ht="20" customHeight="1">
      <c r="A1524" t="s">
        <v>7730</v>
      </c>
      <c r="B1524" t="s">
        <v>4413</v>
      </c>
      <c r="C1524">
        <v>3.79</v>
      </c>
      <c r="D1524" t="s">
        <v>7729</v>
      </c>
    </row>
    <row r="1525" spans="1:4" ht="20" customHeight="1">
      <c r="A1525" t="s">
        <v>7730</v>
      </c>
      <c r="B1525" t="s">
        <v>4416</v>
      </c>
      <c r="C1525">
        <v>3.79</v>
      </c>
      <c r="D1525" t="s">
        <v>7729</v>
      </c>
    </row>
    <row r="1526" spans="1:4" ht="20" customHeight="1">
      <c r="A1526" t="s">
        <v>7730</v>
      </c>
      <c r="B1526" t="s">
        <v>4419</v>
      </c>
      <c r="C1526">
        <v>3.83</v>
      </c>
      <c r="D1526" t="s">
        <v>7729</v>
      </c>
    </row>
    <row r="1527" spans="1:4" ht="20" customHeight="1">
      <c r="A1527" t="s">
        <v>7730</v>
      </c>
      <c r="B1527" t="s">
        <v>4422</v>
      </c>
      <c r="C1527">
        <v>3.83</v>
      </c>
      <c r="D1527" t="s">
        <v>7729</v>
      </c>
    </row>
    <row r="1528" spans="1:4" ht="20" customHeight="1">
      <c r="A1528" t="s">
        <v>7730</v>
      </c>
      <c r="B1528" t="s">
        <v>4425</v>
      </c>
      <c r="C1528">
        <v>3.85</v>
      </c>
      <c r="D1528" t="s">
        <v>7729</v>
      </c>
    </row>
    <row r="1529" spans="1:4" ht="20" customHeight="1">
      <c r="A1529" t="s">
        <v>7730</v>
      </c>
      <c r="B1529" t="s">
        <v>4428</v>
      </c>
      <c r="C1529">
        <v>3.85</v>
      </c>
      <c r="D1529" t="s">
        <v>7729</v>
      </c>
    </row>
    <row r="1530" spans="1:4" ht="20" customHeight="1">
      <c r="A1530" t="s">
        <v>7730</v>
      </c>
      <c r="B1530" t="s">
        <v>4431</v>
      </c>
      <c r="C1530">
        <v>3.85</v>
      </c>
      <c r="D1530" t="s">
        <v>7729</v>
      </c>
    </row>
    <row r="1531" spans="1:4" ht="20" customHeight="1">
      <c r="A1531" t="s">
        <v>7730</v>
      </c>
      <c r="B1531" t="s">
        <v>4434</v>
      </c>
      <c r="C1531">
        <v>3.84</v>
      </c>
      <c r="D1531" t="s">
        <v>7729</v>
      </c>
    </row>
    <row r="1532" spans="1:4" ht="20" customHeight="1">
      <c r="A1532" t="s">
        <v>7730</v>
      </c>
      <c r="B1532" t="s">
        <v>4437</v>
      </c>
      <c r="C1532">
        <v>3.83</v>
      </c>
      <c r="D1532" t="s">
        <v>7729</v>
      </c>
    </row>
    <row r="1533" spans="1:4" ht="20" customHeight="1">
      <c r="A1533" t="s">
        <v>7730</v>
      </c>
      <c r="B1533" t="s">
        <v>4440</v>
      </c>
      <c r="C1533">
        <v>3.87</v>
      </c>
      <c r="D1533" t="s">
        <v>7729</v>
      </c>
    </row>
    <row r="1534" spans="1:4" ht="20" customHeight="1">
      <c r="A1534" t="s">
        <v>7730</v>
      </c>
      <c r="B1534" t="s">
        <v>4443</v>
      </c>
      <c r="C1534">
        <v>3.87</v>
      </c>
      <c r="D1534" t="s">
        <v>7729</v>
      </c>
    </row>
    <row r="1535" spans="1:4" ht="20" customHeight="1">
      <c r="A1535" t="s">
        <v>7730</v>
      </c>
      <c r="B1535" t="s">
        <v>4446</v>
      </c>
      <c r="C1535">
        <v>3.85</v>
      </c>
      <c r="D1535" t="s">
        <v>7729</v>
      </c>
    </row>
    <row r="1536" spans="1:4" ht="20" customHeight="1">
      <c r="A1536" t="s">
        <v>7730</v>
      </c>
      <c r="B1536" t="s">
        <v>4449</v>
      </c>
      <c r="C1536">
        <v>3.82</v>
      </c>
      <c r="D1536" t="s">
        <v>7729</v>
      </c>
    </row>
    <row r="1537" spans="1:4" ht="20" customHeight="1">
      <c r="A1537" t="s">
        <v>7730</v>
      </c>
      <c r="B1537" t="s">
        <v>4452</v>
      </c>
      <c r="C1537">
        <v>3.87</v>
      </c>
      <c r="D1537" t="s">
        <v>7729</v>
      </c>
    </row>
    <row r="1538" spans="1:4" ht="20" customHeight="1">
      <c r="A1538" t="s">
        <v>7730</v>
      </c>
      <c r="B1538" t="s">
        <v>4455</v>
      </c>
      <c r="C1538">
        <v>3.86</v>
      </c>
      <c r="D1538" t="s">
        <v>7729</v>
      </c>
    </row>
    <row r="1539" spans="1:4" ht="20" customHeight="1">
      <c r="A1539" t="s">
        <v>7730</v>
      </c>
      <c r="B1539" t="s">
        <v>4458</v>
      </c>
      <c r="C1539">
        <v>3.87</v>
      </c>
      <c r="D1539" t="s">
        <v>7729</v>
      </c>
    </row>
    <row r="1540" spans="1:4" ht="20" customHeight="1">
      <c r="A1540" t="s">
        <v>7730</v>
      </c>
      <c r="B1540" t="s">
        <v>4461</v>
      </c>
      <c r="C1540">
        <v>3.83</v>
      </c>
      <c r="D1540" t="s">
        <v>7729</v>
      </c>
    </row>
    <row r="1541" spans="1:4" ht="20" customHeight="1">
      <c r="A1541" t="s">
        <v>7730</v>
      </c>
      <c r="B1541" t="s">
        <v>4464</v>
      </c>
      <c r="C1541">
        <v>3.85</v>
      </c>
      <c r="D1541" t="s">
        <v>7729</v>
      </c>
    </row>
    <row r="1542" spans="1:4" ht="20" customHeight="1">
      <c r="A1542" t="s">
        <v>7730</v>
      </c>
      <c r="B1542" t="s">
        <v>4467</v>
      </c>
      <c r="C1542">
        <v>3.89</v>
      </c>
      <c r="D1542" t="s">
        <v>7729</v>
      </c>
    </row>
    <row r="1543" spans="1:4" ht="20" customHeight="1">
      <c r="A1543" t="s">
        <v>7730</v>
      </c>
      <c r="B1543" t="s">
        <v>4470</v>
      </c>
      <c r="C1543">
        <v>3.84</v>
      </c>
      <c r="D1543" t="s">
        <v>7729</v>
      </c>
    </row>
    <row r="1544" spans="1:4" ht="20" customHeight="1">
      <c r="A1544" t="s">
        <v>7730</v>
      </c>
      <c r="B1544" t="s">
        <v>4473</v>
      </c>
      <c r="C1544">
        <v>3.83</v>
      </c>
      <c r="D1544" t="s">
        <v>7729</v>
      </c>
    </row>
    <row r="1545" spans="1:4" ht="20" customHeight="1">
      <c r="A1545" t="s">
        <v>7730</v>
      </c>
      <c r="B1545" t="s">
        <v>4476</v>
      </c>
      <c r="C1545">
        <v>3.84</v>
      </c>
      <c r="D1545" t="s">
        <v>7729</v>
      </c>
    </row>
    <row r="1546" spans="1:4" ht="20" customHeight="1">
      <c r="A1546" t="s">
        <v>7730</v>
      </c>
      <c r="B1546" t="s">
        <v>4479</v>
      </c>
      <c r="C1546">
        <v>3.85</v>
      </c>
      <c r="D1546" t="s">
        <v>7729</v>
      </c>
    </row>
    <row r="1547" spans="1:4" ht="20" customHeight="1">
      <c r="A1547" t="s">
        <v>7730</v>
      </c>
      <c r="B1547" t="s">
        <v>4482</v>
      </c>
      <c r="C1547">
        <v>3.86</v>
      </c>
      <c r="D1547" t="s">
        <v>7729</v>
      </c>
    </row>
    <row r="1548" spans="1:4" ht="20" customHeight="1">
      <c r="A1548" t="s">
        <v>7730</v>
      </c>
      <c r="B1548" t="s">
        <v>4485</v>
      </c>
      <c r="C1548">
        <v>3.87</v>
      </c>
      <c r="D1548" t="s">
        <v>7729</v>
      </c>
    </row>
    <row r="1549" spans="1:4" ht="20" customHeight="1">
      <c r="A1549" t="s">
        <v>7730</v>
      </c>
      <c r="B1549" t="s">
        <v>4488</v>
      </c>
      <c r="C1549">
        <v>3.89</v>
      </c>
      <c r="D1549" t="s">
        <v>7729</v>
      </c>
    </row>
    <row r="1550" spans="1:4" ht="20" customHeight="1">
      <c r="A1550" t="s">
        <v>7730</v>
      </c>
      <c r="B1550" t="s">
        <v>4491</v>
      </c>
      <c r="C1550">
        <v>3.95</v>
      </c>
      <c r="D1550" t="s">
        <v>7729</v>
      </c>
    </row>
    <row r="1551" spans="1:4" ht="20" customHeight="1">
      <c r="A1551" t="s">
        <v>7730</v>
      </c>
      <c r="B1551" t="s">
        <v>4494</v>
      </c>
      <c r="C1551">
        <v>3.96</v>
      </c>
      <c r="D1551" t="s">
        <v>7729</v>
      </c>
    </row>
    <row r="1552" spans="1:4" ht="20" customHeight="1">
      <c r="A1552" t="s">
        <v>7730</v>
      </c>
      <c r="B1552" t="s">
        <v>4497</v>
      </c>
      <c r="C1552">
        <v>3.96</v>
      </c>
      <c r="D1552" t="s">
        <v>7729</v>
      </c>
    </row>
    <row r="1553" spans="1:4" ht="20" customHeight="1">
      <c r="A1553" t="s">
        <v>7730</v>
      </c>
      <c r="B1553" t="s">
        <v>4500</v>
      </c>
      <c r="C1553">
        <v>3.9</v>
      </c>
      <c r="D1553" t="s">
        <v>7729</v>
      </c>
    </row>
    <row r="1554" spans="1:4" ht="20" customHeight="1">
      <c r="A1554" t="s">
        <v>7730</v>
      </c>
      <c r="B1554" t="s">
        <v>4503</v>
      </c>
      <c r="C1554">
        <v>3.83</v>
      </c>
      <c r="D1554" t="s">
        <v>7729</v>
      </c>
    </row>
    <row r="1555" spans="1:4" ht="20" customHeight="1">
      <c r="A1555" t="s">
        <v>7730</v>
      </c>
      <c r="B1555" t="s">
        <v>4506</v>
      </c>
      <c r="C1555">
        <v>3.82</v>
      </c>
      <c r="D1555" t="s">
        <v>7729</v>
      </c>
    </row>
    <row r="1556" spans="1:4" ht="20" customHeight="1">
      <c r="A1556" t="s">
        <v>7730</v>
      </c>
      <c r="B1556" t="s">
        <v>4509</v>
      </c>
      <c r="C1556">
        <v>3.83</v>
      </c>
      <c r="D1556" t="s">
        <v>7729</v>
      </c>
    </row>
    <row r="1557" spans="1:4" ht="20" customHeight="1">
      <c r="A1557" t="s">
        <v>7730</v>
      </c>
      <c r="B1557" t="s">
        <v>4512</v>
      </c>
      <c r="C1557">
        <v>3.91</v>
      </c>
      <c r="D1557" t="s">
        <v>7729</v>
      </c>
    </row>
    <row r="1558" spans="1:4" ht="20" customHeight="1">
      <c r="A1558" t="s">
        <v>7730</v>
      </c>
      <c r="B1558" t="s">
        <v>4515</v>
      </c>
      <c r="C1558">
        <v>3.89</v>
      </c>
      <c r="D1558" t="s">
        <v>7729</v>
      </c>
    </row>
    <row r="1559" spans="1:4" ht="20" customHeight="1">
      <c r="A1559" t="s">
        <v>7730</v>
      </c>
      <c r="B1559" t="s">
        <v>4518</v>
      </c>
      <c r="C1559">
        <v>3.89</v>
      </c>
      <c r="D1559" t="s">
        <v>7729</v>
      </c>
    </row>
    <row r="1560" spans="1:4" ht="20" customHeight="1">
      <c r="A1560" t="s">
        <v>7730</v>
      </c>
      <c r="B1560" t="s">
        <v>4521</v>
      </c>
      <c r="C1560">
        <v>3.9</v>
      </c>
      <c r="D1560" t="s">
        <v>7729</v>
      </c>
    </row>
    <row r="1561" spans="1:4" ht="20" customHeight="1">
      <c r="A1561" t="s">
        <v>7730</v>
      </c>
      <c r="B1561" t="s">
        <v>4524</v>
      </c>
      <c r="C1561">
        <v>3.87</v>
      </c>
      <c r="D1561" t="s">
        <v>7729</v>
      </c>
    </row>
    <row r="1562" spans="1:4" ht="20" customHeight="1">
      <c r="A1562" t="s">
        <v>7730</v>
      </c>
      <c r="B1562" t="s">
        <v>4527</v>
      </c>
      <c r="C1562">
        <v>3.89</v>
      </c>
      <c r="D1562" t="s">
        <v>7729</v>
      </c>
    </row>
    <row r="1563" spans="1:4" ht="20" customHeight="1">
      <c r="A1563" t="s">
        <v>7730</v>
      </c>
      <c r="B1563" t="s">
        <v>4530</v>
      </c>
      <c r="C1563">
        <v>3.89</v>
      </c>
      <c r="D1563" t="s">
        <v>7729</v>
      </c>
    </row>
    <row r="1564" spans="1:4" ht="20" customHeight="1">
      <c r="A1564" t="s">
        <v>7730</v>
      </c>
      <c r="B1564" t="s">
        <v>4533</v>
      </c>
      <c r="C1564">
        <v>3.87</v>
      </c>
      <c r="D1564" t="s">
        <v>7729</v>
      </c>
    </row>
    <row r="1565" spans="1:4" ht="20" customHeight="1">
      <c r="A1565" t="s">
        <v>7730</v>
      </c>
      <c r="B1565" t="s">
        <v>4536</v>
      </c>
      <c r="C1565">
        <v>3.87</v>
      </c>
      <c r="D1565" t="s">
        <v>7729</v>
      </c>
    </row>
    <row r="1566" spans="1:4" ht="20" customHeight="1">
      <c r="A1566" t="s">
        <v>7730</v>
      </c>
      <c r="B1566" t="s">
        <v>4539</v>
      </c>
      <c r="C1566">
        <v>3.86</v>
      </c>
      <c r="D1566" t="s">
        <v>7729</v>
      </c>
    </row>
    <row r="1567" spans="1:4" ht="20" customHeight="1">
      <c r="A1567" t="s">
        <v>7730</v>
      </c>
      <c r="B1567" t="s">
        <v>4542</v>
      </c>
      <c r="C1567">
        <v>3.87</v>
      </c>
      <c r="D1567" t="s">
        <v>7729</v>
      </c>
    </row>
    <row r="1568" spans="1:4" ht="20" customHeight="1">
      <c r="A1568" t="s">
        <v>7730</v>
      </c>
      <c r="B1568" t="s">
        <v>4545</v>
      </c>
      <c r="C1568">
        <v>3.86</v>
      </c>
      <c r="D1568" t="s">
        <v>7729</v>
      </c>
    </row>
    <row r="1569" spans="1:4" ht="20" customHeight="1">
      <c r="A1569" t="s">
        <v>7730</v>
      </c>
      <c r="B1569" t="s">
        <v>4548</v>
      </c>
      <c r="C1569">
        <v>3.86</v>
      </c>
      <c r="D1569" t="s">
        <v>7729</v>
      </c>
    </row>
    <row r="1570" spans="1:4" ht="20" customHeight="1">
      <c r="A1570" t="s">
        <v>7730</v>
      </c>
      <c r="B1570" t="s">
        <v>4551</v>
      </c>
      <c r="C1570">
        <v>3.87</v>
      </c>
      <c r="D1570" t="s">
        <v>7729</v>
      </c>
    </row>
    <row r="1571" spans="1:4" ht="20" customHeight="1">
      <c r="A1571" t="s">
        <v>7730</v>
      </c>
      <c r="B1571" t="s">
        <v>4554</v>
      </c>
      <c r="C1571">
        <v>3.88</v>
      </c>
      <c r="D1571" t="s">
        <v>7729</v>
      </c>
    </row>
    <row r="1572" spans="1:4" ht="20" customHeight="1">
      <c r="A1572" t="s">
        <v>7730</v>
      </c>
      <c r="B1572" t="s">
        <v>4557</v>
      </c>
      <c r="C1572">
        <v>3.87</v>
      </c>
      <c r="D1572" t="s">
        <v>7729</v>
      </c>
    </row>
    <row r="1573" spans="1:4" ht="20" customHeight="1">
      <c r="A1573" t="s">
        <v>7730</v>
      </c>
      <c r="B1573" t="s">
        <v>4560</v>
      </c>
      <c r="C1573">
        <v>3.86</v>
      </c>
      <c r="D1573" t="s">
        <v>7729</v>
      </c>
    </row>
    <row r="1574" spans="1:4" ht="20" customHeight="1">
      <c r="A1574" t="s">
        <v>7730</v>
      </c>
      <c r="B1574" t="s">
        <v>4563</v>
      </c>
      <c r="C1574">
        <v>3.85</v>
      </c>
      <c r="D1574" t="s">
        <v>7729</v>
      </c>
    </row>
    <row r="1575" spans="1:4" ht="20" customHeight="1">
      <c r="A1575" t="s">
        <v>7730</v>
      </c>
      <c r="B1575" t="s">
        <v>4566</v>
      </c>
      <c r="C1575">
        <v>3.84</v>
      </c>
      <c r="D1575" t="s">
        <v>7729</v>
      </c>
    </row>
    <row r="1576" spans="1:4" ht="20" customHeight="1">
      <c r="A1576" t="s">
        <v>7730</v>
      </c>
      <c r="B1576" t="s">
        <v>4569</v>
      </c>
      <c r="C1576">
        <v>3.9</v>
      </c>
      <c r="D1576" t="s">
        <v>7729</v>
      </c>
    </row>
    <row r="1577" spans="1:4" ht="20" customHeight="1">
      <c r="A1577" t="s">
        <v>7730</v>
      </c>
      <c r="B1577" t="s">
        <v>4572</v>
      </c>
      <c r="C1577">
        <v>3.91</v>
      </c>
      <c r="D1577" t="s">
        <v>7729</v>
      </c>
    </row>
    <row r="1578" spans="1:4" ht="20" customHeight="1">
      <c r="A1578" t="s">
        <v>7730</v>
      </c>
      <c r="B1578" t="s">
        <v>4575</v>
      </c>
      <c r="C1578">
        <v>3.92</v>
      </c>
      <c r="D1578" t="s">
        <v>7729</v>
      </c>
    </row>
    <row r="1579" spans="1:4" ht="20" customHeight="1">
      <c r="A1579" t="s">
        <v>7730</v>
      </c>
      <c r="B1579" t="s">
        <v>4578</v>
      </c>
      <c r="C1579">
        <v>3.92</v>
      </c>
      <c r="D1579" t="s">
        <v>7729</v>
      </c>
    </row>
    <row r="1580" spans="1:4" ht="20" customHeight="1">
      <c r="A1580" t="s">
        <v>7730</v>
      </c>
      <c r="B1580" t="s">
        <v>4581</v>
      </c>
      <c r="C1580">
        <v>3.89</v>
      </c>
      <c r="D1580" t="s">
        <v>7729</v>
      </c>
    </row>
    <row r="1581" spans="1:4" ht="20" customHeight="1">
      <c r="A1581" t="s">
        <v>7730</v>
      </c>
      <c r="B1581" t="s">
        <v>4584</v>
      </c>
      <c r="C1581">
        <v>3.91</v>
      </c>
      <c r="D1581" t="s">
        <v>7729</v>
      </c>
    </row>
    <row r="1582" spans="1:4" ht="20" customHeight="1">
      <c r="A1582" t="s">
        <v>7730</v>
      </c>
      <c r="B1582" t="s">
        <v>4587</v>
      </c>
      <c r="C1582">
        <v>3.94</v>
      </c>
      <c r="D1582" t="s">
        <v>7729</v>
      </c>
    </row>
    <row r="1583" spans="1:4" ht="20" customHeight="1">
      <c r="A1583" t="s">
        <v>7730</v>
      </c>
      <c r="B1583" t="s">
        <v>4590</v>
      </c>
      <c r="C1583">
        <v>3.95</v>
      </c>
      <c r="D1583" t="s">
        <v>7729</v>
      </c>
    </row>
    <row r="1584" spans="1:4" ht="20" customHeight="1">
      <c r="A1584" t="s">
        <v>7730</v>
      </c>
      <c r="B1584" t="s">
        <v>4593</v>
      </c>
      <c r="C1584">
        <v>4</v>
      </c>
      <c r="D1584" t="s">
        <v>7729</v>
      </c>
    </row>
    <row r="1585" spans="1:4" ht="20" customHeight="1">
      <c r="A1585" t="s">
        <v>7730</v>
      </c>
      <c r="B1585" t="s">
        <v>4596</v>
      </c>
      <c r="C1585">
        <v>4.07</v>
      </c>
      <c r="D1585" t="s">
        <v>7729</v>
      </c>
    </row>
    <row r="1586" spans="1:4" ht="20" customHeight="1">
      <c r="A1586" t="s">
        <v>7730</v>
      </c>
      <c r="B1586" t="s">
        <v>4599</v>
      </c>
      <c r="C1586">
        <v>4.11</v>
      </c>
      <c r="D1586" t="s">
        <v>7729</v>
      </c>
    </row>
    <row r="1587" spans="1:4" ht="20" customHeight="1">
      <c r="A1587" t="s">
        <v>7730</v>
      </c>
      <c r="B1587" t="s">
        <v>4602</v>
      </c>
      <c r="C1587">
        <v>4.11</v>
      </c>
      <c r="D1587" t="s">
        <v>7729</v>
      </c>
    </row>
    <row r="1588" spans="1:4" ht="20" customHeight="1">
      <c r="A1588" t="s">
        <v>7730</v>
      </c>
      <c r="B1588" t="s">
        <v>4605</v>
      </c>
      <c r="C1588">
        <v>4.14</v>
      </c>
      <c r="D1588" t="s">
        <v>7729</v>
      </c>
    </row>
    <row r="1589" spans="1:4" ht="20" customHeight="1">
      <c r="A1589" t="s">
        <v>7730</v>
      </c>
      <c r="B1589" t="s">
        <v>4608</v>
      </c>
      <c r="C1589">
        <v>4.12</v>
      </c>
      <c r="D1589" t="s">
        <v>7729</v>
      </c>
    </row>
    <row r="1590" spans="1:4" ht="20" customHeight="1">
      <c r="A1590" t="s">
        <v>7730</v>
      </c>
      <c r="B1590" t="s">
        <v>4611</v>
      </c>
      <c r="C1590">
        <v>4.14</v>
      </c>
      <c r="D1590" t="s">
        <v>7729</v>
      </c>
    </row>
    <row r="1591" spans="1:4" ht="20" customHeight="1">
      <c r="A1591" t="s">
        <v>7730</v>
      </c>
      <c r="B1591" t="s">
        <v>4614</v>
      </c>
      <c r="C1591">
        <v>4.17</v>
      </c>
      <c r="D1591" t="s">
        <v>7729</v>
      </c>
    </row>
    <row r="1592" spans="1:4" ht="20" customHeight="1">
      <c r="A1592" t="s">
        <v>7730</v>
      </c>
      <c r="B1592" t="s">
        <v>4617</v>
      </c>
      <c r="C1592">
        <v>4.16</v>
      </c>
      <c r="D1592" t="s">
        <v>7729</v>
      </c>
    </row>
    <row r="1593" spans="1:4" ht="20" customHeight="1">
      <c r="A1593" t="s">
        <v>7730</v>
      </c>
      <c r="B1593" t="s">
        <v>4620</v>
      </c>
      <c r="C1593">
        <v>4.19</v>
      </c>
      <c r="D1593" t="s">
        <v>7729</v>
      </c>
    </row>
    <row r="1594" spans="1:4" ht="20" customHeight="1">
      <c r="A1594" t="s">
        <v>7730</v>
      </c>
      <c r="B1594" t="s">
        <v>4623</v>
      </c>
      <c r="C1594">
        <v>4.24</v>
      </c>
      <c r="D1594" t="s">
        <v>7729</v>
      </c>
    </row>
    <row r="1595" spans="1:4" ht="20" customHeight="1">
      <c r="A1595" t="s">
        <v>7730</v>
      </c>
      <c r="B1595" t="s">
        <v>4626</v>
      </c>
      <c r="C1595">
        <v>4.24</v>
      </c>
      <c r="D1595" t="s">
        <v>7729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40.7109375" customWidth="1"/>
    <col min="2" max="2" width="20.7109375" customWidth="1"/>
    <col min="3" max="3" width="95.7109375" customWidth="1"/>
    <col min="4" max="36" width="17.7109375" customWidth="1"/>
  </cols>
  <sheetData>
    <row r="1" spans="1:3" ht="32" customHeight="1">
      <c r="A1" s="7" t="s">
        <v>7731</v>
      </c>
      <c r="B1" s="7" t="s">
        <v>7732</v>
      </c>
      <c r="C1" s="7" t="s">
        <v>7733</v>
      </c>
    </row>
    <row r="2" spans="1:3" ht="20" customHeight="1">
      <c r="A2" t="s">
        <v>7734</v>
      </c>
      <c r="B2" t="s">
        <v>7735</v>
      </c>
      <c r="C2" t="s">
        <v>7736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2" width="17.7109375" customWidth="1"/>
    <col min="3" max="3" width="35.7109375" customWidth="1"/>
    <col min="4" max="4" width="17.7109375" customWidth="1"/>
    <col min="5" max="5" width="30.7109375" customWidth="1"/>
    <col min="6" max="6" width="85.7109375" customWidth="1"/>
    <col min="7" max="7" width="45.7109375" customWidth="1"/>
    <col min="8" max="36" width="17.7109375" customWidth="1"/>
  </cols>
  <sheetData>
    <row r="1" spans="1:7" ht="32" customHeight="1">
      <c r="A1" s="7" t="s">
        <v>7737</v>
      </c>
      <c r="B1" s="7" t="s">
        <v>7738</v>
      </c>
      <c r="C1" s="7" t="s">
        <v>7739</v>
      </c>
      <c r="D1" s="7" t="s">
        <v>7740</v>
      </c>
      <c r="E1" s="7" t="s">
        <v>7741</v>
      </c>
      <c r="F1" s="7" t="s">
        <v>7742</v>
      </c>
      <c r="G1" s="7" t="s">
        <v>7743</v>
      </c>
    </row>
    <row r="2" spans="1:7" ht="20" customHeight="1">
      <c r="A2" s="2" t="s">
        <v>4134</v>
      </c>
      <c r="B2" s="2" t="s">
        <v>25</v>
      </c>
      <c r="C2" s="2" t="s">
        <v>7614</v>
      </c>
      <c r="D2" s="2">
        <v>0</v>
      </c>
      <c r="E2" s="2" t="s">
        <v>7744</v>
      </c>
      <c r="F2" s="2" t="s">
        <v>7745</v>
      </c>
      <c r="G2" s="2" t="s">
        <v>7617</v>
      </c>
    </row>
    <row r="3" spans="1:7" ht="20" customHeight="1">
      <c r="A3" s="2" t="s">
        <v>1401</v>
      </c>
      <c r="B3" s="2" t="s">
        <v>26</v>
      </c>
      <c r="C3" s="2" t="s">
        <v>7622</v>
      </c>
      <c r="D3" s="2">
        <v>0</v>
      </c>
      <c r="E3" s="2" t="s">
        <v>7744</v>
      </c>
      <c r="F3" s="2" t="s">
        <v>7745</v>
      </c>
      <c r="G3" s="2" t="s">
        <v>7624</v>
      </c>
    </row>
    <row r="4" spans="1:7" ht="20" customHeight="1">
      <c r="A4" s="2" t="s">
        <v>2427</v>
      </c>
      <c r="B4" s="2" t="s">
        <v>26</v>
      </c>
      <c r="C4" s="2" t="s">
        <v>7628</v>
      </c>
      <c r="D4" s="2">
        <v>0</v>
      </c>
      <c r="E4" s="2" t="s">
        <v>7744</v>
      </c>
      <c r="F4" s="2" t="s">
        <v>7745</v>
      </c>
      <c r="G4" s="2" t="s">
        <v>7630</v>
      </c>
    </row>
    <row r="5" spans="1:7" ht="20" customHeight="1">
      <c r="A5" s="2" t="s">
        <v>6801</v>
      </c>
      <c r="B5" s="2" t="s">
        <v>26</v>
      </c>
      <c r="C5" s="2" t="s">
        <v>7638</v>
      </c>
      <c r="D5" s="2">
        <v>0</v>
      </c>
      <c r="E5" s="2" t="s">
        <v>7744</v>
      </c>
      <c r="F5" s="2" t="s">
        <v>7745</v>
      </c>
      <c r="G5" s="2" t="s">
        <v>7640</v>
      </c>
    </row>
    <row r="6" spans="1:7" ht="20" customHeight="1">
      <c r="A6" s="2" t="s">
        <v>4146</v>
      </c>
      <c r="B6" s="2" t="s">
        <v>26</v>
      </c>
      <c r="C6" s="2" t="s">
        <v>7618</v>
      </c>
      <c r="D6" s="2">
        <v>0</v>
      </c>
      <c r="E6" s="2" t="s">
        <v>7744</v>
      </c>
      <c r="F6" s="2" t="s">
        <v>7745</v>
      </c>
      <c r="G6" s="2" t="s">
        <v>7620</v>
      </c>
    </row>
    <row r="7" spans="1:7" ht="20" customHeight="1">
      <c r="A7" s="2" t="s">
        <v>4146</v>
      </c>
      <c r="B7" s="2" t="s">
        <v>26</v>
      </c>
      <c r="C7" s="2" t="s">
        <v>7635</v>
      </c>
      <c r="D7" s="2">
        <v>3</v>
      </c>
      <c r="E7" s="2" t="s">
        <v>7746</v>
      </c>
      <c r="F7" s="2" t="s">
        <v>7747</v>
      </c>
      <c r="G7" s="2" t="s">
        <v>7637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28.7109375" customWidth="1"/>
    <col min="2" max="3" width="17.7109375" customWidth="1"/>
    <col min="4" max="4" width="22.7109375" customWidth="1"/>
    <col min="5" max="10" width="17.7109375" customWidth="1"/>
    <col min="11" max="11" width="70.7109375" customWidth="1"/>
    <col min="12" max="36" width="17.7109375" customWidth="1"/>
  </cols>
  <sheetData>
    <row r="1" spans="1:11" ht="32" customHeight="1">
      <c r="A1" s="7" t="s">
        <v>7748</v>
      </c>
      <c r="B1" s="7" t="s">
        <v>7749</v>
      </c>
      <c r="C1" s="7" t="s">
        <v>7750</v>
      </c>
      <c r="D1" s="7" t="s">
        <v>7751</v>
      </c>
      <c r="E1" s="7" t="s">
        <v>7752</v>
      </c>
      <c r="F1" s="7" t="s">
        <v>18</v>
      </c>
      <c r="G1" s="7" t="s">
        <v>7753</v>
      </c>
      <c r="H1" s="7" t="s">
        <v>7578</v>
      </c>
      <c r="I1" s="7" t="s">
        <v>7754</v>
      </c>
      <c r="J1" s="7" t="s">
        <v>7755</v>
      </c>
      <c r="K1" s="7" t="s">
        <v>7756</v>
      </c>
    </row>
    <row r="2" spans="1:11" ht="20" customHeight="1">
      <c r="A2" t="s">
        <v>7757</v>
      </c>
      <c r="B2" t="s">
        <v>873</v>
      </c>
      <c r="C2" t="s">
        <v>4572</v>
      </c>
      <c r="D2" t="s">
        <v>7758</v>
      </c>
      <c r="E2">
        <v>20</v>
      </c>
      <c r="F2">
        <v>3</v>
      </c>
      <c r="G2" s="4">
        <v>0.2165650492193245</v>
      </c>
      <c r="H2" s="4">
        <v>-0.367414822221963</v>
      </c>
      <c r="I2" s="4">
        <v>0.2485543258532709</v>
      </c>
      <c r="J2" s="3">
        <v>746.6890586303276</v>
      </c>
      <c r="K2" t="s">
        <v>7759</v>
      </c>
    </row>
    <row r="3" spans="1:11" ht="20" customHeight="1">
      <c r="A3" t="s">
        <v>7760</v>
      </c>
      <c r="B3" t="s">
        <v>873</v>
      </c>
      <c r="C3" t="s">
        <v>4572</v>
      </c>
      <c r="D3" t="s">
        <v>7758</v>
      </c>
      <c r="E3">
        <v>0</v>
      </c>
      <c r="F3">
        <v>3</v>
      </c>
      <c r="G3" s="4">
        <v>0.2182115754894827</v>
      </c>
      <c r="H3" s="4">
        <v>-0.3662155950417454</v>
      </c>
      <c r="I3" s="4">
        <v>0.2487816993099502</v>
      </c>
      <c r="J3" s="3">
        <v>0</v>
      </c>
      <c r="K3" t="s">
        <v>7759</v>
      </c>
    </row>
    <row r="4" spans="1:11" ht="20" customHeight="1">
      <c r="A4" t="s">
        <v>7761</v>
      </c>
      <c r="B4" t="s">
        <v>873</v>
      </c>
      <c r="C4" t="s">
        <v>4572</v>
      </c>
      <c r="D4" t="s">
        <v>7758</v>
      </c>
      <c r="E4">
        <v>10</v>
      </c>
      <c r="F4">
        <v>3</v>
      </c>
      <c r="G4" s="4">
        <v>0.217427932675035</v>
      </c>
      <c r="H4" s="4">
        <v>-0.3667695347334068</v>
      </c>
      <c r="I4" s="4">
        <v>0.2486640342535255</v>
      </c>
      <c r="J4" s="3">
        <v>372.5942919361196</v>
      </c>
      <c r="K4" t="s">
        <v>7759</v>
      </c>
    </row>
    <row r="5" spans="1:11" ht="20" customHeight="1">
      <c r="A5" t="s">
        <v>7762</v>
      </c>
      <c r="B5" t="s">
        <v>873</v>
      </c>
      <c r="C5" t="s">
        <v>4572</v>
      </c>
      <c r="D5" t="s">
        <v>7758</v>
      </c>
      <c r="E5">
        <v>25</v>
      </c>
      <c r="F5">
        <v>3</v>
      </c>
      <c r="G5" s="4">
        <v>0.216131821689673</v>
      </c>
      <c r="H5" s="4">
        <v>-0.3677363436728096</v>
      </c>
      <c r="I5" s="4">
        <v>0.2484998918719548</v>
      </c>
      <c r="J5" s="3">
        <v>934.2820632564432</v>
      </c>
      <c r="K5" t="s">
        <v>7759</v>
      </c>
    </row>
    <row r="6" spans="1:11" ht="20" customHeight="1">
      <c r="A6" t="s">
        <v>7763</v>
      </c>
      <c r="B6" t="s">
        <v>873</v>
      </c>
      <c r="C6" t="s">
        <v>4572</v>
      </c>
      <c r="D6" t="s">
        <v>7758</v>
      </c>
      <c r="E6">
        <v>50</v>
      </c>
      <c r="F6">
        <v>3</v>
      </c>
      <c r="G6" s="4">
        <v>0.2139482046506387</v>
      </c>
      <c r="H6" s="4">
        <v>-0.36933279631996</v>
      </c>
      <c r="I6" s="4">
        <v>0.2482318405214267</v>
      </c>
      <c r="J6" s="3">
        <v>1877.435139033506</v>
      </c>
      <c r="K6" t="s">
        <v>7759</v>
      </c>
    </row>
    <row r="7" spans="1:11" ht="20" customHeight="1">
      <c r="A7" t="s">
        <v>7764</v>
      </c>
      <c r="B7" t="s">
        <v>873</v>
      </c>
      <c r="C7" t="s">
        <v>4572</v>
      </c>
      <c r="D7" t="s">
        <v>7758</v>
      </c>
      <c r="E7">
        <v>20</v>
      </c>
      <c r="F7">
        <v>0</v>
      </c>
      <c r="G7" s="4">
        <v>0.1719099681842553</v>
      </c>
      <c r="H7" s="4">
        <v>-0.3731344801683525</v>
      </c>
      <c r="I7" s="4">
        <v>0.2489806206536024</v>
      </c>
      <c r="J7" s="3">
        <v>199.6007984031936</v>
      </c>
      <c r="K7" t="s">
        <v>7759</v>
      </c>
    </row>
    <row r="8" spans="1:11" ht="20" customHeight="1">
      <c r="A8" t="s">
        <v>7765</v>
      </c>
      <c r="B8" t="s">
        <v>873</v>
      </c>
      <c r="C8" t="s">
        <v>4572</v>
      </c>
      <c r="D8" t="s">
        <v>7758</v>
      </c>
      <c r="E8">
        <v>20</v>
      </c>
      <c r="F8">
        <v>1</v>
      </c>
      <c r="G8" s="4">
        <v>0.2161611601091127</v>
      </c>
      <c r="H8" s="4">
        <v>-0.3630482437116059</v>
      </c>
      <c r="I8" s="4">
        <v>0.2541637220622824</v>
      </c>
      <c r="J8" s="3">
        <v>1133.089350984022</v>
      </c>
      <c r="K8" t="s">
        <v>7759</v>
      </c>
    </row>
    <row r="9" spans="1:11" ht="20" customHeight="1">
      <c r="A9" t="s">
        <v>7766</v>
      </c>
      <c r="B9" t="s">
        <v>873</v>
      </c>
      <c r="C9" t="s">
        <v>4572</v>
      </c>
      <c r="D9" t="s">
        <v>7758</v>
      </c>
      <c r="E9">
        <v>20</v>
      </c>
      <c r="F9">
        <v>12</v>
      </c>
      <c r="G9" s="4">
        <v>0.1874627852473887</v>
      </c>
      <c r="H9" s="4">
        <v>-0.3739855623665526</v>
      </c>
      <c r="I9" s="4">
        <v>0.2563136450910437</v>
      </c>
      <c r="J9" s="3">
        <v>364.0744515692755</v>
      </c>
      <c r="K9" t="s">
        <v>7759</v>
      </c>
    </row>
    <row r="10" spans="1:11" ht="20" customHeight="1">
      <c r="A10" t="s">
        <v>7767</v>
      </c>
      <c r="B10" t="s">
        <v>873</v>
      </c>
      <c r="C10" t="s">
        <v>4572</v>
      </c>
      <c r="D10" t="s">
        <v>7768</v>
      </c>
      <c r="E10">
        <v>20</v>
      </c>
      <c r="F10">
        <v>3</v>
      </c>
      <c r="G10" s="4">
        <v>0.1737677600217979</v>
      </c>
      <c r="H10" s="4">
        <v>-0.6280235018733044</v>
      </c>
      <c r="I10" s="4">
        <v>0.4440211138266562</v>
      </c>
      <c r="J10" s="3">
        <v>573.9708562221562</v>
      </c>
      <c r="K10" t="s">
        <v>7759</v>
      </c>
    </row>
    <row r="11" spans="1:11" ht="20" customHeight="1">
      <c r="A11" t="s">
        <v>7769</v>
      </c>
      <c r="B11" t="s">
        <v>873</v>
      </c>
      <c r="C11" t="s">
        <v>4572</v>
      </c>
      <c r="D11" t="s">
        <v>7770</v>
      </c>
      <c r="E11">
        <v>20</v>
      </c>
      <c r="F11">
        <v>3</v>
      </c>
      <c r="G11" s="4">
        <v>0.2119123574743553</v>
      </c>
      <c r="H11" s="4">
        <v>-0.4400800062724864</v>
      </c>
      <c r="I11" s="4">
        <v>0.2915226439152824</v>
      </c>
      <c r="J11" s="3">
        <v>775.6703931143318</v>
      </c>
      <c r="K11" t="s">
        <v>7759</v>
      </c>
    </row>
    <row r="12" spans="1:11" ht="20" customHeight="1">
      <c r="A12" t="s">
        <v>7771</v>
      </c>
      <c r="B12" t="s">
        <v>873</v>
      </c>
      <c r="C12" t="s">
        <v>4572</v>
      </c>
      <c r="D12" t="s">
        <v>7772</v>
      </c>
      <c r="E12">
        <v>20</v>
      </c>
      <c r="F12">
        <v>3</v>
      </c>
      <c r="G12" s="4">
        <v>0.2157599156337646</v>
      </c>
      <c r="H12" s="4">
        <v>-0.224770528894484</v>
      </c>
      <c r="I12" s="4">
        <v>0.1837988596207268</v>
      </c>
      <c r="J12" s="3">
        <v>554.1061478354153</v>
      </c>
      <c r="K12" t="s">
        <v>7759</v>
      </c>
    </row>
    <row r="13" spans="1:11" ht="20" customHeight="1">
      <c r="A13" t="s">
        <v>7773</v>
      </c>
      <c r="B13" t="s">
        <v>873</v>
      </c>
      <c r="C13" t="s">
        <v>2751</v>
      </c>
      <c r="D13" t="s">
        <v>7758</v>
      </c>
      <c r="E13">
        <v>20</v>
      </c>
      <c r="F13">
        <v>3</v>
      </c>
      <c r="G13" s="4">
        <v>0.1886767011603587</v>
      </c>
      <c r="H13" s="4">
        <v>-0.367414822221963</v>
      </c>
      <c r="I13" s="4">
        <v>0.2874506034624021</v>
      </c>
      <c r="J13" s="3">
        <v>356.9955693258191</v>
      </c>
      <c r="K13" t="s">
        <v>7759</v>
      </c>
    </row>
    <row r="14" spans="1:11" ht="20" customHeight="1">
      <c r="A14" t="s">
        <v>7774</v>
      </c>
      <c r="B14" t="s">
        <v>2751</v>
      </c>
      <c r="C14" t="s">
        <v>4572</v>
      </c>
      <c r="D14" t="s">
        <v>7758</v>
      </c>
      <c r="E14">
        <v>20</v>
      </c>
      <c r="F14">
        <v>3</v>
      </c>
      <c r="G14" s="4">
        <v>0.2361848328658105</v>
      </c>
      <c r="H14" s="4">
        <v>-0.1923552957922492</v>
      </c>
      <c r="I14" s="4">
        <v>0.2075877750548893</v>
      </c>
      <c r="J14" s="3">
        <v>405.6269393131003</v>
      </c>
      <c r="K14" t="s">
        <v>7759</v>
      </c>
    </row>
    <row r="17" spans="1:11" ht="20" customHeight="1">
      <c r="A17" s="2" t="s">
        <v>7775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mergeCells count="1">
    <mergeCell ref="A17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Parameters</vt:lpstr>
      <vt:lpstr>Daily</vt:lpstr>
      <vt:lpstr>Monthly</vt:lpstr>
      <vt:lpstr>MonthlyCalc</vt:lpstr>
      <vt:lpstr>ExecutionLedger</vt:lpstr>
      <vt:lpstr>EventWindows</vt:lpstr>
      <vt:lpstr>Sources</vt:lpstr>
      <vt:lpstr>Macro</vt:lpstr>
      <vt:lpstr>Coverage</vt:lpstr>
      <vt:lpstr>Associations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黄金 ETF 代理（GLD）与比特币（BTC-USD）近五年避险与抗通胀表现比较：60/40 组合、季度再平衡</dc:title>
  <dc:creator>Evidence</dc:creator>
  <dc:description>Research 3302715305fc4dac</dc:description>
  <cp:lastModifiedBy>Evidence</cp:lastModifiedBy>
  <dcterms:created xsi:type="dcterms:W3CDTF">2026-09-29T10:24:19Z</dcterms:created>
  <dcterms:modified xsi:type="dcterms:W3CDTF">2026-09-29T10:24:19Z</dcterms:modified>
</cp:coreProperties>
</file>